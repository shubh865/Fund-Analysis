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/>
  <mc:AlternateContent xmlns:mc="http://schemas.openxmlformats.org/markup-compatibility/2006">
    <mc:Choice Requires="x15">
      <x15ac:absPath xmlns:x15ac="http://schemas.microsoft.com/office/spreadsheetml/2010/11/ac" url="C:\Users\darji\codex\nav\outputs\2026-07-22-aditya-birla-nav-tri\"/>
    </mc:Choice>
  </mc:AlternateContent>
  <xr:revisionPtr revIDLastSave="0" documentId="13_ncr:1_{16A83473-46F1-49CC-96CB-E897B29F5B5E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Overview" sheetId="1" r:id="rId1"/>
    <sheet name="Daily NAV &amp; TRI" sheetId="2" r:id="rId2"/>
    <sheet name="Sheet1" sheetId="3" r:id="rId3"/>
  </sheets>
  <definedNames>
    <definedName name="_xlnm._FilterDatabase" localSheetId="2" hidden="1">Sheet1!$O$1:$O$2031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Y2578" i="3" l="1"/>
  <c r="Z2578" i="3"/>
  <c r="AA2578" i="3"/>
  <c r="AB2578" i="3"/>
  <c r="X2578" i="3"/>
  <c r="F2579" i="3"/>
  <c r="G2579" i="3"/>
  <c r="H2579" i="3"/>
  <c r="I2579" i="3"/>
  <c r="E2579" i="3"/>
  <c r="U2578" i="3"/>
  <c r="T2578" i="3"/>
  <c r="S2578" i="3"/>
  <c r="R2578" i="3"/>
  <c r="Q2578" i="3"/>
  <c r="I2578" i="3"/>
  <c r="H2578" i="3"/>
  <c r="G2578" i="3"/>
  <c r="F2578" i="3"/>
  <c r="E2578" i="3"/>
  <c r="AB1234" i="3"/>
  <c r="AB1235" i="3"/>
  <c r="AB1236" i="3"/>
  <c r="AB1237" i="3"/>
  <c r="AB1238" i="3"/>
  <c r="AB1239" i="3"/>
  <c r="AB1240" i="3"/>
  <c r="AB1241" i="3"/>
  <c r="AB1242" i="3"/>
  <c r="AB1243" i="3"/>
  <c r="AB1244" i="3"/>
  <c r="AB1245" i="3"/>
  <c r="AB1246" i="3"/>
  <c r="AB1247" i="3"/>
  <c r="AB1248" i="3"/>
  <c r="AB1249" i="3"/>
  <c r="AB1250" i="3"/>
  <c r="AB1251" i="3"/>
  <c r="AB1252" i="3"/>
  <c r="AB1253" i="3"/>
  <c r="AB1254" i="3"/>
  <c r="AB1255" i="3"/>
  <c r="AB1256" i="3"/>
  <c r="AB1257" i="3"/>
  <c r="AB1258" i="3"/>
  <c r="AB1259" i="3"/>
  <c r="AB1260" i="3"/>
  <c r="AB1261" i="3"/>
  <c r="AB1262" i="3"/>
  <c r="AB1263" i="3"/>
  <c r="AB1264" i="3"/>
  <c r="AB1265" i="3"/>
  <c r="AB1266" i="3"/>
  <c r="AB1267" i="3"/>
  <c r="AB1268" i="3"/>
  <c r="AB1269" i="3"/>
  <c r="AB1270" i="3"/>
  <c r="AB1271" i="3"/>
  <c r="AB1272" i="3"/>
  <c r="AB1273" i="3"/>
  <c r="AB1274" i="3"/>
  <c r="AB1275" i="3"/>
  <c r="AB1276" i="3"/>
  <c r="AB1277" i="3"/>
  <c r="AB1278" i="3"/>
  <c r="AB1279" i="3"/>
  <c r="AB1280" i="3"/>
  <c r="AB1281" i="3"/>
  <c r="AB1282" i="3"/>
  <c r="AB1283" i="3"/>
  <c r="AB1284" i="3"/>
  <c r="AB1285" i="3"/>
  <c r="AB1286" i="3"/>
  <c r="AB1287" i="3"/>
  <c r="AB1288" i="3"/>
  <c r="AB1289" i="3"/>
  <c r="AB1290" i="3"/>
  <c r="AB1291" i="3"/>
  <c r="AB1292" i="3"/>
  <c r="AB1293" i="3"/>
  <c r="AB1294" i="3"/>
  <c r="AB1295" i="3"/>
  <c r="AB1296" i="3"/>
  <c r="AB1297" i="3"/>
  <c r="AB1298" i="3"/>
  <c r="AB1299" i="3"/>
  <c r="AB1300" i="3"/>
  <c r="AB1301" i="3"/>
  <c r="AB1302" i="3"/>
  <c r="AB1303" i="3"/>
  <c r="AB1304" i="3"/>
  <c r="AB1305" i="3"/>
  <c r="AB1306" i="3"/>
  <c r="AB1307" i="3"/>
  <c r="AB1308" i="3"/>
  <c r="AB1309" i="3"/>
  <c r="AB1310" i="3"/>
  <c r="AB1311" i="3"/>
  <c r="AB1312" i="3"/>
  <c r="AB1313" i="3"/>
  <c r="AB1314" i="3"/>
  <c r="AB1315" i="3"/>
  <c r="AB1316" i="3"/>
  <c r="AB1317" i="3"/>
  <c r="AB1318" i="3"/>
  <c r="AB1319" i="3"/>
  <c r="AB1320" i="3"/>
  <c r="AB1321" i="3"/>
  <c r="AB1322" i="3"/>
  <c r="AB1323" i="3"/>
  <c r="AB1324" i="3"/>
  <c r="AB1325" i="3"/>
  <c r="AB1326" i="3"/>
  <c r="AB1327" i="3"/>
  <c r="AB1328" i="3"/>
  <c r="AB1329" i="3"/>
  <c r="AB1330" i="3"/>
  <c r="AB1331" i="3"/>
  <c r="AB1332" i="3"/>
  <c r="AB1333" i="3"/>
  <c r="AB1334" i="3"/>
  <c r="AB1335" i="3"/>
  <c r="AB1336" i="3"/>
  <c r="AB1337" i="3"/>
  <c r="AB1338" i="3"/>
  <c r="AB1339" i="3"/>
  <c r="AB1340" i="3"/>
  <c r="AB1341" i="3"/>
  <c r="AB1342" i="3"/>
  <c r="AB1343" i="3"/>
  <c r="AB1344" i="3"/>
  <c r="AB1345" i="3"/>
  <c r="AB1346" i="3"/>
  <c r="AB1347" i="3"/>
  <c r="AB1348" i="3"/>
  <c r="AB1349" i="3"/>
  <c r="AB1350" i="3"/>
  <c r="AB1351" i="3"/>
  <c r="AB1352" i="3"/>
  <c r="AB1353" i="3"/>
  <c r="AB1354" i="3"/>
  <c r="AB1355" i="3"/>
  <c r="AB1356" i="3"/>
  <c r="AB1357" i="3"/>
  <c r="AB1358" i="3"/>
  <c r="AB1359" i="3"/>
  <c r="AB1360" i="3"/>
  <c r="AB1361" i="3"/>
  <c r="AB1362" i="3"/>
  <c r="AB1363" i="3"/>
  <c r="AB1364" i="3"/>
  <c r="AB1365" i="3"/>
  <c r="AB1366" i="3"/>
  <c r="AB1367" i="3"/>
  <c r="AB1368" i="3"/>
  <c r="AB1369" i="3"/>
  <c r="AB1370" i="3"/>
  <c r="AB1371" i="3"/>
  <c r="AB1372" i="3"/>
  <c r="AB1373" i="3"/>
  <c r="AB1374" i="3"/>
  <c r="AB1375" i="3"/>
  <c r="AB1376" i="3"/>
  <c r="AB1377" i="3"/>
  <c r="AB1378" i="3"/>
  <c r="AB1379" i="3"/>
  <c r="AB1380" i="3"/>
  <c r="AB1381" i="3"/>
  <c r="AB1382" i="3"/>
  <c r="AB1383" i="3"/>
  <c r="AB1384" i="3"/>
  <c r="AB1385" i="3"/>
  <c r="AB1386" i="3"/>
  <c r="AB1387" i="3"/>
  <c r="AB1388" i="3"/>
  <c r="AB1389" i="3"/>
  <c r="AB1390" i="3"/>
  <c r="AB1391" i="3"/>
  <c r="AB1392" i="3"/>
  <c r="AB1393" i="3"/>
  <c r="AB1394" i="3"/>
  <c r="AB1395" i="3"/>
  <c r="AB1396" i="3"/>
  <c r="AB1397" i="3"/>
  <c r="AB1398" i="3"/>
  <c r="AB1399" i="3"/>
  <c r="AB1400" i="3"/>
  <c r="AB1401" i="3"/>
  <c r="AB1402" i="3"/>
  <c r="AB1403" i="3"/>
  <c r="AB1404" i="3"/>
  <c r="AB1405" i="3"/>
  <c r="AB1406" i="3"/>
  <c r="AB1407" i="3"/>
  <c r="AB1408" i="3"/>
  <c r="AB1409" i="3"/>
  <c r="AB1410" i="3"/>
  <c r="AB1411" i="3"/>
  <c r="AB1412" i="3"/>
  <c r="AB1413" i="3"/>
  <c r="AB1414" i="3"/>
  <c r="AB1415" i="3"/>
  <c r="AB1416" i="3"/>
  <c r="AB1417" i="3"/>
  <c r="AB1418" i="3"/>
  <c r="AB1419" i="3"/>
  <c r="AB1420" i="3"/>
  <c r="AB1421" i="3"/>
  <c r="AB1422" i="3"/>
  <c r="AB1423" i="3"/>
  <c r="AB1424" i="3"/>
  <c r="AB1425" i="3"/>
  <c r="AB1426" i="3"/>
  <c r="AB1427" i="3"/>
  <c r="AB1428" i="3"/>
  <c r="AB1429" i="3"/>
  <c r="AB1430" i="3"/>
  <c r="AB1431" i="3"/>
  <c r="AB1432" i="3"/>
  <c r="AB1433" i="3"/>
  <c r="AB1434" i="3"/>
  <c r="AB1435" i="3"/>
  <c r="AB1436" i="3"/>
  <c r="AB1437" i="3"/>
  <c r="AB1438" i="3"/>
  <c r="AB1439" i="3"/>
  <c r="AB1440" i="3"/>
  <c r="AB1441" i="3"/>
  <c r="AB1442" i="3"/>
  <c r="AB1443" i="3"/>
  <c r="AB1444" i="3"/>
  <c r="AB1445" i="3"/>
  <c r="AB1446" i="3"/>
  <c r="AB1447" i="3"/>
  <c r="AB1448" i="3"/>
  <c r="AB1449" i="3"/>
  <c r="AB1450" i="3"/>
  <c r="AB1451" i="3"/>
  <c r="AB1452" i="3"/>
  <c r="AB1453" i="3"/>
  <c r="AB1454" i="3"/>
  <c r="AB1455" i="3"/>
  <c r="AB1456" i="3"/>
  <c r="AB1457" i="3"/>
  <c r="AB1458" i="3"/>
  <c r="AB1459" i="3"/>
  <c r="AB1460" i="3"/>
  <c r="AB1461" i="3"/>
  <c r="AB1462" i="3"/>
  <c r="AB1463" i="3"/>
  <c r="AB1464" i="3"/>
  <c r="AB1465" i="3"/>
  <c r="AB1466" i="3"/>
  <c r="AB1467" i="3"/>
  <c r="AB1468" i="3"/>
  <c r="AB1469" i="3"/>
  <c r="AB1470" i="3"/>
  <c r="AB1471" i="3"/>
  <c r="AB1472" i="3"/>
  <c r="AB1473" i="3"/>
  <c r="AB1474" i="3"/>
  <c r="AB1475" i="3"/>
  <c r="AB1476" i="3"/>
  <c r="AB1477" i="3"/>
  <c r="AB1478" i="3"/>
  <c r="AB1479" i="3"/>
  <c r="AB1480" i="3"/>
  <c r="AB1481" i="3"/>
  <c r="AB1482" i="3"/>
  <c r="AB1483" i="3"/>
  <c r="AB1484" i="3"/>
  <c r="AB1485" i="3"/>
  <c r="AB1486" i="3"/>
  <c r="AB1487" i="3"/>
  <c r="AB1488" i="3"/>
  <c r="AB1489" i="3"/>
  <c r="AB1490" i="3"/>
  <c r="AB1491" i="3"/>
  <c r="AB1492" i="3"/>
  <c r="AB1493" i="3"/>
  <c r="AB1494" i="3"/>
  <c r="AB1495" i="3"/>
  <c r="AB1496" i="3"/>
  <c r="AB1497" i="3"/>
  <c r="AB1498" i="3"/>
  <c r="AB1499" i="3"/>
  <c r="AB1500" i="3"/>
  <c r="AB1501" i="3"/>
  <c r="AB1502" i="3"/>
  <c r="AB1503" i="3"/>
  <c r="AB1504" i="3"/>
  <c r="AB1505" i="3"/>
  <c r="AB1506" i="3"/>
  <c r="AB1507" i="3"/>
  <c r="AB1508" i="3"/>
  <c r="AB1509" i="3"/>
  <c r="AB1510" i="3"/>
  <c r="AB1511" i="3"/>
  <c r="AB1512" i="3"/>
  <c r="AB1513" i="3"/>
  <c r="AB1514" i="3"/>
  <c r="AB1515" i="3"/>
  <c r="AB1516" i="3"/>
  <c r="AB1517" i="3"/>
  <c r="AB1518" i="3"/>
  <c r="AB1519" i="3"/>
  <c r="AB1520" i="3"/>
  <c r="AB1521" i="3"/>
  <c r="AB1522" i="3"/>
  <c r="AB1523" i="3"/>
  <c r="AB1524" i="3"/>
  <c r="AB1525" i="3"/>
  <c r="AB1526" i="3"/>
  <c r="AB1527" i="3"/>
  <c r="AB1528" i="3"/>
  <c r="AB1529" i="3"/>
  <c r="AB1530" i="3"/>
  <c r="AB1531" i="3"/>
  <c r="AB1532" i="3"/>
  <c r="AB1533" i="3"/>
  <c r="AB1534" i="3"/>
  <c r="AB1535" i="3"/>
  <c r="AB1536" i="3"/>
  <c r="AB1537" i="3"/>
  <c r="AB1538" i="3"/>
  <c r="AB1539" i="3"/>
  <c r="AB1540" i="3"/>
  <c r="AB1541" i="3"/>
  <c r="AB1542" i="3"/>
  <c r="AB1543" i="3"/>
  <c r="AB1544" i="3"/>
  <c r="AB1545" i="3"/>
  <c r="AB1546" i="3"/>
  <c r="AB1547" i="3"/>
  <c r="AB1548" i="3"/>
  <c r="AB1549" i="3"/>
  <c r="AB1550" i="3"/>
  <c r="AB1551" i="3"/>
  <c r="AB1552" i="3"/>
  <c r="AB1553" i="3"/>
  <c r="AB1554" i="3"/>
  <c r="AB1555" i="3"/>
  <c r="AB1556" i="3"/>
  <c r="AB1557" i="3"/>
  <c r="AB1558" i="3"/>
  <c r="AB1559" i="3"/>
  <c r="AB1560" i="3"/>
  <c r="AB1561" i="3"/>
  <c r="AB1562" i="3"/>
  <c r="AB1563" i="3"/>
  <c r="AB1564" i="3"/>
  <c r="AB1565" i="3"/>
  <c r="AB1566" i="3"/>
  <c r="AB1567" i="3"/>
  <c r="AB1568" i="3"/>
  <c r="AB1569" i="3"/>
  <c r="AB1570" i="3"/>
  <c r="AB1571" i="3"/>
  <c r="AB1572" i="3"/>
  <c r="AB1573" i="3"/>
  <c r="AB1574" i="3"/>
  <c r="AB1575" i="3"/>
  <c r="AB1576" i="3"/>
  <c r="AB1577" i="3"/>
  <c r="AB1578" i="3"/>
  <c r="AB1579" i="3"/>
  <c r="AB1580" i="3"/>
  <c r="AB1581" i="3"/>
  <c r="AB1582" i="3"/>
  <c r="AB1583" i="3"/>
  <c r="AB1584" i="3"/>
  <c r="AB1585" i="3"/>
  <c r="AB1586" i="3"/>
  <c r="AB1587" i="3"/>
  <c r="AB1588" i="3"/>
  <c r="AB1589" i="3"/>
  <c r="AB1590" i="3"/>
  <c r="AB1591" i="3"/>
  <c r="AB1592" i="3"/>
  <c r="AB1593" i="3"/>
  <c r="AB1594" i="3"/>
  <c r="AB1595" i="3"/>
  <c r="AB1596" i="3"/>
  <c r="AB1597" i="3"/>
  <c r="AB1598" i="3"/>
  <c r="AB1599" i="3"/>
  <c r="AB1600" i="3"/>
  <c r="AB1601" i="3"/>
  <c r="AB1602" i="3"/>
  <c r="AB1603" i="3"/>
  <c r="AB1604" i="3"/>
  <c r="AB1605" i="3"/>
  <c r="AB1606" i="3"/>
  <c r="AB1607" i="3"/>
  <c r="AB1608" i="3"/>
  <c r="AB1609" i="3"/>
  <c r="AB1610" i="3"/>
  <c r="AB1611" i="3"/>
  <c r="AB1612" i="3"/>
  <c r="AB1613" i="3"/>
  <c r="AB1614" i="3"/>
  <c r="AB1615" i="3"/>
  <c r="AB1616" i="3"/>
  <c r="AB1617" i="3"/>
  <c r="AB1618" i="3"/>
  <c r="AB1619" i="3"/>
  <c r="AB1620" i="3"/>
  <c r="AB1621" i="3"/>
  <c r="AB1622" i="3"/>
  <c r="AB1623" i="3"/>
  <c r="AB1624" i="3"/>
  <c r="AB1625" i="3"/>
  <c r="AB1626" i="3"/>
  <c r="AB1627" i="3"/>
  <c r="AB1628" i="3"/>
  <c r="AB1629" i="3"/>
  <c r="AB1630" i="3"/>
  <c r="AB1631" i="3"/>
  <c r="AB1632" i="3"/>
  <c r="AB1633" i="3"/>
  <c r="AB1634" i="3"/>
  <c r="AB1635" i="3"/>
  <c r="AB1636" i="3"/>
  <c r="AB1637" i="3"/>
  <c r="AB1638" i="3"/>
  <c r="AB1639" i="3"/>
  <c r="AB1640" i="3"/>
  <c r="AB1641" i="3"/>
  <c r="AB1642" i="3"/>
  <c r="AB1643" i="3"/>
  <c r="AB1644" i="3"/>
  <c r="AB1645" i="3"/>
  <c r="AB1646" i="3"/>
  <c r="AB1647" i="3"/>
  <c r="AB1648" i="3"/>
  <c r="AB1649" i="3"/>
  <c r="AB1650" i="3"/>
  <c r="AB1651" i="3"/>
  <c r="AB1652" i="3"/>
  <c r="AB1653" i="3"/>
  <c r="AB1654" i="3"/>
  <c r="AB1655" i="3"/>
  <c r="AB1656" i="3"/>
  <c r="AB1657" i="3"/>
  <c r="AB1658" i="3"/>
  <c r="AB1659" i="3"/>
  <c r="AB1660" i="3"/>
  <c r="AB1661" i="3"/>
  <c r="AB1662" i="3"/>
  <c r="AB1663" i="3"/>
  <c r="AB1664" i="3"/>
  <c r="AB1665" i="3"/>
  <c r="AB1666" i="3"/>
  <c r="AB1667" i="3"/>
  <c r="AB1668" i="3"/>
  <c r="AB1669" i="3"/>
  <c r="AB1670" i="3"/>
  <c r="AB1671" i="3"/>
  <c r="AB1672" i="3"/>
  <c r="AB1673" i="3"/>
  <c r="AB1674" i="3"/>
  <c r="AB1675" i="3"/>
  <c r="AB1676" i="3"/>
  <c r="AB1677" i="3"/>
  <c r="AB1678" i="3"/>
  <c r="AB1679" i="3"/>
  <c r="AB1680" i="3"/>
  <c r="AB1681" i="3"/>
  <c r="AB1682" i="3"/>
  <c r="AB1683" i="3"/>
  <c r="AB1684" i="3"/>
  <c r="AB1685" i="3"/>
  <c r="AB1686" i="3"/>
  <c r="AB1687" i="3"/>
  <c r="AB1688" i="3"/>
  <c r="AB1689" i="3"/>
  <c r="AB1690" i="3"/>
  <c r="AB1691" i="3"/>
  <c r="AB1692" i="3"/>
  <c r="AB1693" i="3"/>
  <c r="AB1694" i="3"/>
  <c r="AB1695" i="3"/>
  <c r="AB1696" i="3"/>
  <c r="AB1697" i="3"/>
  <c r="AB1698" i="3"/>
  <c r="AB1699" i="3"/>
  <c r="AB1700" i="3"/>
  <c r="AB1701" i="3"/>
  <c r="AB1702" i="3"/>
  <c r="AB1703" i="3"/>
  <c r="AB1704" i="3"/>
  <c r="AB1705" i="3"/>
  <c r="AB1706" i="3"/>
  <c r="AB1707" i="3"/>
  <c r="AB1708" i="3"/>
  <c r="AB1709" i="3"/>
  <c r="AB1710" i="3"/>
  <c r="AB1711" i="3"/>
  <c r="AB1712" i="3"/>
  <c r="AB1713" i="3"/>
  <c r="AB1714" i="3"/>
  <c r="AB1715" i="3"/>
  <c r="AB1716" i="3"/>
  <c r="AB1717" i="3"/>
  <c r="AB1718" i="3"/>
  <c r="AB1719" i="3"/>
  <c r="AB1720" i="3"/>
  <c r="AB1721" i="3"/>
  <c r="AB1722" i="3"/>
  <c r="AB1723" i="3"/>
  <c r="AB1724" i="3"/>
  <c r="AB1725" i="3"/>
  <c r="AB1726" i="3"/>
  <c r="AB1727" i="3"/>
  <c r="AB1728" i="3"/>
  <c r="AB1729" i="3"/>
  <c r="AB1730" i="3"/>
  <c r="AB1731" i="3"/>
  <c r="AB1732" i="3"/>
  <c r="AB1733" i="3"/>
  <c r="AB1734" i="3"/>
  <c r="AB1735" i="3"/>
  <c r="AB1736" i="3"/>
  <c r="AB1737" i="3"/>
  <c r="AB1738" i="3"/>
  <c r="AB1739" i="3"/>
  <c r="AB1740" i="3"/>
  <c r="AB1741" i="3"/>
  <c r="AB1742" i="3"/>
  <c r="AB1743" i="3"/>
  <c r="AB1744" i="3"/>
  <c r="AB1745" i="3"/>
  <c r="AB1746" i="3"/>
  <c r="AB1747" i="3"/>
  <c r="AB1748" i="3"/>
  <c r="AB1749" i="3"/>
  <c r="AB1750" i="3"/>
  <c r="AB1751" i="3"/>
  <c r="AB1752" i="3"/>
  <c r="AB1753" i="3"/>
  <c r="AB1754" i="3"/>
  <c r="AB1755" i="3"/>
  <c r="AB1756" i="3"/>
  <c r="AB1757" i="3"/>
  <c r="AB1758" i="3"/>
  <c r="AB1759" i="3"/>
  <c r="AB1760" i="3"/>
  <c r="AB1761" i="3"/>
  <c r="AB1762" i="3"/>
  <c r="AB1763" i="3"/>
  <c r="AB1764" i="3"/>
  <c r="AB1765" i="3"/>
  <c r="AB1766" i="3"/>
  <c r="AB1767" i="3"/>
  <c r="AB1768" i="3"/>
  <c r="AB1769" i="3"/>
  <c r="AB1770" i="3"/>
  <c r="AB1771" i="3"/>
  <c r="AB1772" i="3"/>
  <c r="AB1773" i="3"/>
  <c r="AB1774" i="3"/>
  <c r="AB1775" i="3"/>
  <c r="AB1776" i="3"/>
  <c r="AB1777" i="3"/>
  <c r="AB1778" i="3"/>
  <c r="AB1779" i="3"/>
  <c r="AB1780" i="3"/>
  <c r="AB1781" i="3"/>
  <c r="AB1782" i="3"/>
  <c r="AB1783" i="3"/>
  <c r="AB1784" i="3"/>
  <c r="AB1785" i="3"/>
  <c r="AB1786" i="3"/>
  <c r="AB1787" i="3"/>
  <c r="AB1788" i="3"/>
  <c r="AB1789" i="3"/>
  <c r="AB1790" i="3"/>
  <c r="AB1791" i="3"/>
  <c r="AB1792" i="3"/>
  <c r="AB1793" i="3"/>
  <c r="AB1794" i="3"/>
  <c r="AB1795" i="3"/>
  <c r="AB1796" i="3"/>
  <c r="AB1797" i="3"/>
  <c r="AB1798" i="3"/>
  <c r="AB1799" i="3"/>
  <c r="AB1800" i="3"/>
  <c r="AB1801" i="3"/>
  <c r="AB1802" i="3"/>
  <c r="AB1803" i="3"/>
  <c r="AB1804" i="3"/>
  <c r="AB1805" i="3"/>
  <c r="AB1806" i="3"/>
  <c r="AB1807" i="3"/>
  <c r="AB1808" i="3"/>
  <c r="AB1809" i="3"/>
  <c r="AB1810" i="3"/>
  <c r="AB1811" i="3"/>
  <c r="AB1812" i="3"/>
  <c r="AB1813" i="3"/>
  <c r="AB1814" i="3"/>
  <c r="AB1815" i="3"/>
  <c r="AB1816" i="3"/>
  <c r="AB1817" i="3"/>
  <c r="AB1818" i="3"/>
  <c r="AB1819" i="3"/>
  <c r="AB1820" i="3"/>
  <c r="AB1821" i="3"/>
  <c r="AB1822" i="3"/>
  <c r="AB1823" i="3"/>
  <c r="AB1824" i="3"/>
  <c r="AB1825" i="3"/>
  <c r="AB1826" i="3"/>
  <c r="AB1827" i="3"/>
  <c r="AB1828" i="3"/>
  <c r="AB1829" i="3"/>
  <c r="AB1830" i="3"/>
  <c r="AB1831" i="3"/>
  <c r="AB1832" i="3"/>
  <c r="AB1833" i="3"/>
  <c r="AB1834" i="3"/>
  <c r="AB1835" i="3"/>
  <c r="AB1836" i="3"/>
  <c r="AB1837" i="3"/>
  <c r="AB1838" i="3"/>
  <c r="AB1839" i="3"/>
  <c r="AB1840" i="3"/>
  <c r="AB1841" i="3"/>
  <c r="AB1842" i="3"/>
  <c r="AB1843" i="3"/>
  <c r="AB1844" i="3"/>
  <c r="AB1845" i="3"/>
  <c r="AB1846" i="3"/>
  <c r="AB1847" i="3"/>
  <c r="AB1848" i="3"/>
  <c r="AB1849" i="3"/>
  <c r="AB1850" i="3"/>
  <c r="AB1851" i="3"/>
  <c r="AB1852" i="3"/>
  <c r="AB1853" i="3"/>
  <c r="AB1854" i="3"/>
  <c r="AB1855" i="3"/>
  <c r="AB1856" i="3"/>
  <c r="AB1857" i="3"/>
  <c r="AB1858" i="3"/>
  <c r="AB1859" i="3"/>
  <c r="AB1860" i="3"/>
  <c r="AB1861" i="3"/>
  <c r="AB1862" i="3"/>
  <c r="AB1863" i="3"/>
  <c r="AB1864" i="3"/>
  <c r="AB1865" i="3"/>
  <c r="AB1866" i="3"/>
  <c r="AB1867" i="3"/>
  <c r="AB1868" i="3"/>
  <c r="AB1869" i="3"/>
  <c r="AB1870" i="3"/>
  <c r="AB1871" i="3"/>
  <c r="AB1872" i="3"/>
  <c r="AB1873" i="3"/>
  <c r="AB1874" i="3"/>
  <c r="AB1875" i="3"/>
  <c r="AB1876" i="3"/>
  <c r="AB1877" i="3"/>
  <c r="AB1878" i="3"/>
  <c r="AB1879" i="3"/>
  <c r="AB1880" i="3"/>
  <c r="AB1881" i="3"/>
  <c r="AB1882" i="3"/>
  <c r="AB1883" i="3"/>
  <c r="AB1884" i="3"/>
  <c r="AB1885" i="3"/>
  <c r="AB1886" i="3"/>
  <c r="AB1887" i="3"/>
  <c r="AB1888" i="3"/>
  <c r="AB1889" i="3"/>
  <c r="AB1890" i="3"/>
  <c r="AB1891" i="3"/>
  <c r="AB1892" i="3"/>
  <c r="AB1893" i="3"/>
  <c r="AB1894" i="3"/>
  <c r="AB1895" i="3"/>
  <c r="AB1896" i="3"/>
  <c r="AB1897" i="3"/>
  <c r="AB1898" i="3"/>
  <c r="AB1899" i="3"/>
  <c r="AB1900" i="3"/>
  <c r="AB1901" i="3"/>
  <c r="AB1902" i="3"/>
  <c r="AB1903" i="3"/>
  <c r="AB1904" i="3"/>
  <c r="AB1905" i="3"/>
  <c r="AB1906" i="3"/>
  <c r="AB1907" i="3"/>
  <c r="AB1908" i="3"/>
  <c r="AB1909" i="3"/>
  <c r="AB1910" i="3"/>
  <c r="AB1911" i="3"/>
  <c r="AB1912" i="3"/>
  <c r="AB1913" i="3"/>
  <c r="AB1914" i="3"/>
  <c r="AB1915" i="3"/>
  <c r="AB1916" i="3"/>
  <c r="AB1917" i="3"/>
  <c r="AB1918" i="3"/>
  <c r="AB1919" i="3"/>
  <c r="AB1920" i="3"/>
  <c r="AB1921" i="3"/>
  <c r="AB1922" i="3"/>
  <c r="AB1923" i="3"/>
  <c r="AB1924" i="3"/>
  <c r="AB1925" i="3"/>
  <c r="AB1926" i="3"/>
  <c r="AB1927" i="3"/>
  <c r="AB1928" i="3"/>
  <c r="AB1929" i="3"/>
  <c r="AB1930" i="3"/>
  <c r="AB1931" i="3"/>
  <c r="AB1932" i="3"/>
  <c r="AB1933" i="3"/>
  <c r="AB1934" i="3"/>
  <c r="AB1935" i="3"/>
  <c r="AB1936" i="3"/>
  <c r="AB1937" i="3"/>
  <c r="AB1938" i="3"/>
  <c r="AB1939" i="3"/>
  <c r="AB1940" i="3"/>
  <c r="AB1941" i="3"/>
  <c r="AB1942" i="3"/>
  <c r="AB1943" i="3"/>
  <c r="AB1944" i="3"/>
  <c r="AB1945" i="3"/>
  <c r="AB1946" i="3"/>
  <c r="AB1947" i="3"/>
  <c r="AB1948" i="3"/>
  <c r="AB1949" i="3"/>
  <c r="AB1950" i="3"/>
  <c r="AB1951" i="3"/>
  <c r="AB1952" i="3"/>
  <c r="AB1953" i="3"/>
  <c r="AB1954" i="3"/>
  <c r="AB1955" i="3"/>
  <c r="AB1956" i="3"/>
  <c r="AB1957" i="3"/>
  <c r="AB1958" i="3"/>
  <c r="AB1959" i="3"/>
  <c r="AB1960" i="3"/>
  <c r="AB1961" i="3"/>
  <c r="AB1962" i="3"/>
  <c r="AB1963" i="3"/>
  <c r="AB1964" i="3"/>
  <c r="AB1965" i="3"/>
  <c r="AB1966" i="3"/>
  <c r="AB1967" i="3"/>
  <c r="AB1968" i="3"/>
  <c r="AB1969" i="3"/>
  <c r="AB1970" i="3"/>
  <c r="AB1971" i="3"/>
  <c r="AB1972" i="3"/>
  <c r="AB1973" i="3"/>
  <c r="AB1974" i="3"/>
  <c r="AB1975" i="3"/>
  <c r="AB1976" i="3"/>
  <c r="AB1977" i="3"/>
  <c r="AB1978" i="3"/>
  <c r="AB1979" i="3"/>
  <c r="AB1980" i="3"/>
  <c r="AB1981" i="3"/>
  <c r="AB1982" i="3"/>
  <c r="AB1983" i="3"/>
  <c r="AB1984" i="3"/>
  <c r="AB1985" i="3"/>
  <c r="AB1986" i="3"/>
  <c r="AB1987" i="3"/>
  <c r="AB1988" i="3"/>
  <c r="AB1989" i="3"/>
  <c r="AB1990" i="3"/>
  <c r="AB1991" i="3"/>
  <c r="AB1992" i="3"/>
  <c r="AB1993" i="3"/>
  <c r="AB1994" i="3"/>
  <c r="AB1995" i="3"/>
  <c r="AB1996" i="3"/>
  <c r="AB1997" i="3"/>
  <c r="AB1998" i="3"/>
  <c r="AB1999" i="3"/>
  <c r="AB2000" i="3"/>
  <c r="AB2001" i="3"/>
  <c r="AB2002" i="3"/>
  <c r="AB2003" i="3"/>
  <c r="AB2004" i="3"/>
  <c r="AB2005" i="3"/>
  <c r="AB2006" i="3"/>
  <c r="AB2007" i="3"/>
  <c r="AB2008" i="3"/>
  <c r="AB2009" i="3"/>
  <c r="AB2010" i="3"/>
  <c r="AB2011" i="3"/>
  <c r="AB2012" i="3"/>
  <c r="AB2013" i="3"/>
  <c r="AB2014" i="3"/>
  <c r="AB2015" i="3"/>
  <c r="AB2016" i="3"/>
  <c r="AB2017" i="3"/>
  <c r="AB2018" i="3"/>
  <c r="AB2019" i="3"/>
  <c r="AB2020" i="3"/>
  <c r="AB2021" i="3"/>
  <c r="AB2022" i="3"/>
  <c r="AB2023" i="3"/>
  <c r="AB2024" i="3"/>
  <c r="AB2025" i="3"/>
  <c r="AB2026" i="3"/>
  <c r="AB2027" i="3"/>
  <c r="AB2028" i="3"/>
  <c r="AB2029" i="3"/>
  <c r="AB2030" i="3"/>
  <c r="AB2031" i="3"/>
  <c r="AB2032" i="3"/>
  <c r="AB2033" i="3"/>
  <c r="AB2034" i="3"/>
  <c r="AB2035" i="3"/>
  <c r="AB2036" i="3"/>
  <c r="AB2037" i="3"/>
  <c r="AB2038" i="3"/>
  <c r="AB2039" i="3"/>
  <c r="AB2040" i="3"/>
  <c r="AB2041" i="3"/>
  <c r="AB2042" i="3"/>
  <c r="AB2043" i="3"/>
  <c r="AB2044" i="3"/>
  <c r="AB2045" i="3"/>
  <c r="AB2046" i="3"/>
  <c r="AB2047" i="3"/>
  <c r="AB2048" i="3"/>
  <c r="AB2049" i="3"/>
  <c r="AB2050" i="3"/>
  <c r="AB2051" i="3"/>
  <c r="AB2052" i="3"/>
  <c r="AB2053" i="3"/>
  <c r="AB2054" i="3"/>
  <c r="AB2055" i="3"/>
  <c r="AB2056" i="3"/>
  <c r="AB2057" i="3"/>
  <c r="AB2058" i="3"/>
  <c r="AB2059" i="3"/>
  <c r="AB2060" i="3"/>
  <c r="AB2061" i="3"/>
  <c r="AB2062" i="3"/>
  <c r="AB2063" i="3"/>
  <c r="AB2064" i="3"/>
  <c r="AB2065" i="3"/>
  <c r="AB2066" i="3"/>
  <c r="AB2067" i="3"/>
  <c r="AB2068" i="3"/>
  <c r="AB2069" i="3"/>
  <c r="AB2070" i="3"/>
  <c r="AB2071" i="3"/>
  <c r="AB2072" i="3"/>
  <c r="AB2073" i="3"/>
  <c r="AB2074" i="3"/>
  <c r="AB2075" i="3"/>
  <c r="AB2076" i="3"/>
  <c r="AB2077" i="3"/>
  <c r="AB2078" i="3"/>
  <c r="AB2079" i="3"/>
  <c r="AB2080" i="3"/>
  <c r="AB2081" i="3"/>
  <c r="AB2082" i="3"/>
  <c r="AB2083" i="3"/>
  <c r="AB2084" i="3"/>
  <c r="AB2085" i="3"/>
  <c r="AB2086" i="3"/>
  <c r="AB2087" i="3"/>
  <c r="AB2088" i="3"/>
  <c r="AB2089" i="3"/>
  <c r="AB2090" i="3"/>
  <c r="AB2091" i="3"/>
  <c r="AB2092" i="3"/>
  <c r="AB2093" i="3"/>
  <c r="AB2094" i="3"/>
  <c r="AB2095" i="3"/>
  <c r="AB2096" i="3"/>
  <c r="AB2097" i="3"/>
  <c r="AB2098" i="3"/>
  <c r="AB2099" i="3"/>
  <c r="AB2100" i="3"/>
  <c r="AB2101" i="3"/>
  <c r="AB2102" i="3"/>
  <c r="AB2103" i="3"/>
  <c r="AB2104" i="3"/>
  <c r="AB2105" i="3"/>
  <c r="AB2106" i="3"/>
  <c r="AB2107" i="3"/>
  <c r="AB2108" i="3"/>
  <c r="AB2109" i="3"/>
  <c r="AB2110" i="3"/>
  <c r="AB2111" i="3"/>
  <c r="AB2112" i="3"/>
  <c r="AB2113" i="3"/>
  <c r="AB2114" i="3"/>
  <c r="AB2115" i="3"/>
  <c r="AB2116" i="3"/>
  <c r="AB2117" i="3"/>
  <c r="AB2118" i="3"/>
  <c r="AB2119" i="3"/>
  <c r="AB2120" i="3"/>
  <c r="AB2121" i="3"/>
  <c r="AB2122" i="3"/>
  <c r="AB2123" i="3"/>
  <c r="AB2124" i="3"/>
  <c r="AB2125" i="3"/>
  <c r="AB2126" i="3"/>
  <c r="AB2127" i="3"/>
  <c r="AB2128" i="3"/>
  <c r="AB2129" i="3"/>
  <c r="AB2130" i="3"/>
  <c r="AB2131" i="3"/>
  <c r="AB2132" i="3"/>
  <c r="AB2133" i="3"/>
  <c r="AB2134" i="3"/>
  <c r="AB2135" i="3"/>
  <c r="AB2136" i="3"/>
  <c r="AB2137" i="3"/>
  <c r="AB2138" i="3"/>
  <c r="AB2139" i="3"/>
  <c r="AB2140" i="3"/>
  <c r="AB2141" i="3"/>
  <c r="AB2142" i="3"/>
  <c r="AB2143" i="3"/>
  <c r="AB2144" i="3"/>
  <c r="AB2145" i="3"/>
  <c r="AB2146" i="3"/>
  <c r="AB2147" i="3"/>
  <c r="AB2148" i="3"/>
  <c r="AB2149" i="3"/>
  <c r="AB2150" i="3"/>
  <c r="AB2151" i="3"/>
  <c r="AB2152" i="3"/>
  <c r="AB2153" i="3"/>
  <c r="AB2154" i="3"/>
  <c r="AB2155" i="3"/>
  <c r="AB2156" i="3"/>
  <c r="AB2157" i="3"/>
  <c r="AB2158" i="3"/>
  <c r="AB2159" i="3"/>
  <c r="AB2160" i="3"/>
  <c r="AB2161" i="3"/>
  <c r="AB2162" i="3"/>
  <c r="AB2163" i="3"/>
  <c r="AB2164" i="3"/>
  <c r="AB2165" i="3"/>
  <c r="AB2166" i="3"/>
  <c r="AB2167" i="3"/>
  <c r="AB2168" i="3"/>
  <c r="AB2169" i="3"/>
  <c r="AB2170" i="3"/>
  <c r="AB2171" i="3"/>
  <c r="AB2172" i="3"/>
  <c r="AB2173" i="3"/>
  <c r="AB2174" i="3"/>
  <c r="AB2175" i="3"/>
  <c r="AB2176" i="3"/>
  <c r="AB2177" i="3"/>
  <c r="AB2178" i="3"/>
  <c r="AB2179" i="3"/>
  <c r="AB2180" i="3"/>
  <c r="AB2181" i="3"/>
  <c r="AB2182" i="3"/>
  <c r="AB2183" i="3"/>
  <c r="AB2184" i="3"/>
  <c r="AB2185" i="3"/>
  <c r="AB2186" i="3"/>
  <c r="AB2187" i="3"/>
  <c r="AB2188" i="3"/>
  <c r="AB2189" i="3"/>
  <c r="AB2190" i="3"/>
  <c r="AB2191" i="3"/>
  <c r="AB2192" i="3"/>
  <c r="AB2193" i="3"/>
  <c r="AB2194" i="3"/>
  <c r="AB2195" i="3"/>
  <c r="AB2196" i="3"/>
  <c r="AB2197" i="3"/>
  <c r="AB2198" i="3"/>
  <c r="AB2199" i="3"/>
  <c r="AB2200" i="3"/>
  <c r="AB2201" i="3"/>
  <c r="AB2202" i="3"/>
  <c r="AB2203" i="3"/>
  <c r="AB2204" i="3"/>
  <c r="AB2205" i="3"/>
  <c r="AB2206" i="3"/>
  <c r="AB2207" i="3"/>
  <c r="AB2208" i="3"/>
  <c r="AB2209" i="3"/>
  <c r="AB2210" i="3"/>
  <c r="AB2211" i="3"/>
  <c r="AB2212" i="3"/>
  <c r="AB2213" i="3"/>
  <c r="AB2214" i="3"/>
  <c r="AB2215" i="3"/>
  <c r="AB2216" i="3"/>
  <c r="AB2217" i="3"/>
  <c r="AB2218" i="3"/>
  <c r="AB2219" i="3"/>
  <c r="AB2220" i="3"/>
  <c r="AB2221" i="3"/>
  <c r="AB2222" i="3"/>
  <c r="AB2223" i="3"/>
  <c r="AB2224" i="3"/>
  <c r="AB2225" i="3"/>
  <c r="AB2226" i="3"/>
  <c r="AB2227" i="3"/>
  <c r="AB2228" i="3"/>
  <c r="AB2229" i="3"/>
  <c r="AB2230" i="3"/>
  <c r="AB2231" i="3"/>
  <c r="AB2232" i="3"/>
  <c r="AB2233" i="3"/>
  <c r="AB2234" i="3"/>
  <c r="AB2235" i="3"/>
  <c r="AB2236" i="3"/>
  <c r="AB2237" i="3"/>
  <c r="AB2238" i="3"/>
  <c r="AB2239" i="3"/>
  <c r="AB2240" i="3"/>
  <c r="AB2241" i="3"/>
  <c r="AB2242" i="3"/>
  <c r="AB2243" i="3"/>
  <c r="AB2244" i="3"/>
  <c r="AB2245" i="3"/>
  <c r="AB2246" i="3"/>
  <c r="AB2247" i="3"/>
  <c r="AB2248" i="3"/>
  <c r="AB2249" i="3"/>
  <c r="AB2250" i="3"/>
  <c r="AB2251" i="3"/>
  <c r="AB2252" i="3"/>
  <c r="AB2253" i="3"/>
  <c r="AB2254" i="3"/>
  <c r="AB2255" i="3"/>
  <c r="AB2256" i="3"/>
  <c r="AB2257" i="3"/>
  <c r="AB2258" i="3"/>
  <c r="AB2259" i="3"/>
  <c r="AB2260" i="3"/>
  <c r="AB2261" i="3"/>
  <c r="AB2262" i="3"/>
  <c r="AB2263" i="3"/>
  <c r="AB2264" i="3"/>
  <c r="AB2265" i="3"/>
  <c r="AB2266" i="3"/>
  <c r="AB2267" i="3"/>
  <c r="AB2268" i="3"/>
  <c r="AB2269" i="3"/>
  <c r="AB2270" i="3"/>
  <c r="AB2271" i="3"/>
  <c r="AB2272" i="3"/>
  <c r="AB2273" i="3"/>
  <c r="AB2274" i="3"/>
  <c r="AB2275" i="3"/>
  <c r="AB2276" i="3"/>
  <c r="AB2277" i="3"/>
  <c r="AB2278" i="3"/>
  <c r="AB2279" i="3"/>
  <c r="AB2280" i="3"/>
  <c r="AB2281" i="3"/>
  <c r="AB2282" i="3"/>
  <c r="AB2283" i="3"/>
  <c r="AB2284" i="3"/>
  <c r="AB2285" i="3"/>
  <c r="AB2286" i="3"/>
  <c r="AB2287" i="3"/>
  <c r="AB2288" i="3"/>
  <c r="AB2289" i="3"/>
  <c r="AB2290" i="3"/>
  <c r="AB2291" i="3"/>
  <c r="AB2292" i="3"/>
  <c r="AB2293" i="3"/>
  <c r="AB2294" i="3"/>
  <c r="AB2295" i="3"/>
  <c r="AB2296" i="3"/>
  <c r="AB2297" i="3"/>
  <c r="AB2298" i="3"/>
  <c r="AB2299" i="3"/>
  <c r="AB2300" i="3"/>
  <c r="AB2301" i="3"/>
  <c r="AB2302" i="3"/>
  <c r="AB2303" i="3"/>
  <c r="AB2304" i="3"/>
  <c r="AB2305" i="3"/>
  <c r="AB2306" i="3"/>
  <c r="AB2307" i="3"/>
  <c r="AB2308" i="3"/>
  <c r="AB2309" i="3"/>
  <c r="AB2310" i="3"/>
  <c r="AB2311" i="3"/>
  <c r="AB2312" i="3"/>
  <c r="AB2313" i="3"/>
  <c r="AB2314" i="3"/>
  <c r="AB2315" i="3"/>
  <c r="AB2316" i="3"/>
  <c r="AB2317" i="3"/>
  <c r="AB2318" i="3"/>
  <c r="AB2319" i="3"/>
  <c r="AB2320" i="3"/>
  <c r="AB2321" i="3"/>
  <c r="AB2322" i="3"/>
  <c r="AB2323" i="3"/>
  <c r="AB2324" i="3"/>
  <c r="AB2325" i="3"/>
  <c r="AB2326" i="3"/>
  <c r="AB2327" i="3"/>
  <c r="AB2328" i="3"/>
  <c r="AB2329" i="3"/>
  <c r="AB2330" i="3"/>
  <c r="AB2331" i="3"/>
  <c r="AB2332" i="3"/>
  <c r="AB2333" i="3"/>
  <c r="AB2334" i="3"/>
  <c r="AB2335" i="3"/>
  <c r="AB2336" i="3"/>
  <c r="AB2337" i="3"/>
  <c r="AB2338" i="3"/>
  <c r="AB2339" i="3"/>
  <c r="AB2340" i="3"/>
  <c r="AB2341" i="3"/>
  <c r="AB2342" i="3"/>
  <c r="AB2343" i="3"/>
  <c r="AB2344" i="3"/>
  <c r="AB2345" i="3"/>
  <c r="AB2346" i="3"/>
  <c r="AB2347" i="3"/>
  <c r="AB2348" i="3"/>
  <c r="AB2349" i="3"/>
  <c r="AB2350" i="3"/>
  <c r="AB2351" i="3"/>
  <c r="AB2352" i="3"/>
  <c r="AB2353" i="3"/>
  <c r="AB2354" i="3"/>
  <c r="AB2355" i="3"/>
  <c r="AB2356" i="3"/>
  <c r="AB2357" i="3"/>
  <c r="AB2358" i="3"/>
  <c r="AB2359" i="3"/>
  <c r="AB2360" i="3"/>
  <c r="AB2361" i="3"/>
  <c r="AB2362" i="3"/>
  <c r="AB2363" i="3"/>
  <c r="AB2364" i="3"/>
  <c r="AB2365" i="3"/>
  <c r="AB2366" i="3"/>
  <c r="AB2367" i="3"/>
  <c r="AB2368" i="3"/>
  <c r="AB2369" i="3"/>
  <c r="AB2370" i="3"/>
  <c r="AB2371" i="3"/>
  <c r="AB2372" i="3"/>
  <c r="AB2373" i="3"/>
  <c r="AB2374" i="3"/>
  <c r="AB2375" i="3"/>
  <c r="AB2376" i="3"/>
  <c r="AB2377" i="3"/>
  <c r="AB2378" i="3"/>
  <c r="AB2379" i="3"/>
  <c r="AB2380" i="3"/>
  <c r="AB2381" i="3"/>
  <c r="AB2382" i="3"/>
  <c r="AB2383" i="3"/>
  <c r="AB2384" i="3"/>
  <c r="AB2385" i="3"/>
  <c r="AB2386" i="3"/>
  <c r="AB2387" i="3"/>
  <c r="AB2388" i="3"/>
  <c r="AB2389" i="3"/>
  <c r="AB2390" i="3"/>
  <c r="AB2391" i="3"/>
  <c r="AB2392" i="3"/>
  <c r="AB2393" i="3"/>
  <c r="AB2394" i="3"/>
  <c r="AB2395" i="3"/>
  <c r="AB2396" i="3"/>
  <c r="AB2397" i="3"/>
  <c r="AB2398" i="3"/>
  <c r="AB2399" i="3"/>
  <c r="AB2400" i="3"/>
  <c r="AB2401" i="3"/>
  <c r="AB2402" i="3"/>
  <c r="AB2403" i="3"/>
  <c r="AB2404" i="3"/>
  <c r="AB2405" i="3"/>
  <c r="AB2406" i="3"/>
  <c r="AB2407" i="3"/>
  <c r="AB2408" i="3"/>
  <c r="AB2409" i="3"/>
  <c r="AB2410" i="3"/>
  <c r="AB2411" i="3"/>
  <c r="AB2412" i="3"/>
  <c r="AB2413" i="3"/>
  <c r="AB2414" i="3"/>
  <c r="AB2415" i="3"/>
  <c r="AB2416" i="3"/>
  <c r="AB2417" i="3"/>
  <c r="AB2418" i="3"/>
  <c r="AB2419" i="3"/>
  <c r="AB2420" i="3"/>
  <c r="AB2421" i="3"/>
  <c r="AB2422" i="3"/>
  <c r="AB2423" i="3"/>
  <c r="AB2424" i="3"/>
  <c r="AB2425" i="3"/>
  <c r="AB2426" i="3"/>
  <c r="AB2427" i="3"/>
  <c r="AB2428" i="3"/>
  <c r="AB2429" i="3"/>
  <c r="AB2430" i="3"/>
  <c r="AB2431" i="3"/>
  <c r="AB2432" i="3"/>
  <c r="AB2433" i="3"/>
  <c r="AB2434" i="3"/>
  <c r="AB2435" i="3"/>
  <c r="AB2436" i="3"/>
  <c r="AB2437" i="3"/>
  <c r="AB2438" i="3"/>
  <c r="AB2439" i="3"/>
  <c r="AB2440" i="3"/>
  <c r="AB2441" i="3"/>
  <c r="AB2442" i="3"/>
  <c r="AB2443" i="3"/>
  <c r="AB2444" i="3"/>
  <c r="AB2445" i="3"/>
  <c r="AB2446" i="3"/>
  <c r="AB2447" i="3"/>
  <c r="AB2448" i="3"/>
  <c r="AB2449" i="3"/>
  <c r="AB2450" i="3"/>
  <c r="AB2451" i="3"/>
  <c r="AB2452" i="3"/>
  <c r="AB2453" i="3"/>
  <c r="AB2454" i="3"/>
  <c r="AB2455" i="3"/>
  <c r="AB2456" i="3"/>
  <c r="AB2457" i="3"/>
  <c r="AB2458" i="3"/>
  <c r="AB2459" i="3"/>
  <c r="AB2460" i="3"/>
  <c r="AB2461" i="3"/>
  <c r="AB2462" i="3"/>
  <c r="AB2463" i="3"/>
  <c r="AB2464" i="3"/>
  <c r="AB2465" i="3"/>
  <c r="AB2466" i="3"/>
  <c r="AB2467" i="3"/>
  <c r="AB2468" i="3"/>
  <c r="AB2469" i="3"/>
  <c r="AB2470" i="3"/>
  <c r="AB2471" i="3"/>
  <c r="AB2472" i="3"/>
  <c r="AB2473" i="3"/>
  <c r="AB2474" i="3"/>
  <c r="AB2475" i="3"/>
  <c r="AB2476" i="3"/>
  <c r="AB2477" i="3"/>
  <c r="AB2478" i="3"/>
  <c r="AB2479" i="3"/>
  <c r="AB2480" i="3"/>
  <c r="AB2481" i="3"/>
  <c r="AB2482" i="3"/>
  <c r="AB2483" i="3"/>
  <c r="AB2484" i="3"/>
  <c r="AB2485" i="3"/>
  <c r="AB2486" i="3"/>
  <c r="AB2487" i="3"/>
  <c r="AB2488" i="3"/>
  <c r="AB2489" i="3"/>
  <c r="AB2490" i="3"/>
  <c r="AB2491" i="3"/>
  <c r="AB2492" i="3"/>
  <c r="AB2493" i="3"/>
  <c r="AB2494" i="3"/>
  <c r="AB2495" i="3"/>
  <c r="AB2496" i="3"/>
  <c r="AB2497" i="3"/>
  <c r="AB2498" i="3"/>
  <c r="AB2499" i="3"/>
  <c r="AB2500" i="3"/>
  <c r="AB2501" i="3"/>
  <c r="AB2502" i="3"/>
  <c r="AB2503" i="3"/>
  <c r="AB2504" i="3"/>
  <c r="AB2505" i="3"/>
  <c r="AB2506" i="3"/>
  <c r="AB2507" i="3"/>
  <c r="AB2508" i="3"/>
  <c r="AB2509" i="3"/>
  <c r="AB2510" i="3"/>
  <c r="AB2511" i="3"/>
  <c r="AB2512" i="3"/>
  <c r="AB2513" i="3"/>
  <c r="AB2514" i="3"/>
  <c r="AB2515" i="3"/>
  <c r="AB2516" i="3"/>
  <c r="AB2517" i="3"/>
  <c r="AB2518" i="3"/>
  <c r="AB2519" i="3"/>
  <c r="AB2520" i="3"/>
  <c r="AB2521" i="3"/>
  <c r="AB2522" i="3"/>
  <c r="AB2523" i="3"/>
  <c r="AB2524" i="3"/>
  <c r="AB2525" i="3"/>
  <c r="AB2526" i="3"/>
  <c r="AB2527" i="3"/>
  <c r="AB2528" i="3"/>
  <c r="AB2529" i="3"/>
  <c r="AB2530" i="3"/>
  <c r="AB2531" i="3"/>
  <c r="AB2532" i="3"/>
  <c r="AB2533" i="3"/>
  <c r="AB2534" i="3"/>
  <c r="AB2535" i="3"/>
  <c r="AB2536" i="3"/>
  <c r="AB2537" i="3"/>
  <c r="AB2538" i="3"/>
  <c r="AB2539" i="3"/>
  <c r="AB2540" i="3"/>
  <c r="AB2541" i="3"/>
  <c r="AB2542" i="3"/>
  <c r="AB2543" i="3"/>
  <c r="AB2544" i="3"/>
  <c r="AB2545" i="3"/>
  <c r="AB2546" i="3"/>
  <c r="AB2547" i="3"/>
  <c r="AB2548" i="3"/>
  <c r="AB2549" i="3"/>
  <c r="AB2550" i="3"/>
  <c r="AB2551" i="3"/>
  <c r="AB2552" i="3"/>
  <c r="AB2553" i="3"/>
  <c r="AB2554" i="3"/>
  <c r="AB2555" i="3"/>
  <c r="AB2556" i="3"/>
  <c r="AB2557" i="3"/>
  <c r="AB2558" i="3"/>
  <c r="AB2559" i="3"/>
  <c r="AB2560" i="3"/>
  <c r="AB2561" i="3"/>
  <c r="AB2562" i="3"/>
  <c r="AB2563" i="3"/>
  <c r="AB2564" i="3"/>
  <c r="AB2565" i="3"/>
  <c r="AB2566" i="3"/>
  <c r="AB2567" i="3"/>
  <c r="AB2568" i="3"/>
  <c r="AB2569" i="3"/>
  <c r="AB2570" i="3"/>
  <c r="AB2571" i="3"/>
  <c r="AB2572" i="3"/>
  <c r="AB2573" i="3"/>
  <c r="AB2574" i="3"/>
  <c r="AB2575" i="3"/>
  <c r="AB1233" i="3"/>
  <c r="AA984" i="3"/>
  <c r="AA985" i="3"/>
  <c r="AA986" i="3"/>
  <c r="AA987" i="3"/>
  <c r="AA988" i="3"/>
  <c r="AA989" i="3"/>
  <c r="AA990" i="3"/>
  <c r="AA991" i="3"/>
  <c r="AA992" i="3"/>
  <c r="AA993" i="3"/>
  <c r="AA994" i="3"/>
  <c r="AA995" i="3"/>
  <c r="AA996" i="3"/>
  <c r="AA997" i="3"/>
  <c r="AA998" i="3"/>
  <c r="AA999" i="3"/>
  <c r="AA1000" i="3"/>
  <c r="AA1001" i="3"/>
  <c r="AA1002" i="3"/>
  <c r="AA1003" i="3"/>
  <c r="AA1004" i="3"/>
  <c r="AA1005" i="3"/>
  <c r="AA1006" i="3"/>
  <c r="AA1007" i="3"/>
  <c r="AA1008" i="3"/>
  <c r="AA1009" i="3"/>
  <c r="AA1010" i="3"/>
  <c r="AA1011" i="3"/>
  <c r="AA1012" i="3"/>
  <c r="AA1013" i="3"/>
  <c r="AA1014" i="3"/>
  <c r="AA1015" i="3"/>
  <c r="AA1016" i="3"/>
  <c r="AA1017" i="3"/>
  <c r="AA1018" i="3"/>
  <c r="AA1019" i="3"/>
  <c r="AA1020" i="3"/>
  <c r="AA1021" i="3"/>
  <c r="AA1022" i="3"/>
  <c r="AA1023" i="3"/>
  <c r="AA1024" i="3"/>
  <c r="AA1025" i="3"/>
  <c r="AA1026" i="3"/>
  <c r="AA1027" i="3"/>
  <c r="AA1028" i="3"/>
  <c r="AA1029" i="3"/>
  <c r="AA1030" i="3"/>
  <c r="AA1031" i="3"/>
  <c r="AA1032" i="3"/>
  <c r="AA1033" i="3"/>
  <c r="AA1034" i="3"/>
  <c r="AA1035" i="3"/>
  <c r="AA1036" i="3"/>
  <c r="AA1037" i="3"/>
  <c r="AA1038" i="3"/>
  <c r="AA1039" i="3"/>
  <c r="AA1040" i="3"/>
  <c r="AA1041" i="3"/>
  <c r="AA1042" i="3"/>
  <c r="AA1043" i="3"/>
  <c r="AA1044" i="3"/>
  <c r="AA1045" i="3"/>
  <c r="AA1046" i="3"/>
  <c r="AA1047" i="3"/>
  <c r="AA1048" i="3"/>
  <c r="AA1049" i="3"/>
  <c r="AA1050" i="3"/>
  <c r="AA1051" i="3"/>
  <c r="AA1052" i="3"/>
  <c r="AA1053" i="3"/>
  <c r="AA1054" i="3"/>
  <c r="AA1055" i="3"/>
  <c r="AA1056" i="3"/>
  <c r="AA1057" i="3"/>
  <c r="AA1058" i="3"/>
  <c r="AA1059" i="3"/>
  <c r="AA1060" i="3"/>
  <c r="AA1061" i="3"/>
  <c r="AA1062" i="3"/>
  <c r="AA1063" i="3"/>
  <c r="AA1064" i="3"/>
  <c r="AA1065" i="3"/>
  <c r="AA1066" i="3"/>
  <c r="AA1067" i="3"/>
  <c r="AA1068" i="3"/>
  <c r="AA1069" i="3"/>
  <c r="AA1070" i="3"/>
  <c r="AA1071" i="3"/>
  <c r="AA1072" i="3"/>
  <c r="AA1073" i="3"/>
  <c r="AA1074" i="3"/>
  <c r="AA1075" i="3"/>
  <c r="AA1076" i="3"/>
  <c r="AA1077" i="3"/>
  <c r="AA1078" i="3"/>
  <c r="AA1079" i="3"/>
  <c r="AA1080" i="3"/>
  <c r="AA1081" i="3"/>
  <c r="AA1082" i="3"/>
  <c r="AA1083" i="3"/>
  <c r="AA1084" i="3"/>
  <c r="AA1085" i="3"/>
  <c r="AA1086" i="3"/>
  <c r="AA1087" i="3"/>
  <c r="AA1088" i="3"/>
  <c r="AA1089" i="3"/>
  <c r="AA1090" i="3"/>
  <c r="AA1091" i="3"/>
  <c r="AA1092" i="3"/>
  <c r="AA1093" i="3"/>
  <c r="AA1094" i="3"/>
  <c r="AA1095" i="3"/>
  <c r="AA1096" i="3"/>
  <c r="AA1097" i="3"/>
  <c r="AA1098" i="3"/>
  <c r="AA1099" i="3"/>
  <c r="AA1100" i="3"/>
  <c r="AA1101" i="3"/>
  <c r="AA1102" i="3"/>
  <c r="AA1103" i="3"/>
  <c r="AA1104" i="3"/>
  <c r="AA1105" i="3"/>
  <c r="AA1106" i="3"/>
  <c r="AA1107" i="3"/>
  <c r="AA1108" i="3"/>
  <c r="AA1109" i="3"/>
  <c r="AA1110" i="3"/>
  <c r="AA1111" i="3"/>
  <c r="AA1112" i="3"/>
  <c r="AA1113" i="3"/>
  <c r="AA1114" i="3"/>
  <c r="AA1115" i="3"/>
  <c r="AA1116" i="3"/>
  <c r="AA1117" i="3"/>
  <c r="AA1118" i="3"/>
  <c r="AA1119" i="3"/>
  <c r="AA1120" i="3"/>
  <c r="AA1121" i="3"/>
  <c r="AA1122" i="3"/>
  <c r="AA1123" i="3"/>
  <c r="AA1124" i="3"/>
  <c r="AA1125" i="3"/>
  <c r="AA1126" i="3"/>
  <c r="AA1127" i="3"/>
  <c r="AA1128" i="3"/>
  <c r="AA1129" i="3"/>
  <c r="AA1130" i="3"/>
  <c r="AA1131" i="3"/>
  <c r="AA1132" i="3"/>
  <c r="AA1133" i="3"/>
  <c r="AA1134" i="3"/>
  <c r="AA1135" i="3"/>
  <c r="AA1136" i="3"/>
  <c r="AA1137" i="3"/>
  <c r="AA1138" i="3"/>
  <c r="AA1139" i="3"/>
  <c r="AA1140" i="3"/>
  <c r="AA1141" i="3"/>
  <c r="AA1142" i="3"/>
  <c r="AA1143" i="3"/>
  <c r="AA1144" i="3"/>
  <c r="AA1145" i="3"/>
  <c r="AA1146" i="3"/>
  <c r="AA1147" i="3"/>
  <c r="AA1148" i="3"/>
  <c r="AA1149" i="3"/>
  <c r="AA1150" i="3"/>
  <c r="AA1151" i="3"/>
  <c r="AA1152" i="3"/>
  <c r="AA1153" i="3"/>
  <c r="AA1154" i="3"/>
  <c r="AA1155" i="3"/>
  <c r="AA1156" i="3"/>
  <c r="AA1157" i="3"/>
  <c r="AA1158" i="3"/>
  <c r="AA1159" i="3"/>
  <c r="AA1160" i="3"/>
  <c r="AA1161" i="3"/>
  <c r="AA1162" i="3"/>
  <c r="AA1163" i="3"/>
  <c r="AA1164" i="3"/>
  <c r="AA1165" i="3"/>
  <c r="AA1166" i="3"/>
  <c r="AA1167" i="3"/>
  <c r="AA1168" i="3"/>
  <c r="AA1169" i="3"/>
  <c r="AA1170" i="3"/>
  <c r="AA1171" i="3"/>
  <c r="AA1172" i="3"/>
  <c r="AA1173" i="3"/>
  <c r="AA1174" i="3"/>
  <c r="AA1175" i="3"/>
  <c r="AA1176" i="3"/>
  <c r="AA1177" i="3"/>
  <c r="AA1178" i="3"/>
  <c r="AA1179" i="3"/>
  <c r="AA1180" i="3"/>
  <c r="AA1181" i="3"/>
  <c r="AA1182" i="3"/>
  <c r="AA1183" i="3"/>
  <c r="AA1184" i="3"/>
  <c r="AA1185" i="3"/>
  <c r="AA1186" i="3"/>
  <c r="AA1187" i="3"/>
  <c r="AA1188" i="3"/>
  <c r="AA1189" i="3"/>
  <c r="AA1190" i="3"/>
  <c r="AA1191" i="3"/>
  <c r="AA1192" i="3"/>
  <c r="AA1193" i="3"/>
  <c r="AA1194" i="3"/>
  <c r="AA1195" i="3"/>
  <c r="AA1196" i="3"/>
  <c r="AA1197" i="3"/>
  <c r="AA1198" i="3"/>
  <c r="AA1199" i="3"/>
  <c r="AA1200" i="3"/>
  <c r="AA1201" i="3"/>
  <c r="AA1202" i="3"/>
  <c r="AA1203" i="3"/>
  <c r="AA1204" i="3"/>
  <c r="AA1205" i="3"/>
  <c r="AA1206" i="3"/>
  <c r="AA1207" i="3"/>
  <c r="AA1208" i="3"/>
  <c r="AA1209" i="3"/>
  <c r="AA1210" i="3"/>
  <c r="AA1211" i="3"/>
  <c r="AA1212" i="3"/>
  <c r="AA1213" i="3"/>
  <c r="AA1214" i="3"/>
  <c r="AA1215" i="3"/>
  <c r="AA1216" i="3"/>
  <c r="AA1217" i="3"/>
  <c r="AA1218" i="3"/>
  <c r="AA1219" i="3"/>
  <c r="AA1220" i="3"/>
  <c r="AA1221" i="3"/>
  <c r="AA1222" i="3"/>
  <c r="AA1223" i="3"/>
  <c r="AA1224" i="3"/>
  <c r="AA1225" i="3"/>
  <c r="AA1226" i="3"/>
  <c r="AA1227" i="3"/>
  <c r="AA1228" i="3"/>
  <c r="AA1229" i="3"/>
  <c r="AA1230" i="3"/>
  <c r="AA1231" i="3"/>
  <c r="AA1232" i="3"/>
  <c r="AA1233" i="3"/>
  <c r="AA1234" i="3"/>
  <c r="AA1235" i="3"/>
  <c r="AA1236" i="3"/>
  <c r="AA1237" i="3"/>
  <c r="AA1238" i="3"/>
  <c r="AA1239" i="3"/>
  <c r="AA1240" i="3"/>
  <c r="AA1241" i="3"/>
  <c r="AA1242" i="3"/>
  <c r="AA1243" i="3"/>
  <c r="AA1244" i="3"/>
  <c r="AA1245" i="3"/>
  <c r="AA1246" i="3"/>
  <c r="AA1247" i="3"/>
  <c r="AA1248" i="3"/>
  <c r="AA1249" i="3"/>
  <c r="AA1250" i="3"/>
  <c r="AA1251" i="3"/>
  <c r="AA1252" i="3"/>
  <c r="AA1253" i="3"/>
  <c r="AA1254" i="3"/>
  <c r="AA1255" i="3"/>
  <c r="AA1256" i="3"/>
  <c r="AA1257" i="3"/>
  <c r="AA1258" i="3"/>
  <c r="AA1259" i="3"/>
  <c r="AA1260" i="3"/>
  <c r="AA1261" i="3"/>
  <c r="AA1262" i="3"/>
  <c r="AA1263" i="3"/>
  <c r="AA1264" i="3"/>
  <c r="AA1265" i="3"/>
  <c r="AA1266" i="3"/>
  <c r="AA1267" i="3"/>
  <c r="AA1268" i="3"/>
  <c r="AA1269" i="3"/>
  <c r="AA1270" i="3"/>
  <c r="AA1271" i="3"/>
  <c r="AA1272" i="3"/>
  <c r="AA1273" i="3"/>
  <c r="AA1274" i="3"/>
  <c r="AA1275" i="3"/>
  <c r="AA1276" i="3"/>
  <c r="AA1277" i="3"/>
  <c r="AA1278" i="3"/>
  <c r="AA1279" i="3"/>
  <c r="AA1280" i="3"/>
  <c r="AA1281" i="3"/>
  <c r="AA1282" i="3"/>
  <c r="AA1283" i="3"/>
  <c r="AA1284" i="3"/>
  <c r="AA1285" i="3"/>
  <c r="AA1286" i="3"/>
  <c r="AA1287" i="3"/>
  <c r="AA1288" i="3"/>
  <c r="AA1289" i="3"/>
  <c r="AA1290" i="3"/>
  <c r="AA1291" i="3"/>
  <c r="AA1292" i="3"/>
  <c r="AA1293" i="3"/>
  <c r="AA1294" i="3"/>
  <c r="AA1295" i="3"/>
  <c r="AA1296" i="3"/>
  <c r="AA1297" i="3"/>
  <c r="AA1298" i="3"/>
  <c r="AA1299" i="3"/>
  <c r="AA1300" i="3"/>
  <c r="AA1301" i="3"/>
  <c r="AA1302" i="3"/>
  <c r="AA1303" i="3"/>
  <c r="AA1304" i="3"/>
  <c r="AA1305" i="3"/>
  <c r="AA1306" i="3"/>
  <c r="AA1307" i="3"/>
  <c r="AA1308" i="3"/>
  <c r="AA1309" i="3"/>
  <c r="AA1310" i="3"/>
  <c r="AA1311" i="3"/>
  <c r="AA1312" i="3"/>
  <c r="AA1313" i="3"/>
  <c r="AA1314" i="3"/>
  <c r="AA1315" i="3"/>
  <c r="AA1316" i="3"/>
  <c r="AA1317" i="3"/>
  <c r="AA1318" i="3"/>
  <c r="AA1319" i="3"/>
  <c r="AA1320" i="3"/>
  <c r="AA1321" i="3"/>
  <c r="AA1322" i="3"/>
  <c r="AA1323" i="3"/>
  <c r="AA1324" i="3"/>
  <c r="AA1325" i="3"/>
  <c r="AA1326" i="3"/>
  <c r="AA1327" i="3"/>
  <c r="AA1328" i="3"/>
  <c r="AA1329" i="3"/>
  <c r="AA1330" i="3"/>
  <c r="AA1331" i="3"/>
  <c r="AA1332" i="3"/>
  <c r="AA1333" i="3"/>
  <c r="AA1334" i="3"/>
  <c r="AA1335" i="3"/>
  <c r="AA1336" i="3"/>
  <c r="AA1337" i="3"/>
  <c r="AA1338" i="3"/>
  <c r="AA1339" i="3"/>
  <c r="AA1340" i="3"/>
  <c r="AA1341" i="3"/>
  <c r="AA1342" i="3"/>
  <c r="AA1343" i="3"/>
  <c r="AA1344" i="3"/>
  <c r="AA1345" i="3"/>
  <c r="AA1346" i="3"/>
  <c r="AA1347" i="3"/>
  <c r="AA1348" i="3"/>
  <c r="AA1349" i="3"/>
  <c r="AA1350" i="3"/>
  <c r="AA1351" i="3"/>
  <c r="AA1352" i="3"/>
  <c r="AA1353" i="3"/>
  <c r="AA1354" i="3"/>
  <c r="AA1355" i="3"/>
  <c r="AA1356" i="3"/>
  <c r="AA1357" i="3"/>
  <c r="AA1358" i="3"/>
  <c r="AA1359" i="3"/>
  <c r="AA1360" i="3"/>
  <c r="AA1361" i="3"/>
  <c r="AA1362" i="3"/>
  <c r="AA1363" i="3"/>
  <c r="AA1364" i="3"/>
  <c r="AA1365" i="3"/>
  <c r="AA1366" i="3"/>
  <c r="AA1367" i="3"/>
  <c r="AA1368" i="3"/>
  <c r="AA1369" i="3"/>
  <c r="AA1370" i="3"/>
  <c r="AA1371" i="3"/>
  <c r="AA1372" i="3"/>
  <c r="AA1373" i="3"/>
  <c r="AA1374" i="3"/>
  <c r="AA1375" i="3"/>
  <c r="AA1376" i="3"/>
  <c r="AA1377" i="3"/>
  <c r="AA1378" i="3"/>
  <c r="AA1379" i="3"/>
  <c r="AA1380" i="3"/>
  <c r="AA1381" i="3"/>
  <c r="AA1382" i="3"/>
  <c r="AA1383" i="3"/>
  <c r="AA1384" i="3"/>
  <c r="AA1385" i="3"/>
  <c r="AA1386" i="3"/>
  <c r="AA1387" i="3"/>
  <c r="AA1388" i="3"/>
  <c r="AA1389" i="3"/>
  <c r="AA1390" i="3"/>
  <c r="AA1391" i="3"/>
  <c r="AA1392" i="3"/>
  <c r="AA1393" i="3"/>
  <c r="AA1394" i="3"/>
  <c r="AA1395" i="3"/>
  <c r="AA1396" i="3"/>
  <c r="AA1397" i="3"/>
  <c r="AA1398" i="3"/>
  <c r="AA1399" i="3"/>
  <c r="AA1400" i="3"/>
  <c r="AA1401" i="3"/>
  <c r="AA1402" i="3"/>
  <c r="AA1403" i="3"/>
  <c r="AA1404" i="3"/>
  <c r="AA1405" i="3"/>
  <c r="AA1406" i="3"/>
  <c r="AA1407" i="3"/>
  <c r="AA1408" i="3"/>
  <c r="AA1409" i="3"/>
  <c r="AA1410" i="3"/>
  <c r="AA1411" i="3"/>
  <c r="AA1412" i="3"/>
  <c r="AA1413" i="3"/>
  <c r="AA1414" i="3"/>
  <c r="AA1415" i="3"/>
  <c r="AA1416" i="3"/>
  <c r="AA1417" i="3"/>
  <c r="AA1418" i="3"/>
  <c r="AA1419" i="3"/>
  <c r="AA1420" i="3"/>
  <c r="AA1421" i="3"/>
  <c r="AA1422" i="3"/>
  <c r="AA1423" i="3"/>
  <c r="AA1424" i="3"/>
  <c r="AA1425" i="3"/>
  <c r="AA1426" i="3"/>
  <c r="AA1427" i="3"/>
  <c r="AA1428" i="3"/>
  <c r="AA1429" i="3"/>
  <c r="AA1430" i="3"/>
  <c r="AA1431" i="3"/>
  <c r="AA1432" i="3"/>
  <c r="AA1433" i="3"/>
  <c r="AA1434" i="3"/>
  <c r="AA1435" i="3"/>
  <c r="AA1436" i="3"/>
  <c r="AA1437" i="3"/>
  <c r="AA1438" i="3"/>
  <c r="AA1439" i="3"/>
  <c r="AA1440" i="3"/>
  <c r="AA1441" i="3"/>
  <c r="AA1442" i="3"/>
  <c r="AA1443" i="3"/>
  <c r="AA1444" i="3"/>
  <c r="AA1445" i="3"/>
  <c r="AA1446" i="3"/>
  <c r="AA1447" i="3"/>
  <c r="AA1448" i="3"/>
  <c r="AA1449" i="3"/>
  <c r="AA1450" i="3"/>
  <c r="AA1451" i="3"/>
  <c r="AA1452" i="3"/>
  <c r="AA1453" i="3"/>
  <c r="AA1454" i="3"/>
  <c r="AA1455" i="3"/>
  <c r="AA1456" i="3"/>
  <c r="AA1457" i="3"/>
  <c r="AA1458" i="3"/>
  <c r="AA1459" i="3"/>
  <c r="AA1460" i="3"/>
  <c r="AA1461" i="3"/>
  <c r="AA1462" i="3"/>
  <c r="AA1463" i="3"/>
  <c r="AA1464" i="3"/>
  <c r="AA1465" i="3"/>
  <c r="AA1466" i="3"/>
  <c r="AA1467" i="3"/>
  <c r="AA1468" i="3"/>
  <c r="AA1469" i="3"/>
  <c r="AA1470" i="3"/>
  <c r="AA1471" i="3"/>
  <c r="AA1472" i="3"/>
  <c r="AA1473" i="3"/>
  <c r="AA1474" i="3"/>
  <c r="AA1475" i="3"/>
  <c r="AA1476" i="3"/>
  <c r="AA1477" i="3"/>
  <c r="AA1478" i="3"/>
  <c r="AA1479" i="3"/>
  <c r="AA1480" i="3"/>
  <c r="AA1481" i="3"/>
  <c r="AA1482" i="3"/>
  <c r="AA1483" i="3"/>
  <c r="AA1484" i="3"/>
  <c r="AA1485" i="3"/>
  <c r="AA1486" i="3"/>
  <c r="AA1487" i="3"/>
  <c r="AA1488" i="3"/>
  <c r="AA1489" i="3"/>
  <c r="AA1490" i="3"/>
  <c r="AA1491" i="3"/>
  <c r="AA1492" i="3"/>
  <c r="AA1493" i="3"/>
  <c r="AA1494" i="3"/>
  <c r="AA1495" i="3"/>
  <c r="AA1496" i="3"/>
  <c r="AA1497" i="3"/>
  <c r="AA1498" i="3"/>
  <c r="AA1499" i="3"/>
  <c r="AA1500" i="3"/>
  <c r="AA1501" i="3"/>
  <c r="AA1502" i="3"/>
  <c r="AA1503" i="3"/>
  <c r="AA1504" i="3"/>
  <c r="AA1505" i="3"/>
  <c r="AA1506" i="3"/>
  <c r="AA1507" i="3"/>
  <c r="AA1508" i="3"/>
  <c r="AA1509" i="3"/>
  <c r="AA1510" i="3"/>
  <c r="AA1511" i="3"/>
  <c r="AA1512" i="3"/>
  <c r="AA1513" i="3"/>
  <c r="AA1514" i="3"/>
  <c r="AA1515" i="3"/>
  <c r="AA1516" i="3"/>
  <c r="AA1517" i="3"/>
  <c r="AA1518" i="3"/>
  <c r="AA1519" i="3"/>
  <c r="AA1520" i="3"/>
  <c r="AA1521" i="3"/>
  <c r="AA1522" i="3"/>
  <c r="AA1523" i="3"/>
  <c r="AA1524" i="3"/>
  <c r="AA1525" i="3"/>
  <c r="AA1526" i="3"/>
  <c r="AA1527" i="3"/>
  <c r="AA1528" i="3"/>
  <c r="AA1529" i="3"/>
  <c r="AA1530" i="3"/>
  <c r="AA1531" i="3"/>
  <c r="AA1532" i="3"/>
  <c r="AA1533" i="3"/>
  <c r="AA1534" i="3"/>
  <c r="AA1535" i="3"/>
  <c r="AA1536" i="3"/>
  <c r="AA1537" i="3"/>
  <c r="AA1538" i="3"/>
  <c r="AA1539" i="3"/>
  <c r="AA1540" i="3"/>
  <c r="AA1541" i="3"/>
  <c r="AA1542" i="3"/>
  <c r="AA1543" i="3"/>
  <c r="AA1544" i="3"/>
  <c r="AA1545" i="3"/>
  <c r="AA1546" i="3"/>
  <c r="AA1547" i="3"/>
  <c r="AA1548" i="3"/>
  <c r="AA1549" i="3"/>
  <c r="AA1550" i="3"/>
  <c r="AA1551" i="3"/>
  <c r="AA1552" i="3"/>
  <c r="AA1553" i="3"/>
  <c r="AA1554" i="3"/>
  <c r="AA1555" i="3"/>
  <c r="AA1556" i="3"/>
  <c r="AA1557" i="3"/>
  <c r="AA1558" i="3"/>
  <c r="AA1559" i="3"/>
  <c r="AA1560" i="3"/>
  <c r="AA1561" i="3"/>
  <c r="AA1562" i="3"/>
  <c r="AA1563" i="3"/>
  <c r="AA1564" i="3"/>
  <c r="AA1565" i="3"/>
  <c r="AA1566" i="3"/>
  <c r="AA1567" i="3"/>
  <c r="AA1568" i="3"/>
  <c r="AA1569" i="3"/>
  <c r="AA1570" i="3"/>
  <c r="AA1571" i="3"/>
  <c r="AA1572" i="3"/>
  <c r="AA1573" i="3"/>
  <c r="AA1574" i="3"/>
  <c r="AA1575" i="3"/>
  <c r="AA1576" i="3"/>
  <c r="AA1577" i="3"/>
  <c r="AA1578" i="3"/>
  <c r="AA1579" i="3"/>
  <c r="AA1580" i="3"/>
  <c r="AA1581" i="3"/>
  <c r="AA1582" i="3"/>
  <c r="AA1583" i="3"/>
  <c r="AA1584" i="3"/>
  <c r="AA1585" i="3"/>
  <c r="AA1586" i="3"/>
  <c r="AA1587" i="3"/>
  <c r="AA1588" i="3"/>
  <c r="AA1589" i="3"/>
  <c r="AA1590" i="3"/>
  <c r="AA1591" i="3"/>
  <c r="AA1592" i="3"/>
  <c r="AA1593" i="3"/>
  <c r="AA1594" i="3"/>
  <c r="AA1595" i="3"/>
  <c r="AA1596" i="3"/>
  <c r="AA1597" i="3"/>
  <c r="AA1598" i="3"/>
  <c r="AA1599" i="3"/>
  <c r="AA1600" i="3"/>
  <c r="AA1601" i="3"/>
  <c r="AA1602" i="3"/>
  <c r="AA1603" i="3"/>
  <c r="AA1604" i="3"/>
  <c r="AA1605" i="3"/>
  <c r="AA1606" i="3"/>
  <c r="AA1607" i="3"/>
  <c r="AA1608" i="3"/>
  <c r="AA1609" i="3"/>
  <c r="AA1610" i="3"/>
  <c r="AA1611" i="3"/>
  <c r="AA1612" i="3"/>
  <c r="AA1613" i="3"/>
  <c r="AA1614" i="3"/>
  <c r="AA1615" i="3"/>
  <c r="AA1616" i="3"/>
  <c r="AA1617" i="3"/>
  <c r="AA1618" i="3"/>
  <c r="AA1619" i="3"/>
  <c r="AA1620" i="3"/>
  <c r="AA1621" i="3"/>
  <c r="AA1622" i="3"/>
  <c r="AA1623" i="3"/>
  <c r="AA1624" i="3"/>
  <c r="AA1625" i="3"/>
  <c r="AA1626" i="3"/>
  <c r="AA1627" i="3"/>
  <c r="AA1628" i="3"/>
  <c r="AA1629" i="3"/>
  <c r="AA1630" i="3"/>
  <c r="AA1631" i="3"/>
  <c r="AA1632" i="3"/>
  <c r="AA1633" i="3"/>
  <c r="AA1634" i="3"/>
  <c r="AA1635" i="3"/>
  <c r="AA1636" i="3"/>
  <c r="AA1637" i="3"/>
  <c r="AA1638" i="3"/>
  <c r="AA1639" i="3"/>
  <c r="AA1640" i="3"/>
  <c r="AA1641" i="3"/>
  <c r="AA1642" i="3"/>
  <c r="AA1643" i="3"/>
  <c r="AA1644" i="3"/>
  <c r="AA1645" i="3"/>
  <c r="AA1646" i="3"/>
  <c r="AA1647" i="3"/>
  <c r="AA1648" i="3"/>
  <c r="AA1649" i="3"/>
  <c r="AA1650" i="3"/>
  <c r="AA1651" i="3"/>
  <c r="AA1652" i="3"/>
  <c r="AA1653" i="3"/>
  <c r="AA1654" i="3"/>
  <c r="AA1655" i="3"/>
  <c r="AA1656" i="3"/>
  <c r="AA1657" i="3"/>
  <c r="AA1658" i="3"/>
  <c r="AA1659" i="3"/>
  <c r="AA1660" i="3"/>
  <c r="AA1661" i="3"/>
  <c r="AA1662" i="3"/>
  <c r="AA1663" i="3"/>
  <c r="AA1664" i="3"/>
  <c r="AA1665" i="3"/>
  <c r="AA1666" i="3"/>
  <c r="AA1667" i="3"/>
  <c r="AA1668" i="3"/>
  <c r="AA1669" i="3"/>
  <c r="AA1670" i="3"/>
  <c r="AA1671" i="3"/>
  <c r="AA1672" i="3"/>
  <c r="AA1673" i="3"/>
  <c r="AA1674" i="3"/>
  <c r="AA1675" i="3"/>
  <c r="AA1676" i="3"/>
  <c r="AA1677" i="3"/>
  <c r="AA1678" i="3"/>
  <c r="AA1679" i="3"/>
  <c r="AA1680" i="3"/>
  <c r="AA1681" i="3"/>
  <c r="AA1682" i="3"/>
  <c r="AA1683" i="3"/>
  <c r="AA1684" i="3"/>
  <c r="AA1685" i="3"/>
  <c r="AA1686" i="3"/>
  <c r="AA1687" i="3"/>
  <c r="AA1688" i="3"/>
  <c r="AA1689" i="3"/>
  <c r="AA1690" i="3"/>
  <c r="AA1691" i="3"/>
  <c r="AA1692" i="3"/>
  <c r="AA1693" i="3"/>
  <c r="AA1694" i="3"/>
  <c r="AA1695" i="3"/>
  <c r="AA1696" i="3"/>
  <c r="AA1697" i="3"/>
  <c r="AA1698" i="3"/>
  <c r="AA1699" i="3"/>
  <c r="AA1700" i="3"/>
  <c r="AA1701" i="3"/>
  <c r="AA1702" i="3"/>
  <c r="AA1703" i="3"/>
  <c r="AA1704" i="3"/>
  <c r="AA1705" i="3"/>
  <c r="AA1706" i="3"/>
  <c r="AA1707" i="3"/>
  <c r="AA1708" i="3"/>
  <c r="AA1709" i="3"/>
  <c r="AA1710" i="3"/>
  <c r="AA1711" i="3"/>
  <c r="AA1712" i="3"/>
  <c r="AA1713" i="3"/>
  <c r="AA1714" i="3"/>
  <c r="AA1715" i="3"/>
  <c r="AA1716" i="3"/>
  <c r="AA1717" i="3"/>
  <c r="AA1718" i="3"/>
  <c r="AA1719" i="3"/>
  <c r="AA1720" i="3"/>
  <c r="AA1721" i="3"/>
  <c r="AA1722" i="3"/>
  <c r="AA1723" i="3"/>
  <c r="AA1724" i="3"/>
  <c r="AA1725" i="3"/>
  <c r="AA1726" i="3"/>
  <c r="AA1727" i="3"/>
  <c r="AA1728" i="3"/>
  <c r="AA1729" i="3"/>
  <c r="AA1730" i="3"/>
  <c r="AA1731" i="3"/>
  <c r="AA1732" i="3"/>
  <c r="AA1733" i="3"/>
  <c r="AA1734" i="3"/>
  <c r="AA1735" i="3"/>
  <c r="AA1736" i="3"/>
  <c r="AA1737" i="3"/>
  <c r="AA1738" i="3"/>
  <c r="AA1739" i="3"/>
  <c r="AA1740" i="3"/>
  <c r="AA1741" i="3"/>
  <c r="AA1742" i="3"/>
  <c r="AA1743" i="3"/>
  <c r="AA1744" i="3"/>
  <c r="AA1745" i="3"/>
  <c r="AA1746" i="3"/>
  <c r="AA1747" i="3"/>
  <c r="AA1748" i="3"/>
  <c r="AA1749" i="3"/>
  <c r="AA1750" i="3"/>
  <c r="AA1751" i="3"/>
  <c r="AA1752" i="3"/>
  <c r="AA1753" i="3"/>
  <c r="AA1754" i="3"/>
  <c r="AA1755" i="3"/>
  <c r="AA1756" i="3"/>
  <c r="AA1757" i="3"/>
  <c r="AA1758" i="3"/>
  <c r="AA1759" i="3"/>
  <c r="AA1760" i="3"/>
  <c r="AA1761" i="3"/>
  <c r="AA1762" i="3"/>
  <c r="AA1763" i="3"/>
  <c r="AA1764" i="3"/>
  <c r="AA1765" i="3"/>
  <c r="AA1766" i="3"/>
  <c r="AA1767" i="3"/>
  <c r="AA1768" i="3"/>
  <c r="AA1769" i="3"/>
  <c r="AA1770" i="3"/>
  <c r="AA1771" i="3"/>
  <c r="AA1772" i="3"/>
  <c r="AA1773" i="3"/>
  <c r="AA1774" i="3"/>
  <c r="AA1775" i="3"/>
  <c r="AA1776" i="3"/>
  <c r="AA1777" i="3"/>
  <c r="AA1778" i="3"/>
  <c r="AA1779" i="3"/>
  <c r="AA1780" i="3"/>
  <c r="AA1781" i="3"/>
  <c r="AA1782" i="3"/>
  <c r="AA1783" i="3"/>
  <c r="AA1784" i="3"/>
  <c r="AA1785" i="3"/>
  <c r="AA1786" i="3"/>
  <c r="AA1787" i="3"/>
  <c r="AA1788" i="3"/>
  <c r="AA1789" i="3"/>
  <c r="AA1790" i="3"/>
  <c r="AA1791" i="3"/>
  <c r="AA1792" i="3"/>
  <c r="AA1793" i="3"/>
  <c r="AA1794" i="3"/>
  <c r="AA1795" i="3"/>
  <c r="AA1796" i="3"/>
  <c r="AA1797" i="3"/>
  <c r="AA1798" i="3"/>
  <c r="AA1799" i="3"/>
  <c r="AA1800" i="3"/>
  <c r="AA1801" i="3"/>
  <c r="AA1802" i="3"/>
  <c r="AA1803" i="3"/>
  <c r="AA1804" i="3"/>
  <c r="AA1805" i="3"/>
  <c r="AA1806" i="3"/>
  <c r="AA1807" i="3"/>
  <c r="AA1808" i="3"/>
  <c r="AA1809" i="3"/>
  <c r="AA1810" i="3"/>
  <c r="AA1811" i="3"/>
  <c r="AA1812" i="3"/>
  <c r="AA1813" i="3"/>
  <c r="AA1814" i="3"/>
  <c r="AA1815" i="3"/>
  <c r="AA1816" i="3"/>
  <c r="AA1817" i="3"/>
  <c r="AA1818" i="3"/>
  <c r="AA1819" i="3"/>
  <c r="AA1820" i="3"/>
  <c r="AA1821" i="3"/>
  <c r="AA1822" i="3"/>
  <c r="AA1823" i="3"/>
  <c r="AA1824" i="3"/>
  <c r="AA1825" i="3"/>
  <c r="AA1826" i="3"/>
  <c r="AA1827" i="3"/>
  <c r="AA1828" i="3"/>
  <c r="AA1829" i="3"/>
  <c r="AA1830" i="3"/>
  <c r="AA1831" i="3"/>
  <c r="AA1832" i="3"/>
  <c r="AA1833" i="3"/>
  <c r="AA1834" i="3"/>
  <c r="AA1835" i="3"/>
  <c r="AA1836" i="3"/>
  <c r="AA1837" i="3"/>
  <c r="AA1838" i="3"/>
  <c r="AA1839" i="3"/>
  <c r="AA1840" i="3"/>
  <c r="AA1841" i="3"/>
  <c r="AA1842" i="3"/>
  <c r="AA1843" i="3"/>
  <c r="AA1844" i="3"/>
  <c r="AA1845" i="3"/>
  <c r="AA1846" i="3"/>
  <c r="AA1847" i="3"/>
  <c r="AA1848" i="3"/>
  <c r="AA1849" i="3"/>
  <c r="AA1850" i="3"/>
  <c r="AA1851" i="3"/>
  <c r="AA1852" i="3"/>
  <c r="AA1853" i="3"/>
  <c r="AA1854" i="3"/>
  <c r="AA1855" i="3"/>
  <c r="AA1856" i="3"/>
  <c r="AA1857" i="3"/>
  <c r="AA1858" i="3"/>
  <c r="AA1859" i="3"/>
  <c r="AA1860" i="3"/>
  <c r="AA1861" i="3"/>
  <c r="AA1862" i="3"/>
  <c r="AA1863" i="3"/>
  <c r="AA1864" i="3"/>
  <c r="AA1865" i="3"/>
  <c r="AA1866" i="3"/>
  <c r="AA1867" i="3"/>
  <c r="AA1868" i="3"/>
  <c r="AA1869" i="3"/>
  <c r="AA1870" i="3"/>
  <c r="AA1871" i="3"/>
  <c r="AA1872" i="3"/>
  <c r="AA1873" i="3"/>
  <c r="AA1874" i="3"/>
  <c r="AA1875" i="3"/>
  <c r="AA1876" i="3"/>
  <c r="AA1877" i="3"/>
  <c r="AA1878" i="3"/>
  <c r="AA1879" i="3"/>
  <c r="AA1880" i="3"/>
  <c r="AA1881" i="3"/>
  <c r="AA1882" i="3"/>
  <c r="AA1883" i="3"/>
  <c r="AA1884" i="3"/>
  <c r="AA1885" i="3"/>
  <c r="AA1886" i="3"/>
  <c r="AA1887" i="3"/>
  <c r="AA1888" i="3"/>
  <c r="AA1889" i="3"/>
  <c r="AA1890" i="3"/>
  <c r="AA1891" i="3"/>
  <c r="AA1892" i="3"/>
  <c r="AA1893" i="3"/>
  <c r="AA1894" i="3"/>
  <c r="AA1895" i="3"/>
  <c r="AA1896" i="3"/>
  <c r="AA1897" i="3"/>
  <c r="AA1898" i="3"/>
  <c r="AA1899" i="3"/>
  <c r="AA1900" i="3"/>
  <c r="AA1901" i="3"/>
  <c r="AA1902" i="3"/>
  <c r="AA1903" i="3"/>
  <c r="AA1904" i="3"/>
  <c r="AA1905" i="3"/>
  <c r="AA1906" i="3"/>
  <c r="AA1907" i="3"/>
  <c r="AA1908" i="3"/>
  <c r="AA1909" i="3"/>
  <c r="AA1910" i="3"/>
  <c r="AA1911" i="3"/>
  <c r="AA1912" i="3"/>
  <c r="AA1913" i="3"/>
  <c r="AA1914" i="3"/>
  <c r="AA1915" i="3"/>
  <c r="AA1916" i="3"/>
  <c r="AA1917" i="3"/>
  <c r="AA1918" i="3"/>
  <c r="AA1919" i="3"/>
  <c r="AA1920" i="3"/>
  <c r="AA1921" i="3"/>
  <c r="AA1922" i="3"/>
  <c r="AA1923" i="3"/>
  <c r="AA1924" i="3"/>
  <c r="AA1925" i="3"/>
  <c r="AA1926" i="3"/>
  <c r="AA1927" i="3"/>
  <c r="AA1928" i="3"/>
  <c r="AA1929" i="3"/>
  <c r="AA1930" i="3"/>
  <c r="AA1931" i="3"/>
  <c r="AA1932" i="3"/>
  <c r="AA1933" i="3"/>
  <c r="AA1934" i="3"/>
  <c r="AA1935" i="3"/>
  <c r="AA1936" i="3"/>
  <c r="AA1937" i="3"/>
  <c r="AA1938" i="3"/>
  <c r="AA1939" i="3"/>
  <c r="AA1940" i="3"/>
  <c r="AA1941" i="3"/>
  <c r="AA1942" i="3"/>
  <c r="AA1943" i="3"/>
  <c r="AA1944" i="3"/>
  <c r="AA1945" i="3"/>
  <c r="AA1946" i="3"/>
  <c r="AA1947" i="3"/>
  <c r="AA1948" i="3"/>
  <c r="AA1949" i="3"/>
  <c r="AA1950" i="3"/>
  <c r="AA1951" i="3"/>
  <c r="AA1952" i="3"/>
  <c r="AA1953" i="3"/>
  <c r="AA1954" i="3"/>
  <c r="AA1955" i="3"/>
  <c r="AA1956" i="3"/>
  <c r="AA1957" i="3"/>
  <c r="AA1958" i="3"/>
  <c r="AA1959" i="3"/>
  <c r="AA1960" i="3"/>
  <c r="AA1961" i="3"/>
  <c r="AA1962" i="3"/>
  <c r="AA1963" i="3"/>
  <c r="AA1964" i="3"/>
  <c r="AA1965" i="3"/>
  <c r="AA1966" i="3"/>
  <c r="AA1967" i="3"/>
  <c r="AA1968" i="3"/>
  <c r="AA1969" i="3"/>
  <c r="AA1970" i="3"/>
  <c r="AA1971" i="3"/>
  <c r="AA1972" i="3"/>
  <c r="AA1973" i="3"/>
  <c r="AA1974" i="3"/>
  <c r="AA1975" i="3"/>
  <c r="AA1976" i="3"/>
  <c r="AA1977" i="3"/>
  <c r="AA1978" i="3"/>
  <c r="AA1979" i="3"/>
  <c r="AA1980" i="3"/>
  <c r="AA1981" i="3"/>
  <c r="AA1982" i="3"/>
  <c r="AA1983" i="3"/>
  <c r="AA1984" i="3"/>
  <c r="AA1985" i="3"/>
  <c r="AA1986" i="3"/>
  <c r="AA1987" i="3"/>
  <c r="AA1988" i="3"/>
  <c r="AA1989" i="3"/>
  <c r="AA1990" i="3"/>
  <c r="AA1991" i="3"/>
  <c r="AA1992" i="3"/>
  <c r="AA1993" i="3"/>
  <c r="AA1994" i="3"/>
  <c r="AA1995" i="3"/>
  <c r="AA1996" i="3"/>
  <c r="AA1997" i="3"/>
  <c r="AA1998" i="3"/>
  <c r="AA1999" i="3"/>
  <c r="AA2000" i="3"/>
  <c r="AA2001" i="3"/>
  <c r="AA2002" i="3"/>
  <c r="AA2003" i="3"/>
  <c r="AA2004" i="3"/>
  <c r="AA2005" i="3"/>
  <c r="AA2006" i="3"/>
  <c r="AA2007" i="3"/>
  <c r="AA2008" i="3"/>
  <c r="AA2009" i="3"/>
  <c r="AA2010" i="3"/>
  <c r="AA2011" i="3"/>
  <c r="AA2012" i="3"/>
  <c r="AA2013" i="3"/>
  <c r="AA2014" i="3"/>
  <c r="AA2015" i="3"/>
  <c r="AA2016" i="3"/>
  <c r="AA2017" i="3"/>
  <c r="AA2018" i="3"/>
  <c r="AA2019" i="3"/>
  <c r="AA2020" i="3"/>
  <c r="AA2021" i="3"/>
  <c r="AA2022" i="3"/>
  <c r="AA2023" i="3"/>
  <c r="AA2024" i="3"/>
  <c r="AA2025" i="3"/>
  <c r="AA2026" i="3"/>
  <c r="AA2027" i="3"/>
  <c r="AA2028" i="3"/>
  <c r="AA2029" i="3"/>
  <c r="AA2030" i="3"/>
  <c r="AA2031" i="3"/>
  <c r="AA2032" i="3"/>
  <c r="AA2033" i="3"/>
  <c r="AA2034" i="3"/>
  <c r="AA2035" i="3"/>
  <c r="AA2036" i="3"/>
  <c r="AA2037" i="3"/>
  <c r="AA2038" i="3"/>
  <c r="AA2039" i="3"/>
  <c r="AA2040" i="3"/>
  <c r="AA2041" i="3"/>
  <c r="AA2042" i="3"/>
  <c r="AA2043" i="3"/>
  <c r="AA2044" i="3"/>
  <c r="AA2045" i="3"/>
  <c r="AA2046" i="3"/>
  <c r="AA2047" i="3"/>
  <c r="AA2048" i="3"/>
  <c r="AA2049" i="3"/>
  <c r="AA2050" i="3"/>
  <c r="AA2051" i="3"/>
  <c r="AA2052" i="3"/>
  <c r="AA2053" i="3"/>
  <c r="AA2054" i="3"/>
  <c r="AA2055" i="3"/>
  <c r="AA2056" i="3"/>
  <c r="AA2057" i="3"/>
  <c r="AA2058" i="3"/>
  <c r="AA2059" i="3"/>
  <c r="AA2060" i="3"/>
  <c r="AA2061" i="3"/>
  <c r="AA2062" i="3"/>
  <c r="AA2063" i="3"/>
  <c r="AA2064" i="3"/>
  <c r="AA2065" i="3"/>
  <c r="AA2066" i="3"/>
  <c r="AA2067" i="3"/>
  <c r="AA2068" i="3"/>
  <c r="AA2069" i="3"/>
  <c r="AA2070" i="3"/>
  <c r="AA2071" i="3"/>
  <c r="AA2072" i="3"/>
  <c r="AA2073" i="3"/>
  <c r="AA2074" i="3"/>
  <c r="AA2075" i="3"/>
  <c r="AA2076" i="3"/>
  <c r="AA2077" i="3"/>
  <c r="AA2078" i="3"/>
  <c r="AA2079" i="3"/>
  <c r="AA2080" i="3"/>
  <c r="AA2081" i="3"/>
  <c r="AA2082" i="3"/>
  <c r="AA2083" i="3"/>
  <c r="AA2084" i="3"/>
  <c r="AA2085" i="3"/>
  <c r="AA2086" i="3"/>
  <c r="AA2087" i="3"/>
  <c r="AA2088" i="3"/>
  <c r="AA2089" i="3"/>
  <c r="AA2090" i="3"/>
  <c r="AA2091" i="3"/>
  <c r="AA2092" i="3"/>
  <c r="AA2093" i="3"/>
  <c r="AA2094" i="3"/>
  <c r="AA2095" i="3"/>
  <c r="AA2096" i="3"/>
  <c r="AA2097" i="3"/>
  <c r="AA2098" i="3"/>
  <c r="AA2099" i="3"/>
  <c r="AA2100" i="3"/>
  <c r="AA2101" i="3"/>
  <c r="AA2102" i="3"/>
  <c r="AA2103" i="3"/>
  <c r="AA2104" i="3"/>
  <c r="AA2105" i="3"/>
  <c r="AA2106" i="3"/>
  <c r="AA2107" i="3"/>
  <c r="AA2108" i="3"/>
  <c r="AA2109" i="3"/>
  <c r="AA2110" i="3"/>
  <c r="AA2111" i="3"/>
  <c r="AA2112" i="3"/>
  <c r="AA2113" i="3"/>
  <c r="AA2114" i="3"/>
  <c r="AA2115" i="3"/>
  <c r="AA2116" i="3"/>
  <c r="AA2117" i="3"/>
  <c r="AA2118" i="3"/>
  <c r="AA2119" i="3"/>
  <c r="AA2120" i="3"/>
  <c r="AA2121" i="3"/>
  <c r="AA2122" i="3"/>
  <c r="AA2123" i="3"/>
  <c r="AA2124" i="3"/>
  <c r="AA2125" i="3"/>
  <c r="AA2126" i="3"/>
  <c r="AA2127" i="3"/>
  <c r="AA2128" i="3"/>
  <c r="AA2129" i="3"/>
  <c r="AA2130" i="3"/>
  <c r="AA2131" i="3"/>
  <c r="AA2132" i="3"/>
  <c r="AA2133" i="3"/>
  <c r="AA2134" i="3"/>
  <c r="AA2135" i="3"/>
  <c r="AA2136" i="3"/>
  <c r="AA2137" i="3"/>
  <c r="AA2138" i="3"/>
  <c r="AA2139" i="3"/>
  <c r="AA2140" i="3"/>
  <c r="AA2141" i="3"/>
  <c r="AA2142" i="3"/>
  <c r="AA2143" i="3"/>
  <c r="AA2144" i="3"/>
  <c r="AA2145" i="3"/>
  <c r="AA2146" i="3"/>
  <c r="AA2147" i="3"/>
  <c r="AA2148" i="3"/>
  <c r="AA2149" i="3"/>
  <c r="AA2150" i="3"/>
  <c r="AA2151" i="3"/>
  <c r="AA2152" i="3"/>
  <c r="AA2153" i="3"/>
  <c r="AA2154" i="3"/>
  <c r="AA2155" i="3"/>
  <c r="AA2156" i="3"/>
  <c r="AA2157" i="3"/>
  <c r="AA2158" i="3"/>
  <c r="AA2159" i="3"/>
  <c r="AA2160" i="3"/>
  <c r="AA2161" i="3"/>
  <c r="AA2162" i="3"/>
  <c r="AA2163" i="3"/>
  <c r="AA2164" i="3"/>
  <c r="AA2165" i="3"/>
  <c r="AA2166" i="3"/>
  <c r="AA2167" i="3"/>
  <c r="AA2168" i="3"/>
  <c r="AA2169" i="3"/>
  <c r="AA2170" i="3"/>
  <c r="AA2171" i="3"/>
  <c r="AA2172" i="3"/>
  <c r="AA2173" i="3"/>
  <c r="AA2174" i="3"/>
  <c r="AA2175" i="3"/>
  <c r="AA2176" i="3"/>
  <c r="AA2177" i="3"/>
  <c r="AA2178" i="3"/>
  <c r="AA2179" i="3"/>
  <c r="AA2180" i="3"/>
  <c r="AA2181" i="3"/>
  <c r="AA2182" i="3"/>
  <c r="AA2183" i="3"/>
  <c r="AA2184" i="3"/>
  <c r="AA2185" i="3"/>
  <c r="AA2186" i="3"/>
  <c r="AA2187" i="3"/>
  <c r="AA2188" i="3"/>
  <c r="AA2189" i="3"/>
  <c r="AA2190" i="3"/>
  <c r="AA2191" i="3"/>
  <c r="AA2192" i="3"/>
  <c r="AA2193" i="3"/>
  <c r="AA2194" i="3"/>
  <c r="AA2195" i="3"/>
  <c r="AA2196" i="3"/>
  <c r="AA2197" i="3"/>
  <c r="AA2198" i="3"/>
  <c r="AA2199" i="3"/>
  <c r="AA2200" i="3"/>
  <c r="AA2201" i="3"/>
  <c r="AA2202" i="3"/>
  <c r="AA2203" i="3"/>
  <c r="AA2204" i="3"/>
  <c r="AA2205" i="3"/>
  <c r="AA2206" i="3"/>
  <c r="AA2207" i="3"/>
  <c r="AA2208" i="3"/>
  <c r="AA2209" i="3"/>
  <c r="AA2210" i="3"/>
  <c r="AA2211" i="3"/>
  <c r="AA2212" i="3"/>
  <c r="AA2213" i="3"/>
  <c r="AA2214" i="3"/>
  <c r="AA2215" i="3"/>
  <c r="AA2216" i="3"/>
  <c r="AA2217" i="3"/>
  <c r="AA2218" i="3"/>
  <c r="AA2219" i="3"/>
  <c r="AA2220" i="3"/>
  <c r="AA2221" i="3"/>
  <c r="AA2222" i="3"/>
  <c r="AA2223" i="3"/>
  <c r="AA2224" i="3"/>
  <c r="AA2225" i="3"/>
  <c r="AA2226" i="3"/>
  <c r="AA2227" i="3"/>
  <c r="AA2228" i="3"/>
  <c r="AA2229" i="3"/>
  <c r="AA2230" i="3"/>
  <c r="AA2231" i="3"/>
  <c r="AA2232" i="3"/>
  <c r="AA2233" i="3"/>
  <c r="AA2234" i="3"/>
  <c r="AA2235" i="3"/>
  <c r="AA2236" i="3"/>
  <c r="AA2237" i="3"/>
  <c r="AA2238" i="3"/>
  <c r="AA2239" i="3"/>
  <c r="AA2240" i="3"/>
  <c r="AA2241" i="3"/>
  <c r="AA2242" i="3"/>
  <c r="AA2243" i="3"/>
  <c r="AA2244" i="3"/>
  <c r="AA2245" i="3"/>
  <c r="AA2246" i="3"/>
  <c r="AA2247" i="3"/>
  <c r="AA2248" i="3"/>
  <c r="AA2249" i="3"/>
  <c r="AA2250" i="3"/>
  <c r="AA2251" i="3"/>
  <c r="AA2252" i="3"/>
  <c r="AA2253" i="3"/>
  <c r="AA2254" i="3"/>
  <c r="AA2255" i="3"/>
  <c r="AA2256" i="3"/>
  <c r="AA2257" i="3"/>
  <c r="AA2258" i="3"/>
  <c r="AA2259" i="3"/>
  <c r="AA2260" i="3"/>
  <c r="AA2261" i="3"/>
  <c r="AA2262" i="3"/>
  <c r="AA2263" i="3"/>
  <c r="AA2264" i="3"/>
  <c r="AA2265" i="3"/>
  <c r="AA2266" i="3"/>
  <c r="AA2267" i="3"/>
  <c r="AA2268" i="3"/>
  <c r="AA2269" i="3"/>
  <c r="AA2270" i="3"/>
  <c r="AA2271" i="3"/>
  <c r="AA2272" i="3"/>
  <c r="AA2273" i="3"/>
  <c r="AA2274" i="3"/>
  <c r="AA2275" i="3"/>
  <c r="AA2276" i="3"/>
  <c r="AA2277" i="3"/>
  <c r="AA2278" i="3"/>
  <c r="AA2279" i="3"/>
  <c r="AA2280" i="3"/>
  <c r="AA2281" i="3"/>
  <c r="AA2282" i="3"/>
  <c r="AA2283" i="3"/>
  <c r="AA2284" i="3"/>
  <c r="AA2285" i="3"/>
  <c r="AA2286" i="3"/>
  <c r="AA2287" i="3"/>
  <c r="AA2288" i="3"/>
  <c r="AA2289" i="3"/>
  <c r="AA2290" i="3"/>
  <c r="AA2291" i="3"/>
  <c r="AA2292" i="3"/>
  <c r="AA2293" i="3"/>
  <c r="AA2294" i="3"/>
  <c r="AA2295" i="3"/>
  <c r="AA2296" i="3"/>
  <c r="AA2297" i="3"/>
  <c r="AA2298" i="3"/>
  <c r="AA2299" i="3"/>
  <c r="AA2300" i="3"/>
  <c r="AA2301" i="3"/>
  <c r="AA2302" i="3"/>
  <c r="AA2303" i="3"/>
  <c r="AA2304" i="3"/>
  <c r="AA2305" i="3"/>
  <c r="AA2306" i="3"/>
  <c r="AA2307" i="3"/>
  <c r="AA2308" i="3"/>
  <c r="AA2309" i="3"/>
  <c r="AA2310" i="3"/>
  <c r="AA2311" i="3"/>
  <c r="AA2312" i="3"/>
  <c r="AA2313" i="3"/>
  <c r="AA2314" i="3"/>
  <c r="AA2315" i="3"/>
  <c r="AA2316" i="3"/>
  <c r="AA2317" i="3"/>
  <c r="AA2318" i="3"/>
  <c r="AA2319" i="3"/>
  <c r="AA2320" i="3"/>
  <c r="AA2321" i="3"/>
  <c r="AA2322" i="3"/>
  <c r="AA2323" i="3"/>
  <c r="AA2324" i="3"/>
  <c r="AA2325" i="3"/>
  <c r="AA2326" i="3"/>
  <c r="AA2327" i="3"/>
  <c r="AA2328" i="3"/>
  <c r="AA2329" i="3"/>
  <c r="AA2330" i="3"/>
  <c r="AA2331" i="3"/>
  <c r="AA2332" i="3"/>
  <c r="AA2333" i="3"/>
  <c r="AA2334" i="3"/>
  <c r="AA2335" i="3"/>
  <c r="AA2336" i="3"/>
  <c r="AA2337" i="3"/>
  <c r="AA2338" i="3"/>
  <c r="AA2339" i="3"/>
  <c r="AA2340" i="3"/>
  <c r="AA2341" i="3"/>
  <c r="AA2342" i="3"/>
  <c r="AA2343" i="3"/>
  <c r="AA2344" i="3"/>
  <c r="AA2345" i="3"/>
  <c r="AA2346" i="3"/>
  <c r="AA2347" i="3"/>
  <c r="AA2348" i="3"/>
  <c r="AA2349" i="3"/>
  <c r="AA2350" i="3"/>
  <c r="AA2351" i="3"/>
  <c r="AA2352" i="3"/>
  <c r="AA2353" i="3"/>
  <c r="AA2354" i="3"/>
  <c r="AA2355" i="3"/>
  <c r="AA2356" i="3"/>
  <c r="AA2357" i="3"/>
  <c r="AA2358" i="3"/>
  <c r="AA2359" i="3"/>
  <c r="AA2360" i="3"/>
  <c r="AA2361" i="3"/>
  <c r="AA2362" i="3"/>
  <c r="AA2363" i="3"/>
  <c r="AA2364" i="3"/>
  <c r="AA2365" i="3"/>
  <c r="AA2366" i="3"/>
  <c r="AA2367" i="3"/>
  <c r="AA2368" i="3"/>
  <c r="AA2369" i="3"/>
  <c r="AA2370" i="3"/>
  <c r="AA2371" i="3"/>
  <c r="AA2372" i="3"/>
  <c r="AA2373" i="3"/>
  <c r="AA2374" i="3"/>
  <c r="AA2375" i="3"/>
  <c r="AA2376" i="3"/>
  <c r="AA2377" i="3"/>
  <c r="AA2378" i="3"/>
  <c r="AA2379" i="3"/>
  <c r="AA2380" i="3"/>
  <c r="AA2381" i="3"/>
  <c r="AA2382" i="3"/>
  <c r="AA2383" i="3"/>
  <c r="AA2384" i="3"/>
  <c r="AA2385" i="3"/>
  <c r="AA2386" i="3"/>
  <c r="AA2387" i="3"/>
  <c r="AA2388" i="3"/>
  <c r="AA2389" i="3"/>
  <c r="AA2390" i="3"/>
  <c r="AA2391" i="3"/>
  <c r="AA2392" i="3"/>
  <c r="AA2393" i="3"/>
  <c r="AA2394" i="3"/>
  <c r="AA2395" i="3"/>
  <c r="AA2396" i="3"/>
  <c r="AA2397" i="3"/>
  <c r="AA2398" i="3"/>
  <c r="AA2399" i="3"/>
  <c r="AA2400" i="3"/>
  <c r="AA2401" i="3"/>
  <c r="AA2402" i="3"/>
  <c r="AA2403" i="3"/>
  <c r="AA2404" i="3"/>
  <c r="AA2405" i="3"/>
  <c r="AA2406" i="3"/>
  <c r="AA2407" i="3"/>
  <c r="AA2408" i="3"/>
  <c r="AA2409" i="3"/>
  <c r="AA2410" i="3"/>
  <c r="AA2411" i="3"/>
  <c r="AA2412" i="3"/>
  <c r="AA2413" i="3"/>
  <c r="AA2414" i="3"/>
  <c r="AA2415" i="3"/>
  <c r="AA2416" i="3"/>
  <c r="AA2417" i="3"/>
  <c r="AA2418" i="3"/>
  <c r="AA2419" i="3"/>
  <c r="AA2420" i="3"/>
  <c r="AA2421" i="3"/>
  <c r="AA2422" i="3"/>
  <c r="AA2423" i="3"/>
  <c r="AA2424" i="3"/>
  <c r="AA2425" i="3"/>
  <c r="AA2426" i="3"/>
  <c r="AA2427" i="3"/>
  <c r="AA2428" i="3"/>
  <c r="AA2429" i="3"/>
  <c r="AA2430" i="3"/>
  <c r="AA2431" i="3"/>
  <c r="AA2432" i="3"/>
  <c r="AA2433" i="3"/>
  <c r="AA2434" i="3"/>
  <c r="AA2435" i="3"/>
  <c r="AA2436" i="3"/>
  <c r="AA2437" i="3"/>
  <c r="AA2438" i="3"/>
  <c r="AA2439" i="3"/>
  <c r="AA2440" i="3"/>
  <c r="AA2441" i="3"/>
  <c r="AA2442" i="3"/>
  <c r="AA2443" i="3"/>
  <c r="AA2444" i="3"/>
  <c r="AA2445" i="3"/>
  <c r="AA2446" i="3"/>
  <c r="AA2447" i="3"/>
  <c r="AA2448" i="3"/>
  <c r="AA2449" i="3"/>
  <c r="AA2450" i="3"/>
  <c r="AA2451" i="3"/>
  <c r="AA2452" i="3"/>
  <c r="AA2453" i="3"/>
  <c r="AA2454" i="3"/>
  <c r="AA2455" i="3"/>
  <c r="AA2456" i="3"/>
  <c r="AA2457" i="3"/>
  <c r="AA2458" i="3"/>
  <c r="AA2459" i="3"/>
  <c r="AA2460" i="3"/>
  <c r="AA2461" i="3"/>
  <c r="AA2462" i="3"/>
  <c r="AA2463" i="3"/>
  <c r="AA2464" i="3"/>
  <c r="AA2465" i="3"/>
  <c r="AA2466" i="3"/>
  <c r="AA2467" i="3"/>
  <c r="AA2468" i="3"/>
  <c r="AA2469" i="3"/>
  <c r="AA2470" i="3"/>
  <c r="AA2471" i="3"/>
  <c r="AA2472" i="3"/>
  <c r="AA2473" i="3"/>
  <c r="AA2474" i="3"/>
  <c r="AA2475" i="3"/>
  <c r="AA2476" i="3"/>
  <c r="AA2477" i="3"/>
  <c r="AA2478" i="3"/>
  <c r="AA2479" i="3"/>
  <c r="AA2480" i="3"/>
  <c r="AA2481" i="3"/>
  <c r="AA2482" i="3"/>
  <c r="AA2483" i="3"/>
  <c r="AA2484" i="3"/>
  <c r="AA2485" i="3"/>
  <c r="AA2486" i="3"/>
  <c r="AA2487" i="3"/>
  <c r="AA2488" i="3"/>
  <c r="AA2489" i="3"/>
  <c r="AA2490" i="3"/>
  <c r="AA2491" i="3"/>
  <c r="AA2492" i="3"/>
  <c r="AA2493" i="3"/>
  <c r="AA2494" i="3"/>
  <c r="AA2495" i="3"/>
  <c r="AA2496" i="3"/>
  <c r="AA2497" i="3"/>
  <c r="AA2498" i="3"/>
  <c r="AA2499" i="3"/>
  <c r="AA2500" i="3"/>
  <c r="AA2501" i="3"/>
  <c r="AA2502" i="3"/>
  <c r="AA2503" i="3"/>
  <c r="AA2504" i="3"/>
  <c r="AA2505" i="3"/>
  <c r="AA2506" i="3"/>
  <c r="AA2507" i="3"/>
  <c r="AA2508" i="3"/>
  <c r="AA2509" i="3"/>
  <c r="AA2510" i="3"/>
  <c r="AA2511" i="3"/>
  <c r="AA2512" i="3"/>
  <c r="AA2513" i="3"/>
  <c r="AA2514" i="3"/>
  <c r="AA2515" i="3"/>
  <c r="AA2516" i="3"/>
  <c r="AA2517" i="3"/>
  <c r="AA2518" i="3"/>
  <c r="AA2519" i="3"/>
  <c r="AA2520" i="3"/>
  <c r="AA2521" i="3"/>
  <c r="AA2522" i="3"/>
  <c r="AA2523" i="3"/>
  <c r="AA2524" i="3"/>
  <c r="AA2525" i="3"/>
  <c r="AA2526" i="3"/>
  <c r="AA2527" i="3"/>
  <c r="AA2528" i="3"/>
  <c r="AA2529" i="3"/>
  <c r="AA2530" i="3"/>
  <c r="AA2531" i="3"/>
  <c r="AA2532" i="3"/>
  <c r="AA2533" i="3"/>
  <c r="AA2534" i="3"/>
  <c r="AA2535" i="3"/>
  <c r="AA2536" i="3"/>
  <c r="AA2537" i="3"/>
  <c r="AA2538" i="3"/>
  <c r="AA2539" i="3"/>
  <c r="AA2540" i="3"/>
  <c r="AA2541" i="3"/>
  <c r="AA2542" i="3"/>
  <c r="AA2543" i="3"/>
  <c r="AA2544" i="3"/>
  <c r="AA2545" i="3"/>
  <c r="AA2546" i="3"/>
  <c r="AA2547" i="3"/>
  <c r="AA2548" i="3"/>
  <c r="AA2549" i="3"/>
  <c r="AA2550" i="3"/>
  <c r="AA2551" i="3"/>
  <c r="AA2552" i="3"/>
  <c r="AA2553" i="3"/>
  <c r="AA2554" i="3"/>
  <c r="AA2555" i="3"/>
  <c r="AA2556" i="3"/>
  <c r="AA2557" i="3"/>
  <c r="AA2558" i="3"/>
  <c r="AA2559" i="3"/>
  <c r="AA2560" i="3"/>
  <c r="AA2561" i="3"/>
  <c r="AA2562" i="3"/>
  <c r="AA2563" i="3"/>
  <c r="AA2564" i="3"/>
  <c r="AA2565" i="3"/>
  <c r="AA2566" i="3"/>
  <c r="AA2567" i="3"/>
  <c r="AA2568" i="3"/>
  <c r="AA2569" i="3"/>
  <c r="AA2570" i="3"/>
  <c r="AA2571" i="3"/>
  <c r="AA2572" i="3"/>
  <c r="AA2573" i="3"/>
  <c r="AA2574" i="3"/>
  <c r="AA2575" i="3"/>
  <c r="AA983" i="3"/>
  <c r="Z740" i="3"/>
  <c r="Z741" i="3"/>
  <c r="Z742" i="3"/>
  <c r="Z743" i="3"/>
  <c r="Z744" i="3"/>
  <c r="Z745" i="3"/>
  <c r="Z746" i="3"/>
  <c r="Z747" i="3"/>
  <c r="Z748" i="3"/>
  <c r="Z749" i="3"/>
  <c r="Z750" i="3"/>
  <c r="Z751" i="3"/>
  <c r="Z752" i="3"/>
  <c r="Z753" i="3"/>
  <c r="Z754" i="3"/>
  <c r="Z755" i="3"/>
  <c r="Z756" i="3"/>
  <c r="Z757" i="3"/>
  <c r="Z758" i="3"/>
  <c r="Z759" i="3"/>
  <c r="Z760" i="3"/>
  <c r="Z761" i="3"/>
  <c r="Z762" i="3"/>
  <c r="Z763" i="3"/>
  <c r="Z764" i="3"/>
  <c r="Z765" i="3"/>
  <c r="Z766" i="3"/>
  <c r="Z767" i="3"/>
  <c r="Z768" i="3"/>
  <c r="Z769" i="3"/>
  <c r="Z770" i="3"/>
  <c r="Z771" i="3"/>
  <c r="Z772" i="3"/>
  <c r="Z773" i="3"/>
  <c r="Z774" i="3"/>
  <c r="Z775" i="3"/>
  <c r="Z776" i="3"/>
  <c r="Z777" i="3"/>
  <c r="Z778" i="3"/>
  <c r="Z779" i="3"/>
  <c r="Z780" i="3"/>
  <c r="Z781" i="3"/>
  <c r="Z782" i="3"/>
  <c r="Z783" i="3"/>
  <c r="Z784" i="3"/>
  <c r="Z785" i="3"/>
  <c r="Z786" i="3"/>
  <c r="Z787" i="3"/>
  <c r="Z788" i="3"/>
  <c r="Z789" i="3"/>
  <c r="Z790" i="3"/>
  <c r="Z791" i="3"/>
  <c r="Z792" i="3"/>
  <c r="Z793" i="3"/>
  <c r="Z794" i="3"/>
  <c r="Z795" i="3"/>
  <c r="Z796" i="3"/>
  <c r="Z797" i="3"/>
  <c r="Z798" i="3"/>
  <c r="Z799" i="3"/>
  <c r="Z800" i="3"/>
  <c r="Z801" i="3"/>
  <c r="Z802" i="3"/>
  <c r="Z803" i="3"/>
  <c r="Z804" i="3"/>
  <c r="Z805" i="3"/>
  <c r="Z806" i="3"/>
  <c r="Z807" i="3"/>
  <c r="Z808" i="3"/>
  <c r="Z809" i="3"/>
  <c r="Z810" i="3"/>
  <c r="Z811" i="3"/>
  <c r="Z812" i="3"/>
  <c r="Z813" i="3"/>
  <c r="Z814" i="3"/>
  <c r="Z815" i="3"/>
  <c r="Z816" i="3"/>
  <c r="Z817" i="3"/>
  <c r="Z818" i="3"/>
  <c r="Z819" i="3"/>
  <c r="Z820" i="3"/>
  <c r="Z821" i="3"/>
  <c r="Z822" i="3"/>
  <c r="Z823" i="3"/>
  <c r="Z824" i="3"/>
  <c r="Z825" i="3"/>
  <c r="Z826" i="3"/>
  <c r="Z827" i="3"/>
  <c r="Z828" i="3"/>
  <c r="Z829" i="3"/>
  <c r="Z830" i="3"/>
  <c r="Z831" i="3"/>
  <c r="Z832" i="3"/>
  <c r="Z833" i="3"/>
  <c r="Z834" i="3"/>
  <c r="Z835" i="3"/>
  <c r="Z836" i="3"/>
  <c r="Z837" i="3"/>
  <c r="Z838" i="3"/>
  <c r="Z839" i="3"/>
  <c r="Z840" i="3"/>
  <c r="Z841" i="3"/>
  <c r="Z842" i="3"/>
  <c r="Z843" i="3"/>
  <c r="Z844" i="3"/>
  <c r="Z845" i="3"/>
  <c r="Z846" i="3"/>
  <c r="Z847" i="3"/>
  <c r="Z848" i="3"/>
  <c r="Z849" i="3"/>
  <c r="Z850" i="3"/>
  <c r="Z851" i="3"/>
  <c r="Z852" i="3"/>
  <c r="Z853" i="3"/>
  <c r="Z854" i="3"/>
  <c r="Z855" i="3"/>
  <c r="Z856" i="3"/>
  <c r="Z857" i="3"/>
  <c r="Z858" i="3"/>
  <c r="Z859" i="3"/>
  <c r="Z860" i="3"/>
  <c r="Z861" i="3"/>
  <c r="Z862" i="3"/>
  <c r="Z863" i="3"/>
  <c r="Z864" i="3"/>
  <c r="Z865" i="3"/>
  <c r="Z866" i="3"/>
  <c r="Z867" i="3"/>
  <c r="Z868" i="3"/>
  <c r="Z869" i="3"/>
  <c r="Z870" i="3"/>
  <c r="Z871" i="3"/>
  <c r="Z872" i="3"/>
  <c r="Z873" i="3"/>
  <c r="Z874" i="3"/>
  <c r="Z875" i="3"/>
  <c r="Z876" i="3"/>
  <c r="Z877" i="3"/>
  <c r="Z878" i="3"/>
  <c r="Z879" i="3"/>
  <c r="Z880" i="3"/>
  <c r="Z881" i="3"/>
  <c r="Z882" i="3"/>
  <c r="Z883" i="3"/>
  <c r="Z884" i="3"/>
  <c r="Z885" i="3"/>
  <c r="Z886" i="3"/>
  <c r="Z887" i="3"/>
  <c r="Z888" i="3"/>
  <c r="Z889" i="3"/>
  <c r="Z890" i="3"/>
  <c r="Z891" i="3"/>
  <c r="Z892" i="3"/>
  <c r="Z893" i="3"/>
  <c r="Z894" i="3"/>
  <c r="Z895" i="3"/>
  <c r="Z896" i="3"/>
  <c r="Z897" i="3"/>
  <c r="Z898" i="3"/>
  <c r="Z899" i="3"/>
  <c r="Z900" i="3"/>
  <c r="Z901" i="3"/>
  <c r="Z902" i="3"/>
  <c r="Z903" i="3"/>
  <c r="Z904" i="3"/>
  <c r="Z905" i="3"/>
  <c r="Z906" i="3"/>
  <c r="Z907" i="3"/>
  <c r="Z908" i="3"/>
  <c r="Z909" i="3"/>
  <c r="Z910" i="3"/>
  <c r="Z911" i="3"/>
  <c r="Z912" i="3"/>
  <c r="Z913" i="3"/>
  <c r="Z914" i="3"/>
  <c r="Z915" i="3"/>
  <c r="Z916" i="3"/>
  <c r="Z917" i="3"/>
  <c r="Z918" i="3"/>
  <c r="Z919" i="3"/>
  <c r="Z920" i="3"/>
  <c r="Z921" i="3"/>
  <c r="Z922" i="3"/>
  <c r="Z923" i="3"/>
  <c r="Z924" i="3"/>
  <c r="Z925" i="3"/>
  <c r="Z926" i="3"/>
  <c r="Z927" i="3"/>
  <c r="Z928" i="3"/>
  <c r="Z929" i="3"/>
  <c r="Z930" i="3"/>
  <c r="Z931" i="3"/>
  <c r="Z932" i="3"/>
  <c r="Z933" i="3"/>
  <c r="Z934" i="3"/>
  <c r="Z935" i="3"/>
  <c r="Z936" i="3"/>
  <c r="Z937" i="3"/>
  <c r="Z938" i="3"/>
  <c r="Z939" i="3"/>
  <c r="Z940" i="3"/>
  <c r="Z941" i="3"/>
  <c r="Z942" i="3"/>
  <c r="Z943" i="3"/>
  <c r="Z944" i="3"/>
  <c r="Z945" i="3"/>
  <c r="Z946" i="3"/>
  <c r="Z947" i="3"/>
  <c r="Z948" i="3"/>
  <c r="Z949" i="3"/>
  <c r="Z950" i="3"/>
  <c r="Z951" i="3"/>
  <c r="Z952" i="3"/>
  <c r="Z953" i="3"/>
  <c r="Z954" i="3"/>
  <c r="Z955" i="3"/>
  <c r="Z956" i="3"/>
  <c r="Z957" i="3"/>
  <c r="Z958" i="3"/>
  <c r="Z959" i="3"/>
  <c r="Z960" i="3"/>
  <c r="Z961" i="3"/>
  <c r="Z962" i="3"/>
  <c r="Z963" i="3"/>
  <c r="Z964" i="3"/>
  <c r="Z965" i="3"/>
  <c r="Z966" i="3"/>
  <c r="Z967" i="3"/>
  <c r="Z968" i="3"/>
  <c r="Z969" i="3"/>
  <c r="Z970" i="3"/>
  <c r="Z971" i="3"/>
  <c r="Z972" i="3"/>
  <c r="Z973" i="3"/>
  <c r="Z974" i="3"/>
  <c r="Z975" i="3"/>
  <c r="Z976" i="3"/>
  <c r="Z977" i="3"/>
  <c r="Z978" i="3"/>
  <c r="Z979" i="3"/>
  <c r="Z980" i="3"/>
  <c r="Z981" i="3"/>
  <c r="Z982" i="3"/>
  <c r="Z983" i="3"/>
  <c r="Z984" i="3"/>
  <c r="Z985" i="3"/>
  <c r="Z986" i="3"/>
  <c r="Z987" i="3"/>
  <c r="Z988" i="3"/>
  <c r="Z989" i="3"/>
  <c r="Z990" i="3"/>
  <c r="Z991" i="3"/>
  <c r="Z992" i="3"/>
  <c r="Z993" i="3"/>
  <c r="Z994" i="3"/>
  <c r="Z995" i="3"/>
  <c r="Z996" i="3"/>
  <c r="Z997" i="3"/>
  <c r="Z998" i="3"/>
  <c r="Z999" i="3"/>
  <c r="Z1000" i="3"/>
  <c r="Z1001" i="3"/>
  <c r="Z1002" i="3"/>
  <c r="Z1003" i="3"/>
  <c r="Z1004" i="3"/>
  <c r="Z1005" i="3"/>
  <c r="Z1006" i="3"/>
  <c r="Z1007" i="3"/>
  <c r="Z1008" i="3"/>
  <c r="Z1009" i="3"/>
  <c r="Z1010" i="3"/>
  <c r="Z1011" i="3"/>
  <c r="Z1012" i="3"/>
  <c r="Z1013" i="3"/>
  <c r="Z1014" i="3"/>
  <c r="Z1015" i="3"/>
  <c r="Z1016" i="3"/>
  <c r="Z1017" i="3"/>
  <c r="Z1018" i="3"/>
  <c r="Z1019" i="3"/>
  <c r="Z1020" i="3"/>
  <c r="Z1021" i="3"/>
  <c r="Z1022" i="3"/>
  <c r="Z1023" i="3"/>
  <c r="Z1024" i="3"/>
  <c r="Z1025" i="3"/>
  <c r="Z1026" i="3"/>
  <c r="Z1027" i="3"/>
  <c r="Z1028" i="3"/>
  <c r="Z1029" i="3"/>
  <c r="Z1030" i="3"/>
  <c r="Z1031" i="3"/>
  <c r="Z1032" i="3"/>
  <c r="Z1033" i="3"/>
  <c r="Z1034" i="3"/>
  <c r="Z1035" i="3"/>
  <c r="Z1036" i="3"/>
  <c r="Z1037" i="3"/>
  <c r="Z1038" i="3"/>
  <c r="Z1039" i="3"/>
  <c r="Z1040" i="3"/>
  <c r="Z1041" i="3"/>
  <c r="Z1042" i="3"/>
  <c r="Z1043" i="3"/>
  <c r="Z1044" i="3"/>
  <c r="Z1045" i="3"/>
  <c r="Z1046" i="3"/>
  <c r="Z1047" i="3"/>
  <c r="Z1048" i="3"/>
  <c r="Z1049" i="3"/>
  <c r="Z1050" i="3"/>
  <c r="Z1051" i="3"/>
  <c r="Z1052" i="3"/>
  <c r="Z1053" i="3"/>
  <c r="Z1054" i="3"/>
  <c r="Z1055" i="3"/>
  <c r="Z1056" i="3"/>
  <c r="Z1057" i="3"/>
  <c r="Z1058" i="3"/>
  <c r="Z1059" i="3"/>
  <c r="Z1060" i="3"/>
  <c r="Z1061" i="3"/>
  <c r="Z1062" i="3"/>
  <c r="Z1063" i="3"/>
  <c r="Z1064" i="3"/>
  <c r="Z1065" i="3"/>
  <c r="Z1066" i="3"/>
  <c r="Z1067" i="3"/>
  <c r="Z1068" i="3"/>
  <c r="Z1069" i="3"/>
  <c r="Z1070" i="3"/>
  <c r="Z1071" i="3"/>
  <c r="Z1072" i="3"/>
  <c r="Z1073" i="3"/>
  <c r="Z1074" i="3"/>
  <c r="Z1075" i="3"/>
  <c r="Z1076" i="3"/>
  <c r="Z1077" i="3"/>
  <c r="Z1078" i="3"/>
  <c r="Z1079" i="3"/>
  <c r="Z1080" i="3"/>
  <c r="Z1081" i="3"/>
  <c r="Z1082" i="3"/>
  <c r="Z1083" i="3"/>
  <c r="Z1084" i="3"/>
  <c r="Z1085" i="3"/>
  <c r="Z1086" i="3"/>
  <c r="Z1087" i="3"/>
  <c r="Z1088" i="3"/>
  <c r="Z1089" i="3"/>
  <c r="Z1090" i="3"/>
  <c r="Z1091" i="3"/>
  <c r="Z1092" i="3"/>
  <c r="Z1093" i="3"/>
  <c r="Z1094" i="3"/>
  <c r="Z1095" i="3"/>
  <c r="Z1096" i="3"/>
  <c r="Z1097" i="3"/>
  <c r="Z1098" i="3"/>
  <c r="Z1099" i="3"/>
  <c r="Z1100" i="3"/>
  <c r="Z1101" i="3"/>
  <c r="Z1102" i="3"/>
  <c r="Z1103" i="3"/>
  <c r="Z1104" i="3"/>
  <c r="Z1105" i="3"/>
  <c r="Z1106" i="3"/>
  <c r="Z1107" i="3"/>
  <c r="Z1108" i="3"/>
  <c r="Z1109" i="3"/>
  <c r="Z1110" i="3"/>
  <c r="Z1111" i="3"/>
  <c r="Z1112" i="3"/>
  <c r="Z1113" i="3"/>
  <c r="Z1114" i="3"/>
  <c r="Z1115" i="3"/>
  <c r="Z1116" i="3"/>
  <c r="Z1117" i="3"/>
  <c r="Z1118" i="3"/>
  <c r="Z1119" i="3"/>
  <c r="Z1120" i="3"/>
  <c r="Z1121" i="3"/>
  <c r="Z1122" i="3"/>
  <c r="Z1123" i="3"/>
  <c r="Z1124" i="3"/>
  <c r="Z1125" i="3"/>
  <c r="Z1126" i="3"/>
  <c r="Z1127" i="3"/>
  <c r="Z1128" i="3"/>
  <c r="Z1129" i="3"/>
  <c r="Z1130" i="3"/>
  <c r="Z1131" i="3"/>
  <c r="Z1132" i="3"/>
  <c r="Z1133" i="3"/>
  <c r="Z1134" i="3"/>
  <c r="Z1135" i="3"/>
  <c r="Z1136" i="3"/>
  <c r="Z1137" i="3"/>
  <c r="Z1138" i="3"/>
  <c r="Z1139" i="3"/>
  <c r="Z1140" i="3"/>
  <c r="Z1141" i="3"/>
  <c r="Z1142" i="3"/>
  <c r="Z1143" i="3"/>
  <c r="Z1144" i="3"/>
  <c r="Z1145" i="3"/>
  <c r="Z1146" i="3"/>
  <c r="Z1147" i="3"/>
  <c r="Z1148" i="3"/>
  <c r="Z1149" i="3"/>
  <c r="Z1150" i="3"/>
  <c r="Z1151" i="3"/>
  <c r="Z1152" i="3"/>
  <c r="Z1153" i="3"/>
  <c r="Z1154" i="3"/>
  <c r="Z1155" i="3"/>
  <c r="Z1156" i="3"/>
  <c r="Z1157" i="3"/>
  <c r="Z1158" i="3"/>
  <c r="Z1159" i="3"/>
  <c r="Z1160" i="3"/>
  <c r="Z1161" i="3"/>
  <c r="Z1162" i="3"/>
  <c r="Z1163" i="3"/>
  <c r="Z1164" i="3"/>
  <c r="Z1165" i="3"/>
  <c r="Z1166" i="3"/>
  <c r="Z1167" i="3"/>
  <c r="Z1168" i="3"/>
  <c r="Z1169" i="3"/>
  <c r="Z1170" i="3"/>
  <c r="Z1171" i="3"/>
  <c r="Z1172" i="3"/>
  <c r="Z1173" i="3"/>
  <c r="Z1174" i="3"/>
  <c r="Z1175" i="3"/>
  <c r="Z1176" i="3"/>
  <c r="Z1177" i="3"/>
  <c r="Z1178" i="3"/>
  <c r="Z1179" i="3"/>
  <c r="Z1180" i="3"/>
  <c r="Z1181" i="3"/>
  <c r="Z1182" i="3"/>
  <c r="Z1183" i="3"/>
  <c r="Z1184" i="3"/>
  <c r="Z1185" i="3"/>
  <c r="Z1186" i="3"/>
  <c r="Z1187" i="3"/>
  <c r="Z1188" i="3"/>
  <c r="Z1189" i="3"/>
  <c r="Z1190" i="3"/>
  <c r="Z1191" i="3"/>
  <c r="Z1192" i="3"/>
  <c r="Z1193" i="3"/>
  <c r="Z1194" i="3"/>
  <c r="Z1195" i="3"/>
  <c r="Z1196" i="3"/>
  <c r="Z1197" i="3"/>
  <c r="Z1198" i="3"/>
  <c r="Z1199" i="3"/>
  <c r="Z1200" i="3"/>
  <c r="Z1201" i="3"/>
  <c r="Z1202" i="3"/>
  <c r="Z1203" i="3"/>
  <c r="Z1204" i="3"/>
  <c r="Z1205" i="3"/>
  <c r="Z1206" i="3"/>
  <c r="Z1207" i="3"/>
  <c r="Z1208" i="3"/>
  <c r="Z1209" i="3"/>
  <c r="Z1210" i="3"/>
  <c r="Z1211" i="3"/>
  <c r="Z1212" i="3"/>
  <c r="Z1213" i="3"/>
  <c r="Z1214" i="3"/>
  <c r="Z1215" i="3"/>
  <c r="Z1216" i="3"/>
  <c r="Z1217" i="3"/>
  <c r="Z1218" i="3"/>
  <c r="Z1219" i="3"/>
  <c r="Z1220" i="3"/>
  <c r="Z1221" i="3"/>
  <c r="Z1222" i="3"/>
  <c r="Z1223" i="3"/>
  <c r="Z1224" i="3"/>
  <c r="Z1225" i="3"/>
  <c r="Z1226" i="3"/>
  <c r="Z1227" i="3"/>
  <c r="Z1228" i="3"/>
  <c r="Z1229" i="3"/>
  <c r="Z1230" i="3"/>
  <c r="Z1231" i="3"/>
  <c r="Z1232" i="3"/>
  <c r="Z1233" i="3"/>
  <c r="Z1234" i="3"/>
  <c r="Z1235" i="3"/>
  <c r="Z1236" i="3"/>
  <c r="Z1237" i="3"/>
  <c r="Z1238" i="3"/>
  <c r="Z1239" i="3"/>
  <c r="Z1240" i="3"/>
  <c r="Z1241" i="3"/>
  <c r="Z1242" i="3"/>
  <c r="Z1243" i="3"/>
  <c r="Z1244" i="3"/>
  <c r="Z1245" i="3"/>
  <c r="Z1246" i="3"/>
  <c r="Z1247" i="3"/>
  <c r="Z1248" i="3"/>
  <c r="Z1249" i="3"/>
  <c r="Z1250" i="3"/>
  <c r="Z1251" i="3"/>
  <c r="Z1252" i="3"/>
  <c r="Z1253" i="3"/>
  <c r="Z1254" i="3"/>
  <c r="Z1255" i="3"/>
  <c r="Z1256" i="3"/>
  <c r="Z1257" i="3"/>
  <c r="Z1258" i="3"/>
  <c r="Z1259" i="3"/>
  <c r="Z1260" i="3"/>
  <c r="Z1261" i="3"/>
  <c r="Z1262" i="3"/>
  <c r="Z1263" i="3"/>
  <c r="Z1264" i="3"/>
  <c r="Z1265" i="3"/>
  <c r="Z1266" i="3"/>
  <c r="Z1267" i="3"/>
  <c r="Z1268" i="3"/>
  <c r="Z1269" i="3"/>
  <c r="Z1270" i="3"/>
  <c r="Z1271" i="3"/>
  <c r="Z1272" i="3"/>
  <c r="Z1273" i="3"/>
  <c r="Z1274" i="3"/>
  <c r="Z1275" i="3"/>
  <c r="Z1276" i="3"/>
  <c r="Z1277" i="3"/>
  <c r="Z1278" i="3"/>
  <c r="Z1279" i="3"/>
  <c r="Z1280" i="3"/>
  <c r="Z1281" i="3"/>
  <c r="Z1282" i="3"/>
  <c r="Z1283" i="3"/>
  <c r="Z1284" i="3"/>
  <c r="Z1285" i="3"/>
  <c r="Z1286" i="3"/>
  <c r="Z1287" i="3"/>
  <c r="Z1288" i="3"/>
  <c r="Z1289" i="3"/>
  <c r="Z1290" i="3"/>
  <c r="Z1291" i="3"/>
  <c r="Z1292" i="3"/>
  <c r="Z1293" i="3"/>
  <c r="Z1294" i="3"/>
  <c r="Z1295" i="3"/>
  <c r="Z1296" i="3"/>
  <c r="Z1297" i="3"/>
  <c r="Z1298" i="3"/>
  <c r="Z1299" i="3"/>
  <c r="Z1300" i="3"/>
  <c r="Z1301" i="3"/>
  <c r="Z1302" i="3"/>
  <c r="Z1303" i="3"/>
  <c r="Z1304" i="3"/>
  <c r="Z1305" i="3"/>
  <c r="Z1306" i="3"/>
  <c r="Z1307" i="3"/>
  <c r="Z1308" i="3"/>
  <c r="Z1309" i="3"/>
  <c r="Z1310" i="3"/>
  <c r="Z1311" i="3"/>
  <c r="Z1312" i="3"/>
  <c r="Z1313" i="3"/>
  <c r="Z1314" i="3"/>
  <c r="Z1315" i="3"/>
  <c r="Z1316" i="3"/>
  <c r="Z1317" i="3"/>
  <c r="Z1318" i="3"/>
  <c r="Z1319" i="3"/>
  <c r="Z1320" i="3"/>
  <c r="Z1321" i="3"/>
  <c r="Z1322" i="3"/>
  <c r="Z1323" i="3"/>
  <c r="Z1324" i="3"/>
  <c r="Z1325" i="3"/>
  <c r="Z1326" i="3"/>
  <c r="Z1327" i="3"/>
  <c r="Z1328" i="3"/>
  <c r="Z1329" i="3"/>
  <c r="Z1330" i="3"/>
  <c r="Z1331" i="3"/>
  <c r="Z1332" i="3"/>
  <c r="Z1333" i="3"/>
  <c r="Z1334" i="3"/>
  <c r="Z1335" i="3"/>
  <c r="Z1336" i="3"/>
  <c r="Z1337" i="3"/>
  <c r="Z1338" i="3"/>
  <c r="Z1339" i="3"/>
  <c r="Z1340" i="3"/>
  <c r="Z1341" i="3"/>
  <c r="Z1342" i="3"/>
  <c r="Z1343" i="3"/>
  <c r="Z1344" i="3"/>
  <c r="Z1345" i="3"/>
  <c r="Z1346" i="3"/>
  <c r="Z1347" i="3"/>
  <c r="Z1348" i="3"/>
  <c r="Z1349" i="3"/>
  <c r="Z1350" i="3"/>
  <c r="Z1351" i="3"/>
  <c r="Z1352" i="3"/>
  <c r="Z1353" i="3"/>
  <c r="Z1354" i="3"/>
  <c r="Z1355" i="3"/>
  <c r="Z1356" i="3"/>
  <c r="Z1357" i="3"/>
  <c r="Z1358" i="3"/>
  <c r="Z1359" i="3"/>
  <c r="Z1360" i="3"/>
  <c r="Z1361" i="3"/>
  <c r="Z1362" i="3"/>
  <c r="Z1363" i="3"/>
  <c r="Z1364" i="3"/>
  <c r="Z1365" i="3"/>
  <c r="Z1366" i="3"/>
  <c r="Z1367" i="3"/>
  <c r="Z1368" i="3"/>
  <c r="Z1369" i="3"/>
  <c r="Z1370" i="3"/>
  <c r="Z1371" i="3"/>
  <c r="Z1372" i="3"/>
  <c r="Z1373" i="3"/>
  <c r="Z1374" i="3"/>
  <c r="Z1375" i="3"/>
  <c r="Z1376" i="3"/>
  <c r="Z1377" i="3"/>
  <c r="Z1378" i="3"/>
  <c r="Z1379" i="3"/>
  <c r="Z1380" i="3"/>
  <c r="Z1381" i="3"/>
  <c r="Z1382" i="3"/>
  <c r="Z1383" i="3"/>
  <c r="Z1384" i="3"/>
  <c r="Z1385" i="3"/>
  <c r="Z1386" i="3"/>
  <c r="Z1387" i="3"/>
  <c r="Z1388" i="3"/>
  <c r="Z1389" i="3"/>
  <c r="Z1390" i="3"/>
  <c r="Z1391" i="3"/>
  <c r="Z1392" i="3"/>
  <c r="Z1393" i="3"/>
  <c r="Z1394" i="3"/>
  <c r="Z1395" i="3"/>
  <c r="Z1396" i="3"/>
  <c r="Z1397" i="3"/>
  <c r="Z1398" i="3"/>
  <c r="Z1399" i="3"/>
  <c r="Z1400" i="3"/>
  <c r="Z1401" i="3"/>
  <c r="Z1402" i="3"/>
  <c r="Z1403" i="3"/>
  <c r="Z1404" i="3"/>
  <c r="Z1405" i="3"/>
  <c r="Z1406" i="3"/>
  <c r="Z1407" i="3"/>
  <c r="Z1408" i="3"/>
  <c r="Z1409" i="3"/>
  <c r="Z1410" i="3"/>
  <c r="Z1411" i="3"/>
  <c r="Z1412" i="3"/>
  <c r="Z1413" i="3"/>
  <c r="Z1414" i="3"/>
  <c r="Z1415" i="3"/>
  <c r="Z1416" i="3"/>
  <c r="Z1417" i="3"/>
  <c r="Z1418" i="3"/>
  <c r="Z1419" i="3"/>
  <c r="Z1420" i="3"/>
  <c r="Z1421" i="3"/>
  <c r="Z1422" i="3"/>
  <c r="Z1423" i="3"/>
  <c r="Z1424" i="3"/>
  <c r="Z1425" i="3"/>
  <c r="Z1426" i="3"/>
  <c r="Z1427" i="3"/>
  <c r="Z1428" i="3"/>
  <c r="Z1429" i="3"/>
  <c r="Z1430" i="3"/>
  <c r="Z1431" i="3"/>
  <c r="Z1432" i="3"/>
  <c r="Z1433" i="3"/>
  <c r="Z1434" i="3"/>
  <c r="Z1435" i="3"/>
  <c r="Z1436" i="3"/>
  <c r="Z1437" i="3"/>
  <c r="Z1438" i="3"/>
  <c r="Z1439" i="3"/>
  <c r="Z1440" i="3"/>
  <c r="Z1441" i="3"/>
  <c r="Z1442" i="3"/>
  <c r="Z1443" i="3"/>
  <c r="Z1444" i="3"/>
  <c r="Z1445" i="3"/>
  <c r="Z1446" i="3"/>
  <c r="Z1447" i="3"/>
  <c r="Z1448" i="3"/>
  <c r="Z1449" i="3"/>
  <c r="Z1450" i="3"/>
  <c r="Z1451" i="3"/>
  <c r="Z1452" i="3"/>
  <c r="Z1453" i="3"/>
  <c r="Z1454" i="3"/>
  <c r="Z1455" i="3"/>
  <c r="Z1456" i="3"/>
  <c r="Z1457" i="3"/>
  <c r="Z1458" i="3"/>
  <c r="Z1459" i="3"/>
  <c r="Z1460" i="3"/>
  <c r="Z1461" i="3"/>
  <c r="Z1462" i="3"/>
  <c r="Z1463" i="3"/>
  <c r="Z1464" i="3"/>
  <c r="Z1465" i="3"/>
  <c r="Z1466" i="3"/>
  <c r="Z1467" i="3"/>
  <c r="Z1468" i="3"/>
  <c r="Z1469" i="3"/>
  <c r="Z1470" i="3"/>
  <c r="Z1471" i="3"/>
  <c r="Z1472" i="3"/>
  <c r="Z1473" i="3"/>
  <c r="Z1474" i="3"/>
  <c r="Z1475" i="3"/>
  <c r="Z1476" i="3"/>
  <c r="Z1477" i="3"/>
  <c r="Z1478" i="3"/>
  <c r="Z1479" i="3"/>
  <c r="Z1480" i="3"/>
  <c r="Z1481" i="3"/>
  <c r="Z1482" i="3"/>
  <c r="Z1483" i="3"/>
  <c r="Z1484" i="3"/>
  <c r="Z1485" i="3"/>
  <c r="Z1486" i="3"/>
  <c r="Z1487" i="3"/>
  <c r="Z1488" i="3"/>
  <c r="Z1489" i="3"/>
  <c r="Z1490" i="3"/>
  <c r="Z1491" i="3"/>
  <c r="Z1492" i="3"/>
  <c r="Z1493" i="3"/>
  <c r="Z1494" i="3"/>
  <c r="Z1495" i="3"/>
  <c r="Z1496" i="3"/>
  <c r="Z1497" i="3"/>
  <c r="Z1498" i="3"/>
  <c r="Z1499" i="3"/>
  <c r="Z1500" i="3"/>
  <c r="Z1501" i="3"/>
  <c r="Z1502" i="3"/>
  <c r="Z1503" i="3"/>
  <c r="Z1504" i="3"/>
  <c r="Z1505" i="3"/>
  <c r="Z1506" i="3"/>
  <c r="Z1507" i="3"/>
  <c r="Z1508" i="3"/>
  <c r="Z1509" i="3"/>
  <c r="Z1510" i="3"/>
  <c r="Z1511" i="3"/>
  <c r="Z1512" i="3"/>
  <c r="Z1513" i="3"/>
  <c r="Z1514" i="3"/>
  <c r="Z1515" i="3"/>
  <c r="Z1516" i="3"/>
  <c r="Z1517" i="3"/>
  <c r="Z1518" i="3"/>
  <c r="Z1519" i="3"/>
  <c r="Z1520" i="3"/>
  <c r="Z1521" i="3"/>
  <c r="Z1522" i="3"/>
  <c r="Z1523" i="3"/>
  <c r="Z1524" i="3"/>
  <c r="Z1525" i="3"/>
  <c r="Z1526" i="3"/>
  <c r="Z1527" i="3"/>
  <c r="Z1528" i="3"/>
  <c r="Z1529" i="3"/>
  <c r="Z1530" i="3"/>
  <c r="Z1531" i="3"/>
  <c r="Z1532" i="3"/>
  <c r="Z1533" i="3"/>
  <c r="Z1534" i="3"/>
  <c r="Z1535" i="3"/>
  <c r="Z1536" i="3"/>
  <c r="Z1537" i="3"/>
  <c r="Z1538" i="3"/>
  <c r="Z1539" i="3"/>
  <c r="Z1540" i="3"/>
  <c r="Z1541" i="3"/>
  <c r="Z1542" i="3"/>
  <c r="Z1543" i="3"/>
  <c r="Z1544" i="3"/>
  <c r="Z1545" i="3"/>
  <c r="Z1546" i="3"/>
  <c r="Z1547" i="3"/>
  <c r="Z1548" i="3"/>
  <c r="Z1549" i="3"/>
  <c r="Z1550" i="3"/>
  <c r="Z1551" i="3"/>
  <c r="Z1552" i="3"/>
  <c r="Z1553" i="3"/>
  <c r="Z1554" i="3"/>
  <c r="Z1555" i="3"/>
  <c r="Z1556" i="3"/>
  <c r="Z1557" i="3"/>
  <c r="Z1558" i="3"/>
  <c r="Z1559" i="3"/>
  <c r="Z1560" i="3"/>
  <c r="Z1561" i="3"/>
  <c r="Z1562" i="3"/>
  <c r="Z1563" i="3"/>
  <c r="Z1564" i="3"/>
  <c r="Z1565" i="3"/>
  <c r="Z1566" i="3"/>
  <c r="Z1567" i="3"/>
  <c r="Z1568" i="3"/>
  <c r="Z1569" i="3"/>
  <c r="Z1570" i="3"/>
  <c r="Z1571" i="3"/>
  <c r="Z1572" i="3"/>
  <c r="Z1573" i="3"/>
  <c r="Z1574" i="3"/>
  <c r="Z1575" i="3"/>
  <c r="Z1576" i="3"/>
  <c r="Z1577" i="3"/>
  <c r="Z1578" i="3"/>
  <c r="Z1579" i="3"/>
  <c r="Z1580" i="3"/>
  <c r="Z1581" i="3"/>
  <c r="Z1582" i="3"/>
  <c r="Z1583" i="3"/>
  <c r="Z1584" i="3"/>
  <c r="Z1585" i="3"/>
  <c r="Z1586" i="3"/>
  <c r="Z1587" i="3"/>
  <c r="Z1588" i="3"/>
  <c r="Z1589" i="3"/>
  <c r="Z1590" i="3"/>
  <c r="Z1591" i="3"/>
  <c r="Z1592" i="3"/>
  <c r="Z1593" i="3"/>
  <c r="Z1594" i="3"/>
  <c r="Z1595" i="3"/>
  <c r="Z1596" i="3"/>
  <c r="Z1597" i="3"/>
  <c r="Z1598" i="3"/>
  <c r="Z1599" i="3"/>
  <c r="Z1600" i="3"/>
  <c r="Z1601" i="3"/>
  <c r="Z1602" i="3"/>
  <c r="Z1603" i="3"/>
  <c r="Z1604" i="3"/>
  <c r="Z1605" i="3"/>
  <c r="Z1606" i="3"/>
  <c r="Z1607" i="3"/>
  <c r="Z1608" i="3"/>
  <c r="Z1609" i="3"/>
  <c r="Z1610" i="3"/>
  <c r="Z1611" i="3"/>
  <c r="Z1612" i="3"/>
  <c r="Z1613" i="3"/>
  <c r="Z1614" i="3"/>
  <c r="Z1615" i="3"/>
  <c r="Z1616" i="3"/>
  <c r="Z1617" i="3"/>
  <c r="Z1618" i="3"/>
  <c r="Z1619" i="3"/>
  <c r="Z1620" i="3"/>
  <c r="Z1621" i="3"/>
  <c r="Z1622" i="3"/>
  <c r="Z1623" i="3"/>
  <c r="Z1624" i="3"/>
  <c r="Z1625" i="3"/>
  <c r="Z1626" i="3"/>
  <c r="Z1627" i="3"/>
  <c r="Z1628" i="3"/>
  <c r="Z1629" i="3"/>
  <c r="Z1630" i="3"/>
  <c r="Z1631" i="3"/>
  <c r="Z1632" i="3"/>
  <c r="Z1633" i="3"/>
  <c r="Z1634" i="3"/>
  <c r="Z1635" i="3"/>
  <c r="Z1636" i="3"/>
  <c r="Z1637" i="3"/>
  <c r="Z1638" i="3"/>
  <c r="Z1639" i="3"/>
  <c r="Z1640" i="3"/>
  <c r="Z1641" i="3"/>
  <c r="Z1642" i="3"/>
  <c r="Z1643" i="3"/>
  <c r="Z1644" i="3"/>
  <c r="Z1645" i="3"/>
  <c r="Z1646" i="3"/>
  <c r="Z1647" i="3"/>
  <c r="Z1648" i="3"/>
  <c r="Z1649" i="3"/>
  <c r="Z1650" i="3"/>
  <c r="Z1651" i="3"/>
  <c r="Z1652" i="3"/>
  <c r="Z1653" i="3"/>
  <c r="Z1654" i="3"/>
  <c r="Z1655" i="3"/>
  <c r="Z1656" i="3"/>
  <c r="Z1657" i="3"/>
  <c r="Z1658" i="3"/>
  <c r="Z1659" i="3"/>
  <c r="Z1660" i="3"/>
  <c r="Z1661" i="3"/>
  <c r="Z1662" i="3"/>
  <c r="Z1663" i="3"/>
  <c r="Z1664" i="3"/>
  <c r="Z1665" i="3"/>
  <c r="Z1666" i="3"/>
  <c r="Z1667" i="3"/>
  <c r="Z1668" i="3"/>
  <c r="Z1669" i="3"/>
  <c r="Z1670" i="3"/>
  <c r="Z1671" i="3"/>
  <c r="Z1672" i="3"/>
  <c r="Z1673" i="3"/>
  <c r="Z1674" i="3"/>
  <c r="Z1675" i="3"/>
  <c r="Z1676" i="3"/>
  <c r="Z1677" i="3"/>
  <c r="Z1678" i="3"/>
  <c r="Z1679" i="3"/>
  <c r="Z1680" i="3"/>
  <c r="Z1681" i="3"/>
  <c r="Z1682" i="3"/>
  <c r="Z1683" i="3"/>
  <c r="Z1684" i="3"/>
  <c r="Z1685" i="3"/>
  <c r="Z1686" i="3"/>
  <c r="Z1687" i="3"/>
  <c r="Z1688" i="3"/>
  <c r="Z1689" i="3"/>
  <c r="Z1690" i="3"/>
  <c r="Z1691" i="3"/>
  <c r="Z1692" i="3"/>
  <c r="Z1693" i="3"/>
  <c r="Z1694" i="3"/>
  <c r="Z1695" i="3"/>
  <c r="Z1696" i="3"/>
  <c r="Z1697" i="3"/>
  <c r="Z1698" i="3"/>
  <c r="Z1699" i="3"/>
  <c r="Z1700" i="3"/>
  <c r="Z1701" i="3"/>
  <c r="Z1702" i="3"/>
  <c r="Z1703" i="3"/>
  <c r="Z1704" i="3"/>
  <c r="Z1705" i="3"/>
  <c r="Z1706" i="3"/>
  <c r="Z1707" i="3"/>
  <c r="Z1708" i="3"/>
  <c r="Z1709" i="3"/>
  <c r="Z1710" i="3"/>
  <c r="Z1711" i="3"/>
  <c r="Z1712" i="3"/>
  <c r="Z1713" i="3"/>
  <c r="Z1714" i="3"/>
  <c r="Z1715" i="3"/>
  <c r="Z1716" i="3"/>
  <c r="Z1717" i="3"/>
  <c r="Z1718" i="3"/>
  <c r="Z1719" i="3"/>
  <c r="Z1720" i="3"/>
  <c r="Z1721" i="3"/>
  <c r="Z1722" i="3"/>
  <c r="Z1723" i="3"/>
  <c r="Z1724" i="3"/>
  <c r="Z1725" i="3"/>
  <c r="Z1726" i="3"/>
  <c r="Z1727" i="3"/>
  <c r="Z1728" i="3"/>
  <c r="Z1729" i="3"/>
  <c r="Z1730" i="3"/>
  <c r="Z1731" i="3"/>
  <c r="Z1732" i="3"/>
  <c r="Z1733" i="3"/>
  <c r="Z1734" i="3"/>
  <c r="Z1735" i="3"/>
  <c r="Z1736" i="3"/>
  <c r="Z1737" i="3"/>
  <c r="Z1738" i="3"/>
  <c r="Z1739" i="3"/>
  <c r="Z1740" i="3"/>
  <c r="Z1741" i="3"/>
  <c r="Z1742" i="3"/>
  <c r="Z1743" i="3"/>
  <c r="Z1744" i="3"/>
  <c r="Z1745" i="3"/>
  <c r="Z1746" i="3"/>
  <c r="Z1747" i="3"/>
  <c r="Z1748" i="3"/>
  <c r="Z1749" i="3"/>
  <c r="Z1750" i="3"/>
  <c r="Z1751" i="3"/>
  <c r="Z1752" i="3"/>
  <c r="Z1753" i="3"/>
  <c r="Z1754" i="3"/>
  <c r="Z1755" i="3"/>
  <c r="Z1756" i="3"/>
  <c r="Z1757" i="3"/>
  <c r="Z1758" i="3"/>
  <c r="Z1759" i="3"/>
  <c r="Z1760" i="3"/>
  <c r="Z1761" i="3"/>
  <c r="Z1762" i="3"/>
  <c r="Z1763" i="3"/>
  <c r="Z1764" i="3"/>
  <c r="Z1765" i="3"/>
  <c r="Z1766" i="3"/>
  <c r="Z1767" i="3"/>
  <c r="Z1768" i="3"/>
  <c r="Z1769" i="3"/>
  <c r="Z1770" i="3"/>
  <c r="Z1771" i="3"/>
  <c r="Z1772" i="3"/>
  <c r="Z1773" i="3"/>
  <c r="Z1774" i="3"/>
  <c r="Z1775" i="3"/>
  <c r="Z1776" i="3"/>
  <c r="Z1777" i="3"/>
  <c r="Z1778" i="3"/>
  <c r="Z1779" i="3"/>
  <c r="Z1780" i="3"/>
  <c r="Z1781" i="3"/>
  <c r="Z1782" i="3"/>
  <c r="Z1783" i="3"/>
  <c r="Z1784" i="3"/>
  <c r="Z1785" i="3"/>
  <c r="Z1786" i="3"/>
  <c r="Z1787" i="3"/>
  <c r="Z1788" i="3"/>
  <c r="Z1789" i="3"/>
  <c r="Z1790" i="3"/>
  <c r="Z1791" i="3"/>
  <c r="Z1792" i="3"/>
  <c r="Z1793" i="3"/>
  <c r="Z1794" i="3"/>
  <c r="Z1795" i="3"/>
  <c r="Z1796" i="3"/>
  <c r="Z1797" i="3"/>
  <c r="Z1798" i="3"/>
  <c r="Z1799" i="3"/>
  <c r="Z1800" i="3"/>
  <c r="Z1801" i="3"/>
  <c r="Z1802" i="3"/>
  <c r="Z1803" i="3"/>
  <c r="Z1804" i="3"/>
  <c r="Z1805" i="3"/>
  <c r="Z1806" i="3"/>
  <c r="Z1807" i="3"/>
  <c r="Z1808" i="3"/>
  <c r="Z1809" i="3"/>
  <c r="Z1810" i="3"/>
  <c r="Z1811" i="3"/>
  <c r="Z1812" i="3"/>
  <c r="Z1813" i="3"/>
  <c r="Z1814" i="3"/>
  <c r="Z1815" i="3"/>
  <c r="Z1816" i="3"/>
  <c r="Z1817" i="3"/>
  <c r="Z1818" i="3"/>
  <c r="Z1819" i="3"/>
  <c r="Z1820" i="3"/>
  <c r="Z1821" i="3"/>
  <c r="Z1822" i="3"/>
  <c r="Z1823" i="3"/>
  <c r="Z1824" i="3"/>
  <c r="Z1825" i="3"/>
  <c r="Z1826" i="3"/>
  <c r="Z1827" i="3"/>
  <c r="Z1828" i="3"/>
  <c r="Z1829" i="3"/>
  <c r="Z1830" i="3"/>
  <c r="Z1831" i="3"/>
  <c r="Z1832" i="3"/>
  <c r="Z1833" i="3"/>
  <c r="Z1834" i="3"/>
  <c r="Z1835" i="3"/>
  <c r="Z1836" i="3"/>
  <c r="Z1837" i="3"/>
  <c r="Z1838" i="3"/>
  <c r="Z1839" i="3"/>
  <c r="Z1840" i="3"/>
  <c r="Z1841" i="3"/>
  <c r="Z1842" i="3"/>
  <c r="Z1843" i="3"/>
  <c r="Z1844" i="3"/>
  <c r="Z1845" i="3"/>
  <c r="Z1846" i="3"/>
  <c r="Z1847" i="3"/>
  <c r="Z1848" i="3"/>
  <c r="Z1849" i="3"/>
  <c r="Z1850" i="3"/>
  <c r="Z1851" i="3"/>
  <c r="Z1852" i="3"/>
  <c r="Z1853" i="3"/>
  <c r="Z1854" i="3"/>
  <c r="Z1855" i="3"/>
  <c r="Z1856" i="3"/>
  <c r="Z1857" i="3"/>
  <c r="Z1858" i="3"/>
  <c r="Z1859" i="3"/>
  <c r="Z1860" i="3"/>
  <c r="Z1861" i="3"/>
  <c r="Z1862" i="3"/>
  <c r="Z1863" i="3"/>
  <c r="Z1864" i="3"/>
  <c r="Z1865" i="3"/>
  <c r="Z1866" i="3"/>
  <c r="Z1867" i="3"/>
  <c r="Z1868" i="3"/>
  <c r="Z1869" i="3"/>
  <c r="Z1870" i="3"/>
  <c r="Z1871" i="3"/>
  <c r="Z1872" i="3"/>
  <c r="Z1873" i="3"/>
  <c r="Z1874" i="3"/>
  <c r="Z1875" i="3"/>
  <c r="Z1876" i="3"/>
  <c r="Z1877" i="3"/>
  <c r="Z1878" i="3"/>
  <c r="Z1879" i="3"/>
  <c r="Z1880" i="3"/>
  <c r="Z1881" i="3"/>
  <c r="Z1882" i="3"/>
  <c r="Z1883" i="3"/>
  <c r="Z1884" i="3"/>
  <c r="Z1885" i="3"/>
  <c r="Z1886" i="3"/>
  <c r="Z1887" i="3"/>
  <c r="Z1888" i="3"/>
  <c r="Z1889" i="3"/>
  <c r="Z1890" i="3"/>
  <c r="Z1891" i="3"/>
  <c r="Z1892" i="3"/>
  <c r="Z1893" i="3"/>
  <c r="Z1894" i="3"/>
  <c r="Z1895" i="3"/>
  <c r="Z1896" i="3"/>
  <c r="Z1897" i="3"/>
  <c r="Z1898" i="3"/>
  <c r="Z1899" i="3"/>
  <c r="Z1900" i="3"/>
  <c r="Z1901" i="3"/>
  <c r="Z1902" i="3"/>
  <c r="Z1903" i="3"/>
  <c r="Z1904" i="3"/>
  <c r="Z1905" i="3"/>
  <c r="Z1906" i="3"/>
  <c r="Z1907" i="3"/>
  <c r="Z1908" i="3"/>
  <c r="Z1909" i="3"/>
  <c r="Z1910" i="3"/>
  <c r="Z1911" i="3"/>
  <c r="Z1912" i="3"/>
  <c r="Z1913" i="3"/>
  <c r="Z1914" i="3"/>
  <c r="Z1915" i="3"/>
  <c r="Z1916" i="3"/>
  <c r="Z1917" i="3"/>
  <c r="Z1918" i="3"/>
  <c r="Z1919" i="3"/>
  <c r="Z1920" i="3"/>
  <c r="Z1921" i="3"/>
  <c r="Z1922" i="3"/>
  <c r="Z1923" i="3"/>
  <c r="Z1924" i="3"/>
  <c r="Z1925" i="3"/>
  <c r="Z1926" i="3"/>
  <c r="Z1927" i="3"/>
  <c r="Z1928" i="3"/>
  <c r="Z1929" i="3"/>
  <c r="Z1930" i="3"/>
  <c r="Z1931" i="3"/>
  <c r="Z1932" i="3"/>
  <c r="Z1933" i="3"/>
  <c r="Z1934" i="3"/>
  <c r="Z1935" i="3"/>
  <c r="Z1936" i="3"/>
  <c r="Z1937" i="3"/>
  <c r="Z1938" i="3"/>
  <c r="Z1939" i="3"/>
  <c r="Z1940" i="3"/>
  <c r="Z1941" i="3"/>
  <c r="Z1942" i="3"/>
  <c r="Z1943" i="3"/>
  <c r="Z1944" i="3"/>
  <c r="Z1945" i="3"/>
  <c r="Z1946" i="3"/>
  <c r="Z1947" i="3"/>
  <c r="Z1948" i="3"/>
  <c r="Z1949" i="3"/>
  <c r="Z1950" i="3"/>
  <c r="Z1951" i="3"/>
  <c r="Z1952" i="3"/>
  <c r="Z1953" i="3"/>
  <c r="Z1954" i="3"/>
  <c r="Z1955" i="3"/>
  <c r="Z1956" i="3"/>
  <c r="Z1957" i="3"/>
  <c r="Z1958" i="3"/>
  <c r="Z1959" i="3"/>
  <c r="Z1960" i="3"/>
  <c r="Z1961" i="3"/>
  <c r="Z1962" i="3"/>
  <c r="Z1963" i="3"/>
  <c r="Z1964" i="3"/>
  <c r="Z1965" i="3"/>
  <c r="Z1966" i="3"/>
  <c r="Z1967" i="3"/>
  <c r="Z1968" i="3"/>
  <c r="Z1969" i="3"/>
  <c r="Z1970" i="3"/>
  <c r="Z1971" i="3"/>
  <c r="Z1972" i="3"/>
  <c r="Z1973" i="3"/>
  <c r="Z1974" i="3"/>
  <c r="Z1975" i="3"/>
  <c r="Z1976" i="3"/>
  <c r="Z1977" i="3"/>
  <c r="Z1978" i="3"/>
  <c r="Z1979" i="3"/>
  <c r="Z1980" i="3"/>
  <c r="Z1981" i="3"/>
  <c r="Z1982" i="3"/>
  <c r="Z1983" i="3"/>
  <c r="Z1984" i="3"/>
  <c r="Z1985" i="3"/>
  <c r="Z1986" i="3"/>
  <c r="Z1987" i="3"/>
  <c r="Z1988" i="3"/>
  <c r="Z1989" i="3"/>
  <c r="Z1990" i="3"/>
  <c r="Z1991" i="3"/>
  <c r="Z1992" i="3"/>
  <c r="Z1993" i="3"/>
  <c r="Z1994" i="3"/>
  <c r="Z1995" i="3"/>
  <c r="Z1996" i="3"/>
  <c r="Z1997" i="3"/>
  <c r="Z1998" i="3"/>
  <c r="Z1999" i="3"/>
  <c r="Z2000" i="3"/>
  <c r="Z2001" i="3"/>
  <c r="Z2002" i="3"/>
  <c r="Z2003" i="3"/>
  <c r="Z2004" i="3"/>
  <c r="Z2005" i="3"/>
  <c r="Z2006" i="3"/>
  <c r="Z2007" i="3"/>
  <c r="Z2008" i="3"/>
  <c r="Z2009" i="3"/>
  <c r="Z2010" i="3"/>
  <c r="Z2011" i="3"/>
  <c r="Z2012" i="3"/>
  <c r="Z2013" i="3"/>
  <c r="Z2014" i="3"/>
  <c r="Z2015" i="3"/>
  <c r="Z2016" i="3"/>
  <c r="Z2017" i="3"/>
  <c r="Z2018" i="3"/>
  <c r="Z2019" i="3"/>
  <c r="Z2020" i="3"/>
  <c r="Z2021" i="3"/>
  <c r="Z2022" i="3"/>
  <c r="Z2023" i="3"/>
  <c r="Z2024" i="3"/>
  <c r="Z2025" i="3"/>
  <c r="Z2026" i="3"/>
  <c r="Z2027" i="3"/>
  <c r="Z2028" i="3"/>
  <c r="Z2029" i="3"/>
  <c r="Z2030" i="3"/>
  <c r="Z2031" i="3"/>
  <c r="Z2032" i="3"/>
  <c r="Z2033" i="3"/>
  <c r="Z2034" i="3"/>
  <c r="Z2035" i="3"/>
  <c r="Z2036" i="3"/>
  <c r="Z2037" i="3"/>
  <c r="Z2038" i="3"/>
  <c r="Z2039" i="3"/>
  <c r="Z2040" i="3"/>
  <c r="Z2041" i="3"/>
  <c r="Z2042" i="3"/>
  <c r="Z2043" i="3"/>
  <c r="Z2044" i="3"/>
  <c r="Z2045" i="3"/>
  <c r="Z2046" i="3"/>
  <c r="Z2047" i="3"/>
  <c r="Z2048" i="3"/>
  <c r="Z2049" i="3"/>
  <c r="Z2050" i="3"/>
  <c r="Z2051" i="3"/>
  <c r="Z2052" i="3"/>
  <c r="Z2053" i="3"/>
  <c r="Z2054" i="3"/>
  <c r="Z2055" i="3"/>
  <c r="Z2056" i="3"/>
  <c r="Z2057" i="3"/>
  <c r="Z2058" i="3"/>
  <c r="Z2059" i="3"/>
  <c r="Z2060" i="3"/>
  <c r="Z2061" i="3"/>
  <c r="Z2062" i="3"/>
  <c r="Z2063" i="3"/>
  <c r="Z2064" i="3"/>
  <c r="Z2065" i="3"/>
  <c r="Z2066" i="3"/>
  <c r="Z2067" i="3"/>
  <c r="Z2068" i="3"/>
  <c r="Z2069" i="3"/>
  <c r="Z2070" i="3"/>
  <c r="Z2071" i="3"/>
  <c r="Z2072" i="3"/>
  <c r="Z2073" i="3"/>
  <c r="Z2074" i="3"/>
  <c r="Z2075" i="3"/>
  <c r="Z2076" i="3"/>
  <c r="Z2077" i="3"/>
  <c r="Z2078" i="3"/>
  <c r="Z2079" i="3"/>
  <c r="Z2080" i="3"/>
  <c r="Z2081" i="3"/>
  <c r="Z2082" i="3"/>
  <c r="Z2083" i="3"/>
  <c r="Z2084" i="3"/>
  <c r="Z2085" i="3"/>
  <c r="Z2086" i="3"/>
  <c r="Z2087" i="3"/>
  <c r="Z2088" i="3"/>
  <c r="Z2089" i="3"/>
  <c r="Z2090" i="3"/>
  <c r="Z2091" i="3"/>
  <c r="Z2092" i="3"/>
  <c r="Z2093" i="3"/>
  <c r="Z2094" i="3"/>
  <c r="Z2095" i="3"/>
  <c r="Z2096" i="3"/>
  <c r="Z2097" i="3"/>
  <c r="Z2098" i="3"/>
  <c r="Z2099" i="3"/>
  <c r="Z2100" i="3"/>
  <c r="Z2101" i="3"/>
  <c r="Z2102" i="3"/>
  <c r="Z2103" i="3"/>
  <c r="Z2104" i="3"/>
  <c r="Z2105" i="3"/>
  <c r="Z2106" i="3"/>
  <c r="Z2107" i="3"/>
  <c r="Z2108" i="3"/>
  <c r="Z2109" i="3"/>
  <c r="Z2110" i="3"/>
  <c r="Z2111" i="3"/>
  <c r="Z2112" i="3"/>
  <c r="Z2113" i="3"/>
  <c r="Z2114" i="3"/>
  <c r="Z2115" i="3"/>
  <c r="Z2116" i="3"/>
  <c r="Z2117" i="3"/>
  <c r="Z2118" i="3"/>
  <c r="Z2119" i="3"/>
  <c r="Z2120" i="3"/>
  <c r="Z2121" i="3"/>
  <c r="Z2122" i="3"/>
  <c r="Z2123" i="3"/>
  <c r="Z2124" i="3"/>
  <c r="Z2125" i="3"/>
  <c r="Z2126" i="3"/>
  <c r="Z2127" i="3"/>
  <c r="Z2128" i="3"/>
  <c r="Z2129" i="3"/>
  <c r="Z2130" i="3"/>
  <c r="Z2131" i="3"/>
  <c r="Z2132" i="3"/>
  <c r="Z2133" i="3"/>
  <c r="Z2134" i="3"/>
  <c r="Z2135" i="3"/>
  <c r="Z2136" i="3"/>
  <c r="Z2137" i="3"/>
  <c r="Z2138" i="3"/>
  <c r="Z2139" i="3"/>
  <c r="Z2140" i="3"/>
  <c r="Z2141" i="3"/>
  <c r="Z2142" i="3"/>
  <c r="Z2143" i="3"/>
  <c r="Z2144" i="3"/>
  <c r="Z2145" i="3"/>
  <c r="Z2146" i="3"/>
  <c r="Z2147" i="3"/>
  <c r="Z2148" i="3"/>
  <c r="Z2149" i="3"/>
  <c r="Z2150" i="3"/>
  <c r="Z2151" i="3"/>
  <c r="Z2152" i="3"/>
  <c r="Z2153" i="3"/>
  <c r="Z2154" i="3"/>
  <c r="Z2155" i="3"/>
  <c r="Z2156" i="3"/>
  <c r="Z2157" i="3"/>
  <c r="Z2158" i="3"/>
  <c r="Z2159" i="3"/>
  <c r="Z2160" i="3"/>
  <c r="Z2161" i="3"/>
  <c r="Z2162" i="3"/>
  <c r="Z2163" i="3"/>
  <c r="Z2164" i="3"/>
  <c r="Z2165" i="3"/>
  <c r="Z2166" i="3"/>
  <c r="Z2167" i="3"/>
  <c r="Z2168" i="3"/>
  <c r="Z2169" i="3"/>
  <c r="Z2170" i="3"/>
  <c r="Z2171" i="3"/>
  <c r="Z2172" i="3"/>
  <c r="Z2173" i="3"/>
  <c r="Z2174" i="3"/>
  <c r="Z2175" i="3"/>
  <c r="Z2176" i="3"/>
  <c r="Z2177" i="3"/>
  <c r="Z2178" i="3"/>
  <c r="Z2179" i="3"/>
  <c r="Z2180" i="3"/>
  <c r="Z2181" i="3"/>
  <c r="Z2182" i="3"/>
  <c r="Z2183" i="3"/>
  <c r="Z2184" i="3"/>
  <c r="Z2185" i="3"/>
  <c r="Z2186" i="3"/>
  <c r="Z2187" i="3"/>
  <c r="Z2188" i="3"/>
  <c r="Z2189" i="3"/>
  <c r="Z2190" i="3"/>
  <c r="Z2191" i="3"/>
  <c r="Z2192" i="3"/>
  <c r="Z2193" i="3"/>
  <c r="Z2194" i="3"/>
  <c r="Z2195" i="3"/>
  <c r="Z2196" i="3"/>
  <c r="Z2197" i="3"/>
  <c r="Z2198" i="3"/>
  <c r="Z2199" i="3"/>
  <c r="Z2200" i="3"/>
  <c r="Z2201" i="3"/>
  <c r="Z2202" i="3"/>
  <c r="Z2203" i="3"/>
  <c r="Z2204" i="3"/>
  <c r="Z2205" i="3"/>
  <c r="Z2206" i="3"/>
  <c r="Z2207" i="3"/>
  <c r="Z2208" i="3"/>
  <c r="Z2209" i="3"/>
  <c r="Z2210" i="3"/>
  <c r="Z2211" i="3"/>
  <c r="Z2212" i="3"/>
  <c r="Z2213" i="3"/>
  <c r="Z2214" i="3"/>
  <c r="Z2215" i="3"/>
  <c r="Z2216" i="3"/>
  <c r="Z2217" i="3"/>
  <c r="Z2218" i="3"/>
  <c r="Z2219" i="3"/>
  <c r="Z2220" i="3"/>
  <c r="Z2221" i="3"/>
  <c r="Z2222" i="3"/>
  <c r="Z2223" i="3"/>
  <c r="Z2224" i="3"/>
  <c r="Z2225" i="3"/>
  <c r="Z2226" i="3"/>
  <c r="Z2227" i="3"/>
  <c r="Z2228" i="3"/>
  <c r="Z2229" i="3"/>
  <c r="Z2230" i="3"/>
  <c r="Z2231" i="3"/>
  <c r="Z2232" i="3"/>
  <c r="Z2233" i="3"/>
  <c r="Z2234" i="3"/>
  <c r="Z2235" i="3"/>
  <c r="Z2236" i="3"/>
  <c r="Z2237" i="3"/>
  <c r="Z2238" i="3"/>
  <c r="Z2239" i="3"/>
  <c r="Z2240" i="3"/>
  <c r="Z2241" i="3"/>
  <c r="Z2242" i="3"/>
  <c r="Z2243" i="3"/>
  <c r="Z2244" i="3"/>
  <c r="Z2245" i="3"/>
  <c r="Z2246" i="3"/>
  <c r="Z2247" i="3"/>
  <c r="Z2248" i="3"/>
  <c r="Z2249" i="3"/>
  <c r="Z2250" i="3"/>
  <c r="Z2251" i="3"/>
  <c r="Z2252" i="3"/>
  <c r="Z2253" i="3"/>
  <c r="Z2254" i="3"/>
  <c r="Z2255" i="3"/>
  <c r="Z2256" i="3"/>
  <c r="Z2257" i="3"/>
  <c r="Z2258" i="3"/>
  <c r="Z2259" i="3"/>
  <c r="Z2260" i="3"/>
  <c r="Z2261" i="3"/>
  <c r="Z2262" i="3"/>
  <c r="Z2263" i="3"/>
  <c r="Z2264" i="3"/>
  <c r="Z2265" i="3"/>
  <c r="Z2266" i="3"/>
  <c r="Z2267" i="3"/>
  <c r="Z2268" i="3"/>
  <c r="Z2269" i="3"/>
  <c r="Z2270" i="3"/>
  <c r="Z2271" i="3"/>
  <c r="Z2272" i="3"/>
  <c r="Z2273" i="3"/>
  <c r="Z2274" i="3"/>
  <c r="Z2275" i="3"/>
  <c r="Z2276" i="3"/>
  <c r="Z2277" i="3"/>
  <c r="Z2278" i="3"/>
  <c r="Z2279" i="3"/>
  <c r="Z2280" i="3"/>
  <c r="Z2281" i="3"/>
  <c r="Z2282" i="3"/>
  <c r="Z2283" i="3"/>
  <c r="Z2284" i="3"/>
  <c r="Z2285" i="3"/>
  <c r="Z2286" i="3"/>
  <c r="Z2287" i="3"/>
  <c r="Z2288" i="3"/>
  <c r="Z2289" i="3"/>
  <c r="Z2290" i="3"/>
  <c r="Z2291" i="3"/>
  <c r="Z2292" i="3"/>
  <c r="Z2293" i="3"/>
  <c r="Z2294" i="3"/>
  <c r="Z2295" i="3"/>
  <c r="Z2296" i="3"/>
  <c r="Z2297" i="3"/>
  <c r="Z2298" i="3"/>
  <c r="Z2299" i="3"/>
  <c r="Z2300" i="3"/>
  <c r="Z2301" i="3"/>
  <c r="Z2302" i="3"/>
  <c r="Z2303" i="3"/>
  <c r="Z2304" i="3"/>
  <c r="Z2305" i="3"/>
  <c r="Z2306" i="3"/>
  <c r="Z2307" i="3"/>
  <c r="Z2308" i="3"/>
  <c r="Z2309" i="3"/>
  <c r="Z2310" i="3"/>
  <c r="Z2311" i="3"/>
  <c r="Z2312" i="3"/>
  <c r="Z2313" i="3"/>
  <c r="Z2314" i="3"/>
  <c r="Z2315" i="3"/>
  <c r="Z2316" i="3"/>
  <c r="Z2317" i="3"/>
  <c r="Z2318" i="3"/>
  <c r="Z2319" i="3"/>
  <c r="Z2320" i="3"/>
  <c r="Z2321" i="3"/>
  <c r="Z2322" i="3"/>
  <c r="Z2323" i="3"/>
  <c r="Z2324" i="3"/>
  <c r="Z2325" i="3"/>
  <c r="Z2326" i="3"/>
  <c r="Z2327" i="3"/>
  <c r="Z2328" i="3"/>
  <c r="Z2329" i="3"/>
  <c r="Z2330" i="3"/>
  <c r="Z2331" i="3"/>
  <c r="Z2332" i="3"/>
  <c r="Z2333" i="3"/>
  <c r="Z2334" i="3"/>
  <c r="Z2335" i="3"/>
  <c r="Z2336" i="3"/>
  <c r="Z2337" i="3"/>
  <c r="Z2338" i="3"/>
  <c r="Z2339" i="3"/>
  <c r="Z2340" i="3"/>
  <c r="Z2341" i="3"/>
  <c r="Z2342" i="3"/>
  <c r="Z2343" i="3"/>
  <c r="Z2344" i="3"/>
  <c r="Z2345" i="3"/>
  <c r="Z2346" i="3"/>
  <c r="Z2347" i="3"/>
  <c r="Z2348" i="3"/>
  <c r="Z2349" i="3"/>
  <c r="Z2350" i="3"/>
  <c r="Z2351" i="3"/>
  <c r="Z2352" i="3"/>
  <c r="Z2353" i="3"/>
  <c r="Z2354" i="3"/>
  <c r="Z2355" i="3"/>
  <c r="Z2356" i="3"/>
  <c r="Z2357" i="3"/>
  <c r="Z2358" i="3"/>
  <c r="Z2359" i="3"/>
  <c r="Z2360" i="3"/>
  <c r="Z2361" i="3"/>
  <c r="Z2362" i="3"/>
  <c r="Z2363" i="3"/>
  <c r="Z2364" i="3"/>
  <c r="Z2365" i="3"/>
  <c r="Z2366" i="3"/>
  <c r="Z2367" i="3"/>
  <c r="Z2368" i="3"/>
  <c r="Z2369" i="3"/>
  <c r="Z2370" i="3"/>
  <c r="Z2371" i="3"/>
  <c r="Z2372" i="3"/>
  <c r="Z2373" i="3"/>
  <c r="Z2374" i="3"/>
  <c r="Z2375" i="3"/>
  <c r="Z2376" i="3"/>
  <c r="Z2377" i="3"/>
  <c r="Z2378" i="3"/>
  <c r="Z2379" i="3"/>
  <c r="Z2380" i="3"/>
  <c r="Z2381" i="3"/>
  <c r="Z2382" i="3"/>
  <c r="Z2383" i="3"/>
  <c r="Z2384" i="3"/>
  <c r="Z2385" i="3"/>
  <c r="Z2386" i="3"/>
  <c r="Z2387" i="3"/>
  <c r="Z2388" i="3"/>
  <c r="Z2389" i="3"/>
  <c r="Z2390" i="3"/>
  <c r="Z2391" i="3"/>
  <c r="Z2392" i="3"/>
  <c r="Z2393" i="3"/>
  <c r="Z2394" i="3"/>
  <c r="Z2395" i="3"/>
  <c r="Z2396" i="3"/>
  <c r="Z2397" i="3"/>
  <c r="Z2398" i="3"/>
  <c r="Z2399" i="3"/>
  <c r="Z2400" i="3"/>
  <c r="Z2401" i="3"/>
  <c r="Z2402" i="3"/>
  <c r="Z2403" i="3"/>
  <c r="Z2404" i="3"/>
  <c r="Z2405" i="3"/>
  <c r="Z2406" i="3"/>
  <c r="Z2407" i="3"/>
  <c r="Z2408" i="3"/>
  <c r="Z2409" i="3"/>
  <c r="Z2410" i="3"/>
  <c r="Z2411" i="3"/>
  <c r="Z2412" i="3"/>
  <c r="Z2413" i="3"/>
  <c r="Z2414" i="3"/>
  <c r="Z2415" i="3"/>
  <c r="Z2416" i="3"/>
  <c r="Z2417" i="3"/>
  <c r="Z2418" i="3"/>
  <c r="Z2419" i="3"/>
  <c r="Z2420" i="3"/>
  <c r="Z2421" i="3"/>
  <c r="Z2422" i="3"/>
  <c r="Z2423" i="3"/>
  <c r="Z2424" i="3"/>
  <c r="Z2425" i="3"/>
  <c r="Z2426" i="3"/>
  <c r="Z2427" i="3"/>
  <c r="Z2428" i="3"/>
  <c r="Z2429" i="3"/>
  <c r="Z2430" i="3"/>
  <c r="Z2431" i="3"/>
  <c r="Z2432" i="3"/>
  <c r="Z2433" i="3"/>
  <c r="Z2434" i="3"/>
  <c r="Z2435" i="3"/>
  <c r="Z2436" i="3"/>
  <c r="Z2437" i="3"/>
  <c r="Z2438" i="3"/>
  <c r="Z2439" i="3"/>
  <c r="Z2440" i="3"/>
  <c r="Z2441" i="3"/>
  <c r="Z2442" i="3"/>
  <c r="Z2443" i="3"/>
  <c r="Z2444" i="3"/>
  <c r="Z2445" i="3"/>
  <c r="Z2446" i="3"/>
  <c r="Z2447" i="3"/>
  <c r="Z2448" i="3"/>
  <c r="Z2449" i="3"/>
  <c r="Z2450" i="3"/>
  <c r="Z2451" i="3"/>
  <c r="Z2452" i="3"/>
  <c r="Z2453" i="3"/>
  <c r="Z2454" i="3"/>
  <c r="Z2455" i="3"/>
  <c r="Z2456" i="3"/>
  <c r="Z2457" i="3"/>
  <c r="Z2458" i="3"/>
  <c r="Z2459" i="3"/>
  <c r="Z2460" i="3"/>
  <c r="Z2461" i="3"/>
  <c r="Z2462" i="3"/>
  <c r="Z2463" i="3"/>
  <c r="Z2464" i="3"/>
  <c r="Z2465" i="3"/>
  <c r="Z2466" i="3"/>
  <c r="Z2467" i="3"/>
  <c r="Z2468" i="3"/>
  <c r="Z2469" i="3"/>
  <c r="Z2470" i="3"/>
  <c r="Z2471" i="3"/>
  <c r="Z2472" i="3"/>
  <c r="Z2473" i="3"/>
  <c r="Z2474" i="3"/>
  <c r="Z2475" i="3"/>
  <c r="Z2476" i="3"/>
  <c r="Z2477" i="3"/>
  <c r="Z2478" i="3"/>
  <c r="Z2479" i="3"/>
  <c r="Z2480" i="3"/>
  <c r="Z2481" i="3"/>
  <c r="Z2482" i="3"/>
  <c r="Z2483" i="3"/>
  <c r="Z2484" i="3"/>
  <c r="Z2485" i="3"/>
  <c r="Z2486" i="3"/>
  <c r="Z2487" i="3"/>
  <c r="Z2488" i="3"/>
  <c r="Z2489" i="3"/>
  <c r="Z2490" i="3"/>
  <c r="Z2491" i="3"/>
  <c r="Z2492" i="3"/>
  <c r="Z2493" i="3"/>
  <c r="Z2494" i="3"/>
  <c r="Z2495" i="3"/>
  <c r="Z2496" i="3"/>
  <c r="Z2497" i="3"/>
  <c r="Z2498" i="3"/>
  <c r="Z2499" i="3"/>
  <c r="Z2500" i="3"/>
  <c r="Z2501" i="3"/>
  <c r="Z2502" i="3"/>
  <c r="Z2503" i="3"/>
  <c r="Z2504" i="3"/>
  <c r="Z2505" i="3"/>
  <c r="Z2506" i="3"/>
  <c r="Z2507" i="3"/>
  <c r="Z2508" i="3"/>
  <c r="Z2509" i="3"/>
  <c r="Z2510" i="3"/>
  <c r="Z2511" i="3"/>
  <c r="Z2512" i="3"/>
  <c r="Z2513" i="3"/>
  <c r="Z2514" i="3"/>
  <c r="Z2515" i="3"/>
  <c r="Z2516" i="3"/>
  <c r="Z2517" i="3"/>
  <c r="Z2518" i="3"/>
  <c r="Z2519" i="3"/>
  <c r="Z2520" i="3"/>
  <c r="Z2521" i="3"/>
  <c r="Z2522" i="3"/>
  <c r="Z2523" i="3"/>
  <c r="Z2524" i="3"/>
  <c r="Z2525" i="3"/>
  <c r="Z2526" i="3"/>
  <c r="Z2527" i="3"/>
  <c r="Z2528" i="3"/>
  <c r="Z2529" i="3"/>
  <c r="Z2530" i="3"/>
  <c r="Z2531" i="3"/>
  <c r="Z2532" i="3"/>
  <c r="Z2533" i="3"/>
  <c r="Z2534" i="3"/>
  <c r="Z2535" i="3"/>
  <c r="Z2536" i="3"/>
  <c r="Z2537" i="3"/>
  <c r="Z2538" i="3"/>
  <c r="Z2539" i="3"/>
  <c r="Z2540" i="3"/>
  <c r="Z2541" i="3"/>
  <c r="Z2542" i="3"/>
  <c r="Z2543" i="3"/>
  <c r="Z2544" i="3"/>
  <c r="Z2545" i="3"/>
  <c r="Z2546" i="3"/>
  <c r="Z2547" i="3"/>
  <c r="Z2548" i="3"/>
  <c r="Z2549" i="3"/>
  <c r="Z2550" i="3"/>
  <c r="Z2551" i="3"/>
  <c r="Z2552" i="3"/>
  <c r="Z2553" i="3"/>
  <c r="Z2554" i="3"/>
  <c r="Z2555" i="3"/>
  <c r="Z2556" i="3"/>
  <c r="Z2557" i="3"/>
  <c r="Z2558" i="3"/>
  <c r="Z2559" i="3"/>
  <c r="Z2560" i="3"/>
  <c r="Z2561" i="3"/>
  <c r="Z2562" i="3"/>
  <c r="Z2563" i="3"/>
  <c r="Z2564" i="3"/>
  <c r="Z2565" i="3"/>
  <c r="Z2566" i="3"/>
  <c r="Z2567" i="3"/>
  <c r="Z2568" i="3"/>
  <c r="Z2569" i="3"/>
  <c r="Z2570" i="3"/>
  <c r="Z2571" i="3"/>
  <c r="Z2572" i="3"/>
  <c r="Z2573" i="3"/>
  <c r="Z2574" i="3"/>
  <c r="Z2575" i="3"/>
  <c r="Z739" i="3"/>
  <c r="Y495" i="3"/>
  <c r="Y496" i="3"/>
  <c r="Y497" i="3"/>
  <c r="Y498" i="3"/>
  <c r="Y499" i="3"/>
  <c r="Y500" i="3"/>
  <c r="Y501" i="3"/>
  <c r="Y502" i="3"/>
  <c r="Y503" i="3"/>
  <c r="Y504" i="3"/>
  <c r="Y505" i="3"/>
  <c r="Y506" i="3"/>
  <c r="Y507" i="3"/>
  <c r="Y508" i="3"/>
  <c r="Y509" i="3"/>
  <c r="Y510" i="3"/>
  <c r="Y511" i="3"/>
  <c r="Y512" i="3"/>
  <c r="Y513" i="3"/>
  <c r="Y514" i="3"/>
  <c r="Y515" i="3"/>
  <c r="Y516" i="3"/>
  <c r="Y517" i="3"/>
  <c r="Y518" i="3"/>
  <c r="Y519" i="3"/>
  <c r="Y520" i="3"/>
  <c r="Y521" i="3"/>
  <c r="Y522" i="3"/>
  <c r="Y523" i="3"/>
  <c r="Y524" i="3"/>
  <c r="Y525" i="3"/>
  <c r="Y526" i="3"/>
  <c r="Y527" i="3"/>
  <c r="Y528" i="3"/>
  <c r="Y529" i="3"/>
  <c r="Y530" i="3"/>
  <c r="Y531" i="3"/>
  <c r="Y532" i="3"/>
  <c r="Y533" i="3"/>
  <c r="Y534" i="3"/>
  <c r="Y535" i="3"/>
  <c r="Y536" i="3"/>
  <c r="Y537" i="3"/>
  <c r="Y538" i="3"/>
  <c r="Y539" i="3"/>
  <c r="Y540" i="3"/>
  <c r="Y541" i="3"/>
  <c r="Y542" i="3"/>
  <c r="Y543" i="3"/>
  <c r="Y544" i="3"/>
  <c r="Y545" i="3"/>
  <c r="Y546" i="3"/>
  <c r="Y547" i="3"/>
  <c r="Y548" i="3"/>
  <c r="Y549" i="3"/>
  <c r="Y550" i="3"/>
  <c r="Y551" i="3"/>
  <c r="Y552" i="3"/>
  <c r="Y553" i="3"/>
  <c r="Y554" i="3"/>
  <c r="Y555" i="3"/>
  <c r="Y556" i="3"/>
  <c r="Y557" i="3"/>
  <c r="Y558" i="3"/>
  <c r="Y559" i="3"/>
  <c r="Y560" i="3"/>
  <c r="Y561" i="3"/>
  <c r="Y562" i="3"/>
  <c r="Y563" i="3"/>
  <c r="Y564" i="3"/>
  <c r="Y565" i="3"/>
  <c r="Y566" i="3"/>
  <c r="Y567" i="3"/>
  <c r="Y568" i="3"/>
  <c r="Y569" i="3"/>
  <c r="Y570" i="3"/>
  <c r="Y571" i="3"/>
  <c r="Y572" i="3"/>
  <c r="Y573" i="3"/>
  <c r="Y574" i="3"/>
  <c r="Y575" i="3"/>
  <c r="Y576" i="3"/>
  <c r="Y577" i="3"/>
  <c r="Y578" i="3"/>
  <c r="Y579" i="3"/>
  <c r="Y580" i="3"/>
  <c r="Y581" i="3"/>
  <c r="Y582" i="3"/>
  <c r="Y583" i="3"/>
  <c r="Y584" i="3"/>
  <c r="Y585" i="3"/>
  <c r="Y586" i="3"/>
  <c r="Y587" i="3"/>
  <c r="Y588" i="3"/>
  <c r="Y589" i="3"/>
  <c r="Y590" i="3"/>
  <c r="Y591" i="3"/>
  <c r="Y592" i="3"/>
  <c r="Y593" i="3"/>
  <c r="Y594" i="3"/>
  <c r="Y595" i="3"/>
  <c r="Y596" i="3"/>
  <c r="Y597" i="3"/>
  <c r="Y598" i="3"/>
  <c r="Y599" i="3"/>
  <c r="Y600" i="3"/>
  <c r="Y601" i="3"/>
  <c r="Y602" i="3"/>
  <c r="Y603" i="3"/>
  <c r="Y604" i="3"/>
  <c r="Y605" i="3"/>
  <c r="Y606" i="3"/>
  <c r="Y607" i="3"/>
  <c r="Y608" i="3"/>
  <c r="Y609" i="3"/>
  <c r="Y610" i="3"/>
  <c r="Y611" i="3"/>
  <c r="Y612" i="3"/>
  <c r="Y613" i="3"/>
  <c r="Y614" i="3"/>
  <c r="Y615" i="3"/>
  <c r="Y616" i="3"/>
  <c r="Y617" i="3"/>
  <c r="Y618" i="3"/>
  <c r="Y619" i="3"/>
  <c r="Y620" i="3"/>
  <c r="Y621" i="3"/>
  <c r="Y622" i="3"/>
  <c r="Y623" i="3"/>
  <c r="Y624" i="3"/>
  <c r="Y625" i="3"/>
  <c r="Y626" i="3"/>
  <c r="Y627" i="3"/>
  <c r="Y628" i="3"/>
  <c r="Y629" i="3"/>
  <c r="Y630" i="3"/>
  <c r="Y631" i="3"/>
  <c r="Y632" i="3"/>
  <c r="Y633" i="3"/>
  <c r="Y634" i="3"/>
  <c r="Y635" i="3"/>
  <c r="Y636" i="3"/>
  <c r="Y637" i="3"/>
  <c r="Y638" i="3"/>
  <c r="Y639" i="3"/>
  <c r="Y640" i="3"/>
  <c r="Y641" i="3"/>
  <c r="Y642" i="3"/>
  <c r="Y643" i="3"/>
  <c r="Y644" i="3"/>
  <c r="Y645" i="3"/>
  <c r="Y646" i="3"/>
  <c r="Y647" i="3"/>
  <c r="Y648" i="3"/>
  <c r="Y649" i="3"/>
  <c r="Y650" i="3"/>
  <c r="Y651" i="3"/>
  <c r="Y652" i="3"/>
  <c r="Y653" i="3"/>
  <c r="Y654" i="3"/>
  <c r="Y655" i="3"/>
  <c r="Y656" i="3"/>
  <c r="Y657" i="3"/>
  <c r="Y658" i="3"/>
  <c r="Y659" i="3"/>
  <c r="Y660" i="3"/>
  <c r="Y661" i="3"/>
  <c r="Y662" i="3"/>
  <c r="Y663" i="3"/>
  <c r="Y664" i="3"/>
  <c r="Y665" i="3"/>
  <c r="Y666" i="3"/>
  <c r="Y667" i="3"/>
  <c r="Y668" i="3"/>
  <c r="Y669" i="3"/>
  <c r="Y670" i="3"/>
  <c r="Y671" i="3"/>
  <c r="Y672" i="3"/>
  <c r="Y673" i="3"/>
  <c r="Y674" i="3"/>
  <c r="Y675" i="3"/>
  <c r="Y676" i="3"/>
  <c r="Y677" i="3"/>
  <c r="Y678" i="3"/>
  <c r="Y679" i="3"/>
  <c r="Y680" i="3"/>
  <c r="Y681" i="3"/>
  <c r="Y682" i="3"/>
  <c r="Y683" i="3"/>
  <c r="Y684" i="3"/>
  <c r="Y685" i="3"/>
  <c r="Y686" i="3"/>
  <c r="Y687" i="3"/>
  <c r="Y688" i="3"/>
  <c r="Y689" i="3"/>
  <c r="Y690" i="3"/>
  <c r="Y691" i="3"/>
  <c r="Y692" i="3"/>
  <c r="Y693" i="3"/>
  <c r="Y694" i="3"/>
  <c r="Y695" i="3"/>
  <c r="Y696" i="3"/>
  <c r="Y697" i="3"/>
  <c r="Y698" i="3"/>
  <c r="Y699" i="3"/>
  <c r="Y700" i="3"/>
  <c r="Y701" i="3"/>
  <c r="Y702" i="3"/>
  <c r="Y703" i="3"/>
  <c r="Y704" i="3"/>
  <c r="Y705" i="3"/>
  <c r="Y706" i="3"/>
  <c r="Y707" i="3"/>
  <c r="Y708" i="3"/>
  <c r="Y709" i="3"/>
  <c r="Y710" i="3"/>
  <c r="Y711" i="3"/>
  <c r="Y712" i="3"/>
  <c r="Y713" i="3"/>
  <c r="Y714" i="3"/>
  <c r="Y715" i="3"/>
  <c r="Y716" i="3"/>
  <c r="Y717" i="3"/>
  <c r="Y718" i="3"/>
  <c r="Y719" i="3"/>
  <c r="Y720" i="3"/>
  <c r="Y721" i="3"/>
  <c r="Y722" i="3"/>
  <c r="Y723" i="3"/>
  <c r="Y724" i="3"/>
  <c r="Y725" i="3"/>
  <c r="Y726" i="3"/>
  <c r="Y727" i="3"/>
  <c r="Y728" i="3"/>
  <c r="Y729" i="3"/>
  <c r="Y730" i="3"/>
  <c r="Y731" i="3"/>
  <c r="Y732" i="3"/>
  <c r="Y733" i="3"/>
  <c r="Y734" i="3"/>
  <c r="Y735" i="3"/>
  <c r="Y736" i="3"/>
  <c r="Y737" i="3"/>
  <c r="Y738" i="3"/>
  <c r="Y739" i="3"/>
  <c r="Y740" i="3"/>
  <c r="Y741" i="3"/>
  <c r="Y742" i="3"/>
  <c r="Y743" i="3"/>
  <c r="Y744" i="3"/>
  <c r="Y745" i="3"/>
  <c r="Y746" i="3"/>
  <c r="Y747" i="3"/>
  <c r="Y748" i="3"/>
  <c r="Y749" i="3"/>
  <c r="Y750" i="3"/>
  <c r="Y751" i="3"/>
  <c r="Y752" i="3"/>
  <c r="Y753" i="3"/>
  <c r="Y754" i="3"/>
  <c r="Y755" i="3"/>
  <c r="Y756" i="3"/>
  <c r="Y757" i="3"/>
  <c r="Y758" i="3"/>
  <c r="Y759" i="3"/>
  <c r="Y760" i="3"/>
  <c r="Y761" i="3"/>
  <c r="Y762" i="3"/>
  <c r="Y763" i="3"/>
  <c r="Y764" i="3"/>
  <c r="Y765" i="3"/>
  <c r="Y766" i="3"/>
  <c r="Y767" i="3"/>
  <c r="Y768" i="3"/>
  <c r="Y769" i="3"/>
  <c r="Y770" i="3"/>
  <c r="Y771" i="3"/>
  <c r="Y772" i="3"/>
  <c r="Y773" i="3"/>
  <c r="Y774" i="3"/>
  <c r="Y775" i="3"/>
  <c r="Y776" i="3"/>
  <c r="Y777" i="3"/>
  <c r="Y778" i="3"/>
  <c r="Y779" i="3"/>
  <c r="Y780" i="3"/>
  <c r="Y781" i="3"/>
  <c r="Y782" i="3"/>
  <c r="Y783" i="3"/>
  <c r="Y784" i="3"/>
  <c r="Y785" i="3"/>
  <c r="Y786" i="3"/>
  <c r="Y787" i="3"/>
  <c r="Y788" i="3"/>
  <c r="Y789" i="3"/>
  <c r="Y790" i="3"/>
  <c r="Y791" i="3"/>
  <c r="Y792" i="3"/>
  <c r="Y793" i="3"/>
  <c r="Y794" i="3"/>
  <c r="Y795" i="3"/>
  <c r="Y796" i="3"/>
  <c r="Y797" i="3"/>
  <c r="Y798" i="3"/>
  <c r="Y799" i="3"/>
  <c r="Y800" i="3"/>
  <c r="Y801" i="3"/>
  <c r="Y802" i="3"/>
  <c r="Y803" i="3"/>
  <c r="Y804" i="3"/>
  <c r="Y805" i="3"/>
  <c r="Y806" i="3"/>
  <c r="Y807" i="3"/>
  <c r="Y808" i="3"/>
  <c r="Y809" i="3"/>
  <c r="Y810" i="3"/>
  <c r="Y811" i="3"/>
  <c r="Y812" i="3"/>
  <c r="Y813" i="3"/>
  <c r="Y814" i="3"/>
  <c r="Y815" i="3"/>
  <c r="Y816" i="3"/>
  <c r="Y817" i="3"/>
  <c r="Y818" i="3"/>
  <c r="Y819" i="3"/>
  <c r="Y820" i="3"/>
  <c r="Y821" i="3"/>
  <c r="Y822" i="3"/>
  <c r="Y823" i="3"/>
  <c r="Y824" i="3"/>
  <c r="Y825" i="3"/>
  <c r="Y826" i="3"/>
  <c r="Y827" i="3"/>
  <c r="Y828" i="3"/>
  <c r="Y829" i="3"/>
  <c r="Y830" i="3"/>
  <c r="Y831" i="3"/>
  <c r="Y832" i="3"/>
  <c r="Y833" i="3"/>
  <c r="Y834" i="3"/>
  <c r="Y835" i="3"/>
  <c r="Y836" i="3"/>
  <c r="Y837" i="3"/>
  <c r="Y838" i="3"/>
  <c r="Y839" i="3"/>
  <c r="Y840" i="3"/>
  <c r="Y841" i="3"/>
  <c r="Y842" i="3"/>
  <c r="Y843" i="3"/>
  <c r="Y844" i="3"/>
  <c r="Y845" i="3"/>
  <c r="Y846" i="3"/>
  <c r="Y847" i="3"/>
  <c r="Y848" i="3"/>
  <c r="Y849" i="3"/>
  <c r="Y850" i="3"/>
  <c r="Y851" i="3"/>
  <c r="Y852" i="3"/>
  <c r="Y853" i="3"/>
  <c r="Y854" i="3"/>
  <c r="Y855" i="3"/>
  <c r="Y856" i="3"/>
  <c r="Y857" i="3"/>
  <c r="Y858" i="3"/>
  <c r="Y859" i="3"/>
  <c r="Y860" i="3"/>
  <c r="Y861" i="3"/>
  <c r="Y862" i="3"/>
  <c r="Y863" i="3"/>
  <c r="Y864" i="3"/>
  <c r="Y865" i="3"/>
  <c r="Y866" i="3"/>
  <c r="Y867" i="3"/>
  <c r="Y868" i="3"/>
  <c r="Y869" i="3"/>
  <c r="Y870" i="3"/>
  <c r="Y871" i="3"/>
  <c r="Y872" i="3"/>
  <c r="Y873" i="3"/>
  <c r="Y874" i="3"/>
  <c r="Y875" i="3"/>
  <c r="Y876" i="3"/>
  <c r="Y877" i="3"/>
  <c r="Y878" i="3"/>
  <c r="Y879" i="3"/>
  <c r="Y880" i="3"/>
  <c r="Y881" i="3"/>
  <c r="Y882" i="3"/>
  <c r="Y883" i="3"/>
  <c r="Y884" i="3"/>
  <c r="Y885" i="3"/>
  <c r="Y886" i="3"/>
  <c r="Y887" i="3"/>
  <c r="Y888" i="3"/>
  <c r="Y889" i="3"/>
  <c r="Y890" i="3"/>
  <c r="Y891" i="3"/>
  <c r="Y892" i="3"/>
  <c r="Y893" i="3"/>
  <c r="Y894" i="3"/>
  <c r="Y895" i="3"/>
  <c r="Y896" i="3"/>
  <c r="Y897" i="3"/>
  <c r="Y898" i="3"/>
  <c r="Y899" i="3"/>
  <c r="Y900" i="3"/>
  <c r="Y901" i="3"/>
  <c r="Y902" i="3"/>
  <c r="Y903" i="3"/>
  <c r="Y904" i="3"/>
  <c r="Y905" i="3"/>
  <c r="Y906" i="3"/>
  <c r="Y907" i="3"/>
  <c r="Y908" i="3"/>
  <c r="Y909" i="3"/>
  <c r="Y910" i="3"/>
  <c r="Y911" i="3"/>
  <c r="Y912" i="3"/>
  <c r="Y913" i="3"/>
  <c r="Y914" i="3"/>
  <c r="Y915" i="3"/>
  <c r="Y916" i="3"/>
  <c r="Y917" i="3"/>
  <c r="Y918" i="3"/>
  <c r="Y919" i="3"/>
  <c r="Y920" i="3"/>
  <c r="Y921" i="3"/>
  <c r="Y922" i="3"/>
  <c r="Y923" i="3"/>
  <c r="Y924" i="3"/>
  <c r="Y925" i="3"/>
  <c r="Y926" i="3"/>
  <c r="Y927" i="3"/>
  <c r="Y928" i="3"/>
  <c r="Y929" i="3"/>
  <c r="Y930" i="3"/>
  <c r="Y931" i="3"/>
  <c r="Y932" i="3"/>
  <c r="Y933" i="3"/>
  <c r="Y934" i="3"/>
  <c r="Y935" i="3"/>
  <c r="Y936" i="3"/>
  <c r="Y937" i="3"/>
  <c r="Y938" i="3"/>
  <c r="Y939" i="3"/>
  <c r="Y940" i="3"/>
  <c r="Y941" i="3"/>
  <c r="Y942" i="3"/>
  <c r="Y943" i="3"/>
  <c r="Y944" i="3"/>
  <c r="Y945" i="3"/>
  <c r="Y946" i="3"/>
  <c r="Y947" i="3"/>
  <c r="Y948" i="3"/>
  <c r="Y949" i="3"/>
  <c r="Y950" i="3"/>
  <c r="Y951" i="3"/>
  <c r="Y952" i="3"/>
  <c r="Y953" i="3"/>
  <c r="Y954" i="3"/>
  <c r="Y955" i="3"/>
  <c r="Y956" i="3"/>
  <c r="Y957" i="3"/>
  <c r="Y958" i="3"/>
  <c r="Y959" i="3"/>
  <c r="Y960" i="3"/>
  <c r="Y961" i="3"/>
  <c r="Y962" i="3"/>
  <c r="Y963" i="3"/>
  <c r="Y964" i="3"/>
  <c r="Y965" i="3"/>
  <c r="Y966" i="3"/>
  <c r="Y967" i="3"/>
  <c r="Y968" i="3"/>
  <c r="Y969" i="3"/>
  <c r="Y970" i="3"/>
  <c r="Y971" i="3"/>
  <c r="Y972" i="3"/>
  <c r="Y973" i="3"/>
  <c r="Y974" i="3"/>
  <c r="Y975" i="3"/>
  <c r="Y976" i="3"/>
  <c r="Y977" i="3"/>
  <c r="Y978" i="3"/>
  <c r="Y979" i="3"/>
  <c r="Y980" i="3"/>
  <c r="Y981" i="3"/>
  <c r="Y982" i="3"/>
  <c r="Y983" i="3"/>
  <c r="Y984" i="3"/>
  <c r="Y985" i="3"/>
  <c r="Y986" i="3"/>
  <c r="Y987" i="3"/>
  <c r="Y988" i="3"/>
  <c r="Y989" i="3"/>
  <c r="Y990" i="3"/>
  <c r="Y991" i="3"/>
  <c r="Y992" i="3"/>
  <c r="Y993" i="3"/>
  <c r="Y994" i="3"/>
  <c r="Y995" i="3"/>
  <c r="Y996" i="3"/>
  <c r="Y997" i="3"/>
  <c r="Y998" i="3"/>
  <c r="Y999" i="3"/>
  <c r="Y1000" i="3"/>
  <c r="Y1001" i="3"/>
  <c r="Y1002" i="3"/>
  <c r="Y1003" i="3"/>
  <c r="Y1004" i="3"/>
  <c r="Y1005" i="3"/>
  <c r="Y1006" i="3"/>
  <c r="Y1007" i="3"/>
  <c r="Y1008" i="3"/>
  <c r="Y1009" i="3"/>
  <c r="Y1010" i="3"/>
  <c r="Y1011" i="3"/>
  <c r="Y1012" i="3"/>
  <c r="Y1013" i="3"/>
  <c r="Y1014" i="3"/>
  <c r="Y1015" i="3"/>
  <c r="Y1016" i="3"/>
  <c r="Y1017" i="3"/>
  <c r="Y1018" i="3"/>
  <c r="Y1019" i="3"/>
  <c r="Y1020" i="3"/>
  <c r="Y1021" i="3"/>
  <c r="Y1022" i="3"/>
  <c r="Y1023" i="3"/>
  <c r="Y1024" i="3"/>
  <c r="Y1025" i="3"/>
  <c r="Y1026" i="3"/>
  <c r="Y1027" i="3"/>
  <c r="Y1028" i="3"/>
  <c r="Y1029" i="3"/>
  <c r="Y1030" i="3"/>
  <c r="Y1031" i="3"/>
  <c r="Y1032" i="3"/>
  <c r="Y1033" i="3"/>
  <c r="Y1034" i="3"/>
  <c r="Y1035" i="3"/>
  <c r="Y1036" i="3"/>
  <c r="Y1037" i="3"/>
  <c r="Y1038" i="3"/>
  <c r="Y1039" i="3"/>
  <c r="Y1040" i="3"/>
  <c r="Y1041" i="3"/>
  <c r="Y1042" i="3"/>
  <c r="Y1043" i="3"/>
  <c r="Y1044" i="3"/>
  <c r="Y1045" i="3"/>
  <c r="Y1046" i="3"/>
  <c r="Y1047" i="3"/>
  <c r="Y1048" i="3"/>
  <c r="Y1049" i="3"/>
  <c r="Y1050" i="3"/>
  <c r="Y1051" i="3"/>
  <c r="Y1052" i="3"/>
  <c r="Y1053" i="3"/>
  <c r="Y1054" i="3"/>
  <c r="Y1055" i="3"/>
  <c r="Y1056" i="3"/>
  <c r="Y1057" i="3"/>
  <c r="Y1058" i="3"/>
  <c r="Y1059" i="3"/>
  <c r="Y1060" i="3"/>
  <c r="Y1061" i="3"/>
  <c r="Y1062" i="3"/>
  <c r="Y1063" i="3"/>
  <c r="Y1064" i="3"/>
  <c r="Y1065" i="3"/>
  <c r="Y1066" i="3"/>
  <c r="Y1067" i="3"/>
  <c r="Y1068" i="3"/>
  <c r="Y1069" i="3"/>
  <c r="Y1070" i="3"/>
  <c r="Y1071" i="3"/>
  <c r="Y1072" i="3"/>
  <c r="Y1073" i="3"/>
  <c r="Y1074" i="3"/>
  <c r="Y1075" i="3"/>
  <c r="Y1076" i="3"/>
  <c r="Y1077" i="3"/>
  <c r="Y1078" i="3"/>
  <c r="Y1079" i="3"/>
  <c r="Y1080" i="3"/>
  <c r="Y1081" i="3"/>
  <c r="Y1082" i="3"/>
  <c r="Y1083" i="3"/>
  <c r="Y1084" i="3"/>
  <c r="Y1085" i="3"/>
  <c r="Y1086" i="3"/>
  <c r="Y1087" i="3"/>
  <c r="Y1088" i="3"/>
  <c r="Y1089" i="3"/>
  <c r="Y1090" i="3"/>
  <c r="Y1091" i="3"/>
  <c r="Y1092" i="3"/>
  <c r="Y1093" i="3"/>
  <c r="Y1094" i="3"/>
  <c r="Y1095" i="3"/>
  <c r="Y1096" i="3"/>
  <c r="Y1097" i="3"/>
  <c r="Y1098" i="3"/>
  <c r="Y1099" i="3"/>
  <c r="Y1100" i="3"/>
  <c r="Y1101" i="3"/>
  <c r="Y1102" i="3"/>
  <c r="Y1103" i="3"/>
  <c r="Y1104" i="3"/>
  <c r="Y1105" i="3"/>
  <c r="Y1106" i="3"/>
  <c r="Y1107" i="3"/>
  <c r="Y1108" i="3"/>
  <c r="Y1109" i="3"/>
  <c r="Y1110" i="3"/>
  <c r="Y1111" i="3"/>
  <c r="Y1112" i="3"/>
  <c r="Y1113" i="3"/>
  <c r="Y1114" i="3"/>
  <c r="Y1115" i="3"/>
  <c r="Y1116" i="3"/>
  <c r="Y1117" i="3"/>
  <c r="Y1118" i="3"/>
  <c r="Y1119" i="3"/>
  <c r="Y1120" i="3"/>
  <c r="Y1121" i="3"/>
  <c r="Y1122" i="3"/>
  <c r="Y1123" i="3"/>
  <c r="Y1124" i="3"/>
  <c r="Y1125" i="3"/>
  <c r="Y1126" i="3"/>
  <c r="Y1127" i="3"/>
  <c r="Y1128" i="3"/>
  <c r="Y1129" i="3"/>
  <c r="Y1130" i="3"/>
  <c r="Y1131" i="3"/>
  <c r="Y1132" i="3"/>
  <c r="Y1133" i="3"/>
  <c r="Y1134" i="3"/>
  <c r="Y1135" i="3"/>
  <c r="Y1136" i="3"/>
  <c r="Y1137" i="3"/>
  <c r="Y1138" i="3"/>
  <c r="Y1139" i="3"/>
  <c r="Y1140" i="3"/>
  <c r="Y1141" i="3"/>
  <c r="Y1142" i="3"/>
  <c r="Y1143" i="3"/>
  <c r="Y1144" i="3"/>
  <c r="Y1145" i="3"/>
  <c r="Y1146" i="3"/>
  <c r="Y1147" i="3"/>
  <c r="Y1148" i="3"/>
  <c r="Y1149" i="3"/>
  <c r="Y1150" i="3"/>
  <c r="Y1151" i="3"/>
  <c r="Y1152" i="3"/>
  <c r="Y1153" i="3"/>
  <c r="Y1154" i="3"/>
  <c r="Y1155" i="3"/>
  <c r="Y1156" i="3"/>
  <c r="Y1157" i="3"/>
  <c r="Y1158" i="3"/>
  <c r="Y1159" i="3"/>
  <c r="Y1160" i="3"/>
  <c r="Y1161" i="3"/>
  <c r="Y1162" i="3"/>
  <c r="Y1163" i="3"/>
  <c r="Y1164" i="3"/>
  <c r="Y1165" i="3"/>
  <c r="Y1166" i="3"/>
  <c r="Y1167" i="3"/>
  <c r="Y1168" i="3"/>
  <c r="Y1169" i="3"/>
  <c r="Y1170" i="3"/>
  <c r="Y1171" i="3"/>
  <c r="Y1172" i="3"/>
  <c r="Y1173" i="3"/>
  <c r="Y1174" i="3"/>
  <c r="Y1175" i="3"/>
  <c r="Y1176" i="3"/>
  <c r="Y1177" i="3"/>
  <c r="Y1178" i="3"/>
  <c r="Y1179" i="3"/>
  <c r="Y1180" i="3"/>
  <c r="Y1181" i="3"/>
  <c r="Y1182" i="3"/>
  <c r="Y1183" i="3"/>
  <c r="Y1184" i="3"/>
  <c r="Y1185" i="3"/>
  <c r="Y1186" i="3"/>
  <c r="Y1187" i="3"/>
  <c r="Y1188" i="3"/>
  <c r="Y1189" i="3"/>
  <c r="Y1190" i="3"/>
  <c r="Y1191" i="3"/>
  <c r="Y1192" i="3"/>
  <c r="Y1193" i="3"/>
  <c r="Y1194" i="3"/>
  <c r="Y1195" i="3"/>
  <c r="Y1196" i="3"/>
  <c r="Y1197" i="3"/>
  <c r="Y1198" i="3"/>
  <c r="Y1199" i="3"/>
  <c r="Y1200" i="3"/>
  <c r="Y1201" i="3"/>
  <c r="Y1202" i="3"/>
  <c r="Y1203" i="3"/>
  <c r="Y1204" i="3"/>
  <c r="Y1205" i="3"/>
  <c r="Y1206" i="3"/>
  <c r="Y1207" i="3"/>
  <c r="Y1208" i="3"/>
  <c r="Y1209" i="3"/>
  <c r="Y1210" i="3"/>
  <c r="Y1211" i="3"/>
  <c r="Y1212" i="3"/>
  <c r="Y1213" i="3"/>
  <c r="Y1214" i="3"/>
  <c r="Y1215" i="3"/>
  <c r="Y1216" i="3"/>
  <c r="Y1217" i="3"/>
  <c r="Y1218" i="3"/>
  <c r="Y1219" i="3"/>
  <c r="Y1220" i="3"/>
  <c r="Y1221" i="3"/>
  <c r="Y1222" i="3"/>
  <c r="Y1223" i="3"/>
  <c r="Y1224" i="3"/>
  <c r="Y1225" i="3"/>
  <c r="Y1226" i="3"/>
  <c r="Y1227" i="3"/>
  <c r="Y1228" i="3"/>
  <c r="Y1229" i="3"/>
  <c r="Y1230" i="3"/>
  <c r="Y1231" i="3"/>
  <c r="Y1232" i="3"/>
  <c r="Y1233" i="3"/>
  <c r="Y1234" i="3"/>
  <c r="Y1235" i="3"/>
  <c r="Y1236" i="3"/>
  <c r="Y1237" i="3"/>
  <c r="Y1238" i="3"/>
  <c r="Y1239" i="3"/>
  <c r="Y1240" i="3"/>
  <c r="Y1241" i="3"/>
  <c r="Y1242" i="3"/>
  <c r="Y1243" i="3"/>
  <c r="Y1244" i="3"/>
  <c r="Y1245" i="3"/>
  <c r="Y1246" i="3"/>
  <c r="Y1247" i="3"/>
  <c r="Y1248" i="3"/>
  <c r="Y1249" i="3"/>
  <c r="Y1250" i="3"/>
  <c r="Y1251" i="3"/>
  <c r="Y1252" i="3"/>
  <c r="Y1253" i="3"/>
  <c r="Y1254" i="3"/>
  <c r="Y1255" i="3"/>
  <c r="Y1256" i="3"/>
  <c r="Y1257" i="3"/>
  <c r="Y1258" i="3"/>
  <c r="Y1259" i="3"/>
  <c r="Y1260" i="3"/>
  <c r="Y1261" i="3"/>
  <c r="Y1262" i="3"/>
  <c r="Y1263" i="3"/>
  <c r="Y1264" i="3"/>
  <c r="Y1265" i="3"/>
  <c r="Y1266" i="3"/>
  <c r="Y1267" i="3"/>
  <c r="Y1268" i="3"/>
  <c r="Y1269" i="3"/>
  <c r="Y1270" i="3"/>
  <c r="Y1271" i="3"/>
  <c r="Y1272" i="3"/>
  <c r="Y1273" i="3"/>
  <c r="Y1274" i="3"/>
  <c r="Y1275" i="3"/>
  <c r="Y1276" i="3"/>
  <c r="Y1277" i="3"/>
  <c r="Y1278" i="3"/>
  <c r="Y1279" i="3"/>
  <c r="Y1280" i="3"/>
  <c r="Y1281" i="3"/>
  <c r="Y1282" i="3"/>
  <c r="Y1283" i="3"/>
  <c r="Y1284" i="3"/>
  <c r="Y1285" i="3"/>
  <c r="Y1286" i="3"/>
  <c r="Y1287" i="3"/>
  <c r="Y1288" i="3"/>
  <c r="Y1289" i="3"/>
  <c r="Y1290" i="3"/>
  <c r="Y1291" i="3"/>
  <c r="Y1292" i="3"/>
  <c r="Y1293" i="3"/>
  <c r="Y1294" i="3"/>
  <c r="Y1295" i="3"/>
  <c r="Y1296" i="3"/>
  <c r="Y1297" i="3"/>
  <c r="Y1298" i="3"/>
  <c r="Y1299" i="3"/>
  <c r="Y1300" i="3"/>
  <c r="Y1301" i="3"/>
  <c r="Y1302" i="3"/>
  <c r="Y1303" i="3"/>
  <c r="Y1304" i="3"/>
  <c r="Y1305" i="3"/>
  <c r="Y1306" i="3"/>
  <c r="Y1307" i="3"/>
  <c r="Y1308" i="3"/>
  <c r="Y1309" i="3"/>
  <c r="Y1310" i="3"/>
  <c r="Y1311" i="3"/>
  <c r="Y1312" i="3"/>
  <c r="Y1313" i="3"/>
  <c r="Y1314" i="3"/>
  <c r="Y1315" i="3"/>
  <c r="Y1316" i="3"/>
  <c r="Y1317" i="3"/>
  <c r="Y1318" i="3"/>
  <c r="Y1319" i="3"/>
  <c r="Y1320" i="3"/>
  <c r="Y1321" i="3"/>
  <c r="Y1322" i="3"/>
  <c r="Y1323" i="3"/>
  <c r="Y1324" i="3"/>
  <c r="Y1325" i="3"/>
  <c r="Y1326" i="3"/>
  <c r="Y1327" i="3"/>
  <c r="Y1328" i="3"/>
  <c r="Y1329" i="3"/>
  <c r="Y1330" i="3"/>
  <c r="Y1331" i="3"/>
  <c r="Y1332" i="3"/>
  <c r="Y1333" i="3"/>
  <c r="Y1334" i="3"/>
  <c r="Y1335" i="3"/>
  <c r="Y1336" i="3"/>
  <c r="Y1337" i="3"/>
  <c r="Y1338" i="3"/>
  <c r="Y1339" i="3"/>
  <c r="Y1340" i="3"/>
  <c r="Y1341" i="3"/>
  <c r="Y1342" i="3"/>
  <c r="Y1343" i="3"/>
  <c r="Y1344" i="3"/>
  <c r="Y1345" i="3"/>
  <c r="Y1346" i="3"/>
  <c r="Y1347" i="3"/>
  <c r="Y1348" i="3"/>
  <c r="Y1349" i="3"/>
  <c r="Y1350" i="3"/>
  <c r="Y1351" i="3"/>
  <c r="Y1352" i="3"/>
  <c r="Y1353" i="3"/>
  <c r="Y1354" i="3"/>
  <c r="Y1355" i="3"/>
  <c r="Y1356" i="3"/>
  <c r="Y1357" i="3"/>
  <c r="Y1358" i="3"/>
  <c r="Y1359" i="3"/>
  <c r="Y1360" i="3"/>
  <c r="Y1361" i="3"/>
  <c r="Y1362" i="3"/>
  <c r="Y1363" i="3"/>
  <c r="Y1364" i="3"/>
  <c r="Y1365" i="3"/>
  <c r="Y1366" i="3"/>
  <c r="Y1367" i="3"/>
  <c r="Y1368" i="3"/>
  <c r="Y1369" i="3"/>
  <c r="Y1370" i="3"/>
  <c r="Y1371" i="3"/>
  <c r="Y1372" i="3"/>
  <c r="Y1373" i="3"/>
  <c r="Y1374" i="3"/>
  <c r="Y1375" i="3"/>
  <c r="Y1376" i="3"/>
  <c r="Y1377" i="3"/>
  <c r="Y1378" i="3"/>
  <c r="Y1379" i="3"/>
  <c r="Y1380" i="3"/>
  <c r="Y1381" i="3"/>
  <c r="Y1382" i="3"/>
  <c r="Y1383" i="3"/>
  <c r="Y1384" i="3"/>
  <c r="Y1385" i="3"/>
  <c r="Y1386" i="3"/>
  <c r="Y1387" i="3"/>
  <c r="Y1388" i="3"/>
  <c r="Y1389" i="3"/>
  <c r="Y1390" i="3"/>
  <c r="Y1391" i="3"/>
  <c r="Y1392" i="3"/>
  <c r="Y1393" i="3"/>
  <c r="Y1394" i="3"/>
  <c r="Y1395" i="3"/>
  <c r="Y1396" i="3"/>
  <c r="Y1397" i="3"/>
  <c r="Y1398" i="3"/>
  <c r="Y1399" i="3"/>
  <c r="Y1400" i="3"/>
  <c r="Y1401" i="3"/>
  <c r="Y1402" i="3"/>
  <c r="Y1403" i="3"/>
  <c r="Y1404" i="3"/>
  <c r="Y1405" i="3"/>
  <c r="Y1406" i="3"/>
  <c r="Y1407" i="3"/>
  <c r="Y1408" i="3"/>
  <c r="Y1409" i="3"/>
  <c r="Y1410" i="3"/>
  <c r="Y1411" i="3"/>
  <c r="Y1412" i="3"/>
  <c r="Y1413" i="3"/>
  <c r="Y1414" i="3"/>
  <c r="Y1415" i="3"/>
  <c r="Y1416" i="3"/>
  <c r="Y1417" i="3"/>
  <c r="Y1418" i="3"/>
  <c r="Y1419" i="3"/>
  <c r="Y1420" i="3"/>
  <c r="Y1421" i="3"/>
  <c r="Y1422" i="3"/>
  <c r="Y1423" i="3"/>
  <c r="Y1424" i="3"/>
  <c r="Y1425" i="3"/>
  <c r="Y1426" i="3"/>
  <c r="Y1427" i="3"/>
  <c r="Y1428" i="3"/>
  <c r="Y1429" i="3"/>
  <c r="Y1430" i="3"/>
  <c r="Y1431" i="3"/>
  <c r="Y1432" i="3"/>
  <c r="Y1433" i="3"/>
  <c r="Y1434" i="3"/>
  <c r="Y1435" i="3"/>
  <c r="Y1436" i="3"/>
  <c r="Y1437" i="3"/>
  <c r="Y1438" i="3"/>
  <c r="Y1439" i="3"/>
  <c r="Y1440" i="3"/>
  <c r="Y1441" i="3"/>
  <c r="Y1442" i="3"/>
  <c r="Y1443" i="3"/>
  <c r="Y1444" i="3"/>
  <c r="Y1445" i="3"/>
  <c r="Y1446" i="3"/>
  <c r="Y1447" i="3"/>
  <c r="Y1448" i="3"/>
  <c r="Y1449" i="3"/>
  <c r="Y1450" i="3"/>
  <c r="Y1451" i="3"/>
  <c r="Y1452" i="3"/>
  <c r="Y1453" i="3"/>
  <c r="Y1454" i="3"/>
  <c r="Y1455" i="3"/>
  <c r="Y1456" i="3"/>
  <c r="Y1457" i="3"/>
  <c r="Y1458" i="3"/>
  <c r="Y1459" i="3"/>
  <c r="Y1460" i="3"/>
  <c r="Y1461" i="3"/>
  <c r="Y1462" i="3"/>
  <c r="Y1463" i="3"/>
  <c r="Y1464" i="3"/>
  <c r="Y1465" i="3"/>
  <c r="Y1466" i="3"/>
  <c r="Y1467" i="3"/>
  <c r="Y1468" i="3"/>
  <c r="Y1469" i="3"/>
  <c r="Y1470" i="3"/>
  <c r="Y1471" i="3"/>
  <c r="Y1472" i="3"/>
  <c r="Y1473" i="3"/>
  <c r="Y1474" i="3"/>
  <c r="Y1475" i="3"/>
  <c r="Y1476" i="3"/>
  <c r="Y1477" i="3"/>
  <c r="Y1478" i="3"/>
  <c r="Y1479" i="3"/>
  <c r="Y1480" i="3"/>
  <c r="Y1481" i="3"/>
  <c r="Y1482" i="3"/>
  <c r="Y1483" i="3"/>
  <c r="Y1484" i="3"/>
  <c r="Y1485" i="3"/>
  <c r="Y1486" i="3"/>
  <c r="Y1487" i="3"/>
  <c r="Y1488" i="3"/>
  <c r="Y1489" i="3"/>
  <c r="Y1490" i="3"/>
  <c r="Y1491" i="3"/>
  <c r="Y1492" i="3"/>
  <c r="Y1493" i="3"/>
  <c r="Y1494" i="3"/>
  <c r="Y1495" i="3"/>
  <c r="Y1496" i="3"/>
  <c r="Y1497" i="3"/>
  <c r="Y1498" i="3"/>
  <c r="Y1499" i="3"/>
  <c r="Y1500" i="3"/>
  <c r="Y1501" i="3"/>
  <c r="Y1502" i="3"/>
  <c r="Y1503" i="3"/>
  <c r="Y1504" i="3"/>
  <c r="Y1505" i="3"/>
  <c r="Y1506" i="3"/>
  <c r="Y1507" i="3"/>
  <c r="Y1508" i="3"/>
  <c r="Y1509" i="3"/>
  <c r="Y1510" i="3"/>
  <c r="Y1511" i="3"/>
  <c r="Y1512" i="3"/>
  <c r="Y1513" i="3"/>
  <c r="Y1514" i="3"/>
  <c r="Y1515" i="3"/>
  <c r="Y1516" i="3"/>
  <c r="Y1517" i="3"/>
  <c r="Y1518" i="3"/>
  <c r="Y1519" i="3"/>
  <c r="Y1520" i="3"/>
  <c r="Y1521" i="3"/>
  <c r="Y1522" i="3"/>
  <c r="Y1523" i="3"/>
  <c r="Y1524" i="3"/>
  <c r="Y1525" i="3"/>
  <c r="Y1526" i="3"/>
  <c r="Y1527" i="3"/>
  <c r="Y1528" i="3"/>
  <c r="Y1529" i="3"/>
  <c r="Y1530" i="3"/>
  <c r="Y1531" i="3"/>
  <c r="Y1532" i="3"/>
  <c r="Y1533" i="3"/>
  <c r="Y1534" i="3"/>
  <c r="Y1535" i="3"/>
  <c r="Y1536" i="3"/>
  <c r="Y1537" i="3"/>
  <c r="Y1538" i="3"/>
  <c r="Y1539" i="3"/>
  <c r="Y1540" i="3"/>
  <c r="Y1541" i="3"/>
  <c r="Y1542" i="3"/>
  <c r="Y1543" i="3"/>
  <c r="Y1544" i="3"/>
  <c r="Y1545" i="3"/>
  <c r="Y1546" i="3"/>
  <c r="Y1547" i="3"/>
  <c r="Y1548" i="3"/>
  <c r="Y1549" i="3"/>
  <c r="Y1550" i="3"/>
  <c r="Y1551" i="3"/>
  <c r="Y1552" i="3"/>
  <c r="Y1553" i="3"/>
  <c r="Y1554" i="3"/>
  <c r="Y1555" i="3"/>
  <c r="Y1556" i="3"/>
  <c r="Y1557" i="3"/>
  <c r="Y1558" i="3"/>
  <c r="Y1559" i="3"/>
  <c r="Y1560" i="3"/>
  <c r="Y1561" i="3"/>
  <c r="Y1562" i="3"/>
  <c r="Y1563" i="3"/>
  <c r="Y1564" i="3"/>
  <c r="Y1565" i="3"/>
  <c r="Y1566" i="3"/>
  <c r="Y1567" i="3"/>
  <c r="Y1568" i="3"/>
  <c r="Y1569" i="3"/>
  <c r="Y1570" i="3"/>
  <c r="Y1571" i="3"/>
  <c r="Y1572" i="3"/>
  <c r="Y1573" i="3"/>
  <c r="Y1574" i="3"/>
  <c r="Y1575" i="3"/>
  <c r="Y1576" i="3"/>
  <c r="Y1577" i="3"/>
  <c r="Y1578" i="3"/>
  <c r="Y1579" i="3"/>
  <c r="Y1580" i="3"/>
  <c r="Y1581" i="3"/>
  <c r="Y1582" i="3"/>
  <c r="Y1583" i="3"/>
  <c r="Y1584" i="3"/>
  <c r="Y1585" i="3"/>
  <c r="Y1586" i="3"/>
  <c r="Y1587" i="3"/>
  <c r="Y1588" i="3"/>
  <c r="Y1589" i="3"/>
  <c r="Y1590" i="3"/>
  <c r="Y1591" i="3"/>
  <c r="Y1592" i="3"/>
  <c r="Y1593" i="3"/>
  <c r="Y1594" i="3"/>
  <c r="Y1595" i="3"/>
  <c r="Y1596" i="3"/>
  <c r="Y1597" i="3"/>
  <c r="Y1598" i="3"/>
  <c r="Y1599" i="3"/>
  <c r="Y1600" i="3"/>
  <c r="Y1601" i="3"/>
  <c r="Y1602" i="3"/>
  <c r="Y1603" i="3"/>
  <c r="Y1604" i="3"/>
  <c r="Y1605" i="3"/>
  <c r="Y1606" i="3"/>
  <c r="Y1607" i="3"/>
  <c r="Y1608" i="3"/>
  <c r="Y1609" i="3"/>
  <c r="Y1610" i="3"/>
  <c r="Y1611" i="3"/>
  <c r="Y1612" i="3"/>
  <c r="Y1613" i="3"/>
  <c r="Y1614" i="3"/>
  <c r="Y1615" i="3"/>
  <c r="Y1616" i="3"/>
  <c r="Y1617" i="3"/>
  <c r="Y1618" i="3"/>
  <c r="Y1619" i="3"/>
  <c r="Y1620" i="3"/>
  <c r="Y1621" i="3"/>
  <c r="Y1622" i="3"/>
  <c r="Y1623" i="3"/>
  <c r="Y1624" i="3"/>
  <c r="Y1625" i="3"/>
  <c r="Y1626" i="3"/>
  <c r="Y1627" i="3"/>
  <c r="Y1628" i="3"/>
  <c r="Y1629" i="3"/>
  <c r="Y1630" i="3"/>
  <c r="Y1631" i="3"/>
  <c r="Y1632" i="3"/>
  <c r="Y1633" i="3"/>
  <c r="Y1634" i="3"/>
  <c r="Y1635" i="3"/>
  <c r="Y1636" i="3"/>
  <c r="Y1637" i="3"/>
  <c r="Y1638" i="3"/>
  <c r="Y1639" i="3"/>
  <c r="Y1640" i="3"/>
  <c r="Y1641" i="3"/>
  <c r="Y1642" i="3"/>
  <c r="Y1643" i="3"/>
  <c r="Y1644" i="3"/>
  <c r="Y1645" i="3"/>
  <c r="Y1646" i="3"/>
  <c r="Y1647" i="3"/>
  <c r="Y1648" i="3"/>
  <c r="Y1649" i="3"/>
  <c r="Y1650" i="3"/>
  <c r="Y1651" i="3"/>
  <c r="Y1652" i="3"/>
  <c r="Y1653" i="3"/>
  <c r="Y1654" i="3"/>
  <c r="Y1655" i="3"/>
  <c r="Y1656" i="3"/>
  <c r="Y1657" i="3"/>
  <c r="Y1658" i="3"/>
  <c r="Y1659" i="3"/>
  <c r="Y1660" i="3"/>
  <c r="Y1661" i="3"/>
  <c r="Y1662" i="3"/>
  <c r="Y1663" i="3"/>
  <c r="Y1664" i="3"/>
  <c r="Y1665" i="3"/>
  <c r="Y1666" i="3"/>
  <c r="Y1667" i="3"/>
  <c r="Y1668" i="3"/>
  <c r="Y1669" i="3"/>
  <c r="Y1670" i="3"/>
  <c r="Y1671" i="3"/>
  <c r="Y1672" i="3"/>
  <c r="Y1673" i="3"/>
  <c r="Y1674" i="3"/>
  <c r="Y1675" i="3"/>
  <c r="Y1676" i="3"/>
  <c r="Y1677" i="3"/>
  <c r="Y1678" i="3"/>
  <c r="Y1679" i="3"/>
  <c r="Y1680" i="3"/>
  <c r="Y1681" i="3"/>
  <c r="Y1682" i="3"/>
  <c r="Y1683" i="3"/>
  <c r="Y1684" i="3"/>
  <c r="Y1685" i="3"/>
  <c r="Y1686" i="3"/>
  <c r="Y1687" i="3"/>
  <c r="Y1688" i="3"/>
  <c r="Y1689" i="3"/>
  <c r="Y1690" i="3"/>
  <c r="Y1691" i="3"/>
  <c r="Y1692" i="3"/>
  <c r="Y1693" i="3"/>
  <c r="Y1694" i="3"/>
  <c r="Y1695" i="3"/>
  <c r="Y1696" i="3"/>
  <c r="Y1697" i="3"/>
  <c r="Y1698" i="3"/>
  <c r="Y1699" i="3"/>
  <c r="Y1700" i="3"/>
  <c r="Y1701" i="3"/>
  <c r="Y1702" i="3"/>
  <c r="Y1703" i="3"/>
  <c r="Y1704" i="3"/>
  <c r="Y1705" i="3"/>
  <c r="Y1706" i="3"/>
  <c r="Y1707" i="3"/>
  <c r="Y1708" i="3"/>
  <c r="Y1709" i="3"/>
  <c r="Y1710" i="3"/>
  <c r="Y1711" i="3"/>
  <c r="Y1712" i="3"/>
  <c r="Y1713" i="3"/>
  <c r="Y1714" i="3"/>
  <c r="Y1715" i="3"/>
  <c r="Y1716" i="3"/>
  <c r="Y1717" i="3"/>
  <c r="Y1718" i="3"/>
  <c r="Y1719" i="3"/>
  <c r="Y1720" i="3"/>
  <c r="Y1721" i="3"/>
  <c r="Y1722" i="3"/>
  <c r="Y1723" i="3"/>
  <c r="Y1724" i="3"/>
  <c r="Y1725" i="3"/>
  <c r="Y1726" i="3"/>
  <c r="Y1727" i="3"/>
  <c r="Y1728" i="3"/>
  <c r="Y1729" i="3"/>
  <c r="Y1730" i="3"/>
  <c r="Y1731" i="3"/>
  <c r="Y1732" i="3"/>
  <c r="Y1733" i="3"/>
  <c r="Y1734" i="3"/>
  <c r="Y1735" i="3"/>
  <c r="Y1736" i="3"/>
  <c r="Y1737" i="3"/>
  <c r="Y1738" i="3"/>
  <c r="Y1739" i="3"/>
  <c r="Y1740" i="3"/>
  <c r="Y1741" i="3"/>
  <c r="Y1742" i="3"/>
  <c r="Y1743" i="3"/>
  <c r="Y1744" i="3"/>
  <c r="Y1745" i="3"/>
  <c r="Y1746" i="3"/>
  <c r="Y1747" i="3"/>
  <c r="Y1748" i="3"/>
  <c r="Y1749" i="3"/>
  <c r="Y1750" i="3"/>
  <c r="Y1751" i="3"/>
  <c r="Y1752" i="3"/>
  <c r="Y1753" i="3"/>
  <c r="Y1754" i="3"/>
  <c r="Y1755" i="3"/>
  <c r="Y1756" i="3"/>
  <c r="Y1757" i="3"/>
  <c r="Y1758" i="3"/>
  <c r="Y1759" i="3"/>
  <c r="Y1760" i="3"/>
  <c r="Y1761" i="3"/>
  <c r="Y1762" i="3"/>
  <c r="Y1763" i="3"/>
  <c r="Y1764" i="3"/>
  <c r="Y1765" i="3"/>
  <c r="Y1766" i="3"/>
  <c r="Y1767" i="3"/>
  <c r="Y1768" i="3"/>
  <c r="Y1769" i="3"/>
  <c r="Y1770" i="3"/>
  <c r="Y1771" i="3"/>
  <c r="Y1772" i="3"/>
  <c r="Y1773" i="3"/>
  <c r="Y1774" i="3"/>
  <c r="Y1775" i="3"/>
  <c r="Y1776" i="3"/>
  <c r="Y1777" i="3"/>
  <c r="Y1778" i="3"/>
  <c r="Y1779" i="3"/>
  <c r="Y1780" i="3"/>
  <c r="Y1781" i="3"/>
  <c r="Y1782" i="3"/>
  <c r="Y1783" i="3"/>
  <c r="Y1784" i="3"/>
  <c r="Y1785" i="3"/>
  <c r="Y1786" i="3"/>
  <c r="Y1787" i="3"/>
  <c r="Y1788" i="3"/>
  <c r="Y1789" i="3"/>
  <c r="Y1790" i="3"/>
  <c r="Y1791" i="3"/>
  <c r="Y1792" i="3"/>
  <c r="Y1793" i="3"/>
  <c r="Y1794" i="3"/>
  <c r="Y1795" i="3"/>
  <c r="Y1796" i="3"/>
  <c r="Y1797" i="3"/>
  <c r="Y1798" i="3"/>
  <c r="Y1799" i="3"/>
  <c r="Y1800" i="3"/>
  <c r="Y1801" i="3"/>
  <c r="Y1802" i="3"/>
  <c r="Y1803" i="3"/>
  <c r="Y1804" i="3"/>
  <c r="Y1805" i="3"/>
  <c r="Y1806" i="3"/>
  <c r="Y1807" i="3"/>
  <c r="Y1808" i="3"/>
  <c r="Y1809" i="3"/>
  <c r="Y1810" i="3"/>
  <c r="Y1811" i="3"/>
  <c r="Y1812" i="3"/>
  <c r="Y1813" i="3"/>
  <c r="Y1814" i="3"/>
  <c r="Y1815" i="3"/>
  <c r="Y1816" i="3"/>
  <c r="Y1817" i="3"/>
  <c r="Y1818" i="3"/>
  <c r="Y1819" i="3"/>
  <c r="Y1820" i="3"/>
  <c r="Y1821" i="3"/>
  <c r="Y1822" i="3"/>
  <c r="Y1823" i="3"/>
  <c r="Y1824" i="3"/>
  <c r="Y1825" i="3"/>
  <c r="Y1826" i="3"/>
  <c r="Y1827" i="3"/>
  <c r="Y1828" i="3"/>
  <c r="Y1829" i="3"/>
  <c r="Y1830" i="3"/>
  <c r="Y1831" i="3"/>
  <c r="Y1832" i="3"/>
  <c r="Y1833" i="3"/>
  <c r="Y1834" i="3"/>
  <c r="Y1835" i="3"/>
  <c r="Y1836" i="3"/>
  <c r="Y1837" i="3"/>
  <c r="Y1838" i="3"/>
  <c r="Y1839" i="3"/>
  <c r="Y1840" i="3"/>
  <c r="Y1841" i="3"/>
  <c r="Y1842" i="3"/>
  <c r="Y1843" i="3"/>
  <c r="Y1844" i="3"/>
  <c r="Y1845" i="3"/>
  <c r="Y1846" i="3"/>
  <c r="Y1847" i="3"/>
  <c r="Y1848" i="3"/>
  <c r="Y1849" i="3"/>
  <c r="Y1850" i="3"/>
  <c r="Y1851" i="3"/>
  <c r="Y1852" i="3"/>
  <c r="Y1853" i="3"/>
  <c r="Y1854" i="3"/>
  <c r="Y1855" i="3"/>
  <c r="Y1856" i="3"/>
  <c r="Y1857" i="3"/>
  <c r="Y1858" i="3"/>
  <c r="Y1859" i="3"/>
  <c r="Y1860" i="3"/>
  <c r="Y1861" i="3"/>
  <c r="Y1862" i="3"/>
  <c r="Y1863" i="3"/>
  <c r="Y1864" i="3"/>
  <c r="Y1865" i="3"/>
  <c r="Y1866" i="3"/>
  <c r="Y1867" i="3"/>
  <c r="Y1868" i="3"/>
  <c r="Y1869" i="3"/>
  <c r="Y1870" i="3"/>
  <c r="Y1871" i="3"/>
  <c r="Y1872" i="3"/>
  <c r="Y1873" i="3"/>
  <c r="Y1874" i="3"/>
  <c r="Y1875" i="3"/>
  <c r="Y1876" i="3"/>
  <c r="Y1877" i="3"/>
  <c r="Y1878" i="3"/>
  <c r="Y1879" i="3"/>
  <c r="Y1880" i="3"/>
  <c r="Y1881" i="3"/>
  <c r="Y1882" i="3"/>
  <c r="Y1883" i="3"/>
  <c r="Y1884" i="3"/>
  <c r="Y1885" i="3"/>
  <c r="Y1886" i="3"/>
  <c r="Y1887" i="3"/>
  <c r="Y1888" i="3"/>
  <c r="Y1889" i="3"/>
  <c r="Y1890" i="3"/>
  <c r="Y1891" i="3"/>
  <c r="Y1892" i="3"/>
  <c r="Y1893" i="3"/>
  <c r="Y1894" i="3"/>
  <c r="Y1895" i="3"/>
  <c r="Y1896" i="3"/>
  <c r="Y1897" i="3"/>
  <c r="Y1898" i="3"/>
  <c r="Y1899" i="3"/>
  <c r="Y1900" i="3"/>
  <c r="Y1901" i="3"/>
  <c r="Y1902" i="3"/>
  <c r="Y1903" i="3"/>
  <c r="Y1904" i="3"/>
  <c r="Y1905" i="3"/>
  <c r="Y1906" i="3"/>
  <c r="Y1907" i="3"/>
  <c r="Y1908" i="3"/>
  <c r="Y1909" i="3"/>
  <c r="Y1910" i="3"/>
  <c r="Y1911" i="3"/>
  <c r="Y1912" i="3"/>
  <c r="Y1913" i="3"/>
  <c r="Y1914" i="3"/>
  <c r="Y1915" i="3"/>
  <c r="Y1916" i="3"/>
  <c r="Y1917" i="3"/>
  <c r="Y1918" i="3"/>
  <c r="Y1919" i="3"/>
  <c r="Y1920" i="3"/>
  <c r="Y1921" i="3"/>
  <c r="Y1922" i="3"/>
  <c r="Y1923" i="3"/>
  <c r="Y1924" i="3"/>
  <c r="Y1925" i="3"/>
  <c r="Y1926" i="3"/>
  <c r="Y1927" i="3"/>
  <c r="Y1928" i="3"/>
  <c r="Y1929" i="3"/>
  <c r="Y1930" i="3"/>
  <c r="Y1931" i="3"/>
  <c r="Y1932" i="3"/>
  <c r="Y1933" i="3"/>
  <c r="Y1934" i="3"/>
  <c r="Y1935" i="3"/>
  <c r="Y1936" i="3"/>
  <c r="Y1937" i="3"/>
  <c r="Y1938" i="3"/>
  <c r="Y1939" i="3"/>
  <c r="Y1940" i="3"/>
  <c r="Y1941" i="3"/>
  <c r="Y1942" i="3"/>
  <c r="Y1943" i="3"/>
  <c r="Y1944" i="3"/>
  <c r="Y1945" i="3"/>
  <c r="Y1946" i="3"/>
  <c r="Y1947" i="3"/>
  <c r="Y1948" i="3"/>
  <c r="Y1949" i="3"/>
  <c r="Y1950" i="3"/>
  <c r="Y1951" i="3"/>
  <c r="Y1952" i="3"/>
  <c r="Y1953" i="3"/>
  <c r="Y1954" i="3"/>
  <c r="Y1955" i="3"/>
  <c r="Y1956" i="3"/>
  <c r="Y1957" i="3"/>
  <c r="Y1958" i="3"/>
  <c r="Y1959" i="3"/>
  <c r="Y1960" i="3"/>
  <c r="Y1961" i="3"/>
  <c r="Y1962" i="3"/>
  <c r="Y1963" i="3"/>
  <c r="Y1964" i="3"/>
  <c r="Y1965" i="3"/>
  <c r="Y1966" i="3"/>
  <c r="Y1967" i="3"/>
  <c r="Y1968" i="3"/>
  <c r="Y1969" i="3"/>
  <c r="Y1970" i="3"/>
  <c r="Y1971" i="3"/>
  <c r="Y1972" i="3"/>
  <c r="Y1973" i="3"/>
  <c r="Y1974" i="3"/>
  <c r="Y1975" i="3"/>
  <c r="Y1976" i="3"/>
  <c r="Y1977" i="3"/>
  <c r="Y1978" i="3"/>
  <c r="Y1979" i="3"/>
  <c r="Y1980" i="3"/>
  <c r="Y1981" i="3"/>
  <c r="Y1982" i="3"/>
  <c r="Y1983" i="3"/>
  <c r="Y1984" i="3"/>
  <c r="Y1985" i="3"/>
  <c r="Y1986" i="3"/>
  <c r="Y1987" i="3"/>
  <c r="Y1988" i="3"/>
  <c r="Y1989" i="3"/>
  <c r="Y1990" i="3"/>
  <c r="Y1991" i="3"/>
  <c r="Y1992" i="3"/>
  <c r="Y1993" i="3"/>
  <c r="Y1994" i="3"/>
  <c r="Y1995" i="3"/>
  <c r="Y1996" i="3"/>
  <c r="Y1997" i="3"/>
  <c r="Y1998" i="3"/>
  <c r="Y1999" i="3"/>
  <c r="Y2000" i="3"/>
  <c r="Y2001" i="3"/>
  <c r="Y2002" i="3"/>
  <c r="Y2003" i="3"/>
  <c r="Y2004" i="3"/>
  <c r="Y2005" i="3"/>
  <c r="Y2006" i="3"/>
  <c r="Y2007" i="3"/>
  <c r="Y2008" i="3"/>
  <c r="Y2009" i="3"/>
  <c r="Y2010" i="3"/>
  <c r="Y2011" i="3"/>
  <c r="Y2012" i="3"/>
  <c r="Y2013" i="3"/>
  <c r="Y2014" i="3"/>
  <c r="Y2015" i="3"/>
  <c r="Y2016" i="3"/>
  <c r="Y2017" i="3"/>
  <c r="Y2018" i="3"/>
  <c r="Y2019" i="3"/>
  <c r="Y2020" i="3"/>
  <c r="Y2021" i="3"/>
  <c r="Y2022" i="3"/>
  <c r="Y2023" i="3"/>
  <c r="Y2024" i="3"/>
  <c r="Y2025" i="3"/>
  <c r="Y2026" i="3"/>
  <c r="Y2027" i="3"/>
  <c r="Y2028" i="3"/>
  <c r="Y2029" i="3"/>
  <c r="Y2030" i="3"/>
  <c r="Y2031" i="3"/>
  <c r="Y2032" i="3"/>
  <c r="Y2033" i="3"/>
  <c r="Y2034" i="3"/>
  <c r="Y2035" i="3"/>
  <c r="Y2036" i="3"/>
  <c r="Y2037" i="3"/>
  <c r="Y2038" i="3"/>
  <c r="Y2039" i="3"/>
  <c r="Y2040" i="3"/>
  <c r="Y2041" i="3"/>
  <c r="Y2042" i="3"/>
  <c r="Y2043" i="3"/>
  <c r="Y2044" i="3"/>
  <c r="Y2045" i="3"/>
  <c r="Y2046" i="3"/>
  <c r="Y2047" i="3"/>
  <c r="Y2048" i="3"/>
  <c r="Y2049" i="3"/>
  <c r="Y2050" i="3"/>
  <c r="Y2051" i="3"/>
  <c r="Y2052" i="3"/>
  <c r="Y2053" i="3"/>
  <c r="Y2054" i="3"/>
  <c r="Y2055" i="3"/>
  <c r="Y2056" i="3"/>
  <c r="Y2057" i="3"/>
  <c r="Y2058" i="3"/>
  <c r="Y2059" i="3"/>
  <c r="Y2060" i="3"/>
  <c r="Y2061" i="3"/>
  <c r="Y2062" i="3"/>
  <c r="Y2063" i="3"/>
  <c r="Y2064" i="3"/>
  <c r="Y2065" i="3"/>
  <c r="Y2066" i="3"/>
  <c r="Y2067" i="3"/>
  <c r="Y2068" i="3"/>
  <c r="Y2069" i="3"/>
  <c r="Y2070" i="3"/>
  <c r="Y2071" i="3"/>
  <c r="Y2072" i="3"/>
  <c r="Y2073" i="3"/>
  <c r="Y2074" i="3"/>
  <c r="Y2075" i="3"/>
  <c r="Y2076" i="3"/>
  <c r="Y2077" i="3"/>
  <c r="Y2078" i="3"/>
  <c r="Y2079" i="3"/>
  <c r="Y2080" i="3"/>
  <c r="Y2081" i="3"/>
  <c r="Y2082" i="3"/>
  <c r="Y2083" i="3"/>
  <c r="Y2084" i="3"/>
  <c r="Y2085" i="3"/>
  <c r="Y2086" i="3"/>
  <c r="Y2087" i="3"/>
  <c r="Y2088" i="3"/>
  <c r="Y2089" i="3"/>
  <c r="Y2090" i="3"/>
  <c r="Y2091" i="3"/>
  <c r="Y2092" i="3"/>
  <c r="Y2093" i="3"/>
  <c r="Y2094" i="3"/>
  <c r="Y2095" i="3"/>
  <c r="Y2096" i="3"/>
  <c r="Y2097" i="3"/>
  <c r="Y2098" i="3"/>
  <c r="Y2099" i="3"/>
  <c r="Y2100" i="3"/>
  <c r="Y2101" i="3"/>
  <c r="Y2102" i="3"/>
  <c r="Y2103" i="3"/>
  <c r="Y2104" i="3"/>
  <c r="Y2105" i="3"/>
  <c r="Y2106" i="3"/>
  <c r="Y2107" i="3"/>
  <c r="Y2108" i="3"/>
  <c r="Y2109" i="3"/>
  <c r="Y2110" i="3"/>
  <c r="Y2111" i="3"/>
  <c r="Y2112" i="3"/>
  <c r="Y2113" i="3"/>
  <c r="Y2114" i="3"/>
  <c r="Y2115" i="3"/>
  <c r="Y2116" i="3"/>
  <c r="Y2117" i="3"/>
  <c r="Y2118" i="3"/>
  <c r="Y2119" i="3"/>
  <c r="Y2120" i="3"/>
  <c r="Y2121" i="3"/>
  <c r="Y2122" i="3"/>
  <c r="Y2123" i="3"/>
  <c r="Y2124" i="3"/>
  <c r="Y2125" i="3"/>
  <c r="Y2126" i="3"/>
  <c r="Y2127" i="3"/>
  <c r="Y2128" i="3"/>
  <c r="Y2129" i="3"/>
  <c r="Y2130" i="3"/>
  <c r="Y2131" i="3"/>
  <c r="Y2132" i="3"/>
  <c r="Y2133" i="3"/>
  <c r="Y2134" i="3"/>
  <c r="Y2135" i="3"/>
  <c r="Y2136" i="3"/>
  <c r="Y2137" i="3"/>
  <c r="Y2138" i="3"/>
  <c r="Y2139" i="3"/>
  <c r="Y2140" i="3"/>
  <c r="Y2141" i="3"/>
  <c r="Y2142" i="3"/>
  <c r="Y2143" i="3"/>
  <c r="Y2144" i="3"/>
  <c r="Y2145" i="3"/>
  <c r="Y2146" i="3"/>
  <c r="Y2147" i="3"/>
  <c r="Y2148" i="3"/>
  <c r="Y2149" i="3"/>
  <c r="Y2150" i="3"/>
  <c r="Y2151" i="3"/>
  <c r="Y2152" i="3"/>
  <c r="Y2153" i="3"/>
  <c r="Y2154" i="3"/>
  <c r="Y2155" i="3"/>
  <c r="Y2156" i="3"/>
  <c r="Y2157" i="3"/>
  <c r="Y2158" i="3"/>
  <c r="Y2159" i="3"/>
  <c r="Y2160" i="3"/>
  <c r="Y2161" i="3"/>
  <c r="Y2162" i="3"/>
  <c r="Y2163" i="3"/>
  <c r="Y2164" i="3"/>
  <c r="Y2165" i="3"/>
  <c r="Y2166" i="3"/>
  <c r="Y2167" i="3"/>
  <c r="Y2168" i="3"/>
  <c r="Y2169" i="3"/>
  <c r="Y2170" i="3"/>
  <c r="Y2171" i="3"/>
  <c r="Y2172" i="3"/>
  <c r="Y2173" i="3"/>
  <c r="Y2174" i="3"/>
  <c r="Y2175" i="3"/>
  <c r="Y2176" i="3"/>
  <c r="Y2177" i="3"/>
  <c r="Y2178" i="3"/>
  <c r="Y2179" i="3"/>
  <c r="Y2180" i="3"/>
  <c r="Y2181" i="3"/>
  <c r="Y2182" i="3"/>
  <c r="Y2183" i="3"/>
  <c r="Y2184" i="3"/>
  <c r="Y2185" i="3"/>
  <c r="Y2186" i="3"/>
  <c r="Y2187" i="3"/>
  <c r="Y2188" i="3"/>
  <c r="Y2189" i="3"/>
  <c r="Y2190" i="3"/>
  <c r="Y2191" i="3"/>
  <c r="Y2192" i="3"/>
  <c r="Y2193" i="3"/>
  <c r="Y2194" i="3"/>
  <c r="Y2195" i="3"/>
  <c r="Y2196" i="3"/>
  <c r="Y2197" i="3"/>
  <c r="Y2198" i="3"/>
  <c r="Y2199" i="3"/>
  <c r="Y2200" i="3"/>
  <c r="Y2201" i="3"/>
  <c r="Y2202" i="3"/>
  <c r="Y2203" i="3"/>
  <c r="Y2204" i="3"/>
  <c r="Y2205" i="3"/>
  <c r="Y2206" i="3"/>
  <c r="Y2207" i="3"/>
  <c r="Y2208" i="3"/>
  <c r="Y2209" i="3"/>
  <c r="Y2210" i="3"/>
  <c r="Y2211" i="3"/>
  <c r="Y2212" i="3"/>
  <c r="Y2213" i="3"/>
  <c r="Y2214" i="3"/>
  <c r="Y2215" i="3"/>
  <c r="Y2216" i="3"/>
  <c r="Y2217" i="3"/>
  <c r="Y2218" i="3"/>
  <c r="Y2219" i="3"/>
  <c r="Y2220" i="3"/>
  <c r="Y2221" i="3"/>
  <c r="Y2222" i="3"/>
  <c r="Y2223" i="3"/>
  <c r="Y2224" i="3"/>
  <c r="Y2225" i="3"/>
  <c r="Y2226" i="3"/>
  <c r="Y2227" i="3"/>
  <c r="Y2228" i="3"/>
  <c r="Y2229" i="3"/>
  <c r="Y2230" i="3"/>
  <c r="Y2231" i="3"/>
  <c r="Y2232" i="3"/>
  <c r="Y2233" i="3"/>
  <c r="Y2234" i="3"/>
  <c r="Y2235" i="3"/>
  <c r="Y2236" i="3"/>
  <c r="Y2237" i="3"/>
  <c r="Y2238" i="3"/>
  <c r="Y2239" i="3"/>
  <c r="Y2240" i="3"/>
  <c r="Y2241" i="3"/>
  <c r="Y2242" i="3"/>
  <c r="Y2243" i="3"/>
  <c r="Y2244" i="3"/>
  <c r="Y2245" i="3"/>
  <c r="Y2246" i="3"/>
  <c r="Y2247" i="3"/>
  <c r="Y2248" i="3"/>
  <c r="Y2249" i="3"/>
  <c r="Y2250" i="3"/>
  <c r="Y2251" i="3"/>
  <c r="Y2252" i="3"/>
  <c r="Y2253" i="3"/>
  <c r="Y2254" i="3"/>
  <c r="Y2255" i="3"/>
  <c r="Y2256" i="3"/>
  <c r="Y2257" i="3"/>
  <c r="Y2258" i="3"/>
  <c r="Y2259" i="3"/>
  <c r="Y2260" i="3"/>
  <c r="Y2261" i="3"/>
  <c r="Y2262" i="3"/>
  <c r="Y2263" i="3"/>
  <c r="Y2264" i="3"/>
  <c r="Y2265" i="3"/>
  <c r="Y2266" i="3"/>
  <c r="Y2267" i="3"/>
  <c r="Y2268" i="3"/>
  <c r="Y2269" i="3"/>
  <c r="Y2270" i="3"/>
  <c r="Y2271" i="3"/>
  <c r="Y2272" i="3"/>
  <c r="Y2273" i="3"/>
  <c r="Y2274" i="3"/>
  <c r="Y2275" i="3"/>
  <c r="Y2276" i="3"/>
  <c r="Y2277" i="3"/>
  <c r="Y2278" i="3"/>
  <c r="Y2279" i="3"/>
  <c r="Y2280" i="3"/>
  <c r="Y2281" i="3"/>
  <c r="Y2282" i="3"/>
  <c r="Y2283" i="3"/>
  <c r="Y2284" i="3"/>
  <c r="Y2285" i="3"/>
  <c r="Y2286" i="3"/>
  <c r="Y2287" i="3"/>
  <c r="Y2288" i="3"/>
  <c r="Y2289" i="3"/>
  <c r="Y2290" i="3"/>
  <c r="Y2291" i="3"/>
  <c r="Y2292" i="3"/>
  <c r="Y2293" i="3"/>
  <c r="Y2294" i="3"/>
  <c r="Y2295" i="3"/>
  <c r="Y2296" i="3"/>
  <c r="Y2297" i="3"/>
  <c r="Y2298" i="3"/>
  <c r="Y2299" i="3"/>
  <c r="Y2300" i="3"/>
  <c r="Y2301" i="3"/>
  <c r="Y2302" i="3"/>
  <c r="Y2303" i="3"/>
  <c r="Y2304" i="3"/>
  <c r="Y2305" i="3"/>
  <c r="Y2306" i="3"/>
  <c r="Y2307" i="3"/>
  <c r="Y2308" i="3"/>
  <c r="Y2309" i="3"/>
  <c r="Y2310" i="3"/>
  <c r="Y2311" i="3"/>
  <c r="Y2312" i="3"/>
  <c r="Y2313" i="3"/>
  <c r="Y2314" i="3"/>
  <c r="Y2315" i="3"/>
  <c r="Y2316" i="3"/>
  <c r="Y2317" i="3"/>
  <c r="Y2318" i="3"/>
  <c r="Y2319" i="3"/>
  <c r="Y2320" i="3"/>
  <c r="Y2321" i="3"/>
  <c r="Y2322" i="3"/>
  <c r="Y2323" i="3"/>
  <c r="Y2324" i="3"/>
  <c r="Y2325" i="3"/>
  <c r="Y2326" i="3"/>
  <c r="Y2327" i="3"/>
  <c r="Y2328" i="3"/>
  <c r="Y2329" i="3"/>
  <c r="Y2330" i="3"/>
  <c r="Y2331" i="3"/>
  <c r="Y2332" i="3"/>
  <c r="Y2333" i="3"/>
  <c r="Y2334" i="3"/>
  <c r="Y2335" i="3"/>
  <c r="Y2336" i="3"/>
  <c r="Y2337" i="3"/>
  <c r="Y2338" i="3"/>
  <c r="Y2339" i="3"/>
  <c r="Y2340" i="3"/>
  <c r="Y2341" i="3"/>
  <c r="Y2342" i="3"/>
  <c r="Y2343" i="3"/>
  <c r="Y2344" i="3"/>
  <c r="Y2345" i="3"/>
  <c r="Y2346" i="3"/>
  <c r="Y2347" i="3"/>
  <c r="Y2348" i="3"/>
  <c r="Y2349" i="3"/>
  <c r="Y2350" i="3"/>
  <c r="Y2351" i="3"/>
  <c r="Y2352" i="3"/>
  <c r="Y2353" i="3"/>
  <c r="Y2354" i="3"/>
  <c r="Y2355" i="3"/>
  <c r="Y2356" i="3"/>
  <c r="Y2357" i="3"/>
  <c r="Y2358" i="3"/>
  <c r="Y2359" i="3"/>
  <c r="Y2360" i="3"/>
  <c r="Y2361" i="3"/>
  <c r="Y2362" i="3"/>
  <c r="Y2363" i="3"/>
  <c r="Y2364" i="3"/>
  <c r="Y2365" i="3"/>
  <c r="Y2366" i="3"/>
  <c r="Y2367" i="3"/>
  <c r="Y2368" i="3"/>
  <c r="Y2369" i="3"/>
  <c r="Y2370" i="3"/>
  <c r="Y2371" i="3"/>
  <c r="Y2372" i="3"/>
  <c r="Y2373" i="3"/>
  <c r="Y2374" i="3"/>
  <c r="Y2375" i="3"/>
  <c r="Y2376" i="3"/>
  <c r="Y2377" i="3"/>
  <c r="Y2378" i="3"/>
  <c r="Y2379" i="3"/>
  <c r="Y2380" i="3"/>
  <c r="Y2381" i="3"/>
  <c r="Y2382" i="3"/>
  <c r="Y2383" i="3"/>
  <c r="Y2384" i="3"/>
  <c r="Y2385" i="3"/>
  <c r="Y2386" i="3"/>
  <c r="Y2387" i="3"/>
  <c r="Y2388" i="3"/>
  <c r="Y2389" i="3"/>
  <c r="Y2390" i="3"/>
  <c r="Y2391" i="3"/>
  <c r="Y2392" i="3"/>
  <c r="Y2393" i="3"/>
  <c r="Y2394" i="3"/>
  <c r="Y2395" i="3"/>
  <c r="Y2396" i="3"/>
  <c r="Y2397" i="3"/>
  <c r="Y2398" i="3"/>
  <c r="Y2399" i="3"/>
  <c r="Y2400" i="3"/>
  <c r="Y2401" i="3"/>
  <c r="Y2402" i="3"/>
  <c r="Y2403" i="3"/>
  <c r="Y2404" i="3"/>
  <c r="Y2405" i="3"/>
  <c r="Y2406" i="3"/>
  <c r="Y2407" i="3"/>
  <c r="Y2408" i="3"/>
  <c r="Y2409" i="3"/>
  <c r="Y2410" i="3"/>
  <c r="Y2411" i="3"/>
  <c r="Y2412" i="3"/>
  <c r="Y2413" i="3"/>
  <c r="Y2414" i="3"/>
  <c r="Y2415" i="3"/>
  <c r="Y2416" i="3"/>
  <c r="Y2417" i="3"/>
  <c r="Y2418" i="3"/>
  <c r="Y2419" i="3"/>
  <c r="Y2420" i="3"/>
  <c r="Y2421" i="3"/>
  <c r="Y2422" i="3"/>
  <c r="Y2423" i="3"/>
  <c r="Y2424" i="3"/>
  <c r="Y2425" i="3"/>
  <c r="Y2426" i="3"/>
  <c r="Y2427" i="3"/>
  <c r="Y2428" i="3"/>
  <c r="Y2429" i="3"/>
  <c r="Y2430" i="3"/>
  <c r="Y2431" i="3"/>
  <c r="Y2432" i="3"/>
  <c r="Y2433" i="3"/>
  <c r="Y2434" i="3"/>
  <c r="Y2435" i="3"/>
  <c r="Y2436" i="3"/>
  <c r="Y2437" i="3"/>
  <c r="Y2438" i="3"/>
  <c r="Y2439" i="3"/>
  <c r="Y2440" i="3"/>
  <c r="Y2441" i="3"/>
  <c r="Y2442" i="3"/>
  <c r="Y2443" i="3"/>
  <c r="Y2444" i="3"/>
  <c r="Y2445" i="3"/>
  <c r="Y2446" i="3"/>
  <c r="Y2447" i="3"/>
  <c r="Y2448" i="3"/>
  <c r="Y2449" i="3"/>
  <c r="Y2450" i="3"/>
  <c r="Y2451" i="3"/>
  <c r="Y2452" i="3"/>
  <c r="Y2453" i="3"/>
  <c r="Y2454" i="3"/>
  <c r="Y2455" i="3"/>
  <c r="Y2456" i="3"/>
  <c r="Y2457" i="3"/>
  <c r="Y2458" i="3"/>
  <c r="Y2459" i="3"/>
  <c r="Y2460" i="3"/>
  <c r="Y2461" i="3"/>
  <c r="Y2462" i="3"/>
  <c r="Y2463" i="3"/>
  <c r="Y2464" i="3"/>
  <c r="Y2465" i="3"/>
  <c r="Y2466" i="3"/>
  <c r="Y2467" i="3"/>
  <c r="Y2468" i="3"/>
  <c r="Y2469" i="3"/>
  <c r="Y2470" i="3"/>
  <c r="Y2471" i="3"/>
  <c r="Y2472" i="3"/>
  <c r="Y2473" i="3"/>
  <c r="Y2474" i="3"/>
  <c r="Y2475" i="3"/>
  <c r="Y2476" i="3"/>
  <c r="Y2477" i="3"/>
  <c r="Y2478" i="3"/>
  <c r="Y2479" i="3"/>
  <c r="Y2480" i="3"/>
  <c r="Y2481" i="3"/>
  <c r="Y2482" i="3"/>
  <c r="Y2483" i="3"/>
  <c r="Y2484" i="3"/>
  <c r="Y2485" i="3"/>
  <c r="Y2486" i="3"/>
  <c r="Y2487" i="3"/>
  <c r="Y2488" i="3"/>
  <c r="Y2489" i="3"/>
  <c r="Y2490" i="3"/>
  <c r="Y2491" i="3"/>
  <c r="Y2492" i="3"/>
  <c r="Y2493" i="3"/>
  <c r="Y2494" i="3"/>
  <c r="Y2495" i="3"/>
  <c r="Y2496" i="3"/>
  <c r="Y2497" i="3"/>
  <c r="Y2498" i="3"/>
  <c r="Y2499" i="3"/>
  <c r="Y2500" i="3"/>
  <c r="Y2501" i="3"/>
  <c r="Y2502" i="3"/>
  <c r="Y2503" i="3"/>
  <c r="Y2504" i="3"/>
  <c r="Y2505" i="3"/>
  <c r="Y2506" i="3"/>
  <c r="Y2507" i="3"/>
  <c r="Y2508" i="3"/>
  <c r="Y2509" i="3"/>
  <c r="Y2510" i="3"/>
  <c r="Y2511" i="3"/>
  <c r="Y2512" i="3"/>
  <c r="Y2513" i="3"/>
  <c r="Y2514" i="3"/>
  <c r="Y2515" i="3"/>
  <c r="Y2516" i="3"/>
  <c r="Y2517" i="3"/>
  <c r="Y2518" i="3"/>
  <c r="Y2519" i="3"/>
  <c r="Y2520" i="3"/>
  <c r="Y2521" i="3"/>
  <c r="Y2522" i="3"/>
  <c r="Y2523" i="3"/>
  <c r="Y2524" i="3"/>
  <c r="Y2525" i="3"/>
  <c r="Y2526" i="3"/>
  <c r="Y2527" i="3"/>
  <c r="Y2528" i="3"/>
  <c r="Y2529" i="3"/>
  <c r="Y2530" i="3"/>
  <c r="Y2531" i="3"/>
  <c r="Y2532" i="3"/>
  <c r="Y2533" i="3"/>
  <c r="Y2534" i="3"/>
  <c r="Y2535" i="3"/>
  <c r="Y2536" i="3"/>
  <c r="Y2537" i="3"/>
  <c r="Y2538" i="3"/>
  <c r="Y2539" i="3"/>
  <c r="Y2540" i="3"/>
  <c r="Y2541" i="3"/>
  <c r="Y2542" i="3"/>
  <c r="Y2543" i="3"/>
  <c r="Y2544" i="3"/>
  <c r="Y2545" i="3"/>
  <c r="Y2546" i="3"/>
  <c r="Y2547" i="3"/>
  <c r="Y2548" i="3"/>
  <c r="Y2549" i="3"/>
  <c r="Y2550" i="3"/>
  <c r="Y2551" i="3"/>
  <c r="Y2552" i="3"/>
  <c r="Y2553" i="3"/>
  <c r="Y2554" i="3"/>
  <c r="Y2555" i="3"/>
  <c r="Y2556" i="3"/>
  <c r="Y2557" i="3"/>
  <c r="Y2558" i="3"/>
  <c r="Y2559" i="3"/>
  <c r="Y2560" i="3"/>
  <c r="Y2561" i="3"/>
  <c r="Y2562" i="3"/>
  <c r="Y2563" i="3"/>
  <c r="Y2564" i="3"/>
  <c r="Y2565" i="3"/>
  <c r="Y2566" i="3"/>
  <c r="Y2567" i="3"/>
  <c r="Y2568" i="3"/>
  <c r="Y2569" i="3"/>
  <c r="Y2570" i="3"/>
  <c r="Y2571" i="3"/>
  <c r="Y2572" i="3"/>
  <c r="Y2573" i="3"/>
  <c r="Y2574" i="3"/>
  <c r="Y2575" i="3"/>
  <c r="Y494" i="3"/>
  <c r="X248" i="3"/>
  <c r="X249" i="3"/>
  <c r="X250" i="3"/>
  <c r="X251" i="3"/>
  <c r="X252" i="3"/>
  <c r="X253" i="3"/>
  <c r="X254" i="3"/>
  <c r="X255" i="3"/>
  <c r="X256" i="3"/>
  <c r="X257" i="3"/>
  <c r="X258" i="3"/>
  <c r="X259" i="3"/>
  <c r="X260" i="3"/>
  <c r="X261" i="3"/>
  <c r="X262" i="3"/>
  <c r="X263" i="3"/>
  <c r="X264" i="3"/>
  <c r="X265" i="3"/>
  <c r="X266" i="3"/>
  <c r="X267" i="3"/>
  <c r="X268" i="3"/>
  <c r="X269" i="3"/>
  <c r="X270" i="3"/>
  <c r="X271" i="3"/>
  <c r="X272" i="3"/>
  <c r="X273" i="3"/>
  <c r="X274" i="3"/>
  <c r="X275" i="3"/>
  <c r="X276" i="3"/>
  <c r="X277" i="3"/>
  <c r="X278" i="3"/>
  <c r="X279" i="3"/>
  <c r="X280" i="3"/>
  <c r="X281" i="3"/>
  <c r="X282" i="3"/>
  <c r="X283" i="3"/>
  <c r="X284" i="3"/>
  <c r="X285" i="3"/>
  <c r="X286" i="3"/>
  <c r="X287" i="3"/>
  <c r="X288" i="3"/>
  <c r="X289" i="3"/>
  <c r="X290" i="3"/>
  <c r="X291" i="3"/>
  <c r="X292" i="3"/>
  <c r="X293" i="3"/>
  <c r="X294" i="3"/>
  <c r="X295" i="3"/>
  <c r="X296" i="3"/>
  <c r="X297" i="3"/>
  <c r="X298" i="3"/>
  <c r="X299" i="3"/>
  <c r="X300" i="3"/>
  <c r="X301" i="3"/>
  <c r="X302" i="3"/>
  <c r="X303" i="3"/>
  <c r="X304" i="3"/>
  <c r="X305" i="3"/>
  <c r="X306" i="3"/>
  <c r="X307" i="3"/>
  <c r="X308" i="3"/>
  <c r="X309" i="3"/>
  <c r="X310" i="3"/>
  <c r="X311" i="3"/>
  <c r="X312" i="3"/>
  <c r="X313" i="3"/>
  <c r="X314" i="3"/>
  <c r="X315" i="3"/>
  <c r="X316" i="3"/>
  <c r="X317" i="3"/>
  <c r="X318" i="3"/>
  <c r="X319" i="3"/>
  <c r="X320" i="3"/>
  <c r="X321" i="3"/>
  <c r="X322" i="3"/>
  <c r="X323" i="3"/>
  <c r="X324" i="3"/>
  <c r="X325" i="3"/>
  <c r="X326" i="3"/>
  <c r="X327" i="3"/>
  <c r="X328" i="3"/>
  <c r="X329" i="3"/>
  <c r="X330" i="3"/>
  <c r="X331" i="3"/>
  <c r="X332" i="3"/>
  <c r="X333" i="3"/>
  <c r="X334" i="3"/>
  <c r="X335" i="3"/>
  <c r="X336" i="3"/>
  <c r="X337" i="3"/>
  <c r="X338" i="3"/>
  <c r="X339" i="3"/>
  <c r="X340" i="3"/>
  <c r="X341" i="3"/>
  <c r="X342" i="3"/>
  <c r="X343" i="3"/>
  <c r="X344" i="3"/>
  <c r="X345" i="3"/>
  <c r="X346" i="3"/>
  <c r="X347" i="3"/>
  <c r="X348" i="3"/>
  <c r="X349" i="3"/>
  <c r="X350" i="3"/>
  <c r="X351" i="3"/>
  <c r="X352" i="3"/>
  <c r="X353" i="3"/>
  <c r="X354" i="3"/>
  <c r="X355" i="3"/>
  <c r="X356" i="3"/>
  <c r="X357" i="3"/>
  <c r="X358" i="3"/>
  <c r="X359" i="3"/>
  <c r="X360" i="3"/>
  <c r="X361" i="3"/>
  <c r="X362" i="3"/>
  <c r="X363" i="3"/>
  <c r="X364" i="3"/>
  <c r="X365" i="3"/>
  <c r="X366" i="3"/>
  <c r="X367" i="3"/>
  <c r="X368" i="3"/>
  <c r="X369" i="3"/>
  <c r="X370" i="3"/>
  <c r="X371" i="3"/>
  <c r="X372" i="3"/>
  <c r="X373" i="3"/>
  <c r="X374" i="3"/>
  <c r="X375" i="3"/>
  <c r="X376" i="3"/>
  <c r="X377" i="3"/>
  <c r="X378" i="3"/>
  <c r="X379" i="3"/>
  <c r="X380" i="3"/>
  <c r="X381" i="3"/>
  <c r="X382" i="3"/>
  <c r="X383" i="3"/>
  <c r="X384" i="3"/>
  <c r="X385" i="3"/>
  <c r="X386" i="3"/>
  <c r="X387" i="3"/>
  <c r="X388" i="3"/>
  <c r="X389" i="3"/>
  <c r="X390" i="3"/>
  <c r="X391" i="3"/>
  <c r="X392" i="3"/>
  <c r="X393" i="3"/>
  <c r="X394" i="3"/>
  <c r="X395" i="3"/>
  <c r="X396" i="3"/>
  <c r="X397" i="3"/>
  <c r="X398" i="3"/>
  <c r="X399" i="3"/>
  <c r="X400" i="3"/>
  <c r="X401" i="3"/>
  <c r="X402" i="3"/>
  <c r="X403" i="3"/>
  <c r="X404" i="3"/>
  <c r="X405" i="3"/>
  <c r="X406" i="3"/>
  <c r="X407" i="3"/>
  <c r="X408" i="3"/>
  <c r="X409" i="3"/>
  <c r="X410" i="3"/>
  <c r="X411" i="3"/>
  <c r="X412" i="3"/>
  <c r="X413" i="3"/>
  <c r="X414" i="3"/>
  <c r="X415" i="3"/>
  <c r="X416" i="3"/>
  <c r="X417" i="3"/>
  <c r="X418" i="3"/>
  <c r="X419" i="3"/>
  <c r="X420" i="3"/>
  <c r="X421" i="3"/>
  <c r="X422" i="3"/>
  <c r="X423" i="3"/>
  <c r="X424" i="3"/>
  <c r="X425" i="3"/>
  <c r="X426" i="3"/>
  <c r="X427" i="3"/>
  <c r="X428" i="3"/>
  <c r="X429" i="3"/>
  <c r="X430" i="3"/>
  <c r="X431" i="3"/>
  <c r="X432" i="3"/>
  <c r="X433" i="3"/>
  <c r="X434" i="3"/>
  <c r="X435" i="3"/>
  <c r="X436" i="3"/>
  <c r="X437" i="3"/>
  <c r="X438" i="3"/>
  <c r="X439" i="3"/>
  <c r="X440" i="3"/>
  <c r="X441" i="3"/>
  <c r="X442" i="3"/>
  <c r="X443" i="3"/>
  <c r="X444" i="3"/>
  <c r="X445" i="3"/>
  <c r="X446" i="3"/>
  <c r="X447" i="3"/>
  <c r="X448" i="3"/>
  <c r="X449" i="3"/>
  <c r="X450" i="3"/>
  <c r="X451" i="3"/>
  <c r="X452" i="3"/>
  <c r="X453" i="3"/>
  <c r="X454" i="3"/>
  <c r="X455" i="3"/>
  <c r="X456" i="3"/>
  <c r="X457" i="3"/>
  <c r="X458" i="3"/>
  <c r="X459" i="3"/>
  <c r="X460" i="3"/>
  <c r="X461" i="3"/>
  <c r="X462" i="3"/>
  <c r="X463" i="3"/>
  <c r="X464" i="3"/>
  <c r="X465" i="3"/>
  <c r="X466" i="3"/>
  <c r="X467" i="3"/>
  <c r="X468" i="3"/>
  <c r="X469" i="3"/>
  <c r="X470" i="3"/>
  <c r="X471" i="3"/>
  <c r="X472" i="3"/>
  <c r="X473" i="3"/>
  <c r="X474" i="3"/>
  <c r="X475" i="3"/>
  <c r="X476" i="3"/>
  <c r="X477" i="3"/>
  <c r="X478" i="3"/>
  <c r="X479" i="3"/>
  <c r="X480" i="3"/>
  <c r="X481" i="3"/>
  <c r="X482" i="3"/>
  <c r="X483" i="3"/>
  <c r="X484" i="3"/>
  <c r="X485" i="3"/>
  <c r="X486" i="3"/>
  <c r="X487" i="3"/>
  <c r="X488" i="3"/>
  <c r="X489" i="3"/>
  <c r="X490" i="3"/>
  <c r="X491" i="3"/>
  <c r="X492" i="3"/>
  <c r="X493" i="3"/>
  <c r="X494" i="3"/>
  <c r="X495" i="3"/>
  <c r="X496" i="3"/>
  <c r="X497" i="3"/>
  <c r="X498" i="3"/>
  <c r="X499" i="3"/>
  <c r="X500" i="3"/>
  <c r="X501" i="3"/>
  <c r="X502" i="3"/>
  <c r="X503" i="3"/>
  <c r="X504" i="3"/>
  <c r="X505" i="3"/>
  <c r="X506" i="3"/>
  <c r="X507" i="3"/>
  <c r="X508" i="3"/>
  <c r="X509" i="3"/>
  <c r="X510" i="3"/>
  <c r="X511" i="3"/>
  <c r="X512" i="3"/>
  <c r="X513" i="3"/>
  <c r="X514" i="3"/>
  <c r="X515" i="3"/>
  <c r="X516" i="3"/>
  <c r="X517" i="3"/>
  <c r="X518" i="3"/>
  <c r="X519" i="3"/>
  <c r="X520" i="3"/>
  <c r="X521" i="3"/>
  <c r="X522" i="3"/>
  <c r="X523" i="3"/>
  <c r="X524" i="3"/>
  <c r="X525" i="3"/>
  <c r="X526" i="3"/>
  <c r="X527" i="3"/>
  <c r="X528" i="3"/>
  <c r="X529" i="3"/>
  <c r="X530" i="3"/>
  <c r="X531" i="3"/>
  <c r="X532" i="3"/>
  <c r="X533" i="3"/>
  <c r="X534" i="3"/>
  <c r="X535" i="3"/>
  <c r="X536" i="3"/>
  <c r="X537" i="3"/>
  <c r="X538" i="3"/>
  <c r="X539" i="3"/>
  <c r="X540" i="3"/>
  <c r="X541" i="3"/>
  <c r="X542" i="3"/>
  <c r="X543" i="3"/>
  <c r="X544" i="3"/>
  <c r="X545" i="3"/>
  <c r="X546" i="3"/>
  <c r="X547" i="3"/>
  <c r="X548" i="3"/>
  <c r="X549" i="3"/>
  <c r="X550" i="3"/>
  <c r="X551" i="3"/>
  <c r="X552" i="3"/>
  <c r="X553" i="3"/>
  <c r="X554" i="3"/>
  <c r="X555" i="3"/>
  <c r="X556" i="3"/>
  <c r="X557" i="3"/>
  <c r="X558" i="3"/>
  <c r="X559" i="3"/>
  <c r="X560" i="3"/>
  <c r="X561" i="3"/>
  <c r="X562" i="3"/>
  <c r="X563" i="3"/>
  <c r="X564" i="3"/>
  <c r="X565" i="3"/>
  <c r="X566" i="3"/>
  <c r="X567" i="3"/>
  <c r="X568" i="3"/>
  <c r="X569" i="3"/>
  <c r="X570" i="3"/>
  <c r="X571" i="3"/>
  <c r="X572" i="3"/>
  <c r="X573" i="3"/>
  <c r="X574" i="3"/>
  <c r="X575" i="3"/>
  <c r="X576" i="3"/>
  <c r="X577" i="3"/>
  <c r="X578" i="3"/>
  <c r="X579" i="3"/>
  <c r="X580" i="3"/>
  <c r="X581" i="3"/>
  <c r="X582" i="3"/>
  <c r="X583" i="3"/>
  <c r="X584" i="3"/>
  <c r="X585" i="3"/>
  <c r="X586" i="3"/>
  <c r="X587" i="3"/>
  <c r="X588" i="3"/>
  <c r="X589" i="3"/>
  <c r="X590" i="3"/>
  <c r="X591" i="3"/>
  <c r="X592" i="3"/>
  <c r="X593" i="3"/>
  <c r="X594" i="3"/>
  <c r="X595" i="3"/>
  <c r="X596" i="3"/>
  <c r="X597" i="3"/>
  <c r="X598" i="3"/>
  <c r="X599" i="3"/>
  <c r="X600" i="3"/>
  <c r="X601" i="3"/>
  <c r="X602" i="3"/>
  <c r="X603" i="3"/>
  <c r="X604" i="3"/>
  <c r="X605" i="3"/>
  <c r="X606" i="3"/>
  <c r="X607" i="3"/>
  <c r="X608" i="3"/>
  <c r="X609" i="3"/>
  <c r="X610" i="3"/>
  <c r="X611" i="3"/>
  <c r="X612" i="3"/>
  <c r="X613" i="3"/>
  <c r="X614" i="3"/>
  <c r="X615" i="3"/>
  <c r="X616" i="3"/>
  <c r="X617" i="3"/>
  <c r="X618" i="3"/>
  <c r="X619" i="3"/>
  <c r="X620" i="3"/>
  <c r="X621" i="3"/>
  <c r="X622" i="3"/>
  <c r="X623" i="3"/>
  <c r="X624" i="3"/>
  <c r="X625" i="3"/>
  <c r="X626" i="3"/>
  <c r="X627" i="3"/>
  <c r="X628" i="3"/>
  <c r="X629" i="3"/>
  <c r="X630" i="3"/>
  <c r="X631" i="3"/>
  <c r="X632" i="3"/>
  <c r="X633" i="3"/>
  <c r="X634" i="3"/>
  <c r="X635" i="3"/>
  <c r="X636" i="3"/>
  <c r="X637" i="3"/>
  <c r="X638" i="3"/>
  <c r="X639" i="3"/>
  <c r="X640" i="3"/>
  <c r="X641" i="3"/>
  <c r="X642" i="3"/>
  <c r="X643" i="3"/>
  <c r="X644" i="3"/>
  <c r="X645" i="3"/>
  <c r="X646" i="3"/>
  <c r="X647" i="3"/>
  <c r="X648" i="3"/>
  <c r="X649" i="3"/>
  <c r="X650" i="3"/>
  <c r="X651" i="3"/>
  <c r="X652" i="3"/>
  <c r="X653" i="3"/>
  <c r="X654" i="3"/>
  <c r="X655" i="3"/>
  <c r="X656" i="3"/>
  <c r="X657" i="3"/>
  <c r="X658" i="3"/>
  <c r="X659" i="3"/>
  <c r="X660" i="3"/>
  <c r="X661" i="3"/>
  <c r="X662" i="3"/>
  <c r="X663" i="3"/>
  <c r="X664" i="3"/>
  <c r="X665" i="3"/>
  <c r="X666" i="3"/>
  <c r="X667" i="3"/>
  <c r="X668" i="3"/>
  <c r="X669" i="3"/>
  <c r="X670" i="3"/>
  <c r="X671" i="3"/>
  <c r="X672" i="3"/>
  <c r="X673" i="3"/>
  <c r="X674" i="3"/>
  <c r="X675" i="3"/>
  <c r="X676" i="3"/>
  <c r="X677" i="3"/>
  <c r="X678" i="3"/>
  <c r="X679" i="3"/>
  <c r="X680" i="3"/>
  <c r="X681" i="3"/>
  <c r="X682" i="3"/>
  <c r="X683" i="3"/>
  <c r="X684" i="3"/>
  <c r="X685" i="3"/>
  <c r="X686" i="3"/>
  <c r="X687" i="3"/>
  <c r="X688" i="3"/>
  <c r="X689" i="3"/>
  <c r="X690" i="3"/>
  <c r="X691" i="3"/>
  <c r="X692" i="3"/>
  <c r="X693" i="3"/>
  <c r="X694" i="3"/>
  <c r="X695" i="3"/>
  <c r="X696" i="3"/>
  <c r="X697" i="3"/>
  <c r="X698" i="3"/>
  <c r="X699" i="3"/>
  <c r="X700" i="3"/>
  <c r="X701" i="3"/>
  <c r="X702" i="3"/>
  <c r="X703" i="3"/>
  <c r="X704" i="3"/>
  <c r="X705" i="3"/>
  <c r="X706" i="3"/>
  <c r="X707" i="3"/>
  <c r="X708" i="3"/>
  <c r="X709" i="3"/>
  <c r="X710" i="3"/>
  <c r="X711" i="3"/>
  <c r="X712" i="3"/>
  <c r="X713" i="3"/>
  <c r="X714" i="3"/>
  <c r="X715" i="3"/>
  <c r="X716" i="3"/>
  <c r="X717" i="3"/>
  <c r="X718" i="3"/>
  <c r="X719" i="3"/>
  <c r="X720" i="3"/>
  <c r="X721" i="3"/>
  <c r="X722" i="3"/>
  <c r="X723" i="3"/>
  <c r="X724" i="3"/>
  <c r="X725" i="3"/>
  <c r="X726" i="3"/>
  <c r="X727" i="3"/>
  <c r="X728" i="3"/>
  <c r="X729" i="3"/>
  <c r="X730" i="3"/>
  <c r="X731" i="3"/>
  <c r="X732" i="3"/>
  <c r="X733" i="3"/>
  <c r="X734" i="3"/>
  <c r="X735" i="3"/>
  <c r="X736" i="3"/>
  <c r="X737" i="3"/>
  <c r="X738" i="3"/>
  <c r="X739" i="3"/>
  <c r="X740" i="3"/>
  <c r="X741" i="3"/>
  <c r="X742" i="3"/>
  <c r="X743" i="3"/>
  <c r="X744" i="3"/>
  <c r="X745" i="3"/>
  <c r="X746" i="3"/>
  <c r="X747" i="3"/>
  <c r="X748" i="3"/>
  <c r="X749" i="3"/>
  <c r="X750" i="3"/>
  <c r="X751" i="3"/>
  <c r="X752" i="3"/>
  <c r="X753" i="3"/>
  <c r="X754" i="3"/>
  <c r="X755" i="3"/>
  <c r="X756" i="3"/>
  <c r="X757" i="3"/>
  <c r="X758" i="3"/>
  <c r="X759" i="3"/>
  <c r="X760" i="3"/>
  <c r="X761" i="3"/>
  <c r="X762" i="3"/>
  <c r="X763" i="3"/>
  <c r="X764" i="3"/>
  <c r="X765" i="3"/>
  <c r="X766" i="3"/>
  <c r="X767" i="3"/>
  <c r="X768" i="3"/>
  <c r="X769" i="3"/>
  <c r="X770" i="3"/>
  <c r="X771" i="3"/>
  <c r="X772" i="3"/>
  <c r="X773" i="3"/>
  <c r="X774" i="3"/>
  <c r="X775" i="3"/>
  <c r="X776" i="3"/>
  <c r="X777" i="3"/>
  <c r="X778" i="3"/>
  <c r="X779" i="3"/>
  <c r="X780" i="3"/>
  <c r="X781" i="3"/>
  <c r="X782" i="3"/>
  <c r="X783" i="3"/>
  <c r="X784" i="3"/>
  <c r="X785" i="3"/>
  <c r="X786" i="3"/>
  <c r="X787" i="3"/>
  <c r="X788" i="3"/>
  <c r="X789" i="3"/>
  <c r="X790" i="3"/>
  <c r="X791" i="3"/>
  <c r="X792" i="3"/>
  <c r="X793" i="3"/>
  <c r="X794" i="3"/>
  <c r="X795" i="3"/>
  <c r="X796" i="3"/>
  <c r="X797" i="3"/>
  <c r="X798" i="3"/>
  <c r="X799" i="3"/>
  <c r="X800" i="3"/>
  <c r="X801" i="3"/>
  <c r="X802" i="3"/>
  <c r="X803" i="3"/>
  <c r="X804" i="3"/>
  <c r="X805" i="3"/>
  <c r="X806" i="3"/>
  <c r="X807" i="3"/>
  <c r="X808" i="3"/>
  <c r="X809" i="3"/>
  <c r="X810" i="3"/>
  <c r="X811" i="3"/>
  <c r="X812" i="3"/>
  <c r="X813" i="3"/>
  <c r="X814" i="3"/>
  <c r="X815" i="3"/>
  <c r="X816" i="3"/>
  <c r="X817" i="3"/>
  <c r="X818" i="3"/>
  <c r="X819" i="3"/>
  <c r="X820" i="3"/>
  <c r="X821" i="3"/>
  <c r="X822" i="3"/>
  <c r="X823" i="3"/>
  <c r="X824" i="3"/>
  <c r="X825" i="3"/>
  <c r="X826" i="3"/>
  <c r="X827" i="3"/>
  <c r="X828" i="3"/>
  <c r="X829" i="3"/>
  <c r="X830" i="3"/>
  <c r="X831" i="3"/>
  <c r="X832" i="3"/>
  <c r="X833" i="3"/>
  <c r="X834" i="3"/>
  <c r="X835" i="3"/>
  <c r="X836" i="3"/>
  <c r="X837" i="3"/>
  <c r="X838" i="3"/>
  <c r="X839" i="3"/>
  <c r="X840" i="3"/>
  <c r="X841" i="3"/>
  <c r="X842" i="3"/>
  <c r="X843" i="3"/>
  <c r="X844" i="3"/>
  <c r="X845" i="3"/>
  <c r="X846" i="3"/>
  <c r="X847" i="3"/>
  <c r="X848" i="3"/>
  <c r="X849" i="3"/>
  <c r="X850" i="3"/>
  <c r="X851" i="3"/>
  <c r="X852" i="3"/>
  <c r="X853" i="3"/>
  <c r="X854" i="3"/>
  <c r="X855" i="3"/>
  <c r="X856" i="3"/>
  <c r="X857" i="3"/>
  <c r="X858" i="3"/>
  <c r="X859" i="3"/>
  <c r="X860" i="3"/>
  <c r="X861" i="3"/>
  <c r="X862" i="3"/>
  <c r="X863" i="3"/>
  <c r="X864" i="3"/>
  <c r="X865" i="3"/>
  <c r="X866" i="3"/>
  <c r="X867" i="3"/>
  <c r="X868" i="3"/>
  <c r="X869" i="3"/>
  <c r="X870" i="3"/>
  <c r="X871" i="3"/>
  <c r="X872" i="3"/>
  <c r="X873" i="3"/>
  <c r="X874" i="3"/>
  <c r="X875" i="3"/>
  <c r="X876" i="3"/>
  <c r="X877" i="3"/>
  <c r="X878" i="3"/>
  <c r="X879" i="3"/>
  <c r="X880" i="3"/>
  <c r="X881" i="3"/>
  <c r="X882" i="3"/>
  <c r="X883" i="3"/>
  <c r="X884" i="3"/>
  <c r="X885" i="3"/>
  <c r="X886" i="3"/>
  <c r="X887" i="3"/>
  <c r="X888" i="3"/>
  <c r="X889" i="3"/>
  <c r="X890" i="3"/>
  <c r="X891" i="3"/>
  <c r="X892" i="3"/>
  <c r="X893" i="3"/>
  <c r="X894" i="3"/>
  <c r="X895" i="3"/>
  <c r="X896" i="3"/>
  <c r="X897" i="3"/>
  <c r="X898" i="3"/>
  <c r="X899" i="3"/>
  <c r="X900" i="3"/>
  <c r="X901" i="3"/>
  <c r="X902" i="3"/>
  <c r="X903" i="3"/>
  <c r="X904" i="3"/>
  <c r="X905" i="3"/>
  <c r="X906" i="3"/>
  <c r="X907" i="3"/>
  <c r="X908" i="3"/>
  <c r="X909" i="3"/>
  <c r="X910" i="3"/>
  <c r="X911" i="3"/>
  <c r="X912" i="3"/>
  <c r="X913" i="3"/>
  <c r="X914" i="3"/>
  <c r="X915" i="3"/>
  <c r="X916" i="3"/>
  <c r="X917" i="3"/>
  <c r="X918" i="3"/>
  <c r="X919" i="3"/>
  <c r="X920" i="3"/>
  <c r="X921" i="3"/>
  <c r="X922" i="3"/>
  <c r="X923" i="3"/>
  <c r="X924" i="3"/>
  <c r="X925" i="3"/>
  <c r="X926" i="3"/>
  <c r="X927" i="3"/>
  <c r="X928" i="3"/>
  <c r="X929" i="3"/>
  <c r="X930" i="3"/>
  <c r="X931" i="3"/>
  <c r="X932" i="3"/>
  <c r="X933" i="3"/>
  <c r="X934" i="3"/>
  <c r="X935" i="3"/>
  <c r="X936" i="3"/>
  <c r="X937" i="3"/>
  <c r="X938" i="3"/>
  <c r="X939" i="3"/>
  <c r="X940" i="3"/>
  <c r="X941" i="3"/>
  <c r="X942" i="3"/>
  <c r="X943" i="3"/>
  <c r="X944" i="3"/>
  <c r="X945" i="3"/>
  <c r="X946" i="3"/>
  <c r="X947" i="3"/>
  <c r="X948" i="3"/>
  <c r="X949" i="3"/>
  <c r="X950" i="3"/>
  <c r="X951" i="3"/>
  <c r="X952" i="3"/>
  <c r="X953" i="3"/>
  <c r="X954" i="3"/>
  <c r="X955" i="3"/>
  <c r="X956" i="3"/>
  <c r="X957" i="3"/>
  <c r="X958" i="3"/>
  <c r="X959" i="3"/>
  <c r="X960" i="3"/>
  <c r="X961" i="3"/>
  <c r="X962" i="3"/>
  <c r="X963" i="3"/>
  <c r="X964" i="3"/>
  <c r="X965" i="3"/>
  <c r="X966" i="3"/>
  <c r="X967" i="3"/>
  <c r="X968" i="3"/>
  <c r="X969" i="3"/>
  <c r="X970" i="3"/>
  <c r="X971" i="3"/>
  <c r="X972" i="3"/>
  <c r="X973" i="3"/>
  <c r="X974" i="3"/>
  <c r="X975" i="3"/>
  <c r="X976" i="3"/>
  <c r="X977" i="3"/>
  <c r="X978" i="3"/>
  <c r="X979" i="3"/>
  <c r="X980" i="3"/>
  <c r="X981" i="3"/>
  <c r="X982" i="3"/>
  <c r="X983" i="3"/>
  <c r="X984" i="3"/>
  <c r="X985" i="3"/>
  <c r="X986" i="3"/>
  <c r="X987" i="3"/>
  <c r="X988" i="3"/>
  <c r="X989" i="3"/>
  <c r="X990" i="3"/>
  <c r="X991" i="3"/>
  <c r="X992" i="3"/>
  <c r="X993" i="3"/>
  <c r="X994" i="3"/>
  <c r="X995" i="3"/>
  <c r="X996" i="3"/>
  <c r="X997" i="3"/>
  <c r="X998" i="3"/>
  <c r="X999" i="3"/>
  <c r="X1000" i="3"/>
  <c r="X1001" i="3"/>
  <c r="X1002" i="3"/>
  <c r="X1003" i="3"/>
  <c r="X1004" i="3"/>
  <c r="X1005" i="3"/>
  <c r="X1006" i="3"/>
  <c r="X1007" i="3"/>
  <c r="X1008" i="3"/>
  <c r="X1009" i="3"/>
  <c r="X1010" i="3"/>
  <c r="X1011" i="3"/>
  <c r="X1012" i="3"/>
  <c r="X1013" i="3"/>
  <c r="X1014" i="3"/>
  <c r="X1015" i="3"/>
  <c r="X1016" i="3"/>
  <c r="X1017" i="3"/>
  <c r="X1018" i="3"/>
  <c r="X1019" i="3"/>
  <c r="X1020" i="3"/>
  <c r="X1021" i="3"/>
  <c r="X1022" i="3"/>
  <c r="X1023" i="3"/>
  <c r="X1024" i="3"/>
  <c r="X1025" i="3"/>
  <c r="X1026" i="3"/>
  <c r="X1027" i="3"/>
  <c r="X1028" i="3"/>
  <c r="X1029" i="3"/>
  <c r="X1030" i="3"/>
  <c r="X1031" i="3"/>
  <c r="X1032" i="3"/>
  <c r="X1033" i="3"/>
  <c r="X1034" i="3"/>
  <c r="X1035" i="3"/>
  <c r="X1036" i="3"/>
  <c r="X1037" i="3"/>
  <c r="X1038" i="3"/>
  <c r="X1039" i="3"/>
  <c r="X1040" i="3"/>
  <c r="X1041" i="3"/>
  <c r="X1042" i="3"/>
  <c r="X1043" i="3"/>
  <c r="X1044" i="3"/>
  <c r="X1045" i="3"/>
  <c r="X1046" i="3"/>
  <c r="X1047" i="3"/>
  <c r="X1048" i="3"/>
  <c r="X1049" i="3"/>
  <c r="X1050" i="3"/>
  <c r="X1051" i="3"/>
  <c r="X1052" i="3"/>
  <c r="X1053" i="3"/>
  <c r="X1054" i="3"/>
  <c r="X1055" i="3"/>
  <c r="X1056" i="3"/>
  <c r="X1057" i="3"/>
  <c r="X1058" i="3"/>
  <c r="X1059" i="3"/>
  <c r="X1060" i="3"/>
  <c r="X1061" i="3"/>
  <c r="X1062" i="3"/>
  <c r="X1063" i="3"/>
  <c r="X1064" i="3"/>
  <c r="X1065" i="3"/>
  <c r="X1066" i="3"/>
  <c r="X1067" i="3"/>
  <c r="X1068" i="3"/>
  <c r="X1069" i="3"/>
  <c r="X1070" i="3"/>
  <c r="X1071" i="3"/>
  <c r="X1072" i="3"/>
  <c r="X1073" i="3"/>
  <c r="X1074" i="3"/>
  <c r="X1075" i="3"/>
  <c r="X1076" i="3"/>
  <c r="X1077" i="3"/>
  <c r="X1078" i="3"/>
  <c r="X1079" i="3"/>
  <c r="X1080" i="3"/>
  <c r="X1081" i="3"/>
  <c r="X1082" i="3"/>
  <c r="X1083" i="3"/>
  <c r="X1084" i="3"/>
  <c r="X1085" i="3"/>
  <c r="X1086" i="3"/>
  <c r="X1087" i="3"/>
  <c r="X1088" i="3"/>
  <c r="X1089" i="3"/>
  <c r="X1090" i="3"/>
  <c r="X1091" i="3"/>
  <c r="X1092" i="3"/>
  <c r="X1093" i="3"/>
  <c r="X1094" i="3"/>
  <c r="X1095" i="3"/>
  <c r="X1096" i="3"/>
  <c r="X1097" i="3"/>
  <c r="X1098" i="3"/>
  <c r="X1099" i="3"/>
  <c r="X1100" i="3"/>
  <c r="X1101" i="3"/>
  <c r="X1102" i="3"/>
  <c r="X1103" i="3"/>
  <c r="X1104" i="3"/>
  <c r="X1105" i="3"/>
  <c r="X1106" i="3"/>
  <c r="X1107" i="3"/>
  <c r="X1108" i="3"/>
  <c r="X1109" i="3"/>
  <c r="X1110" i="3"/>
  <c r="X1111" i="3"/>
  <c r="X1112" i="3"/>
  <c r="X1113" i="3"/>
  <c r="X1114" i="3"/>
  <c r="X1115" i="3"/>
  <c r="X1116" i="3"/>
  <c r="X1117" i="3"/>
  <c r="X1118" i="3"/>
  <c r="X1119" i="3"/>
  <c r="X1120" i="3"/>
  <c r="X1121" i="3"/>
  <c r="X1122" i="3"/>
  <c r="X1123" i="3"/>
  <c r="X1124" i="3"/>
  <c r="X1125" i="3"/>
  <c r="X1126" i="3"/>
  <c r="X1127" i="3"/>
  <c r="X1128" i="3"/>
  <c r="X1129" i="3"/>
  <c r="X1130" i="3"/>
  <c r="X1131" i="3"/>
  <c r="X1132" i="3"/>
  <c r="X1133" i="3"/>
  <c r="X1134" i="3"/>
  <c r="X1135" i="3"/>
  <c r="X1136" i="3"/>
  <c r="X1137" i="3"/>
  <c r="X1138" i="3"/>
  <c r="X1139" i="3"/>
  <c r="X1140" i="3"/>
  <c r="X1141" i="3"/>
  <c r="X1142" i="3"/>
  <c r="X1143" i="3"/>
  <c r="X1144" i="3"/>
  <c r="X1145" i="3"/>
  <c r="X1146" i="3"/>
  <c r="X1147" i="3"/>
  <c r="X1148" i="3"/>
  <c r="X1149" i="3"/>
  <c r="X1150" i="3"/>
  <c r="X1151" i="3"/>
  <c r="X1152" i="3"/>
  <c r="X1153" i="3"/>
  <c r="X1154" i="3"/>
  <c r="X1155" i="3"/>
  <c r="X1156" i="3"/>
  <c r="X1157" i="3"/>
  <c r="X1158" i="3"/>
  <c r="X1159" i="3"/>
  <c r="X1160" i="3"/>
  <c r="X1161" i="3"/>
  <c r="X1162" i="3"/>
  <c r="X1163" i="3"/>
  <c r="X1164" i="3"/>
  <c r="X1165" i="3"/>
  <c r="X1166" i="3"/>
  <c r="X1167" i="3"/>
  <c r="X1168" i="3"/>
  <c r="X1169" i="3"/>
  <c r="X1170" i="3"/>
  <c r="X1171" i="3"/>
  <c r="X1172" i="3"/>
  <c r="X1173" i="3"/>
  <c r="X1174" i="3"/>
  <c r="X1175" i="3"/>
  <c r="X1176" i="3"/>
  <c r="X1177" i="3"/>
  <c r="X1178" i="3"/>
  <c r="X1179" i="3"/>
  <c r="X1180" i="3"/>
  <c r="X1181" i="3"/>
  <c r="X1182" i="3"/>
  <c r="X1183" i="3"/>
  <c r="X1184" i="3"/>
  <c r="X1185" i="3"/>
  <c r="X1186" i="3"/>
  <c r="X1187" i="3"/>
  <c r="X1188" i="3"/>
  <c r="X1189" i="3"/>
  <c r="X1190" i="3"/>
  <c r="X1191" i="3"/>
  <c r="X1192" i="3"/>
  <c r="X1193" i="3"/>
  <c r="X1194" i="3"/>
  <c r="X1195" i="3"/>
  <c r="X1196" i="3"/>
  <c r="X1197" i="3"/>
  <c r="X1198" i="3"/>
  <c r="X1199" i="3"/>
  <c r="X1200" i="3"/>
  <c r="X1201" i="3"/>
  <c r="X1202" i="3"/>
  <c r="X1203" i="3"/>
  <c r="X1204" i="3"/>
  <c r="X1205" i="3"/>
  <c r="X1206" i="3"/>
  <c r="X1207" i="3"/>
  <c r="X1208" i="3"/>
  <c r="X1209" i="3"/>
  <c r="X1210" i="3"/>
  <c r="X1211" i="3"/>
  <c r="X1212" i="3"/>
  <c r="X1213" i="3"/>
  <c r="X1214" i="3"/>
  <c r="X1215" i="3"/>
  <c r="X1216" i="3"/>
  <c r="X1217" i="3"/>
  <c r="X1218" i="3"/>
  <c r="X1219" i="3"/>
  <c r="X1220" i="3"/>
  <c r="X1221" i="3"/>
  <c r="X1222" i="3"/>
  <c r="X1223" i="3"/>
  <c r="X1224" i="3"/>
  <c r="X1225" i="3"/>
  <c r="X1226" i="3"/>
  <c r="X1227" i="3"/>
  <c r="X1228" i="3"/>
  <c r="X1229" i="3"/>
  <c r="X1230" i="3"/>
  <c r="X1231" i="3"/>
  <c r="X1232" i="3"/>
  <c r="X1233" i="3"/>
  <c r="X1234" i="3"/>
  <c r="X1235" i="3"/>
  <c r="X1236" i="3"/>
  <c r="X1237" i="3"/>
  <c r="X1238" i="3"/>
  <c r="X1239" i="3"/>
  <c r="X1240" i="3"/>
  <c r="X1241" i="3"/>
  <c r="X1242" i="3"/>
  <c r="X1243" i="3"/>
  <c r="X1244" i="3"/>
  <c r="X1245" i="3"/>
  <c r="X1246" i="3"/>
  <c r="X1247" i="3"/>
  <c r="X1248" i="3"/>
  <c r="X1249" i="3"/>
  <c r="X1250" i="3"/>
  <c r="X1251" i="3"/>
  <c r="X1252" i="3"/>
  <c r="X1253" i="3"/>
  <c r="X1254" i="3"/>
  <c r="X1255" i="3"/>
  <c r="X1256" i="3"/>
  <c r="X1257" i="3"/>
  <c r="X1258" i="3"/>
  <c r="X1259" i="3"/>
  <c r="X1260" i="3"/>
  <c r="X1261" i="3"/>
  <c r="X1262" i="3"/>
  <c r="X1263" i="3"/>
  <c r="X1264" i="3"/>
  <c r="X1265" i="3"/>
  <c r="X1266" i="3"/>
  <c r="X1267" i="3"/>
  <c r="X1268" i="3"/>
  <c r="X1269" i="3"/>
  <c r="X1270" i="3"/>
  <c r="X1271" i="3"/>
  <c r="X1272" i="3"/>
  <c r="X1273" i="3"/>
  <c r="X1274" i="3"/>
  <c r="X1275" i="3"/>
  <c r="X1276" i="3"/>
  <c r="X1277" i="3"/>
  <c r="X1278" i="3"/>
  <c r="X1279" i="3"/>
  <c r="X1280" i="3"/>
  <c r="X1281" i="3"/>
  <c r="X1282" i="3"/>
  <c r="X1283" i="3"/>
  <c r="X1284" i="3"/>
  <c r="X1285" i="3"/>
  <c r="X1286" i="3"/>
  <c r="X1287" i="3"/>
  <c r="X1288" i="3"/>
  <c r="X1289" i="3"/>
  <c r="X1290" i="3"/>
  <c r="X1291" i="3"/>
  <c r="X1292" i="3"/>
  <c r="X1293" i="3"/>
  <c r="X1294" i="3"/>
  <c r="X1295" i="3"/>
  <c r="X1296" i="3"/>
  <c r="X1297" i="3"/>
  <c r="X1298" i="3"/>
  <c r="X1299" i="3"/>
  <c r="X1300" i="3"/>
  <c r="X1301" i="3"/>
  <c r="X1302" i="3"/>
  <c r="X1303" i="3"/>
  <c r="X1304" i="3"/>
  <c r="X1305" i="3"/>
  <c r="X1306" i="3"/>
  <c r="X1307" i="3"/>
  <c r="X1308" i="3"/>
  <c r="X1309" i="3"/>
  <c r="X1310" i="3"/>
  <c r="X1311" i="3"/>
  <c r="X1312" i="3"/>
  <c r="X1313" i="3"/>
  <c r="X1314" i="3"/>
  <c r="X1315" i="3"/>
  <c r="X1316" i="3"/>
  <c r="X1317" i="3"/>
  <c r="X1318" i="3"/>
  <c r="X1319" i="3"/>
  <c r="X1320" i="3"/>
  <c r="X1321" i="3"/>
  <c r="X1322" i="3"/>
  <c r="X1323" i="3"/>
  <c r="X1324" i="3"/>
  <c r="X1325" i="3"/>
  <c r="X1326" i="3"/>
  <c r="X1327" i="3"/>
  <c r="X1328" i="3"/>
  <c r="X1329" i="3"/>
  <c r="X1330" i="3"/>
  <c r="X1331" i="3"/>
  <c r="X1332" i="3"/>
  <c r="X1333" i="3"/>
  <c r="X1334" i="3"/>
  <c r="X1335" i="3"/>
  <c r="X1336" i="3"/>
  <c r="X1337" i="3"/>
  <c r="X1338" i="3"/>
  <c r="X1339" i="3"/>
  <c r="X1340" i="3"/>
  <c r="X1341" i="3"/>
  <c r="X1342" i="3"/>
  <c r="X1343" i="3"/>
  <c r="X1344" i="3"/>
  <c r="X1345" i="3"/>
  <c r="X1346" i="3"/>
  <c r="X1347" i="3"/>
  <c r="X1348" i="3"/>
  <c r="X1349" i="3"/>
  <c r="X1350" i="3"/>
  <c r="X1351" i="3"/>
  <c r="X1352" i="3"/>
  <c r="X1353" i="3"/>
  <c r="X1354" i="3"/>
  <c r="X1355" i="3"/>
  <c r="X1356" i="3"/>
  <c r="X1357" i="3"/>
  <c r="X1358" i="3"/>
  <c r="X1359" i="3"/>
  <c r="X1360" i="3"/>
  <c r="X1361" i="3"/>
  <c r="X1362" i="3"/>
  <c r="X1363" i="3"/>
  <c r="X1364" i="3"/>
  <c r="X1365" i="3"/>
  <c r="X1366" i="3"/>
  <c r="X1367" i="3"/>
  <c r="X1368" i="3"/>
  <c r="X1369" i="3"/>
  <c r="X1370" i="3"/>
  <c r="X1371" i="3"/>
  <c r="X1372" i="3"/>
  <c r="X1373" i="3"/>
  <c r="X1374" i="3"/>
  <c r="X1375" i="3"/>
  <c r="X1376" i="3"/>
  <c r="X1377" i="3"/>
  <c r="X1378" i="3"/>
  <c r="X1379" i="3"/>
  <c r="X1380" i="3"/>
  <c r="X1381" i="3"/>
  <c r="X1382" i="3"/>
  <c r="X1383" i="3"/>
  <c r="X1384" i="3"/>
  <c r="X1385" i="3"/>
  <c r="X1386" i="3"/>
  <c r="X1387" i="3"/>
  <c r="X1388" i="3"/>
  <c r="X1389" i="3"/>
  <c r="X1390" i="3"/>
  <c r="X1391" i="3"/>
  <c r="X1392" i="3"/>
  <c r="X1393" i="3"/>
  <c r="X1394" i="3"/>
  <c r="X1395" i="3"/>
  <c r="X1396" i="3"/>
  <c r="X1397" i="3"/>
  <c r="X1398" i="3"/>
  <c r="X1399" i="3"/>
  <c r="X1400" i="3"/>
  <c r="X1401" i="3"/>
  <c r="X1402" i="3"/>
  <c r="X1403" i="3"/>
  <c r="X1404" i="3"/>
  <c r="X1405" i="3"/>
  <c r="X1406" i="3"/>
  <c r="X1407" i="3"/>
  <c r="X1408" i="3"/>
  <c r="X1409" i="3"/>
  <c r="X1410" i="3"/>
  <c r="X1411" i="3"/>
  <c r="X1412" i="3"/>
  <c r="X1413" i="3"/>
  <c r="X1414" i="3"/>
  <c r="X1415" i="3"/>
  <c r="X1416" i="3"/>
  <c r="X1417" i="3"/>
  <c r="X1418" i="3"/>
  <c r="X1419" i="3"/>
  <c r="X1420" i="3"/>
  <c r="X1421" i="3"/>
  <c r="X1422" i="3"/>
  <c r="X1423" i="3"/>
  <c r="X1424" i="3"/>
  <c r="X1425" i="3"/>
  <c r="X1426" i="3"/>
  <c r="X1427" i="3"/>
  <c r="X1428" i="3"/>
  <c r="X1429" i="3"/>
  <c r="X1430" i="3"/>
  <c r="X1431" i="3"/>
  <c r="X1432" i="3"/>
  <c r="X1433" i="3"/>
  <c r="X1434" i="3"/>
  <c r="X1435" i="3"/>
  <c r="X1436" i="3"/>
  <c r="X1437" i="3"/>
  <c r="X1438" i="3"/>
  <c r="X1439" i="3"/>
  <c r="X1440" i="3"/>
  <c r="X1441" i="3"/>
  <c r="X1442" i="3"/>
  <c r="X1443" i="3"/>
  <c r="X1444" i="3"/>
  <c r="X1445" i="3"/>
  <c r="X1446" i="3"/>
  <c r="X1447" i="3"/>
  <c r="X1448" i="3"/>
  <c r="X1449" i="3"/>
  <c r="X1450" i="3"/>
  <c r="X1451" i="3"/>
  <c r="X1452" i="3"/>
  <c r="X1453" i="3"/>
  <c r="X1454" i="3"/>
  <c r="X1455" i="3"/>
  <c r="X1456" i="3"/>
  <c r="X1457" i="3"/>
  <c r="X1458" i="3"/>
  <c r="X1459" i="3"/>
  <c r="X1460" i="3"/>
  <c r="X1461" i="3"/>
  <c r="X1462" i="3"/>
  <c r="X1463" i="3"/>
  <c r="X1464" i="3"/>
  <c r="X1465" i="3"/>
  <c r="X1466" i="3"/>
  <c r="X1467" i="3"/>
  <c r="X1468" i="3"/>
  <c r="X1469" i="3"/>
  <c r="X1470" i="3"/>
  <c r="X1471" i="3"/>
  <c r="X1472" i="3"/>
  <c r="X1473" i="3"/>
  <c r="X1474" i="3"/>
  <c r="X1475" i="3"/>
  <c r="X1476" i="3"/>
  <c r="X1477" i="3"/>
  <c r="X1478" i="3"/>
  <c r="X1479" i="3"/>
  <c r="X1480" i="3"/>
  <c r="X1481" i="3"/>
  <c r="X1482" i="3"/>
  <c r="X1483" i="3"/>
  <c r="X1484" i="3"/>
  <c r="X1485" i="3"/>
  <c r="X1486" i="3"/>
  <c r="X1487" i="3"/>
  <c r="X1488" i="3"/>
  <c r="X1489" i="3"/>
  <c r="X1490" i="3"/>
  <c r="X1491" i="3"/>
  <c r="X1492" i="3"/>
  <c r="X1493" i="3"/>
  <c r="X1494" i="3"/>
  <c r="X1495" i="3"/>
  <c r="X1496" i="3"/>
  <c r="X1497" i="3"/>
  <c r="X1498" i="3"/>
  <c r="X1499" i="3"/>
  <c r="X1500" i="3"/>
  <c r="X1501" i="3"/>
  <c r="X1502" i="3"/>
  <c r="X1503" i="3"/>
  <c r="X1504" i="3"/>
  <c r="X1505" i="3"/>
  <c r="X1506" i="3"/>
  <c r="X1507" i="3"/>
  <c r="X1508" i="3"/>
  <c r="X1509" i="3"/>
  <c r="X1510" i="3"/>
  <c r="X1511" i="3"/>
  <c r="X1512" i="3"/>
  <c r="X1513" i="3"/>
  <c r="X1514" i="3"/>
  <c r="X1515" i="3"/>
  <c r="X1516" i="3"/>
  <c r="X1517" i="3"/>
  <c r="X1518" i="3"/>
  <c r="X1519" i="3"/>
  <c r="X1520" i="3"/>
  <c r="X1521" i="3"/>
  <c r="X1522" i="3"/>
  <c r="X1523" i="3"/>
  <c r="X1524" i="3"/>
  <c r="X1525" i="3"/>
  <c r="X1526" i="3"/>
  <c r="X1527" i="3"/>
  <c r="X1528" i="3"/>
  <c r="X1529" i="3"/>
  <c r="X1530" i="3"/>
  <c r="X1531" i="3"/>
  <c r="X1532" i="3"/>
  <c r="X1533" i="3"/>
  <c r="X1534" i="3"/>
  <c r="X1535" i="3"/>
  <c r="X1536" i="3"/>
  <c r="X1537" i="3"/>
  <c r="X1538" i="3"/>
  <c r="X1539" i="3"/>
  <c r="X1540" i="3"/>
  <c r="X1541" i="3"/>
  <c r="X1542" i="3"/>
  <c r="X1543" i="3"/>
  <c r="X1544" i="3"/>
  <c r="X1545" i="3"/>
  <c r="X1546" i="3"/>
  <c r="X1547" i="3"/>
  <c r="X1548" i="3"/>
  <c r="X1549" i="3"/>
  <c r="X1550" i="3"/>
  <c r="X1551" i="3"/>
  <c r="X1552" i="3"/>
  <c r="X1553" i="3"/>
  <c r="X1554" i="3"/>
  <c r="X1555" i="3"/>
  <c r="X1556" i="3"/>
  <c r="X1557" i="3"/>
  <c r="X1558" i="3"/>
  <c r="X1559" i="3"/>
  <c r="X1560" i="3"/>
  <c r="X1561" i="3"/>
  <c r="X1562" i="3"/>
  <c r="X1563" i="3"/>
  <c r="X1564" i="3"/>
  <c r="X1565" i="3"/>
  <c r="X1566" i="3"/>
  <c r="X1567" i="3"/>
  <c r="X1568" i="3"/>
  <c r="X1569" i="3"/>
  <c r="X1570" i="3"/>
  <c r="X1571" i="3"/>
  <c r="X1572" i="3"/>
  <c r="X1573" i="3"/>
  <c r="X1574" i="3"/>
  <c r="X1575" i="3"/>
  <c r="X1576" i="3"/>
  <c r="X1577" i="3"/>
  <c r="X1578" i="3"/>
  <c r="X1579" i="3"/>
  <c r="X1580" i="3"/>
  <c r="X1581" i="3"/>
  <c r="X1582" i="3"/>
  <c r="X1583" i="3"/>
  <c r="X1584" i="3"/>
  <c r="X1585" i="3"/>
  <c r="X1586" i="3"/>
  <c r="X1587" i="3"/>
  <c r="X1588" i="3"/>
  <c r="X1589" i="3"/>
  <c r="X1590" i="3"/>
  <c r="X1591" i="3"/>
  <c r="X1592" i="3"/>
  <c r="X1593" i="3"/>
  <c r="X1594" i="3"/>
  <c r="X1595" i="3"/>
  <c r="X1596" i="3"/>
  <c r="X1597" i="3"/>
  <c r="X1598" i="3"/>
  <c r="X1599" i="3"/>
  <c r="X1600" i="3"/>
  <c r="X1601" i="3"/>
  <c r="X1602" i="3"/>
  <c r="X1603" i="3"/>
  <c r="X1604" i="3"/>
  <c r="X1605" i="3"/>
  <c r="X1606" i="3"/>
  <c r="X1607" i="3"/>
  <c r="X1608" i="3"/>
  <c r="X1609" i="3"/>
  <c r="X1610" i="3"/>
  <c r="X1611" i="3"/>
  <c r="X1612" i="3"/>
  <c r="X1613" i="3"/>
  <c r="X1614" i="3"/>
  <c r="X1615" i="3"/>
  <c r="X1616" i="3"/>
  <c r="X1617" i="3"/>
  <c r="X1618" i="3"/>
  <c r="X1619" i="3"/>
  <c r="X1620" i="3"/>
  <c r="X1621" i="3"/>
  <c r="X1622" i="3"/>
  <c r="X1623" i="3"/>
  <c r="X1624" i="3"/>
  <c r="X1625" i="3"/>
  <c r="X1626" i="3"/>
  <c r="X1627" i="3"/>
  <c r="X1628" i="3"/>
  <c r="X1629" i="3"/>
  <c r="X1630" i="3"/>
  <c r="X1631" i="3"/>
  <c r="X1632" i="3"/>
  <c r="X1633" i="3"/>
  <c r="X1634" i="3"/>
  <c r="X1635" i="3"/>
  <c r="X1636" i="3"/>
  <c r="X1637" i="3"/>
  <c r="X1638" i="3"/>
  <c r="X1639" i="3"/>
  <c r="X1640" i="3"/>
  <c r="X1641" i="3"/>
  <c r="X1642" i="3"/>
  <c r="X1643" i="3"/>
  <c r="X1644" i="3"/>
  <c r="X1645" i="3"/>
  <c r="X1646" i="3"/>
  <c r="X1647" i="3"/>
  <c r="X1648" i="3"/>
  <c r="X1649" i="3"/>
  <c r="X1650" i="3"/>
  <c r="X1651" i="3"/>
  <c r="X1652" i="3"/>
  <c r="X1653" i="3"/>
  <c r="X1654" i="3"/>
  <c r="X1655" i="3"/>
  <c r="X1656" i="3"/>
  <c r="X1657" i="3"/>
  <c r="X1658" i="3"/>
  <c r="X1659" i="3"/>
  <c r="X1660" i="3"/>
  <c r="X1661" i="3"/>
  <c r="X1662" i="3"/>
  <c r="X1663" i="3"/>
  <c r="X1664" i="3"/>
  <c r="X1665" i="3"/>
  <c r="X1666" i="3"/>
  <c r="X1667" i="3"/>
  <c r="X1668" i="3"/>
  <c r="X1669" i="3"/>
  <c r="X1670" i="3"/>
  <c r="X1671" i="3"/>
  <c r="X1672" i="3"/>
  <c r="X1673" i="3"/>
  <c r="X1674" i="3"/>
  <c r="X1675" i="3"/>
  <c r="X1676" i="3"/>
  <c r="X1677" i="3"/>
  <c r="X1678" i="3"/>
  <c r="X1679" i="3"/>
  <c r="X1680" i="3"/>
  <c r="X1681" i="3"/>
  <c r="X1682" i="3"/>
  <c r="X1683" i="3"/>
  <c r="X1684" i="3"/>
  <c r="X1685" i="3"/>
  <c r="X1686" i="3"/>
  <c r="X1687" i="3"/>
  <c r="X1688" i="3"/>
  <c r="X1689" i="3"/>
  <c r="X1690" i="3"/>
  <c r="X1691" i="3"/>
  <c r="X1692" i="3"/>
  <c r="X1693" i="3"/>
  <c r="X1694" i="3"/>
  <c r="X1695" i="3"/>
  <c r="X1696" i="3"/>
  <c r="X1697" i="3"/>
  <c r="X1698" i="3"/>
  <c r="X1699" i="3"/>
  <c r="X1700" i="3"/>
  <c r="X1701" i="3"/>
  <c r="X1702" i="3"/>
  <c r="X1703" i="3"/>
  <c r="X1704" i="3"/>
  <c r="X1705" i="3"/>
  <c r="X1706" i="3"/>
  <c r="X1707" i="3"/>
  <c r="X1708" i="3"/>
  <c r="X1709" i="3"/>
  <c r="X1710" i="3"/>
  <c r="X1711" i="3"/>
  <c r="X1712" i="3"/>
  <c r="X1713" i="3"/>
  <c r="X1714" i="3"/>
  <c r="X1715" i="3"/>
  <c r="X1716" i="3"/>
  <c r="X1717" i="3"/>
  <c r="X1718" i="3"/>
  <c r="X1719" i="3"/>
  <c r="X1720" i="3"/>
  <c r="X1721" i="3"/>
  <c r="X1722" i="3"/>
  <c r="X1723" i="3"/>
  <c r="X1724" i="3"/>
  <c r="X1725" i="3"/>
  <c r="X1726" i="3"/>
  <c r="X1727" i="3"/>
  <c r="X1728" i="3"/>
  <c r="X1729" i="3"/>
  <c r="X1730" i="3"/>
  <c r="X1731" i="3"/>
  <c r="X1732" i="3"/>
  <c r="X1733" i="3"/>
  <c r="X1734" i="3"/>
  <c r="X1735" i="3"/>
  <c r="X1736" i="3"/>
  <c r="X1737" i="3"/>
  <c r="X1738" i="3"/>
  <c r="X1739" i="3"/>
  <c r="X1740" i="3"/>
  <c r="X1741" i="3"/>
  <c r="X1742" i="3"/>
  <c r="X1743" i="3"/>
  <c r="X1744" i="3"/>
  <c r="X1745" i="3"/>
  <c r="X1746" i="3"/>
  <c r="X1747" i="3"/>
  <c r="X1748" i="3"/>
  <c r="X1749" i="3"/>
  <c r="X1750" i="3"/>
  <c r="X1751" i="3"/>
  <c r="X1752" i="3"/>
  <c r="X1753" i="3"/>
  <c r="X1754" i="3"/>
  <c r="X1755" i="3"/>
  <c r="X1756" i="3"/>
  <c r="X1757" i="3"/>
  <c r="X1758" i="3"/>
  <c r="X1759" i="3"/>
  <c r="X1760" i="3"/>
  <c r="X1761" i="3"/>
  <c r="X1762" i="3"/>
  <c r="X1763" i="3"/>
  <c r="X1764" i="3"/>
  <c r="X1765" i="3"/>
  <c r="X1766" i="3"/>
  <c r="X1767" i="3"/>
  <c r="X1768" i="3"/>
  <c r="X1769" i="3"/>
  <c r="X1770" i="3"/>
  <c r="X1771" i="3"/>
  <c r="X1772" i="3"/>
  <c r="X1773" i="3"/>
  <c r="X1774" i="3"/>
  <c r="X1775" i="3"/>
  <c r="X1776" i="3"/>
  <c r="X1777" i="3"/>
  <c r="X1778" i="3"/>
  <c r="X1779" i="3"/>
  <c r="X1780" i="3"/>
  <c r="X1781" i="3"/>
  <c r="X1782" i="3"/>
  <c r="X1783" i="3"/>
  <c r="X1784" i="3"/>
  <c r="X1785" i="3"/>
  <c r="X1786" i="3"/>
  <c r="X1787" i="3"/>
  <c r="X1788" i="3"/>
  <c r="X1789" i="3"/>
  <c r="X1790" i="3"/>
  <c r="X1791" i="3"/>
  <c r="X1792" i="3"/>
  <c r="X1793" i="3"/>
  <c r="X1794" i="3"/>
  <c r="X1795" i="3"/>
  <c r="X1796" i="3"/>
  <c r="X1797" i="3"/>
  <c r="X1798" i="3"/>
  <c r="X1799" i="3"/>
  <c r="X1800" i="3"/>
  <c r="X1801" i="3"/>
  <c r="X1802" i="3"/>
  <c r="X1803" i="3"/>
  <c r="X1804" i="3"/>
  <c r="X1805" i="3"/>
  <c r="X1806" i="3"/>
  <c r="X1807" i="3"/>
  <c r="X1808" i="3"/>
  <c r="X1809" i="3"/>
  <c r="X1810" i="3"/>
  <c r="X1811" i="3"/>
  <c r="X1812" i="3"/>
  <c r="X1813" i="3"/>
  <c r="X1814" i="3"/>
  <c r="X1815" i="3"/>
  <c r="X1816" i="3"/>
  <c r="X1817" i="3"/>
  <c r="X1818" i="3"/>
  <c r="X1819" i="3"/>
  <c r="X1820" i="3"/>
  <c r="X1821" i="3"/>
  <c r="X1822" i="3"/>
  <c r="X1823" i="3"/>
  <c r="X1824" i="3"/>
  <c r="X1825" i="3"/>
  <c r="X1826" i="3"/>
  <c r="X1827" i="3"/>
  <c r="X1828" i="3"/>
  <c r="X1829" i="3"/>
  <c r="X1830" i="3"/>
  <c r="X1831" i="3"/>
  <c r="X1832" i="3"/>
  <c r="X1833" i="3"/>
  <c r="X1834" i="3"/>
  <c r="X1835" i="3"/>
  <c r="X1836" i="3"/>
  <c r="X1837" i="3"/>
  <c r="X1838" i="3"/>
  <c r="X1839" i="3"/>
  <c r="X1840" i="3"/>
  <c r="X1841" i="3"/>
  <c r="X1842" i="3"/>
  <c r="X1843" i="3"/>
  <c r="X1844" i="3"/>
  <c r="X1845" i="3"/>
  <c r="X1846" i="3"/>
  <c r="X1847" i="3"/>
  <c r="X1848" i="3"/>
  <c r="X1849" i="3"/>
  <c r="X1850" i="3"/>
  <c r="X1851" i="3"/>
  <c r="X1852" i="3"/>
  <c r="X1853" i="3"/>
  <c r="X1854" i="3"/>
  <c r="X1855" i="3"/>
  <c r="X1856" i="3"/>
  <c r="X1857" i="3"/>
  <c r="X1858" i="3"/>
  <c r="X1859" i="3"/>
  <c r="X1860" i="3"/>
  <c r="X1861" i="3"/>
  <c r="X1862" i="3"/>
  <c r="X1863" i="3"/>
  <c r="X1864" i="3"/>
  <c r="X1865" i="3"/>
  <c r="X1866" i="3"/>
  <c r="X1867" i="3"/>
  <c r="X1868" i="3"/>
  <c r="X1869" i="3"/>
  <c r="X1870" i="3"/>
  <c r="X1871" i="3"/>
  <c r="X1872" i="3"/>
  <c r="X1873" i="3"/>
  <c r="X1874" i="3"/>
  <c r="X1875" i="3"/>
  <c r="X1876" i="3"/>
  <c r="X1877" i="3"/>
  <c r="X1878" i="3"/>
  <c r="X1879" i="3"/>
  <c r="X1880" i="3"/>
  <c r="X1881" i="3"/>
  <c r="X1882" i="3"/>
  <c r="X1883" i="3"/>
  <c r="X1884" i="3"/>
  <c r="X1885" i="3"/>
  <c r="X1886" i="3"/>
  <c r="X1887" i="3"/>
  <c r="X1888" i="3"/>
  <c r="X1889" i="3"/>
  <c r="X1890" i="3"/>
  <c r="X1891" i="3"/>
  <c r="X1892" i="3"/>
  <c r="X1893" i="3"/>
  <c r="X1894" i="3"/>
  <c r="X1895" i="3"/>
  <c r="X1896" i="3"/>
  <c r="X1897" i="3"/>
  <c r="X1898" i="3"/>
  <c r="X1899" i="3"/>
  <c r="X1900" i="3"/>
  <c r="X1901" i="3"/>
  <c r="X1902" i="3"/>
  <c r="X1903" i="3"/>
  <c r="X1904" i="3"/>
  <c r="X1905" i="3"/>
  <c r="X1906" i="3"/>
  <c r="X1907" i="3"/>
  <c r="X1908" i="3"/>
  <c r="X1909" i="3"/>
  <c r="X1910" i="3"/>
  <c r="X1911" i="3"/>
  <c r="X1912" i="3"/>
  <c r="X1913" i="3"/>
  <c r="X1914" i="3"/>
  <c r="X1915" i="3"/>
  <c r="X1916" i="3"/>
  <c r="X1917" i="3"/>
  <c r="X1918" i="3"/>
  <c r="X1919" i="3"/>
  <c r="X1920" i="3"/>
  <c r="X1921" i="3"/>
  <c r="X1922" i="3"/>
  <c r="X1923" i="3"/>
  <c r="X1924" i="3"/>
  <c r="X1925" i="3"/>
  <c r="X1926" i="3"/>
  <c r="X1927" i="3"/>
  <c r="X1928" i="3"/>
  <c r="X1929" i="3"/>
  <c r="X1930" i="3"/>
  <c r="X1931" i="3"/>
  <c r="X1932" i="3"/>
  <c r="X1933" i="3"/>
  <c r="X1934" i="3"/>
  <c r="X1935" i="3"/>
  <c r="X1936" i="3"/>
  <c r="X1937" i="3"/>
  <c r="X1938" i="3"/>
  <c r="X1939" i="3"/>
  <c r="X1940" i="3"/>
  <c r="X1941" i="3"/>
  <c r="X1942" i="3"/>
  <c r="X1943" i="3"/>
  <c r="X1944" i="3"/>
  <c r="X1945" i="3"/>
  <c r="X1946" i="3"/>
  <c r="X1947" i="3"/>
  <c r="X1948" i="3"/>
  <c r="X1949" i="3"/>
  <c r="X1950" i="3"/>
  <c r="X1951" i="3"/>
  <c r="X1952" i="3"/>
  <c r="X1953" i="3"/>
  <c r="X1954" i="3"/>
  <c r="X1955" i="3"/>
  <c r="X1956" i="3"/>
  <c r="X1957" i="3"/>
  <c r="X1958" i="3"/>
  <c r="X1959" i="3"/>
  <c r="X1960" i="3"/>
  <c r="X1961" i="3"/>
  <c r="X1962" i="3"/>
  <c r="X1963" i="3"/>
  <c r="X1964" i="3"/>
  <c r="X1965" i="3"/>
  <c r="X1966" i="3"/>
  <c r="X1967" i="3"/>
  <c r="X1968" i="3"/>
  <c r="X1969" i="3"/>
  <c r="X1970" i="3"/>
  <c r="X1971" i="3"/>
  <c r="X1972" i="3"/>
  <c r="X1973" i="3"/>
  <c r="X1974" i="3"/>
  <c r="X1975" i="3"/>
  <c r="X1976" i="3"/>
  <c r="X1977" i="3"/>
  <c r="X1978" i="3"/>
  <c r="X1979" i="3"/>
  <c r="X1980" i="3"/>
  <c r="X1981" i="3"/>
  <c r="X1982" i="3"/>
  <c r="X1983" i="3"/>
  <c r="X1984" i="3"/>
  <c r="X1985" i="3"/>
  <c r="X1986" i="3"/>
  <c r="X1987" i="3"/>
  <c r="X1988" i="3"/>
  <c r="X1989" i="3"/>
  <c r="X1990" i="3"/>
  <c r="X1991" i="3"/>
  <c r="X1992" i="3"/>
  <c r="X1993" i="3"/>
  <c r="X1994" i="3"/>
  <c r="X1995" i="3"/>
  <c r="X1996" i="3"/>
  <c r="X1997" i="3"/>
  <c r="X1998" i="3"/>
  <c r="X1999" i="3"/>
  <c r="X2000" i="3"/>
  <c r="X2001" i="3"/>
  <c r="X2002" i="3"/>
  <c r="X2003" i="3"/>
  <c r="X2004" i="3"/>
  <c r="X2005" i="3"/>
  <c r="X2006" i="3"/>
  <c r="X2007" i="3"/>
  <c r="X2008" i="3"/>
  <c r="X2009" i="3"/>
  <c r="X2010" i="3"/>
  <c r="X2011" i="3"/>
  <c r="X2012" i="3"/>
  <c r="X2013" i="3"/>
  <c r="X2014" i="3"/>
  <c r="X2015" i="3"/>
  <c r="X2016" i="3"/>
  <c r="X2017" i="3"/>
  <c r="X2018" i="3"/>
  <c r="X2019" i="3"/>
  <c r="X2020" i="3"/>
  <c r="X2021" i="3"/>
  <c r="X2022" i="3"/>
  <c r="X2023" i="3"/>
  <c r="X2024" i="3"/>
  <c r="X2025" i="3"/>
  <c r="X2026" i="3"/>
  <c r="X2027" i="3"/>
  <c r="X2028" i="3"/>
  <c r="X2029" i="3"/>
  <c r="X2030" i="3"/>
  <c r="X2031" i="3"/>
  <c r="X2032" i="3"/>
  <c r="X2033" i="3"/>
  <c r="X2034" i="3"/>
  <c r="X2035" i="3"/>
  <c r="X2036" i="3"/>
  <c r="X2037" i="3"/>
  <c r="X2038" i="3"/>
  <c r="X2039" i="3"/>
  <c r="X2040" i="3"/>
  <c r="X2041" i="3"/>
  <c r="X2042" i="3"/>
  <c r="X2043" i="3"/>
  <c r="X2044" i="3"/>
  <c r="X2045" i="3"/>
  <c r="X2046" i="3"/>
  <c r="X2047" i="3"/>
  <c r="X2048" i="3"/>
  <c r="X2049" i="3"/>
  <c r="X2050" i="3"/>
  <c r="X2051" i="3"/>
  <c r="X2052" i="3"/>
  <c r="X2053" i="3"/>
  <c r="X2054" i="3"/>
  <c r="X2055" i="3"/>
  <c r="X2056" i="3"/>
  <c r="X2057" i="3"/>
  <c r="X2058" i="3"/>
  <c r="X2059" i="3"/>
  <c r="X2060" i="3"/>
  <c r="X2061" i="3"/>
  <c r="X2062" i="3"/>
  <c r="X2063" i="3"/>
  <c r="X2064" i="3"/>
  <c r="X2065" i="3"/>
  <c r="X2066" i="3"/>
  <c r="X2067" i="3"/>
  <c r="X2068" i="3"/>
  <c r="X2069" i="3"/>
  <c r="X2070" i="3"/>
  <c r="X2071" i="3"/>
  <c r="X2072" i="3"/>
  <c r="X2073" i="3"/>
  <c r="X2074" i="3"/>
  <c r="X2075" i="3"/>
  <c r="X2076" i="3"/>
  <c r="X2077" i="3"/>
  <c r="X2078" i="3"/>
  <c r="X2079" i="3"/>
  <c r="X2080" i="3"/>
  <c r="X2081" i="3"/>
  <c r="X2082" i="3"/>
  <c r="X2083" i="3"/>
  <c r="X2084" i="3"/>
  <c r="X2085" i="3"/>
  <c r="X2086" i="3"/>
  <c r="X2087" i="3"/>
  <c r="X2088" i="3"/>
  <c r="X2089" i="3"/>
  <c r="X2090" i="3"/>
  <c r="X2091" i="3"/>
  <c r="X2092" i="3"/>
  <c r="X2093" i="3"/>
  <c r="X2094" i="3"/>
  <c r="X2095" i="3"/>
  <c r="X2096" i="3"/>
  <c r="X2097" i="3"/>
  <c r="X2098" i="3"/>
  <c r="X2099" i="3"/>
  <c r="X2100" i="3"/>
  <c r="X2101" i="3"/>
  <c r="X2102" i="3"/>
  <c r="X2103" i="3"/>
  <c r="X2104" i="3"/>
  <c r="X2105" i="3"/>
  <c r="X2106" i="3"/>
  <c r="X2107" i="3"/>
  <c r="X2108" i="3"/>
  <c r="X2109" i="3"/>
  <c r="X2110" i="3"/>
  <c r="X2111" i="3"/>
  <c r="X2112" i="3"/>
  <c r="X2113" i="3"/>
  <c r="X2114" i="3"/>
  <c r="X2115" i="3"/>
  <c r="X2116" i="3"/>
  <c r="X2117" i="3"/>
  <c r="X2118" i="3"/>
  <c r="X2119" i="3"/>
  <c r="X2120" i="3"/>
  <c r="X2121" i="3"/>
  <c r="X2122" i="3"/>
  <c r="X2123" i="3"/>
  <c r="X2124" i="3"/>
  <c r="X2125" i="3"/>
  <c r="X2126" i="3"/>
  <c r="X2127" i="3"/>
  <c r="X2128" i="3"/>
  <c r="X2129" i="3"/>
  <c r="X2130" i="3"/>
  <c r="X2131" i="3"/>
  <c r="X2132" i="3"/>
  <c r="X2133" i="3"/>
  <c r="X2134" i="3"/>
  <c r="X2135" i="3"/>
  <c r="X2136" i="3"/>
  <c r="X2137" i="3"/>
  <c r="X2138" i="3"/>
  <c r="X2139" i="3"/>
  <c r="X2140" i="3"/>
  <c r="X2141" i="3"/>
  <c r="X2142" i="3"/>
  <c r="X2143" i="3"/>
  <c r="X2144" i="3"/>
  <c r="X2145" i="3"/>
  <c r="X2146" i="3"/>
  <c r="X2147" i="3"/>
  <c r="X2148" i="3"/>
  <c r="X2149" i="3"/>
  <c r="X2150" i="3"/>
  <c r="X2151" i="3"/>
  <c r="X2152" i="3"/>
  <c r="X2153" i="3"/>
  <c r="X2154" i="3"/>
  <c r="X2155" i="3"/>
  <c r="X2156" i="3"/>
  <c r="X2157" i="3"/>
  <c r="X2158" i="3"/>
  <c r="X2159" i="3"/>
  <c r="X2160" i="3"/>
  <c r="X2161" i="3"/>
  <c r="X2162" i="3"/>
  <c r="X2163" i="3"/>
  <c r="X2164" i="3"/>
  <c r="X2165" i="3"/>
  <c r="X2166" i="3"/>
  <c r="X2167" i="3"/>
  <c r="X2168" i="3"/>
  <c r="X2169" i="3"/>
  <c r="X2170" i="3"/>
  <c r="X2171" i="3"/>
  <c r="X2172" i="3"/>
  <c r="X2173" i="3"/>
  <c r="X2174" i="3"/>
  <c r="X2175" i="3"/>
  <c r="X2176" i="3"/>
  <c r="X2177" i="3"/>
  <c r="X2178" i="3"/>
  <c r="X2179" i="3"/>
  <c r="X2180" i="3"/>
  <c r="X2181" i="3"/>
  <c r="X2182" i="3"/>
  <c r="X2183" i="3"/>
  <c r="X2184" i="3"/>
  <c r="X2185" i="3"/>
  <c r="X2186" i="3"/>
  <c r="X2187" i="3"/>
  <c r="X2188" i="3"/>
  <c r="X2189" i="3"/>
  <c r="X2190" i="3"/>
  <c r="X2191" i="3"/>
  <c r="X2192" i="3"/>
  <c r="X2193" i="3"/>
  <c r="X2194" i="3"/>
  <c r="X2195" i="3"/>
  <c r="X2196" i="3"/>
  <c r="X2197" i="3"/>
  <c r="X2198" i="3"/>
  <c r="X2199" i="3"/>
  <c r="X2200" i="3"/>
  <c r="X2201" i="3"/>
  <c r="X2202" i="3"/>
  <c r="X2203" i="3"/>
  <c r="X2204" i="3"/>
  <c r="X2205" i="3"/>
  <c r="X2206" i="3"/>
  <c r="X2207" i="3"/>
  <c r="X2208" i="3"/>
  <c r="X2209" i="3"/>
  <c r="X2210" i="3"/>
  <c r="X2211" i="3"/>
  <c r="X2212" i="3"/>
  <c r="X2213" i="3"/>
  <c r="X2214" i="3"/>
  <c r="X2215" i="3"/>
  <c r="X2216" i="3"/>
  <c r="X2217" i="3"/>
  <c r="X2218" i="3"/>
  <c r="X2219" i="3"/>
  <c r="X2220" i="3"/>
  <c r="X2221" i="3"/>
  <c r="X2222" i="3"/>
  <c r="X2223" i="3"/>
  <c r="X2224" i="3"/>
  <c r="X2225" i="3"/>
  <c r="X2226" i="3"/>
  <c r="X2227" i="3"/>
  <c r="X2228" i="3"/>
  <c r="X2229" i="3"/>
  <c r="X2230" i="3"/>
  <c r="X2231" i="3"/>
  <c r="X2232" i="3"/>
  <c r="X2233" i="3"/>
  <c r="X2234" i="3"/>
  <c r="X2235" i="3"/>
  <c r="X2236" i="3"/>
  <c r="X2237" i="3"/>
  <c r="X2238" i="3"/>
  <c r="X2239" i="3"/>
  <c r="X2240" i="3"/>
  <c r="X2241" i="3"/>
  <c r="X2242" i="3"/>
  <c r="X2243" i="3"/>
  <c r="X2244" i="3"/>
  <c r="X2245" i="3"/>
  <c r="X2246" i="3"/>
  <c r="X2247" i="3"/>
  <c r="X2248" i="3"/>
  <c r="X2249" i="3"/>
  <c r="X2250" i="3"/>
  <c r="X2251" i="3"/>
  <c r="X2252" i="3"/>
  <c r="X2253" i="3"/>
  <c r="X2254" i="3"/>
  <c r="X2255" i="3"/>
  <c r="X2256" i="3"/>
  <c r="X2257" i="3"/>
  <c r="X2258" i="3"/>
  <c r="X2259" i="3"/>
  <c r="X2260" i="3"/>
  <c r="X2261" i="3"/>
  <c r="X2262" i="3"/>
  <c r="X2263" i="3"/>
  <c r="X2264" i="3"/>
  <c r="X2265" i="3"/>
  <c r="X2266" i="3"/>
  <c r="X2267" i="3"/>
  <c r="X2268" i="3"/>
  <c r="X2269" i="3"/>
  <c r="X2270" i="3"/>
  <c r="X2271" i="3"/>
  <c r="X2272" i="3"/>
  <c r="X2273" i="3"/>
  <c r="X2274" i="3"/>
  <c r="X2275" i="3"/>
  <c r="X2276" i="3"/>
  <c r="X2277" i="3"/>
  <c r="X2278" i="3"/>
  <c r="X2279" i="3"/>
  <c r="X2280" i="3"/>
  <c r="X2281" i="3"/>
  <c r="X2282" i="3"/>
  <c r="X2283" i="3"/>
  <c r="X2284" i="3"/>
  <c r="X2285" i="3"/>
  <c r="X2286" i="3"/>
  <c r="X2287" i="3"/>
  <c r="X2288" i="3"/>
  <c r="X2289" i="3"/>
  <c r="X2290" i="3"/>
  <c r="X2291" i="3"/>
  <c r="X2292" i="3"/>
  <c r="X2293" i="3"/>
  <c r="X2294" i="3"/>
  <c r="X2295" i="3"/>
  <c r="X2296" i="3"/>
  <c r="X2297" i="3"/>
  <c r="X2298" i="3"/>
  <c r="X2299" i="3"/>
  <c r="X2300" i="3"/>
  <c r="X2301" i="3"/>
  <c r="X2302" i="3"/>
  <c r="X2303" i="3"/>
  <c r="X2304" i="3"/>
  <c r="X2305" i="3"/>
  <c r="X2306" i="3"/>
  <c r="X2307" i="3"/>
  <c r="X2308" i="3"/>
  <c r="X2309" i="3"/>
  <c r="X2310" i="3"/>
  <c r="X2311" i="3"/>
  <c r="X2312" i="3"/>
  <c r="X2313" i="3"/>
  <c r="X2314" i="3"/>
  <c r="X2315" i="3"/>
  <c r="X2316" i="3"/>
  <c r="X2317" i="3"/>
  <c r="X2318" i="3"/>
  <c r="X2319" i="3"/>
  <c r="X2320" i="3"/>
  <c r="X2321" i="3"/>
  <c r="X2322" i="3"/>
  <c r="X2323" i="3"/>
  <c r="X2324" i="3"/>
  <c r="X2325" i="3"/>
  <c r="X2326" i="3"/>
  <c r="X2327" i="3"/>
  <c r="X2328" i="3"/>
  <c r="X2329" i="3"/>
  <c r="X2330" i="3"/>
  <c r="X2331" i="3"/>
  <c r="X2332" i="3"/>
  <c r="X2333" i="3"/>
  <c r="X2334" i="3"/>
  <c r="X2335" i="3"/>
  <c r="X2336" i="3"/>
  <c r="X2337" i="3"/>
  <c r="X2338" i="3"/>
  <c r="X2339" i="3"/>
  <c r="X2340" i="3"/>
  <c r="X2341" i="3"/>
  <c r="X2342" i="3"/>
  <c r="X2343" i="3"/>
  <c r="X2344" i="3"/>
  <c r="X2345" i="3"/>
  <c r="X2346" i="3"/>
  <c r="X2347" i="3"/>
  <c r="X2348" i="3"/>
  <c r="X2349" i="3"/>
  <c r="X2350" i="3"/>
  <c r="X2351" i="3"/>
  <c r="X2352" i="3"/>
  <c r="X2353" i="3"/>
  <c r="X2354" i="3"/>
  <c r="X2355" i="3"/>
  <c r="X2356" i="3"/>
  <c r="X2357" i="3"/>
  <c r="X2358" i="3"/>
  <c r="X2359" i="3"/>
  <c r="X2360" i="3"/>
  <c r="X2361" i="3"/>
  <c r="X2362" i="3"/>
  <c r="X2363" i="3"/>
  <c r="X2364" i="3"/>
  <c r="X2365" i="3"/>
  <c r="X2366" i="3"/>
  <c r="X2367" i="3"/>
  <c r="X2368" i="3"/>
  <c r="X2369" i="3"/>
  <c r="X2370" i="3"/>
  <c r="X2371" i="3"/>
  <c r="X2372" i="3"/>
  <c r="X2373" i="3"/>
  <c r="X2374" i="3"/>
  <c r="X2375" i="3"/>
  <c r="X2376" i="3"/>
  <c r="X2377" i="3"/>
  <c r="X2378" i="3"/>
  <c r="X2379" i="3"/>
  <c r="X2380" i="3"/>
  <c r="X2381" i="3"/>
  <c r="X2382" i="3"/>
  <c r="X2383" i="3"/>
  <c r="X2384" i="3"/>
  <c r="X2385" i="3"/>
  <c r="X2386" i="3"/>
  <c r="X2387" i="3"/>
  <c r="X2388" i="3"/>
  <c r="X2389" i="3"/>
  <c r="X2390" i="3"/>
  <c r="X2391" i="3"/>
  <c r="X2392" i="3"/>
  <c r="X2393" i="3"/>
  <c r="X2394" i="3"/>
  <c r="X2395" i="3"/>
  <c r="X2396" i="3"/>
  <c r="X2397" i="3"/>
  <c r="X2398" i="3"/>
  <c r="X2399" i="3"/>
  <c r="X2400" i="3"/>
  <c r="X2401" i="3"/>
  <c r="X2402" i="3"/>
  <c r="X2403" i="3"/>
  <c r="X2404" i="3"/>
  <c r="X2405" i="3"/>
  <c r="X2406" i="3"/>
  <c r="X2407" i="3"/>
  <c r="X2408" i="3"/>
  <c r="X2409" i="3"/>
  <c r="X2410" i="3"/>
  <c r="X2411" i="3"/>
  <c r="X2412" i="3"/>
  <c r="X2413" i="3"/>
  <c r="X2414" i="3"/>
  <c r="X2415" i="3"/>
  <c r="X2416" i="3"/>
  <c r="X2417" i="3"/>
  <c r="X2418" i="3"/>
  <c r="X2419" i="3"/>
  <c r="X2420" i="3"/>
  <c r="X2421" i="3"/>
  <c r="X2422" i="3"/>
  <c r="X2423" i="3"/>
  <c r="X2424" i="3"/>
  <c r="X2425" i="3"/>
  <c r="X2426" i="3"/>
  <c r="X2427" i="3"/>
  <c r="X2428" i="3"/>
  <c r="X2429" i="3"/>
  <c r="X2430" i="3"/>
  <c r="X2431" i="3"/>
  <c r="X2432" i="3"/>
  <c r="X2433" i="3"/>
  <c r="X2434" i="3"/>
  <c r="X2435" i="3"/>
  <c r="X2436" i="3"/>
  <c r="X2437" i="3"/>
  <c r="X2438" i="3"/>
  <c r="X2439" i="3"/>
  <c r="X2440" i="3"/>
  <c r="X2441" i="3"/>
  <c r="X2442" i="3"/>
  <c r="X2443" i="3"/>
  <c r="X2444" i="3"/>
  <c r="X2445" i="3"/>
  <c r="X2446" i="3"/>
  <c r="X2447" i="3"/>
  <c r="X2448" i="3"/>
  <c r="X2449" i="3"/>
  <c r="X2450" i="3"/>
  <c r="X2451" i="3"/>
  <c r="X2452" i="3"/>
  <c r="X2453" i="3"/>
  <c r="X2454" i="3"/>
  <c r="X2455" i="3"/>
  <c r="X2456" i="3"/>
  <c r="X2457" i="3"/>
  <c r="X2458" i="3"/>
  <c r="X2459" i="3"/>
  <c r="X2460" i="3"/>
  <c r="X2461" i="3"/>
  <c r="X2462" i="3"/>
  <c r="X2463" i="3"/>
  <c r="X2464" i="3"/>
  <c r="X2465" i="3"/>
  <c r="X2466" i="3"/>
  <c r="X2467" i="3"/>
  <c r="X2468" i="3"/>
  <c r="X2469" i="3"/>
  <c r="X2470" i="3"/>
  <c r="X2471" i="3"/>
  <c r="X2472" i="3"/>
  <c r="X2473" i="3"/>
  <c r="X2474" i="3"/>
  <c r="X2475" i="3"/>
  <c r="X2476" i="3"/>
  <c r="X2477" i="3"/>
  <c r="X2478" i="3"/>
  <c r="X2479" i="3"/>
  <c r="X2480" i="3"/>
  <c r="X2481" i="3"/>
  <c r="X2482" i="3"/>
  <c r="X2483" i="3"/>
  <c r="X2484" i="3"/>
  <c r="X2485" i="3"/>
  <c r="X2486" i="3"/>
  <c r="X2487" i="3"/>
  <c r="X2488" i="3"/>
  <c r="X2489" i="3"/>
  <c r="X2490" i="3"/>
  <c r="X2491" i="3"/>
  <c r="X2492" i="3"/>
  <c r="X2493" i="3"/>
  <c r="X2494" i="3"/>
  <c r="X2495" i="3"/>
  <c r="X2496" i="3"/>
  <c r="X2497" i="3"/>
  <c r="X2498" i="3"/>
  <c r="X2499" i="3"/>
  <c r="X2500" i="3"/>
  <c r="X2501" i="3"/>
  <c r="X2502" i="3"/>
  <c r="X2503" i="3"/>
  <c r="X2504" i="3"/>
  <c r="X2505" i="3"/>
  <c r="X2506" i="3"/>
  <c r="X2507" i="3"/>
  <c r="X2508" i="3"/>
  <c r="X2509" i="3"/>
  <c r="X2510" i="3"/>
  <c r="X2511" i="3"/>
  <c r="X2512" i="3"/>
  <c r="X2513" i="3"/>
  <c r="X2514" i="3"/>
  <c r="X2515" i="3"/>
  <c r="X2516" i="3"/>
  <c r="X2517" i="3"/>
  <c r="X2518" i="3"/>
  <c r="X2519" i="3"/>
  <c r="X2520" i="3"/>
  <c r="X2521" i="3"/>
  <c r="X2522" i="3"/>
  <c r="X2523" i="3"/>
  <c r="X2524" i="3"/>
  <c r="X2525" i="3"/>
  <c r="X2526" i="3"/>
  <c r="X2527" i="3"/>
  <c r="X2528" i="3"/>
  <c r="X2529" i="3"/>
  <c r="X2530" i="3"/>
  <c r="X2531" i="3"/>
  <c r="X2532" i="3"/>
  <c r="X2533" i="3"/>
  <c r="X2534" i="3"/>
  <c r="X2535" i="3"/>
  <c r="X2536" i="3"/>
  <c r="X2537" i="3"/>
  <c r="X2538" i="3"/>
  <c r="X2539" i="3"/>
  <c r="X2540" i="3"/>
  <c r="X2541" i="3"/>
  <c r="X2542" i="3"/>
  <c r="X2543" i="3"/>
  <c r="X2544" i="3"/>
  <c r="X2545" i="3"/>
  <c r="X2546" i="3"/>
  <c r="X2547" i="3"/>
  <c r="X2548" i="3"/>
  <c r="X2549" i="3"/>
  <c r="X2550" i="3"/>
  <c r="X2551" i="3"/>
  <c r="X2552" i="3"/>
  <c r="X2553" i="3"/>
  <c r="X2554" i="3"/>
  <c r="X2555" i="3"/>
  <c r="X2556" i="3"/>
  <c r="X2557" i="3"/>
  <c r="X2558" i="3"/>
  <c r="X2559" i="3"/>
  <c r="X2560" i="3"/>
  <c r="X2561" i="3"/>
  <c r="X2562" i="3"/>
  <c r="X2563" i="3"/>
  <c r="X2564" i="3"/>
  <c r="X2565" i="3"/>
  <c r="X2566" i="3"/>
  <c r="X2567" i="3"/>
  <c r="X2568" i="3"/>
  <c r="X2569" i="3"/>
  <c r="X2570" i="3"/>
  <c r="X2571" i="3"/>
  <c r="X2572" i="3"/>
  <c r="X2573" i="3"/>
  <c r="X2574" i="3"/>
  <c r="X2575" i="3"/>
  <c r="X247" i="3"/>
  <c r="U1234" i="3"/>
  <c r="U1235" i="3"/>
  <c r="U1236" i="3"/>
  <c r="U1237" i="3"/>
  <c r="U1238" i="3"/>
  <c r="U1239" i="3"/>
  <c r="U1240" i="3"/>
  <c r="U1241" i="3"/>
  <c r="U1242" i="3"/>
  <c r="U1243" i="3"/>
  <c r="U1244" i="3"/>
  <c r="U1245" i="3"/>
  <c r="U1246" i="3"/>
  <c r="U1247" i="3"/>
  <c r="U1248" i="3"/>
  <c r="U1249" i="3"/>
  <c r="U1250" i="3"/>
  <c r="U1251" i="3"/>
  <c r="U1252" i="3"/>
  <c r="U1253" i="3"/>
  <c r="U1254" i="3"/>
  <c r="U1255" i="3"/>
  <c r="U1256" i="3"/>
  <c r="U1257" i="3"/>
  <c r="U1258" i="3"/>
  <c r="U1259" i="3"/>
  <c r="U1260" i="3"/>
  <c r="U1261" i="3"/>
  <c r="U1262" i="3"/>
  <c r="U1263" i="3"/>
  <c r="U1264" i="3"/>
  <c r="U1265" i="3"/>
  <c r="U1266" i="3"/>
  <c r="U1267" i="3"/>
  <c r="U1268" i="3"/>
  <c r="U1269" i="3"/>
  <c r="U1270" i="3"/>
  <c r="U1271" i="3"/>
  <c r="U1272" i="3"/>
  <c r="U1273" i="3"/>
  <c r="U1274" i="3"/>
  <c r="U1275" i="3"/>
  <c r="U1276" i="3"/>
  <c r="U1277" i="3"/>
  <c r="U1278" i="3"/>
  <c r="U1279" i="3"/>
  <c r="U1280" i="3"/>
  <c r="U1281" i="3"/>
  <c r="U1282" i="3"/>
  <c r="U1283" i="3"/>
  <c r="U1284" i="3"/>
  <c r="U1285" i="3"/>
  <c r="U1286" i="3"/>
  <c r="U1287" i="3"/>
  <c r="U1288" i="3"/>
  <c r="U1289" i="3"/>
  <c r="U1290" i="3"/>
  <c r="U1291" i="3"/>
  <c r="U1292" i="3"/>
  <c r="U1293" i="3"/>
  <c r="U1294" i="3"/>
  <c r="U1295" i="3"/>
  <c r="U1296" i="3"/>
  <c r="U1297" i="3"/>
  <c r="U1298" i="3"/>
  <c r="U1299" i="3"/>
  <c r="U1300" i="3"/>
  <c r="U1301" i="3"/>
  <c r="U1302" i="3"/>
  <c r="U1303" i="3"/>
  <c r="U1304" i="3"/>
  <c r="U1305" i="3"/>
  <c r="U1306" i="3"/>
  <c r="U1307" i="3"/>
  <c r="U1308" i="3"/>
  <c r="U1309" i="3"/>
  <c r="U1310" i="3"/>
  <c r="U1311" i="3"/>
  <c r="U1312" i="3"/>
  <c r="U1313" i="3"/>
  <c r="U1314" i="3"/>
  <c r="U1315" i="3"/>
  <c r="U1316" i="3"/>
  <c r="U1317" i="3"/>
  <c r="U1318" i="3"/>
  <c r="U1319" i="3"/>
  <c r="U1320" i="3"/>
  <c r="U1321" i="3"/>
  <c r="U1322" i="3"/>
  <c r="U1323" i="3"/>
  <c r="U1324" i="3"/>
  <c r="U1325" i="3"/>
  <c r="U1326" i="3"/>
  <c r="U1327" i="3"/>
  <c r="U1328" i="3"/>
  <c r="U1329" i="3"/>
  <c r="U1330" i="3"/>
  <c r="U1331" i="3"/>
  <c r="U1332" i="3"/>
  <c r="U1333" i="3"/>
  <c r="U1334" i="3"/>
  <c r="U1335" i="3"/>
  <c r="U1336" i="3"/>
  <c r="U1337" i="3"/>
  <c r="U1338" i="3"/>
  <c r="U1339" i="3"/>
  <c r="U1340" i="3"/>
  <c r="U1341" i="3"/>
  <c r="U1342" i="3"/>
  <c r="U1343" i="3"/>
  <c r="U1344" i="3"/>
  <c r="U1345" i="3"/>
  <c r="U1346" i="3"/>
  <c r="U1347" i="3"/>
  <c r="U1348" i="3"/>
  <c r="U1349" i="3"/>
  <c r="U1350" i="3"/>
  <c r="U1351" i="3"/>
  <c r="U1352" i="3"/>
  <c r="U1353" i="3"/>
  <c r="U1354" i="3"/>
  <c r="U1355" i="3"/>
  <c r="U1356" i="3"/>
  <c r="U1357" i="3"/>
  <c r="U1358" i="3"/>
  <c r="U1359" i="3"/>
  <c r="U1360" i="3"/>
  <c r="U1361" i="3"/>
  <c r="U1362" i="3"/>
  <c r="U1363" i="3"/>
  <c r="U1364" i="3"/>
  <c r="U1365" i="3"/>
  <c r="U1366" i="3"/>
  <c r="U1367" i="3"/>
  <c r="U1368" i="3"/>
  <c r="U1369" i="3"/>
  <c r="U1370" i="3"/>
  <c r="U1371" i="3"/>
  <c r="U1372" i="3"/>
  <c r="U1373" i="3"/>
  <c r="U1374" i="3"/>
  <c r="U1375" i="3"/>
  <c r="U1376" i="3"/>
  <c r="U1377" i="3"/>
  <c r="U1378" i="3"/>
  <c r="U1379" i="3"/>
  <c r="U1380" i="3"/>
  <c r="U1381" i="3"/>
  <c r="U1382" i="3"/>
  <c r="U1383" i="3"/>
  <c r="U1384" i="3"/>
  <c r="U1385" i="3"/>
  <c r="U1386" i="3"/>
  <c r="U1387" i="3"/>
  <c r="U1388" i="3"/>
  <c r="U1389" i="3"/>
  <c r="U1390" i="3"/>
  <c r="U1391" i="3"/>
  <c r="U1392" i="3"/>
  <c r="U1393" i="3"/>
  <c r="U1394" i="3"/>
  <c r="U1395" i="3"/>
  <c r="U1396" i="3"/>
  <c r="U1397" i="3"/>
  <c r="U1398" i="3"/>
  <c r="U1399" i="3"/>
  <c r="U1400" i="3"/>
  <c r="U1401" i="3"/>
  <c r="U1402" i="3"/>
  <c r="U1403" i="3"/>
  <c r="U1404" i="3"/>
  <c r="U1405" i="3"/>
  <c r="U1406" i="3"/>
  <c r="U1407" i="3"/>
  <c r="U1408" i="3"/>
  <c r="U1409" i="3"/>
  <c r="U1410" i="3"/>
  <c r="U1411" i="3"/>
  <c r="U1412" i="3"/>
  <c r="U1413" i="3"/>
  <c r="U1414" i="3"/>
  <c r="U1415" i="3"/>
  <c r="U1416" i="3"/>
  <c r="U1417" i="3"/>
  <c r="U1418" i="3"/>
  <c r="U1419" i="3"/>
  <c r="U1420" i="3"/>
  <c r="U1421" i="3"/>
  <c r="U1422" i="3"/>
  <c r="U1423" i="3"/>
  <c r="U1424" i="3"/>
  <c r="U1425" i="3"/>
  <c r="U1426" i="3"/>
  <c r="U1427" i="3"/>
  <c r="U1428" i="3"/>
  <c r="U1429" i="3"/>
  <c r="U1430" i="3"/>
  <c r="U1431" i="3"/>
  <c r="U1432" i="3"/>
  <c r="U1433" i="3"/>
  <c r="U1434" i="3"/>
  <c r="U1435" i="3"/>
  <c r="U1436" i="3"/>
  <c r="U1437" i="3"/>
  <c r="U1438" i="3"/>
  <c r="U1439" i="3"/>
  <c r="U1440" i="3"/>
  <c r="U1441" i="3"/>
  <c r="U1442" i="3"/>
  <c r="U1443" i="3"/>
  <c r="U1444" i="3"/>
  <c r="U1445" i="3"/>
  <c r="U1446" i="3"/>
  <c r="U1447" i="3"/>
  <c r="U1448" i="3"/>
  <c r="U1449" i="3"/>
  <c r="U1450" i="3"/>
  <c r="U1451" i="3"/>
  <c r="U1452" i="3"/>
  <c r="U1453" i="3"/>
  <c r="U1454" i="3"/>
  <c r="U1455" i="3"/>
  <c r="U1456" i="3"/>
  <c r="U1457" i="3"/>
  <c r="U1458" i="3"/>
  <c r="U1459" i="3"/>
  <c r="U1460" i="3"/>
  <c r="U1461" i="3"/>
  <c r="U1462" i="3"/>
  <c r="U1463" i="3"/>
  <c r="U1464" i="3"/>
  <c r="U1465" i="3"/>
  <c r="U1466" i="3"/>
  <c r="U1467" i="3"/>
  <c r="U1468" i="3"/>
  <c r="U1469" i="3"/>
  <c r="U1470" i="3"/>
  <c r="U1471" i="3"/>
  <c r="U1472" i="3"/>
  <c r="U1473" i="3"/>
  <c r="U1474" i="3"/>
  <c r="U1475" i="3"/>
  <c r="U1476" i="3"/>
  <c r="U1477" i="3"/>
  <c r="U1478" i="3"/>
  <c r="U1479" i="3"/>
  <c r="U1480" i="3"/>
  <c r="U1481" i="3"/>
  <c r="U1482" i="3"/>
  <c r="U1483" i="3"/>
  <c r="U1484" i="3"/>
  <c r="U1485" i="3"/>
  <c r="U1486" i="3"/>
  <c r="U1487" i="3"/>
  <c r="U1488" i="3"/>
  <c r="U1489" i="3"/>
  <c r="U1490" i="3"/>
  <c r="U1491" i="3"/>
  <c r="U1492" i="3"/>
  <c r="U1493" i="3"/>
  <c r="U1494" i="3"/>
  <c r="U1495" i="3"/>
  <c r="U1496" i="3"/>
  <c r="U1497" i="3"/>
  <c r="U1498" i="3"/>
  <c r="U1499" i="3"/>
  <c r="U1500" i="3"/>
  <c r="U1501" i="3"/>
  <c r="U1502" i="3"/>
  <c r="U1503" i="3"/>
  <c r="U1504" i="3"/>
  <c r="U1505" i="3"/>
  <c r="U1506" i="3"/>
  <c r="U1507" i="3"/>
  <c r="U1508" i="3"/>
  <c r="U1509" i="3"/>
  <c r="U1510" i="3"/>
  <c r="U1511" i="3"/>
  <c r="U1512" i="3"/>
  <c r="U1513" i="3"/>
  <c r="U1514" i="3"/>
  <c r="U1515" i="3"/>
  <c r="U1516" i="3"/>
  <c r="U1517" i="3"/>
  <c r="U1518" i="3"/>
  <c r="U1519" i="3"/>
  <c r="U1520" i="3"/>
  <c r="U1521" i="3"/>
  <c r="U1522" i="3"/>
  <c r="U1523" i="3"/>
  <c r="U1524" i="3"/>
  <c r="U1525" i="3"/>
  <c r="U1526" i="3"/>
  <c r="U1527" i="3"/>
  <c r="U1528" i="3"/>
  <c r="U1529" i="3"/>
  <c r="U1530" i="3"/>
  <c r="U1531" i="3"/>
  <c r="U1532" i="3"/>
  <c r="U1533" i="3"/>
  <c r="U1534" i="3"/>
  <c r="U1535" i="3"/>
  <c r="U1536" i="3"/>
  <c r="U1537" i="3"/>
  <c r="U1538" i="3"/>
  <c r="U1539" i="3"/>
  <c r="U1540" i="3"/>
  <c r="U1541" i="3"/>
  <c r="U1542" i="3"/>
  <c r="U1543" i="3"/>
  <c r="U1544" i="3"/>
  <c r="U1545" i="3"/>
  <c r="U1546" i="3"/>
  <c r="U1547" i="3"/>
  <c r="U1548" i="3"/>
  <c r="U1549" i="3"/>
  <c r="U1550" i="3"/>
  <c r="U1551" i="3"/>
  <c r="U1552" i="3"/>
  <c r="U1553" i="3"/>
  <c r="U1554" i="3"/>
  <c r="U1555" i="3"/>
  <c r="U1556" i="3"/>
  <c r="U1557" i="3"/>
  <c r="U1558" i="3"/>
  <c r="U1559" i="3"/>
  <c r="U1560" i="3"/>
  <c r="U1561" i="3"/>
  <c r="U1562" i="3"/>
  <c r="U1563" i="3"/>
  <c r="U1564" i="3"/>
  <c r="U1565" i="3"/>
  <c r="U1566" i="3"/>
  <c r="U1567" i="3"/>
  <c r="U1568" i="3"/>
  <c r="U1569" i="3"/>
  <c r="U1570" i="3"/>
  <c r="U1571" i="3"/>
  <c r="U1572" i="3"/>
  <c r="U1573" i="3"/>
  <c r="U1574" i="3"/>
  <c r="U1575" i="3"/>
  <c r="U1576" i="3"/>
  <c r="U1577" i="3"/>
  <c r="U1578" i="3"/>
  <c r="U1579" i="3"/>
  <c r="U1580" i="3"/>
  <c r="U1581" i="3"/>
  <c r="U1582" i="3"/>
  <c r="U1583" i="3"/>
  <c r="U1584" i="3"/>
  <c r="U1585" i="3"/>
  <c r="U1586" i="3"/>
  <c r="U1587" i="3"/>
  <c r="U1588" i="3"/>
  <c r="U1589" i="3"/>
  <c r="U1590" i="3"/>
  <c r="U1591" i="3"/>
  <c r="U1592" i="3"/>
  <c r="U1593" i="3"/>
  <c r="U1594" i="3"/>
  <c r="U1595" i="3"/>
  <c r="U1596" i="3"/>
  <c r="U1597" i="3"/>
  <c r="U1598" i="3"/>
  <c r="U1599" i="3"/>
  <c r="U1600" i="3"/>
  <c r="U1601" i="3"/>
  <c r="U1602" i="3"/>
  <c r="U1603" i="3"/>
  <c r="U1604" i="3"/>
  <c r="U1605" i="3"/>
  <c r="U1606" i="3"/>
  <c r="U1607" i="3"/>
  <c r="U1608" i="3"/>
  <c r="U1609" i="3"/>
  <c r="U1610" i="3"/>
  <c r="U1611" i="3"/>
  <c r="U1612" i="3"/>
  <c r="U1613" i="3"/>
  <c r="U1614" i="3"/>
  <c r="U1615" i="3"/>
  <c r="U1616" i="3"/>
  <c r="U1617" i="3"/>
  <c r="U1618" i="3"/>
  <c r="U1619" i="3"/>
  <c r="U1620" i="3"/>
  <c r="U1621" i="3"/>
  <c r="U1622" i="3"/>
  <c r="U1623" i="3"/>
  <c r="U1624" i="3"/>
  <c r="U1625" i="3"/>
  <c r="U1626" i="3"/>
  <c r="U1627" i="3"/>
  <c r="U1628" i="3"/>
  <c r="U1629" i="3"/>
  <c r="U1630" i="3"/>
  <c r="U1631" i="3"/>
  <c r="U1632" i="3"/>
  <c r="U1633" i="3"/>
  <c r="U1634" i="3"/>
  <c r="U1635" i="3"/>
  <c r="U1636" i="3"/>
  <c r="U1637" i="3"/>
  <c r="U1638" i="3"/>
  <c r="U1639" i="3"/>
  <c r="U1640" i="3"/>
  <c r="U1641" i="3"/>
  <c r="U1642" i="3"/>
  <c r="U1643" i="3"/>
  <c r="U1644" i="3"/>
  <c r="U1645" i="3"/>
  <c r="U1646" i="3"/>
  <c r="U1647" i="3"/>
  <c r="U1648" i="3"/>
  <c r="U1649" i="3"/>
  <c r="U1650" i="3"/>
  <c r="U1651" i="3"/>
  <c r="U1652" i="3"/>
  <c r="U1653" i="3"/>
  <c r="U1654" i="3"/>
  <c r="U1655" i="3"/>
  <c r="U1656" i="3"/>
  <c r="U1657" i="3"/>
  <c r="U1658" i="3"/>
  <c r="U1659" i="3"/>
  <c r="U1660" i="3"/>
  <c r="U1661" i="3"/>
  <c r="U1662" i="3"/>
  <c r="U1663" i="3"/>
  <c r="U1664" i="3"/>
  <c r="U1665" i="3"/>
  <c r="U1666" i="3"/>
  <c r="U1667" i="3"/>
  <c r="U1668" i="3"/>
  <c r="U1669" i="3"/>
  <c r="U1670" i="3"/>
  <c r="U1671" i="3"/>
  <c r="U1672" i="3"/>
  <c r="U1673" i="3"/>
  <c r="U1674" i="3"/>
  <c r="U1675" i="3"/>
  <c r="U1676" i="3"/>
  <c r="U1677" i="3"/>
  <c r="U1678" i="3"/>
  <c r="U1679" i="3"/>
  <c r="U1680" i="3"/>
  <c r="U1681" i="3"/>
  <c r="U1682" i="3"/>
  <c r="U1683" i="3"/>
  <c r="U1684" i="3"/>
  <c r="U1685" i="3"/>
  <c r="U1686" i="3"/>
  <c r="U1687" i="3"/>
  <c r="U1688" i="3"/>
  <c r="U1689" i="3"/>
  <c r="U1690" i="3"/>
  <c r="U1691" i="3"/>
  <c r="U1692" i="3"/>
  <c r="U1693" i="3"/>
  <c r="U1694" i="3"/>
  <c r="U1695" i="3"/>
  <c r="U1696" i="3"/>
  <c r="U1697" i="3"/>
  <c r="U1698" i="3"/>
  <c r="U1699" i="3"/>
  <c r="U1700" i="3"/>
  <c r="U1701" i="3"/>
  <c r="U1702" i="3"/>
  <c r="U1703" i="3"/>
  <c r="U1704" i="3"/>
  <c r="U1705" i="3"/>
  <c r="U1706" i="3"/>
  <c r="U1707" i="3"/>
  <c r="U1708" i="3"/>
  <c r="U1709" i="3"/>
  <c r="U1710" i="3"/>
  <c r="U1711" i="3"/>
  <c r="U1712" i="3"/>
  <c r="U1713" i="3"/>
  <c r="U1714" i="3"/>
  <c r="U1715" i="3"/>
  <c r="U1716" i="3"/>
  <c r="U1717" i="3"/>
  <c r="U1718" i="3"/>
  <c r="U1719" i="3"/>
  <c r="U1720" i="3"/>
  <c r="U1721" i="3"/>
  <c r="U1722" i="3"/>
  <c r="U1723" i="3"/>
  <c r="U1724" i="3"/>
  <c r="U1725" i="3"/>
  <c r="U1726" i="3"/>
  <c r="U1727" i="3"/>
  <c r="U1728" i="3"/>
  <c r="U1729" i="3"/>
  <c r="U1730" i="3"/>
  <c r="U1731" i="3"/>
  <c r="U1732" i="3"/>
  <c r="U1733" i="3"/>
  <c r="U1734" i="3"/>
  <c r="U1735" i="3"/>
  <c r="U1736" i="3"/>
  <c r="U1737" i="3"/>
  <c r="U1738" i="3"/>
  <c r="U1739" i="3"/>
  <c r="U1740" i="3"/>
  <c r="U1741" i="3"/>
  <c r="U1742" i="3"/>
  <c r="U1743" i="3"/>
  <c r="U1744" i="3"/>
  <c r="U1745" i="3"/>
  <c r="U1746" i="3"/>
  <c r="U1747" i="3"/>
  <c r="U1748" i="3"/>
  <c r="U1749" i="3"/>
  <c r="U1750" i="3"/>
  <c r="U1751" i="3"/>
  <c r="U1752" i="3"/>
  <c r="U1753" i="3"/>
  <c r="U1754" i="3"/>
  <c r="U1755" i="3"/>
  <c r="U1756" i="3"/>
  <c r="U1757" i="3"/>
  <c r="U1758" i="3"/>
  <c r="U1759" i="3"/>
  <c r="U1760" i="3"/>
  <c r="U1761" i="3"/>
  <c r="U1762" i="3"/>
  <c r="U1763" i="3"/>
  <c r="U1764" i="3"/>
  <c r="U1765" i="3"/>
  <c r="U1766" i="3"/>
  <c r="U1767" i="3"/>
  <c r="U1768" i="3"/>
  <c r="U1769" i="3"/>
  <c r="U1770" i="3"/>
  <c r="U1771" i="3"/>
  <c r="U1772" i="3"/>
  <c r="U1773" i="3"/>
  <c r="U1774" i="3"/>
  <c r="U1775" i="3"/>
  <c r="U1776" i="3"/>
  <c r="U1777" i="3"/>
  <c r="U1778" i="3"/>
  <c r="U1779" i="3"/>
  <c r="U1780" i="3"/>
  <c r="U1781" i="3"/>
  <c r="U1782" i="3"/>
  <c r="U1783" i="3"/>
  <c r="U1784" i="3"/>
  <c r="U1785" i="3"/>
  <c r="U1786" i="3"/>
  <c r="U1787" i="3"/>
  <c r="U1788" i="3"/>
  <c r="U1789" i="3"/>
  <c r="U1790" i="3"/>
  <c r="U1791" i="3"/>
  <c r="U1792" i="3"/>
  <c r="U1793" i="3"/>
  <c r="U1794" i="3"/>
  <c r="U1795" i="3"/>
  <c r="U1796" i="3"/>
  <c r="U1797" i="3"/>
  <c r="U1798" i="3"/>
  <c r="U1799" i="3"/>
  <c r="U1800" i="3"/>
  <c r="U1801" i="3"/>
  <c r="U1802" i="3"/>
  <c r="U1803" i="3"/>
  <c r="U1804" i="3"/>
  <c r="U1805" i="3"/>
  <c r="U1806" i="3"/>
  <c r="U1807" i="3"/>
  <c r="U1808" i="3"/>
  <c r="U1809" i="3"/>
  <c r="U1810" i="3"/>
  <c r="U1811" i="3"/>
  <c r="U1812" i="3"/>
  <c r="U1813" i="3"/>
  <c r="U1814" i="3"/>
  <c r="U1815" i="3"/>
  <c r="U1816" i="3"/>
  <c r="U1817" i="3"/>
  <c r="U1818" i="3"/>
  <c r="U1819" i="3"/>
  <c r="U1820" i="3"/>
  <c r="U1821" i="3"/>
  <c r="U1822" i="3"/>
  <c r="U1823" i="3"/>
  <c r="U1824" i="3"/>
  <c r="U1825" i="3"/>
  <c r="U1826" i="3"/>
  <c r="U1827" i="3"/>
  <c r="U1828" i="3"/>
  <c r="U1829" i="3"/>
  <c r="U1830" i="3"/>
  <c r="U1831" i="3"/>
  <c r="U1832" i="3"/>
  <c r="U1833" i="3"/>
  <c r="U1834" i="3"/>
  <c r="U1835" i="3"/>
  <c r="U1836" i="3"/>
  <c r="U1837" i="3"/>
  <c r="U1838" i="3"/>
  <c r="U1839" i="3"/>
  <c r="U1840" i="3"/>
  <c r="U1841" i="3"/>
  <c r="U1842" i="3"/>
  <c r="U1843" i="3"/>
  <c r="U1844" i="3"/>
  <c r="U1845" i="3"/>
  <c r="U1846" i="3"/>
  <c r="U1847" i="3"/>
  <c r="U1848" i="3"/>
  <c r="U1849" i="3"/>
  <c r="U1850" i="3"/>
  <c r="U1851" i="3"/>
  <c r="U1852" i="3"/>
  <c r="U1853" i="3"/>
  <c r="U1854" i="3"/>
  <c r="U1855" i="3"/>
  <c r="U1856" i="3"/>
  <c r="U1857" i="3"/>
  <c r="U1858" i="3"/>
  <c r="U1859" i="3"/>
  <c r="U1860" i="3"/>
  <c r="U1861" i="3"/>
  <c r="U1862" i="3"/>
  <c r="U1863" i="3"/>
  <c r="U1864" i="3"/>
  <c r="U1865" i="3"/>
  <c r="U1866" i="3"/>
  <c r="U1867" i="3"/>
  <c r="U1868" i="3"/>
  <c r="U1869" i="3"/>
  <c r="U1870" i="3"/>
  <c r="U1871" i="3"/>
  <c r="U1872" i="3"/>
  <c r="U1873" i="3"/>
  <c r="U1874" i="3"/>
  <c r="U1875" i="3"/>
  <c r="U1876" i="3"/>
  <c r="U1877" i="3"/>
  <c r="U1878" i="3"/>
  <c r="U1879" i="3"/>
  <c r="U1880" i="3"/>
  <c r="U1881" i="3"/>
  <c r="U1882" i="3"/>
  <c r="U1883" i="3"/>
  <c r="U1884" i="3"/>
  <c r="U1885" i="3"/>
  <c r="U1886" i="3"/>
  <c r="U1887" i="3"/>
  <c r="U1888" i="3"/>
  <c r="U1889" i="3"/>
  <c r="U1890" i="3"/>
  <c r="U1891" i="3"/>
  <c r="U1892" i="3"/>
  <c r="U1893" i="3"/>
  <c r="U1894" i="3"/>
  <c r="U1895" i="3"/>
  <c r="U1896" i="3"/>
  <c r="U1897" i="3"/>
  <c r="U1898" i="3"/>
  <c r="U1899" i="3"/>
  <c r="U1900" i="3"/>
  <c r="U1901" i="3"/>
  <c r="U1902" i="3"/>
  <c r="U1903" i="3"/>
  <c r="U1904" i="3"/>
  <c r="U1905" i="3"/>
  <c r="U1906" i="3"/>
  <c r="U1907" i="3"/>
  <c r="U1908" i="3"/>
  <c r="U1909" i="3"/>
  <c r="U1910" i="3"/>
  <c r="U1911" i="3"/>
  <c r="U1912" i="3"/>
  <c r="U1913" i="3"/>
  <c r="U1914" i="3"/>
  <c r="U1915" i="3"/>
  <c r="U1916" i="3"/>
  <c r="U1917" i="3"/>
  <c r="U1918" i="3"/>
  <c r="U1919" i="3"/>
  <c r="U1920" i="3"/>
  <c r="U1921" i="3"/>
  <c r="U1922" i="3"/>
  <c r="U1923" i="3"/>
  <c r="U1924" i="3"/>
  <c r="U1925" i="3"/>
  <c r="U1926" i="3"/>
  <c r="U1927" i="3"/>
  <c r="U1928" i="3"/>
  <c r="U1929" i="3"/>
  <c r="U1930" i="3"/>
  <c r="U1931" i="3"/>
  <c r="U1932" i="3"/>
  <c r="U1933" i="3"/>
  <c r="U1934" i="3"/>
  <c r="U1935" i="3"/>
  <c r="U1936" i="3"/>
  <c r="U1937" i="3"/>
  <c r="U1938" i="3"/>
  <c r="U1939" i="3"/>
  <c r="U1940" i="3"/>
  <c r="U1941" i="3"/>
  <c r="U1942" i="3"/>
  <c r="U1943" i="3"/>
  <c r="U1944" i="3"/>
  <c r="U1945" i="3"/>
  <c r="U1946" i="3"/>
  <c r="U1947" i="3"/>
  <c r="U1948" i="3"/>
  <c r="U1949" i="3"/>
  <c r="U1950" i="3"/>
  <c r="U1951" i="3"/>
  <c r="U1952" i="3"/>
  <c r="U1953" i="3"/>
  <c r="U1954" i="3"/>
  <c r="U1955" i="3"/>
  <c r="U1956" i="3"/>
  <c r="U1957" i="3"/>
  <c r="U1958" i="3"/>
  <c r="U1959" i="3"/>
  <c r="U1960" i="3"/>
  <c r="U1961" i="3"/>
  <c r="U1962" i="3"/>
  <c r="U1963" i="3"/>
  <c r="U1964" i="3"/>
  <c r="U1965" i="3"/>
  <c r="U1966" i="3"/>
  <c r="U1967" i="3"/>
  <c r="U1968" i="3"/>
  <c r="U1969" i="3"/>
  <c r="U1970" i="3"/>
  <c r="U1971" i="3"/>
  <c r="U1972" i="3"/>
  <c r="U1973" i="3"/>
  <c r="U1974" i="3"/>
  <c r="U1975" i="3"/>
  <c r="U1976" i="3"/>
  <c r="U1977" i="3"/>
  <c r="U1978" i="3"/>
  <c r="U1979" i="3"/>
  <c r="U1980" i="3"/>
  <c r="U1981" i="3"/>
  <c r="U1982" i="3"/>
  <c r="U1983" i="3"/>
  <c r="U1984" i="3"/>
  <c r="U1985" i="3"/>
  <c r="U1986" i="3"/>
  <c r="U1987" i="3"/>
  <c r="U1988" i="3"/>
  <c r="U1989" i="3"/>
  <c r="U1990" i="3"/>
  <c r="U1991" i="3"/>
  <c r="U1992" i="3"/>
  <c r="U1993" i="3"/>
  <c r="U1994" i="3"/>
  <c r="U1995" i="3"/>
  <c r="U1996" i="3"/>
  <c r="U1997" i="3"/>
  <c r="U1998" i="3"/>
  <c r="U1999" i="3"/>
  <c r="U2000" i="3"/>
  <c r="U2001" i="3"/>
  <c r="U2002" i="3"/>
  <c r="U2003" i="3"/>
  <c r="U2004" i="3"/>
  <c r="U2005" i="3"/>
  <c r="U2006" i="3"/>
  <c r="U2007" i="3"/>
  <c r="U2008" i="3"/>
  <c r="U2009" i="3"/>
  <c r="U2010" i="3"/>
  <c r="U2011" i="3"/>
  <c r="U2012" i="3"/>
  <c r="U2013" i="3"/>
  <c r="U2014" i="3"/>
  <c r="U2015" i="3"/>
  <c r="U2016" i="3"/>
  <c r="U2017" i="3"/>
  <c r="U2018" i="3"/>
  <c r="U2019" i="3"/>
  <c r="U2020" i="3"/>
  <c r="U2021" i="3"/>
  <c r="U2022" i="3"/>
  <c r="U2023" i="3"/>
  <c r="U2024" i="3"/>
  <c r="U2025" i="3"/>
  <c r="U2026" i="3"/>
  <c r="U2027" i="3"/>
  <c r="U2028" i="3"/>
  <c r="U2029" i="3"/>
  <c r="U2030" i="3"/>
  <c r="U2031" i="3"/>
  <c r="U2032" i="3"/>
  <c r="U2033" i="3"/>
  <c r="U2034" i="3"/>
  <c r="U2035" i="3"/>
  <c r="U2036" i="3"/>
  <c r="U2037" i="3"/>
  <c r="U2038" i="3"/>
  <c r="U2039" i="3"/>
  <c r="U2040" i="3"/>
  <c r="U2041" i="3"/>
  <c r="U2042" i="3"/>
  <c r="U2043" i="3"/>
  <c r="U2044" i="3"/>
  <c r="U2045" i="3"/>
  <c r="U2046" i="3"/>
  <c r="U2047" i="3"/>
  <c r="U2048" i="3"/>
  <c r="U2049" i="3"/>
  <c r="U2050" i="3"/>
  <c r="U2051" i="3"/>
  <c r="U2052" i="3"/>
  <c r="U2053" i="3"/>
  <c r="U2054" i="3"/>
  <c r="U2055" i="3"/>
  <c r="U2056" i="3"/>
  <c r="U2057" i="3"/>
  <c r="U2058" i="3"/>
  <c r="U2059" i="3"/>
  <c r="U2060" i="3"/>
  <c r="U2061" i="3"/>
  <c r="U2062" i="3"/>
  <c r="U2063" i="3"/>
  <c r="U2064" i="3"/>
  <c r="U2065" i="3"/>
  <c r="U2066" i="3"/>
  <c r="U2067" i="3"/>
  <c r="U2068" i="3"/>
  <c r="U2069" i="3"/>
  <c r="U2070" i="3"/>
  <c r="U2071" i="3"/>
  <c r="U2072" i="3"/>
  <c r="U2073" i="3"/>
  <c r="U2074" i="3"/>
  <c r="U2075" i="3"/>
  <c r="U2076" i="3"/>
  <c r="U2077" i="3"/>
  <c r="U2078" i="3"/>
  <c r="U2079" i="3"/>
  <c r="U2080" i="3"/>
  <c r="U2081" i="3"/>
  <c r="U2082" i="3"/>
  <c r="U2083" i="3"/>
  <c r="U2084" i="3"/>
  <c r="U2085" i="3"/>
  <c r="U2086" i="3"/>
  <c r="U2087" i="3"/>
  <c r="U2088" i="3"/>
  <c r="U2089" i="3"/>
  <c r="U2090" i="3"/>
  <c r="U2091" i="3"/>
  <c r="U2092" i="3"/>
  <c r="U2093" i="3"/>
  <c r="U2094" i="3"/>
  <c r="U2095" i="3"/>
  <c r="U2096" i="3"/>
  <c r="U2097" i="3"/>
  <c r="U2098" i="3"/>
  <c r="U2099" i="3"/>
  <c r="U2100" i="3"/>
  <c r="U2101" i="3"/>
  <c r="U2102" i="3"/>
  <c r="U2103" i="3"/>
  <c r="U2104" i="3"/>
  <c r="U2105" i="3"/>
  <c r="U2106" i="3"/>
  <c r="U2107" i="3"/>
  <c r="U2108" i="3"/>
  <c r="U2109" i="3"/>
  <c r="U2110" i="3"/>
  <c r="U2111" i="3"/>
  <c r="U2112" i="3"/>
  <c r="U2113" i="3"/>
  <c r="U2114" i="3"/>
  <c r="U2115" i="3"/>
  <c r="U2116" i="3"/>
  <c r="U2117" i="3"/>
  <c r="U2118" i="3"/>
  <c r="U2119" i="3"/>
  <c r="U2120" i="3"/>
  <c r="U2121" i="3"/>
  <c r="U2122" i="3"/>
  <c r="U2123" i="3"/>
  <c r="U2124" i="3"/>
  <c r="U2125" i="3"/>
  <c r="U2126" i="3"/>
  <c r="U2127" i="3"/>
  <c r="U2128" i="3"/>
  <c r="U2129" i="3"/>
  <c r="U2130" i="3"/>
  <c r="U2131" i="3"/>
  <c r="U2132" i="3"/>
  <c r="U2133" i="3"/>
  <c r="U2134" i="3"/>
  <c r="U2135" i="3"/>
  <c r="U2136" i="3"/>
  <c r="U2137" i="3"/>
  <c r="U2138" i="3"/>
  <c r="U2139" i="3"/>
  <c r="U2140" i="3"/>
  <c r="U2141" i="3"/>
  <c r="U2142" i="3"/>
  <c r="U2143" i="3"/>
  <c r="U2144" i="3"/>
  <c r="U2145" i="3"/>
  <c r="U2146" i="3"/>
  <c r="U2147" i="3"/>
  <c r="U2148" i="3"/>
  <c r="U2149" i="3"/>
  <c r="U2150" i="3"/>
  <c r="U2151" i="3"/>
  <c r="U2152" i="3"/>
  <c r="U2153" i="3"/>
  <c r="U2154" i="3"/>
  <c r="U2155" i="3"/>
  <c r="U2156" i="3"/>
  <c r="U2157" i="3"/>
  <c r="U2158" i="3"/>
  <c r="U2159" i="3"/>
  <c r="U2160" i="3"/>
  <c r="U2161" i="3"/>
  <c r="U2162" i="3"/>
  <c r="U2163" i="3"/>
  <c r="U2164" i="3"/>
  <c r="U2165" i="3"/>
  <c r="U2166" i="3"/>
  <c r="U2167" i="3"/>
  <c r="U2168" i="3"/>
  <c r="U2169" i="3"/>
  <c r="U2170" i="3"/>
  <c r="U2171" i="3"/>
  <c r="U2172" i="3"/>
  <c r="U2173" i="3"/>
  <c r="U2174" i="3"/>
  <c r="U2175" i="3"/>
  <c r="U2176" i="3"/>
  <c r="U2177" i="3"/>
  <c r="U2178" i="3"/>
  <c r="U2179" i="3"/>
  <c r="U2180" i="3"/>
  <c r="U2181" i="3"/>
  <c r="U2182" i="3"/>
  <c r="U2183" i="3"/>
  <c r="U2184" i="3"/>
  <c r="U2185" i="3"/>
  <c r="U2186" i="3"/>
  <c r="U2187" i="3"/>
  <c r="U2188" i="3"/>
  <c r="U2189" i="3"/>
  <c r="U2190" i="3"/>
  <c r="U2191" i="3"/>
  <c r="U2192" i="3"/>
  <c r="U2193" i="3"/>
  <c r="U2194" i="3"/>
  <c r="U2195" i="3"/>
  <c r="U2196" i="3"/>
  <c r="U2197" i="3"/>
  <c r="U2198" i="3"/>
  <c r="U2199" i="3"/>
  <c r="U2200" i="3"/>
  <c r="U2201" i="3"/>
  <c r="U2202" i="3"/>
  <c r="U2203" i="3"/>
  <c r="U2204" i="3"/>
  <c r="U2205" i="3"/>
  <c r="U2206" i="3"/>
  <c r="U2207" i="3"/>
  <c r="U2208" i="3"/>
  <c r="U2209" i="3"/>
  <c r="U2210" i="3"/>
  <c r="U2211" i="3"/>
  <c r="U2212" i="3"/>
  <c r="U2213" i="3"/>
  <c r="U2214" i="3"/>
  <c r="U2215" i="3"/>
  <c r="U2216" i="3"/>
  <c r="U2217" i="3"/>
  <c r="U2218" i="3"/>
  <c r="U2219" i="3"/>
  <c r="U2220" i="3"/>
  <c r="U2221" i="3"/>
  <c r="U2222" i="3"/>
  <c r="U2223" i="3"/>
  <c r="U2224" i="3"/>
  <c r="U2225" i="3"/>
  <c r="U2226" i="3"/>
  <c r="U2227" i="3"/>
  <c r="U2228" i="3"/>
  <c r="U2229" i="3"/>
  <c r="U2230" i="3"/>
  <c r="U2231" i="3"/>
  <c r="U2232" i="3"/>
  <c r="U2233" i="3"/>
  <c r="U2234" i="3"/>
  <c r="U2235" i="3"/>
  <c r="U2236" i="3"/>
  <c r="U2237" i="3"/>
  <c r="U2238" i="3"/>
  <c r="U2239" i="3"/>
  <c r="U2240" i="3"/>
  <c r="U2241" i="3"/>
  <c r="U2242" i="3"/>
  <c r="U2243" i="3"/>
  <c r="U2244" i="3"/>
  <c r="U2245" i="3"/>
  <c r="U2246" i="3"/>
  <c r="U2247" i="3"/>
  <c r="U2248" i="3"/>
  <c r="U2249" i="3"/>
  <c r="U2250" i="3"/>
  <c r="U2251" i="3"/>
  <c r="U2252" i="3"/>
  <c r="U2253" i="3"/>
  <c r="U2254" i="3"/>
  <c r="U2255" i="3"/>
  <c r="U2256" i="3"/>
  <c r="U2257" i="3"/>
  <c r="U2258" i="3"/>
  <c r="U2259" i="3"/>
  <c r="U2260" i="3"/>
  <c r="U2261" i="3"/>
  <c r="U2262" i="3"/>
  <c r="U2263" i="3"/>
  <c r="U2264" i="3"/>
  <c r="U2265" i="3"/>
  <c r="U2266" i="3"/>
  <c r="U2267" i="3"/>
  <c r="U2268" i="3"/>
  <c r="U2269" i="3"/>
  <c r="U2270" i="3"/>
  <c r="U2271" i="3"/>
  <c r="U2272" i="3"/>
  <c r="U2273" i="3"/>
  <c r="U2274" i="3"/>
  <c r="U2275" i="3"/>
  <c r="U2276" i="3"/>
  <c r="U2277" i="3"/>
  <c r="U2278" i="3"/>
  <c r="U2279" i="3"/>
  <c r="U2280" i="3"/>
  <c r="U2281" i="3"/>
  <c r="U2282" i="3"/>
  <c r="U2283" i="3"/>
  <c r="U2284" i="3"/>
  <c r="U2285" i="3"/>
  <c r="U2286" i="3"/>
  <c r="U2287" i="3"/>
  <c r="U2288" i="3"/>
  <c r="U2289" i="3"/>
  <c r="U2290" i="3"/>
  <c r="U2291" i="3"/>
  <c r="U2292" i="3"/>
  <c r="U2293" i="3"/>
  <c r="U2294" i="3"/>
  <c r="U2295" i="3"/>
  <c r="U2296" i="3"/>
  <c r="U2297" i="3"/>
  <c r="U2298" i="3"/>
  <c r="U2299" i="3"/>
  <c r="U2300" i="3"/>
  <c r="U2301" i="3"/>
  <c r="U2302" i="3"/>
  <c r="U2303" i="3"/>
  <c r="U2304" i="3"/>
  <c r="U2305" i="3"/>
  <c r="U2306" i="3"/>
  <c r="U2307" i="3"/>
  <c r="U2308" i="3"/>
  <c r="U2309" i="3"/>
  <c r="U2310" i="3"/>
  <c r="U2311" i="3"/>
  <c r="U2312" i="3"/>
  <c r="U2313" i="3"/>
  <c r="U2314" i="3"/>
  <c r="U2315" i="3"/>
  <c r="U2316" i="3"/>
  <c r="U2317" i="3"/>
  <c r="U2318" i="3"/>
  <c r="U2319" i="3"/>
  <c r="U2320" i="3"/>
  <c r="U2321" i="3"/>
  <c r="U2322" i="3"/>
  <c r="U2323" i="3"/>
  <c r="U2324" i="3"/>
  <c r="U2325" i="3"/>
  <c r="U2326" i="3"/>
  <c r="U2327" i="3"/>
  <c r="U2328" i="3"/>
  <c r="U2329" i="3"/>
  <c r="U2330" i="3"/>
  <c r="U2331" i="3"/>
  <c r="U2332" i="3"/>
  <c r="U2333" i="3"/>
  <c r="U2334" i="3"/>
  <c r="U2335" i="3"/>
  <c r="U2336" i="3"/>
  <c r="U2337" i="3"/>
  <c r="U2338" i="3"/>
  <c r="U2339" i="3"/>
  <c r="U2340" i="3"/>
  <c r="U2341" i="3"/>
  <c r="U2342" i="3"/>
  <c r="U2343" i="3"/>
  <c r="U2344" i="3"/>
  <c r="U2345" i="3"/>
  <c r="U2346" i="3"/>
  <c r="U2347" i="3"/>
  <c r="U2348" i="3"/>
  <c r="U2349" i="3"/>
  <c r="U2350" i="3"/>
  <c r="U2351" i="3"/>
  <c r="U2352" i="3"/>
  <c r="U2353" i="3"/>
  <c r="U2354" i="3"/>
  <c r="U2355" i="3"/>
  <c r="U2356" i="3"/>
  <c r="U2357" i="3"/>
  <c r="U2358" i="3"/>
  <c r="U2359" i="3"/>
  <c r="U2360" i="3"/>
  <c r="U2361" i="3"/>
  <c r="U2362" i="3"/>
  <c r="U2363" i="3"/>
  <c r="U2364" i="3"/>
  <c r="U2365" i="3"/>
  <c r="U2366" i="3"/>
  <c r="U2367" i="3"/>
  <c r="U2368" i="3"/>
  <c r="U2369" i="3"/>
  <c r="U2370" i="3"/>
  <c r="U2371" i="3"/>
  <c r="U2372" i="3"/>
  <c r="U2373" i="3"/>
  <c r="U2374" i="3"/>
  <c r="U2375" i="3"/>
  <c r="U2376" i="3"/>
  <c r="U2377" i="3"/>
  <c r="U2378" i="3"/>
  <c r="U2379" i="3"/>
  <c r="U2380" i="3"/>
  <c r="U2381" i="3"/>
  <c r="U2382" i="3"/>
  <c r="U2383" i="3"/>
  <c r="U2384" i="3"/>
  <c r="U2385" i="3"/>
  <c r="U2386" i="3"/>
  <c r="U2387" i="3"/>
  <c r="U2388" i="3"/>
  <c r="U2389" i="3"/>
  <c r="U2390" i="3"/>
  <c r="U2391" i="3"/>
  <c r="U2392" i="3"/>
  <c r="U2393" i="3"/>
  <c r="U2394" i="3"/>
  <c r="U2395" i="3"/>
  <c r="U2396" i="3"/>
  <c r="U2397" i="3"/>
  <c r="U2398" i="3"/>
  <c r="U2399" i="3"/>
  <c r="U2400" i="3"/>
  <c r="U2401" i="3"/>
  <c r="U2402" i="3"/>
  <c r="U2403" i="3"/>
  <c r="U2404" i="3"/>
  <c r="U2405" i="3"/>
  <c r="U2406" i="3"/>
  <c r="U2407" i="3"/>
  <c r="U2408" i="3"/>
  <c r="U2409" i="3"/>
  <c r="U2410" i="3"/>
  <c r="U2411" i="3"/>
  <c r="U2412" i="3"/>
  <c r="U2413" i="3"/>
  <c r="U2414" i="3"/>
  <c r="U2415" i="3"/>
  <c r="U2416" i="3"/>
  <c r="U2417" i="3"/>
  <c r="U2418" i="3"/>
  <c r="U2419" i="3"/>
  <c r="U2420" i="3"/>
  <c r="U2421" i="3"/>
  <c r="U2422" i="3"/>
  <c r="U2423" i="3"/>
  <c r="U2424" i="3"/>
  <c r="U2425" i="3"/>
  <c r="U2426" i="3"/>
  <c r="U2427" i="3"/>
  <c r="U2428" i="3"/>
  <c r="U2429" i="3"/>
  <c r="U2430" i="3"/>
  <c r="U2431" i="3"/>
  <c r="U2432" i="3"/>
  <c r="U2433" i="3"/>
  <c r="U2434" i="3"/>
  <c r="U2435" i="3"/>
  <c r="U2436" i="3"/>
  <c r="U2437" i="3"/>
  <c r="U2438" i="3"/>
  <c r="U2439" i="3"/>
  <c r="U2440" i="3"/>
  <c r="U2441" i="3"/>
  <c r="U2442" i="3"/>
  <c r="U2443" i="3"/>
  <c r="U2444" i="3"/>
  <c r="U2445" i="3"/>
  <c r="U2446" i="3"/>
  <c r="U2447" i="3"/>
  <c r="U2448" i="3"/>
  <c r="U2449" i="3"/>
  <c r="U2450" i="3"/>
  <c r="U2451" i="3"/>
  <c r="U2452" i="3"/>
  <c r="U2453" i="3"/>
  <c r="U2454" i="3"/>
  <c r="U2455" i="3"/>
  <c r="U2456" i="3"/>
  <c r="U2457" i="3"/>
  <c r="U2458" i="3"/>
  <c r="U2459" i="3"/>
  <c r="U2460" i="3"/>
  <c r="U2461" i="3"/>
  <c r="U2462" i="3"/>
  <c r="U2463" i="3"/>
  <c r="U2464" i="3"/>
  <c r="U2465" i="3"/>
  <c r="U2466" i="3"/>
  <c r="U2467" i="3"/>
  <c r="U2468" i="3"/>
  <c r="U2469" i="3"/>
  <c r="U2470" i="3"/>
  <c r="U2471" i="3"/>
  <c r="U2472" i="3"/>
  <c r="U2473" i="3"/>
  <c r="U2474" i="3"/>
  <c r="U2475" i="3"/>
  <c r="U2476" i="3"/>
  <c r="U2477" i="3"/>
  <c r="U2478" i="3"/>
  <c r="U2479" i="3"/>
  <c r="U2480" i="3"/>
  <c r="U2481" i="3"/>
  <c r="U2482" i="3"/>
  <c r="U2483" i="3"/>
  <c r="U2484" i="3"/>
  <c r="U2485" i="3"/>
  <c r="U2486" i="3"/>
  <c r="U2487" i="3"/>
  <c r="U2488" i="3"/>
  <c r="U2489" i="3"/>
  <c r="U2490" i="3"/>
  <c r="U2491" i="3"/>
  <c r="U2492" i="3"/>
  <c r="U2493" i="3"/>
  <c r="U2494" i="3"/>
  <c r="U2495" i="3"/>
  <c r="U2496" i="3"/>
  <c r="U2497" i="3"/>
  <c r="U2498" i="3"/>
  <c r="U2499" i="3"/>
  <c r="U2500" i="3"/>
  <c r="U2501" i="3"/>
  <c r="U2502" i="3"/>
  <c r="U2503" i="3"/>
  <c r="U2504" i="3"/>
  <c r="U2505" i="3"/>
  <c r="U2506" i="3"/>
  <c r="U2507" i="3"/>
  <c r="U2508" i="3"/>
  <c r="U2509" i="3"/>
  <c r="U2510" i="3"/>
  <c r="U2511" i="3"/>
  <c r="U2512" i="3"/>
  <c r="U2513" i="3"/>
  <c r="U2514" i="3"/>
  <c r="U2515" i="3"/>
  <c r="U2516" i="3"/>
  <c r="U2517" i="3"/>
  <c r="U2518" i="3"/>
  <c r="U2519" i="3"/>
  <c r="U2520" i="3"/>
  <c r="U2521" i="3"/>
  <c r="U2522" i="3"/>
  <c r="U2523" i="3"/>
  <c r="U2524" i="3"/>
  <c r="U2525" i="3"/>
  <c r="U2526" i="3"/>
  <c r="U2527" i="3"/>
  <c r="U2528" i="3"/>
  <c r="U2529" i="3"/>
  <c r="U2530" i="3"/>
  <c r="U2531" i="3"/>
  <c r="U2532" i="3"/>
  <c r="U2533" i="3"/>
  <c r="U2534" i="3"/>
  <c r="U2535" i="3"/>
  <c r="U2536" i="3"/>
  <c r="U2537" i="3"/>
  <c r="U2538" i="3"/>
  <c r="U2539" i="3"/>
  <c r="U2540" i="3"/>
  <c r="U2541" i="3"/>
  <c r="U2542" i="3"/>
  <c r="U2543" i="3"/>
  <c r="U2544" i="3"/>
  <c r="U2545" i="3"/>
  <c r="U2546" i="3"/>
  <c r="U2547" i="3"/>
  <c r="U2548" i="3"/>
  <c r="U2549" i="3"/>
  <c r="U2550" i="3"/>
  <c r="U2551" i="3"/>
  <c r="U2552" i="3"/>
  <c r="U2553" i="3"/>
  <c r="U2554" i="3"/>
  <c r="U2555" i="3"/>
  <c r="U2556" i="3"/>
  <c r="U2557" i="3"/>
  <c r="U2558" i="3"/>
  <c r="U2559" i="3"/>
  <c r="U2560" i="3"/>
  <c r="U2561" i="3"/>
  <c r="U2562" i="3"/>
  <c r="U2563" i="3"/>
  <c r="U2564" i="3"/>
  <c r="U2565" i="3"/>
  <c r="U2566" i="3"/>
  <c r="U2567" i="3"/>
  <c r="U2568" i="3"/>
  <c r="U2569" i="3"/>
  <c r="U2570" i="3"/>
  <c r="U2571" i="3"/>
  <c r="U2572" i="3"/>
  <c r="U2573" i="3"/>
  <c r="U2574" i="3"/>
  <c r="U2575" i="3"/>
  <c r="U1233" i="3"/>
  <c r="I1234" i="3"/>
  <c r="I1235" i="3"/>
  <c r="I1236" i="3"/>
  <c r="I1237" i="3"/>
  <c r="I1238" i="3"/>
  <c r="I1239" i="3"/>
  <c r="I1240" i="3"/>
  <c r="I1241" i="3"/>
  <c r="I1242" i="3"/>
  <c r="I1243" i="3"/>
  <c r="I1244" i="3"/>
  <c r="I1245" i="3"/>
  <c r="I1246" i="3"/>
  <c r="I1247" i="3"/>
  <c r="I1248" i="3"/>
  <c r="I1249" i="3"/>
  <c r="I1250" i="3"/>
  <c r="I1251" i="3"/>
  <c r="I1252" i="3"/>
  <c r="I1253" i="3"/>
  <c r="I1254" i="3"/>
  <c r="I1255" i="3"/>
  <c r="I1256" i="3"/>
  <c r="I1257" i="3"/>
  <c r="I1258" i="3"/>
  <c r="I1259" i="3"/>
  <c r="I1260" i="3"/>
  <c r="I1261" i="3"/>
  <c r="I1262" i="3"/>
  <c r="I1263" i="3"/>
  <c r="I1264" i="3"/>
  <c r="I1265" i="3"/>
  <c r="I1266" i="3"/>
  <c r="I1267" i="3"/>
  <c r="I1268" i="3"/>
  <c r="I1269" i="3"/>
  <c r="I1270" i="3"/>
  <c r="I1271" i="3"/>
  <c r="I1272" i="3"/>
  <c r="I1273" i="3"/>
  <c r="I1274" i="3"/>
  <c r="I1275" i="3"/>
  <c r="I1276" i="3"/>
  <c r="I1277" i="3"/>
  <c r="I1278" i="3"/>
  <c r="I1279" i="3"/>
  <c r="I1280" i="3"/>
  <c r="I1281" i="3"/>
  <c r="I1282" i="3"/>
  <c r="I1283" i="3"/>
  <c r="I1284" i="3"/>
  <c r="I1285" i="3"/>
  <c r="I1286" i="3"/>
  <c r="I1287" i="3"/>
  <c r="I1288" i="3"/>
  <c r="I1289" i="3"/>
  <c r="I1290" i="3"/>
  <c r="I1291" i="3"/>
  <c r="I1292" i="3"/>
  <c r="I1293" i="3"/>
  <c r="I1294" i="3"/>
  <c r="I1295" i="3"/>
  <c r="I1296" i="3"/>
  <c r="I1297" i="3"/>
  <c r="I1298" i="3"/>
  <c r="I1299" i="3"/>
  <c r="I1300" i="3"/>
  <c r="I1301" i="3"/>
  <c r="I1302" i="3"/>
  <c r="I1303" i="3"/>
  <c r="I1304" i="3"/>
  <c r="I1305" i="3"/>
  <c r="I1306" i="3"/>
  <c r="I1307" i="3"/>
  <c r="I1308" i="3"/>
  <c r="I1309" i="3"/>
  <c r="I1310" i="3"/>
  <c r="I1311" i="3"/>
  <c r="I1312" i="3"/>
  <c r="I1313" i="3"/>
  <c r="I1314" i="3"/>
  <c r="I1315" i="3"/>
  <c r="I1316" i="3"/>
  <c r="I1317" i="3"/>
  <c r="I1318" i="3"/>
  <c r="I1319" i="3"/>
  <c r="I1320" i="3"/>
  <c r="I1321" i="3"/>
  <c r="I1322" i="3"/>
  <c r="I1323" i="3"/>
  <c r="I1324" i="3"/>
  <c r="I1325" i="3"/>
  <c r="I1326" i="3"/>
  <c r="I1327" i="3"/>
  <c r="I1328" i="3"/>
  <c r="I1329" i="3"/>
  <c r="I1330" i="3"/>
  <c r="I1331" i="3"/>
  <c r="I1332" i="3"/>
  <c r="I1333" i="3"/>
  <c r="I1334" i="3"/>
  <c r="I1335" i="3"/>
  <c r="I1336" i="3"/>
  <c r="I1337" i="3"/>
  <c r="I1338" i="3"/>
  <c r="I1339" i="3"/>
  <c r="I1340" i="3"/>
  <c r="I1341" i="3"/>
  <c r="I1342" i="3"/>
  <c r="I1343" i="3"/>
  <c r="I1344" i="3"/>
  <c r="I1345" i="3"/>
  <c r="I1346" i="3"/>
  <c r="I1347" i="3"/>
  <c r="I1348" i="3"/>
  <c r="I1349" i="3"/>
  <c r="I1350" i="3"/>
  <c r="I1351" i="3"/>
  <c r="I1352" i="3"/>
  <c r="I1353" i="3"/>
  <c r="I1354" i="3"/>
  <c r="I1355" i="3"/>
  <c r="I1356" i="3"/>
  <c r="I1357" i="3"/>
  <c r="I1358" i="3"/>
  <c r="I1359" i="3"/>
  <c r="I1360" i="3"/>
  <c r="I1361" i="3"/>
  <c r="I1362" i="3"/>
  <c r="I1363" i="3"/>
  <c r="I1364" i="3"/>
  <c r="I1365" i="3"/>
  <c r="I1366" i="3"/>
  <c r="I1367" i="3"/>
  <c r="I1368" i="3"/>
  <c r="I1369" i="3"/>
  <c r="I1370" i="3"/>
  <c r="I1371" i="3"/>
  <c r="I1372" i="3"/>
  <c r="I1373" i="3"/>
  <c r="I1374" i="3"/>
  <c r="I1375" i="3"/>
  <c r="I1376" i="3"/>
  <c r="I1377" i="3"/>
  <c r="I1378" i="3"/>
  <c r="I1379" i="3"/>
  <c r="I1380" i="3"/>
  <c r="I1381" i="3"/>
  <c r="I1382" i="3"/>
  <c r="I1383" i="3"/>
  <c r="I1384" i="3"/>
  <c r="I1385" i="3"/>
  <c r="I1386" i="3"/>
  <c r="I1387" i="3"/>
  <c r="I1388" i="3"/>
  <c r="I1389" i="3"/>
  <c r="I1390" i="3"/>
  <c r="I1391" i="3"/>
  <c r="I1392" i="3"/>
  <c r="I1393" i="3"/>
  <c r="I1394" i="3"/>
  <c r="I1395" i="3"/>
  <c r="I1396" i="3"/>
  <c r="I1397" i="3"/>
  <c r="I1398" i="3"/>
  <c r="I1399" i="3"/>
  <c r="I1400" i="3"/>
  <c r="I1401" i="3"/>
  <c r="I1402" i="3"/>
  <c r="I1403" i="3"/>
  <c r="I1404" i="3"/>
  <c r="I1405" i="3"/>
  <c r="I1406" i="3"/>
  <c r="I1407" i="3"/>
  <c r="I1408" i="3"/>
  <c r="I1409" i="3"/>
  <c r="I1410" i="3"/>
  <c r="I1411" i="3"/>
  <c r="I1412" i="3"/>
  <c r="I1413" i="3"/>
  <c r="I1414" i="3"/>
  <c r="I1415" i="3"/>
  <c r="I1416" i="3"/>
  <c r="I1417" i="3"/>
  <c r="I1418" i="3"/>
  <c r="I1419" i="3"/>
  <c r="I1420" i="3"/>
  <c r="I1421" i="3"/>
  <c r="I1422" i="3"/>
  <c r="I1423" i="3"/>
  <c r="I1424" i="3"/>
  <c r="I1425" i="3"/>
  <c r="I1426" i="3"/>
  <c r="I1427" i="3"/>
  <c r="I1428" i="3"/>
  <c r="I1429" i="3"/>
  <c r="I1430" i="3"/>
  <c r="I1431" i="3"/>
  <c r="I1432" i="3"/>
  <c r="I1433" i="3"/>
  <c r="I1434" i="3"/>
  <c r="I1435" i="3"/>
  <c r="I1436" i="3"/>
  <c r="I1437" i="3"/>
  <c r="I1438" i="3"/>
  <c r="I1439" i="3"/>
  <c r="I1440" i="3"/>
  <c r="I1441" i="3"/>
  <c r="I1442" i="3"/>
  <c r="I1443" i="3"/>
  <c r="I1444" i="3"/>
  <c r="I1445" i="3"/>
  <c r="I1446" i="3"/>
  <c r="I1447" i="3"/>
  <c r="I1448" i="3"/>
  <c r="I1449" i="3"/>
  <c r="I1450" i="3"/>
  <c r="I1451" i="3"/>
  <c r="I1452" i="3"/>
  <c r="I1453" i="3"/>
  <c r="I1454" i="3"/>
  <c r="I1455" i="3"/>
  <c r="I1456" i="3"/>
  <c r="I1457" i="3"/>
  <c r="I1458" i="3"/>
  <c r="I1459" i="3"/>
  <c r="I1460" i="3"/>
  <c r="I1461" i="3"/>
  <c r="I1462" i="3"/>
  <c r="I1463" i="3"/>
  <c r="I1464" i="3"/>
  <c r="I1465" i="3"/>
  <c r="I1466" i="3"/>
  <c r="I1467" i="3"/>
  <c r="I1468" i="3"/>
  <c r="I1469" i="3"/>
  <c r="I1470" i="3"/>
  <c r="I1471" i="3"/>
  <c r="I1472" i="3"/>
  <c r="I1473" i="3"/>
  <c r="I1474" i="3"/>
  <c r="I1475" i="3"/>
  <c r="I1476" i="3"/>
  <c r="I1477" i="3"/>
  <c r="I1478" i="3"/>
  <c r="I1479" i="3"/>
  <c r="I1480" i="3"/>
  <c r="I1481" i="3"/>
  <c r="I1482" i="3"/>
  <c r="I1483" i="3"/>
  <c r="I1484" i="3"/>
  <c r="I1485" i="3"/>
  <c r="I1486" i="3"/>
  <c r="I1487" i="3"/>
  <c r="I1488" i="3"/>
  <c r="I1489" i="3"/>
  <c r="I1490" i="3"/>
  <c r="I1491" i="3"/>
  <c r="I1492" i="3"/>
  <c r="I1493" i="3"/>
  <c r="I1494" i="3"/>
  <c r="I1495" i="3"/>
  <c r="I1496" i="3"/>
  <c r="I1497" i="3"/>
  <c r="I1498" i="3"/>
  <c r="I1499" i="3"/>
  <c r="I1500" i="3"/>
  <c r="I1501" i="3"/>
  <c r="I1502" i="3"/>
  <c r="I1503" i="3"/>
  <c r="I1504" i="3"/>
  <c r="I1505" i="3"/>
  <c r="I1506" i="3"/>
  <c r="I1507" i="3"/>
  <c r="I1508" i="3"/>
  <c r="I1509" i="3"/>
  <c r="I1510" i="3"/>
  <c r="I1511" i="3"/>
  <c r="I1512" i="3"/>
  <c r="I1513" i="3"/>
  <c r="I1514" i="3"/>
  <c r="I1515" i="3"/>
  <c r="I1516" i="3"/>
  <c r="I1517" i="3"/>
  <c r="I1518" i="3"/>
  <c r="I1519" i="3"/>
  <c r="I1520" i="3"/>
  <c r="I1521" i="3"/>
  <c r="I1522" i="3"/>
  <c r="I1523" i="3"/>
  <c r="I1524" i="3"/>
  <c r="I1525" i="3"/>
  <c r="I1526" i="3"/>
  <c r="I1527" i="3"/>
  <c r="I1528" i="3"/>
  <c r="I1529" i="3"/>
  <c r="I1530" i="3"/>
  <c r="I1531" i="3"/>
  <c r="I1532" i="3"/>
  <c r="I1533" i="3"/>
  <c r="I1534" i="3"/>
  <c r="I1535" i="3"/>
  <c r="I1536" i="3"/>
  <c r="I1537" i="3"/>
  <c r="I1538" i="3"/>
  <c r="I1539" i="3"/>
  <c r="I1540" i="3"/>
  <c r="I1541" i="3"/>
  <c r="I1542" i="3"/>
  <c r="I1543" i="3"/>
  <c r="I1544" i="3"/>
  <c r="I1545" i="3"/>
  <c r="I1546" i="3"/>
  <c r="I1547" i="3"/>
  <c r="I1548" i="3"/>
  <c r="I1549" i="3"/>
  <c r="I1550" i="3"/>
  <c r="I1551" i="3"/>
  <c r="I1552" i="3"/>
  <c r="I1553" i="3"/>
  <c r="I1554" i="3"/>
  <c r="I1555" i="3"/>
  <c r="I1556" i="3"/>
  <c r="I1557" i="3"/>
  <c r="I1558" i="3"/>
  <c r="I1559" i="3"/>
  <c r="I1560" i="3"/>
  <c r="I1561" i="3"/>
  <c r="I1562" i="3"/>
  <c r="I1563" i="3"/>
  <c r="I1564" i="3"/>
  <c r="I1565" i="3"/>
  <c r="I1566" i="3"/>
  <c r="I1567" i="3"/>
  <c r="I1568" i="3"/>
  <c r="I1569" i="3"/>
  <c r="I1570" i="3"/>
  <c r="I1571" i="3"/>
  <c r="I1572" i="3"/>
  <c r="I1573" i="3"/>
  <c r="I1574" i="3"/>
  <c r="I1575" i="3"/>
  <c r="I1576" i="3"/>
  <c r="I1577" i="3"/>
  <c r="I1578" i="3"/>
  <c r="I1579" i="3"/>
  <c r="I1580" i="3"/>
  <c r="I1581" i="3"/>
  <c r="I1582" i="3"/>
  <c r="I1583" i="3"/>
  <c r="I1584" i="3"/>
  <c r="I1585" i="3"/>
  <c r="I1586" i="3"/>
  <c r="I1587" i="3"/>
  <c r="I1588" i="3"/>
  <c r="I1589" i="3"/>
  <c r="I1590" i="3"/>
  <c r="I1591" i="3"/>
  <c r="I1592" i="3"/>
  <c r="I1593" i="3"/>
  <c r="I1594" i="3"/>
  <c r="I1595" i="3"/>
  <c r="I1596" i="3"/>
  <c r="I1597" i="3"/>
  <c r="I1598" i="3"/>
  <c r="I1599" i="3"/>
  <c r="I1600" i="3"/>
  <c r="I1601" i="3"/>
  <c r="I1602" i="3"/>
  <c r="I1603" i="3"/>
  <c r="I1604" i="3"/>
  <c r="I1605" i="3"/>
  <c r="I1606" i="3"/>
  <c r="I1607" i="3"/>
  <c r="I1608" i="3"/>
  <c r="I1609" i="3"/>
  <c r="I1610" i="3"/>
  <c r="I1611" i="3"/>
  <c r="I1612" i="3"/>
  <c r="I1613" i="3"/>
  <c r="I1614" i="3"/>
  <c r="I1615" i="3"/>
  <c r="I1616" i="3"/>
  <c r="I1617" i="3"/>
  <c r="I1618" i="3"/>
  <c r="I1619" i="3"/>
  <c r="I1620" i="3"/>
  <c r="I1621" i="3"/>
  <c r="I1622" i="3"/>
  <c r="I1623" i="3"/>
  <c r="I1624" i="3"/>
  <c r="I1625" i="3"/>
  <c r="I1626" i="3"/>
  <c r="I1627" i="3"/>
  <c r="I1628" i="3"/>
  <c r="I1629" i="3"/>
  <c r="I1630" i="3"/>
  <c r="I1631" i="3"/>
  <c r="I1632" i="3"/>
  <c r="I1633" i="3"/>
  <c r="I1634" i="3"/>
  <c r="I1635" i="3"/>
  <c r="I1636" i="3"/>
  <c r="I1637" i="3"/>
  <c r="I1638" i="3"/>
  <c r="I1639" i="3"/>
  <c r="I1640" i="3"/>
  <c r="I1641" i="3"/>
  <c r="I1642" i="3"/>
  <c r="I1643" i="3"/>
  <c r="I1644" i="3"/>
  <c r="I1645" i="3"/>
  <c r="I1646" i="3"/>
  <c r="I1647" i="3"/>
  <c r="I1648" i="3"/>
  <c r="I1649" i="3"/>
  <c r="I1650" i="3"/>
  <c r="I1651" i="3"/>
  <c r="I1652" i="3"/>
  <c r="I1653" i="3"/>
  <c r="I1654" i="3"/>
  <c r="I1655" i="3"/>
  <c r="I1656" i="3"/>
  <c r="I1657" i="3"/>
  <c r="I1658" i="3"/>
  <c r="I1659" i="3"/>
  <c r="I1660" i="3"/>
  <c r="I1661" i="3"/>
  <c r="I1662" i="3"/>
  <c r="I1663" i="3"/>
  <c r="I1664" i="3"/>
  <c r="I1665" i="3"/>
  <c r="I1666" i="3"/>
  <c r="I1667" i="3"/>
  <c r="I1668" i="3"/>
  <c r="I1669" i="3"/>
  <c r="I1670" i="3"/>
  <c r="I1671" i="3"/>
  <c r="I1672" i="3"/>
  <c r="I1673" i="3"/>
  <c r="I1674" i="3"/>
  <c r="I1675" i="3"/>
  <c r="I1676" i="3"/>
  <c r="I1677" i="3"/>
  <c r="I1678" i="3"/>
  <c r="I1679" i="3"/>
  <c r="I1680" i="3"/>
  <c r="I1681" i="3"/>
  <c r="I1682" i="3"/>
  <c r="I1683" i="3"/>
  <c r="I1684" i="3"/>
  <c r="I1685" i="3"/>
  <c r="I1686" i="3"/>
  <c r="I1687" i="3"/>
  <c r="I1688" i="3"/>
  <c r="I1689" i="3"/>
  <c r="I1690" i="3"/>
  <c r="I1691" i="3"/>
  <c r="I1692" i="3"/>
  <c r="I1693" i="3"/>
  <c r="I1694" i="3"/>
  <c r="I1695" i="3"/>
  <c r="I1696" i="3"/>
  <c r="I1697" i="3"/>
  <c r="I1698" i="3"/>
  <c r="I1699" i="3"/>
  <c r="I1700" i="3"/>
  <c r="I1701" i="3"/>
  <c r="I1702" i="3"/>
  <c r="I1703" i="3"/>
  <c r="I1704" i="3"/>
  <c r="I1705" i="3"/>
  <c r="I1706" i="3"/>
  <c r="I1707" i="3"/>
  <c r="I1708" i="3"/>
  <c r="I1709" i="3"/>
  <c r="I1710" i="3"/>
  <c r="I1711" i="3"/>
  <c r="I1712" i="3"/>
  <c r="I1713" i="3"/>
  <c r="I1714" i="3"/>
  <c r="I1715" i="3"/>
  <c r="I1716" i="3"/>
  <c r="I1717" i="3"/>
  <c r="I1718" i="3"/>
  <c r="I1719" i="3"/>
  <c r="I1720" i="3"/>
  <c r="I1721" i="3"/>
  <c r="I1722" i="3"/>
  <c r="I1723" i="3"/>
  <c r="I1724" i="3"/>
  <c r="I1725" i="3"/>
  <c r="I1726" i="3"/>
  <c r="I1727" i="3"/>
  <c r="I1728" i="3"/>
  <c r="I1729" i="3"/>
  <c r="I1730" i="3"/>
  <c r="I1731" i="3"/>
  <c r="I1732" i="3"/>
  <c r="I1733" i="3"/>
  <c r="I1734" i="3"/>
  <c r="I1735" i="3"/>
  <c r="I1736" i="3"/>
  <c r="I1737" i="3"/>
  <c r="I1738" i="3"/>
  <c r="I1739" i="3"/>
  <c r="I1740" i="3"/>
  <c r="I1741" i="3"/>
  <c r="I1742" i="3"/>
  <c r="I1743" i="3"/>
  <c r="I1744" i="3"/>
  <c r="I1745" i="3"/>
  <c r="I1746" i="3"/>
  <c r="I1747" i="3"/>
  <c r="I1748" i="3"/>
  <c r="I1749" i="3"/>
  <c r="I1750" i="3"/>
  <c r="I1751" i="3"/>
  <c r="I1752" i="3"/>
  <c r="I1753" i="3"/>
  <c r="I1754" i="3"/>
  <c r="I1755" i="3"/>
  <c r="I1756" i="3"/>
  <c r="I1757" i="3"/>
  <c r="I1758" i="3"/>
  <c r="I1759" i="3"/>
  <c r="I1760" i="3"/>
  <c r="I1761" i="3"/>
  <c r="I1762" i="3"/>
  <c r="I1763" i="3"/>
  <c r="I1764" i="3"/>
  <c r="I1765" i="3"/>
  <c r="I1766" i="3"/>
  <c r="I1767" i="3"/>
  <c r="I1768" i="3"/>
  <c r="I1769" i="3"/>
  <c r="I1770" i="3"/>
  <c r="I1771" i="3"/>
  <c r="I1772" i="3"/>
  <c r="I1773" i="3"/>
  <c r="I1774" i="3"/>
  <c r="I1775" i="3"/>
  <c r="I1776" i="3"/>
  <c r="I1777" i="3"/>
  <c r="I1778" i="3"/>
  <c r="I1779" i="3"/>
  <c r="I1780" i="3"/>
  <c r="I1781" i="3"/>
  <c r="I1782" i="3"/>
  <c r="I1783" i="3"/>
  <c r="I1784" i="3"/>
  <c r="I1785" i="3"/>
  <c r="I1786" i="3"/>
  <c r="I1787" i="3"/>
  <c r="I1788" i="3"/>
  <c r="I1789" i="3"/>
  <c r="I1790" i="3"/>
  <c r="I1791" i="3"/>
  <c r="I1792" i="3"/>
  <c r="I1793" i="3"/>
  <c r="I1794" i="3"/>
  <c r="I1795" i="3"/>
  <c r="I1796" i="3"/>
  <c r="I1797" i="3"/>
  <c r="I1798" i="3"/>
  <c r="I1799" i="3"/>
  <c r="I1800" i="3"/>
  <c r="I1801" i="3"/>
  <c r="I1802" i="3"/>
  <c r="I1803" i="3"/>
  <c r="I1804" i="3"/>
  <c r="I1805" i="3"/>
  <c r="I1806" i="3"/>
  <c r="I1807" i="3"/>
  <c r="I1808" i="3"/>
  <c r="I1809" i="3"/>
  <c r="I1810" i="3"/>
  <c r="I1811" i="3"/>
  <c r="I1812" i="3"/>
  <c r="I1813" i="3"/>
  <c r="I1814" i="3"/>
  <c r="I1815" i="3"/>
  <c r="I1816" i="3"/>
  <c r="I1817" i="3"/>
  <c r="I1818" i="3"/>
  <c r="I1819" i="3"/>
  <c r="I1820" i="3"/>
  <c r="I1821" i="3"/>
  <c r="I1822" i="3"/>
  <c r="I1823" i="3"/>
  <c r="I1824" i="3"/>
  <c r="I1825" i="3"/>
  <c r="I1826" i="3"/>
  <c r="I1827" i="3"/>
  <c r="I1828" i="3"/>
  <c r="I1829" i="3"/>
  <c r="I1830" i="3"/>
  <c r="I1831" i="3"/>
  <c r="I1832" i="3"/>
  <c r="I1833" i="3"/>
  <c r="I1834" i="3"/>
  <c r="I1835" i="3"/>
  <c r="I1836" i="3"/>
  <c r="I1837" i="3"/>
  <c r="I1838" i="3"/>
  <c r="I1839" i="3"/>
  <c r="I1840" i="3"/>
  <c r="I1841" i="3"/>
  <c r="I1842" i="3"/>
  <c r="I1843" i="3"/>
  <c r="I1844" i="3"/>
  <c r="I1845" i="3"/>
  <c r="I1846" i="3"/>
  <c r="I1847" i="3"/>
  <c r="I1848" i="3"/>
  <c r="I1849" i="3"/>
  <c r="I1850" i="3"/>
  <c r="I1851" i="3"/>
  <c r="I1852" i="3"/>
  <c r="I1853" i="3"/>
  <c r="I1854" i="3"/>
  <c r="I1855" i="3"/>
  <c r="I1856" i="3"/>
  <c r="I1857" i="3"/>
  <c r="I1858" i="3"/>
  <c r="I1859" i="3"/>
  <c r="I1860" i="3"/>
  <c r="I1861" i="3"/>
  <c r="I1862" i="3"/>
  <c r="I1863" i="3"/>
  <c r="I1864" i="3"/>
  <c r="I1865" i="3"/>
  <c r="I1866" i="3"/>
  <c r="I1867" i="3"/>
  <c r="I1868" i="3"/>
  <c r="I1869" i="3"/>
  <c r="I1870" i="3"/>
  <c r="I1871" i="3"/>
  <c r="I1872" i="3"/>
  <c r="I1873" i="3"/>
  <c r="I1874" i="3"/>
  <c r="I1875" i="3"/>
  <c r="I1876" i="3"/>
  <c r="I1877" i="3"/>
  <c r="I1878" i="3"/>
  <c r="I1879" i="3"/>
  <c r="I1880" i="3"/>
  <c r="I1881" i="3"/>
  <c r="I1882" i="3"/>
  <c r="I1883" i="3"/>
  <c r="I1884" i="3"/>
  <c r="I1885" i="3"/>
  <c r="I1886" i="3"/>
  <c r="I1887" i="3"/>
  <c r="I1888" i="3"/>
  <c r="I1889" i="3"/>
  <c r="I1890" i="3"/>
  <c r="I1891" i="3"/>
  <c r="I1892" i="3"/>
  <c r="I1893" i="3"/>
  <c r="I1894" i="3"/>
  <c r="I1895" i="3"/>
  <c r="I1896" i="3"/>
  <c r="I1897" i="3"/>
  <c r="I1898" i="3"/>
  <c r="I1899" i="3"/>
  <c r="I1900" i="3"/>
  <c r="I1901" i="3"/>
  <c r="I1902" i="3"/>
  <c r="I1903" i="3"/>
  <c r="I1904" i="3"/>
  <c r="I1905" i="3"/>
  <c r="I1906" i="3"/>
  <c r="I1907" i="3"/>
  <c r="I1908" i="3"/>
  <c r="I1909" i="3"/>
  <c r="I1910" i="3"/>
  <c r="I1911" i="3"/>
  <c r="I1912" i="3"/>
  <c r="I1913" i="3"/>
  <c r="I1914" i="3"/>
  <c r="I1915" i="3"/>
  <c r="I1916" i="3"/>
  <c r="I1917" i="3"/>
  <c r="I1918" i="3"/>
  <c r="I1919" i="3"/>
  <c r="I1920" i="3"/>
  <c r="I1921" i="3"/>
  <c r="I1922" i="3"/>
  <c r="I1923" i="3"/>
  <c r="I1924" i="3"/>
  <c r="I1925" i="3"/>
  <c r="I1926" i="3"/>
  <c r="I1927" i="3"/>
  <c r="I1928" i="3"/>
  <c r="I1929" i="3"/>
  <c r="I1930" i="3"/>
  <c r="I1931" i="3"/>
  <c r="I1932" i="3"/>
  <c r="I1933" i="3"/>
  <c r="I1934" i="3"/>
  <c r="I1935" i="3"/>
  <c r="I1936" i="3"/>
  <c r="I1937" i="3"/>
  <c r="I1938" i="3"/>
  <c r="I1939" i="3"/>
  <c r="I1940" i="3"/>
  <c r="I1941" i="3"/>
  <c r="I1942" i="3"/>
  <c r="I1943" i="3"/>
  <c r="I1944" i="3"/>
  <c r="I1945" i="3"/>
  <c r="I1946" i="3"/>
  <c r="I1947" i="3"/>
  <c r="I1948" i="3"/>
  <c r="I1949" i="3"/>
  <c r="I1950" i="3"/>
  <c r="I1951" i="3"/>
  <c r="I1952" i="3"/>
  <c r="I1953" i="3"/>
  <c r="I1954" i="3"/>
  <c r="I1955" i="3"/>
  <c r="I1956" i="3"/>
  <c r="I1957" i="3"/>
  <c r="I1958" i="3"/>
  <c r="I1959" i="3"/>
  <c r="I1960" i="3"/>
  <c r="I1961" i="3"/>
  <c r="I1962" i="3"/>
  <c r="I1963" i="3"/>
  <c r="I1964" i="3"/>
  <c r="I1965" i="3"/>
  <c r="I1966" i="3"/>
  <c r="I1967" i="3"/>
  <c r="I1968" i="3"/>
  <c r="I1969" i="3"/>
  <c r="I1970" i="3"/>
  <c r="I1971" i="3"/>
  <c r="I1972" i="3"/>
  <c r="I1973" i="3"/>
  <c r="I1974" i="3"/>
  <c r="I1975" i="3"/>
  <c r="I1976" i="3"/>
  <c r="I1977" i="3"/>
  <c r="I1978" i="3"/>
  <c r="I1979" i="3"/>
  <c r="I1980" i="3"/>
  <c r="I1981" i="3"/>
  <c r="I1982" i="3"/>
  <c r="I1983" i="3"/>
  <c r="I1984" i="3"/>
  <c r="I1985" i="3"/>
  <c r="I1986" i="3"/>
  <c r="I1987" i="3"/>
  <c r="I1988" i="3"/>
  <c r="I1989" i="3"/>
  <c r="I1990" i="3"/>
  <c r="I1991" i="3"/>
  <c r="I1992" i="3"/>
  <c r="I1993" i="3"/>
  <c r="I1994" i="3"/>
  <c r="I1995" i="3"/>
  <c r="I1996" i="3"/>
  <c r="I1997" i="3"/>
  <c r="I1998" i="3"/>
  <c r="I1999" i="3"/>
  <c r="I2000" i="3"/>
  <c r="I2001" i="3"/>
  <c r="I2002" i="3"/>
  <c r="I2003" i="3"/>
  <c r="I2004" i="3"/>
  <c r="I2005" i="3"/>
  <c r="I2006" i="3"/>
  <c r="I2007" i="3"/>
  <c r="I2008" i="3"/>
  <c r="I2009" i="3"/>
  <c r="I2010" i="3"/>
  <c r="I2011" i="3"/>
  <c r="I2012" i="3"/>
  <c r="I2013" i="3"/>
  <c r="I2014" i="3"/>
  <c r="I2015" i="3"/>
  <c r="I2016" i="3"/>
  <c r="I2017" i="3"/>
  <c r="I2018" i="3"/>
  <c r="I2019" i="3"/>
  <c r="I2020" i="3"/>
  <c r="I2021" i="3"/>
  <c r="I2022" i="3"/>
  <c r="I2023" i="3"/>
  <c r="I2024" i="3"/>
  <c r="I2025" i="3"/>
  <c r="I2026" i="3"/>
  <c r="I2027" i="3"/>
  <c r="I2028" i="3"/>
  <c r="I2029" i="3"/>
  <c r="I2030" i="3"/>
  <c r="I2031" i="3"/>
  <c r="I2032" i="3"/>
  <c r="I2033" i="3"/>
  <c r="I2034" i="3"/>
  <c r="I2035" i="3"/>
  <c r="I2036" i="3"/>
  <c r="I2037" i="3"/>
  <c r="I2038" i="3"/>
  <c r="I2039" i="3"/>
  <c r="I2040" i="3"/>
  <c r="I2041" i="3"/>
  <c r="I2042" i="3"/>
  <c r="I2043" i="3"/>
  <c r="I2044" i="3"/>
  <c r="I2045" i="3"/>
  <c r="I2046" i="3"/>
  <c r="I2047" i="3"/>
  <c r="I2048" i="3"/>
  <c r="I2049" i="3"/>
  <c r="I2050" i="3"/>
  <c r="I2051" i="3"/>
  <c r="I2052" i="3"/>
  <c r="I2053" i="3"/>
  <c r="I2054" i="3"/>
  <c r="I2055" i="3"/>
  <c r="I2056" i="3"/>
  <c r="I2057" i="3"/>
  <c r="I2058" i="3"/>
  <c r="I2059" i="3"/>
  <c r="I2060" i="3"/>
  <c r="I2061" i="3"/>
  <c r="I2062" i="3"/>
  <c r="I2063" i="3"/>
  <c r="I2064" i="3"/>
  <c r="I2065" i="3"/>
  <c r="I2066" i="3"/>
  <c r="I2067" i="3"/>
  <c r="I2068" i="3"/>
  <c r="I2069" i="3"/>
  <c r="I2070" i="3"/>
  <c r="I2071" i="3"/>
  <c r="I2072" i="3"/>
  <c r="I2073" i="3"/>
  <c r="I2074" i="3"/>
  <c r="I2075" i="3"/>
  <c r="I2076" i="3"/>
  <c r="I2077" i="3"/>
  <c r="I2078" i="3"/>
  <c r="I2079" i="3"/>
  <c r="I2080" i="3"/>
  <c r="I2081" i="3"/>
  <c r="I2082" i="3"/>
  <c r="I2083" i="3"/>
  <c r="I2084" i="3"/>
  <c r="I2085" i="3"/>
  <c r="I2086" i="3"/>
  <c r="I2087" i="3"/>
  <c r="I2088" i="3"/>
  <c r="I2089" i="3"/>
  <c r="I2090" i="3"/>
  <c r="I2091" i="3"/>
  <c r="I2092" i="3"/>
  <c r="I2093" i="3"/>
  <c r="I2094" i="3"/>
  <c r="I2095" i="3"/>
  <c r="I2096" i="3"/>
  <c r="I2097" i="3"/>
  <c r="I2098" i="3"/>
  <c r="I2099" i="3"/>
  <c r="I2100" i="3"/>
  <c r="I2101" i="3"/>
  <c r="I2102" i="3"/>
  <c r="I2103" i="3"/>
  <c r="I2104" i="3"/>
  <c r="I2105" i="3"/>
  <c r="I2106" i="3"/>
  <c r="I2107" i="3"/>
  <c r="I2108" i="3"/>
  <c r="I2109" i="3"/>
  <c r="I2110" i="3"/>
  <c r="I2111" i="3"/>
  <c r="I2112" i="3"/>
  <c r="I2113" i="3"/>
  <c r="I2114" i="3"/>
  <c r="I2115" i="3"/>
  <c r="I2116" i="3"/>
  <c r="I2117" i="3"/>
  <c r="I2118" i="3"/>
  <c r="I2119" i="3"/>
  <c r="I2120" i="3"/>
  <c r="I2121" i="3"/>
  <c r="I2122" i="3"/>
  <c r="I2123" i="3"/>
  <c r="I2124" i="3"/>
  <c r="I2125" i="3"/>
  <c r="I2126" i="3"/>
  <c r="I2127" i="3"/>
  <c r="I2128" i="3"/>
  <c r="I2129" i="3"/>
  <c r="I2130" i="3"/>
  <c r="I2131" i="3"/>
  <c r="I2132" i="3"/>
  <c r="I2133" i="3"/>
  <c r="I2134" i="3"/>
  <c r="I2135" i="3"/>
  <c r="I2136" i="3"/>
  <c r="I2137" i="3"/>
  <c r="I2138" i="3"/>
  <c r="I2139" i="3"/>
  <c r="I2140" i="3"/>
  <c r="I2141" i="3"/>
  <c r="I2142" i="3"/>
  <c r="I2143" i="3"/>
  <c r="I2144" i="3"/>
  <c r="I2145" i="3"/>
  <c r="I2146" i="3"/>
  <c r="I2147" i="3"/>
  <c r="I2148" i="3"/>
  <c r="I2149" i="3"/>
  <c r="I2150" i="3"/>
  <c r="I2151" i="3"/>
  <c r="I2152" i="3"/>
  <c r="I2153" i="3"/>
  <c r="I2154" i="3"/>
  <c r="I2155" i="3"/>
  <c r="I2156" i="3"/>
  <c r="I2157" i="3"/>
  <c r="I2158" i="3"/>
  <c r="I2159" i="3"/>
  <c r="I2160" i="3"/>
  <c r="I2161" i="3"/>
  <c r="I2162" i="3"/>
  <c r="I2163" i="3"/>
  <c r="I2164" i="3"/>
  <c r="I2165" i="3"/>
  <c r="I2166" i="3"/>
  <c r="I2167" i="3"/>
  <c r="I2168" i="3"/>
  <c r="I2169" i="3"/>
  <c r="I2170" i="3"/>
  <c r="I2171" i="3"/>
  <c r="I2172" i="3"/>
  <c r="I2173" i="3"/>
  <c r="I2174" i="3"/>
  <c r="I2175" i="3"/>
  <c r="I2176" i="3"/>
  <c r="I2177" i="3"/>
  <c r="I2178" i="3"/>
  <c r="I2179" i="3"/>
  <c r="I2180" i="3"/>
  <c r="I2181" i="3"/>
  <c r="I2182" i="3"/>
  <c r="I2183" i="3"/>
  <c r="I2184" i="3"/>
  <c r="I2185" i="3"/>
  <c r="I2186" i="3"/>
  <c r="I2187" i="3"/>
  <c r="I2188" i="3"/>
  <c r="I2189" i="3"/>
  <c r="I2190" i="3"/>
  <c r="I2191" i="3"/>
  <c r="I2192" i="3"/>
  <c r="I2193" i="3"/>
  <c r="I2194" i="3"/>
  <c r="I2195" i="3"/>
  <c r="I2196" i="3"/>
  <c r="I2197" i="3"/>
  <c r="I2198" i="3"/>
  <c r="I2199" i="3"/>
  <c r="I2200" i="3"/>
  <c r="I2201" i="3"/>
  <c r="I2202" i="3"/>
  <c r="I2203" i="3"/>
  <c r="I2204" i="3"/>
  <c r="I2205" i="3"/>
  <c r="I2206" i="3"/>
  <c r="I2207" i="3"/>
  <c r="I2208" i="3"/>
  <c r="I2209" i="3"/>
  <c r="I2210" i="3"/>
  <c r="I2211" i="3"/>
  <c r="I2212" i="3"/>
  <c r="I2213" i="3"/>
  <c r="I2214" i="3"/>
  <c r="I2215" i="3"/>
  <c r="I2216" i="3"/>
  <c r="I2217" i="3"/>
  <c r="I2218" i="3"/>
  <c r="I2219" i="3"/>
  <c r="I2220" i="3"/>
  <c r="I2221" i="3"/>
  <c r="I2222" i="3"/>
  <c r="I2223" i="3"/>
  <c r="I2224" i="3"/>
  <c r="I2225" i="3"/>
  <c r="I2226" i="3"/>
  <c r="I2227" i="3"/>
  <c r="I2228" i="3"/>
  <c r="I2229" i="3"/>
  <c r="I2230" i="3"/>
  <c r="I2231" i="3"/>
  <c r="I2232" i="3"/>
  <c r="I2233" i="3"/>
  <c r="I2234" i="3"/>
  <c r="I2235" i="3"/>
  <c r="I2236" i="3"/>
  <c r="I2237" i="3"/>
  <c r="I2238" i="3"/>
  <c r="I2239" i="3"/>
  <c r="I2240" i="3"/>
  <c r="I2241" i="3"/>
  <c r="I2242" i="3"/>
  <c r="I2243" i="3"/>
  <c r="I2244" i="3"/>
  <c r="I2245" i="3"/>
  <c r="I2246" i="3"/>
  <c r="I2247" i="3"/>
  <c r="I2248" i="3"/>
  <c r="I2249" i="3"/>
  <c r="I2250" i="3"/>
  <c r="I2251" i="3"/>
  <c r="I2252" i="3"/>
  <c r="I2253" i="3"/>
  <c r="I2254" i="3"/>
  <c r="I2255" i="3"/>
  <c r="I2256" i="3"/>
  <c r="I2257" i="3"/>
  <c r="I2258" i="3"/>
  <c r="I2259" i="3"/>
  <c r="I2260" i="3"/>
  <c r="I2261" i="3"/>
  <c r="I2262" i="3"/>
  <c r="I2263" i="3"/>
  <c r="I2264" i="3"/>
  <c r="I2265" i="3"/>
  <c r="I2266" i="3"/>
  <c r="I2267" i="3"/>
  <c r="I2268" i="3"/>
  <c r="I2269" i="3"/>
  <c r="I2270" i="3"/>
  <c r="I2271" i="3"/>
  <c r="I2272" i="3"/>
  <c r="I2273" i="3"/>
  <c r="I2274" i="3"/>
  <c r="I2275" i="3"/>
  <c r="I2276" i="3"/>
  <c r="I2277" i="3"/>
  <c r="I2278" i="3"/>
  <c r="I2279" i="3"/>
  <c r="I2280" i="3"/>
  <c r="I2281" i="3"/>
  <c r="I2282" i="3"/>
  <c r="I2283" i="3"/>
  <c r="I2284" i="3"/>
  <c r="I2285" i="3"/>
  <c r="I2286" i="3"/>
  <c r="I2287" i="3"/>
  <c r="I2288" i="3"/>
  <c r="I2289" i="3"/>
  <c r="I2290" i="3"/>
  <c r="I2291" i="3"/>
  <c r="I2292" i="3"/>
  <c r="I2293" i="3"/>
  <c r="I2294" i="3"/>
  <c r="I2295" i="3"/>
  <c r="I2296" i="3"/>
  <c r="I2297" i="3"/>
  <c r="I2298" i="3"/>
  <c r="I2299" i="3"/>
  <c r="I2300" i="3"/>
  <c r="I2301" i="3"/>
  <c r="I2302" i="3"/>
  <c r="I2303" i="3"/>
  <c r="I2304" i="3"/>
  <c r="I2305" i="3"/>
  <c r="I2306" i="3"/>
  <c r="I2307" i="3"/>
  <c r="I2308" i="3"/>
  <c r="I2309" i="3"/>
  <c r="I2310" i="3"/>
  <c r="I2311" i="3"/>
  <c r="I2312" i="3"/>
  <c r="I2313" i="3"/>
  <c r="I2314" i="3"/>
  <c r="I2315" i="3"/>
  <c r="I2316" i="3"/>
  <c r="I2317" i="3"/>
  <c r="I2318" i="3"/>
  <c r="I2319" i="3"/>
  <c r="I2320" i="3"/>
  <c r="I2321" i="3"/>
  <c r="I2322" i="3"/>
  <c r="I2323" i="3"/>
  <c r="I2324" i="3"/>
  <c r="I2325" i="3"/>
  <c r="I2326" i="3"/>
  <c r="I2327" i="3"/>
  <c r="I2328" i="3"/>
  <c r="I2329" i="3"/>
  <c r="I2330" i="3"/>
  <c r="I2331" i="3"/>
  <c r="I2332" i="3"/>
  <c r="I2333" i="3"/>
  <c r="I2334" i="3"/>
  <c r="I2335" i="3"/>
  <c r="I2336" i="3"/>
  <c r="I2337" i="3"/>
  <c r="I2338" i="3"/>
  <c r="I2339" i="3"/>
  <c r="I2340" i="3"/>
  <c r="I2341" i="3"/>
  <c r="I2342" i="3"/>
  <c r="I2343" i="3"/>
  <c r="I2344" i="3"/>
  <c r="I2345" i="3"/>
  <c r="I2346" i="3"/>
  <c r="I2347" i="3"/>
  <c r="I2348" i="3"/>
  <c r="I2349" i="3"/>
  <c r="I2350" i="3"/>
  <c r="I2351" i="3"/>
  <c r="I2352" i="3"/>
  <c r="I2353" i="3"/>
  <c r="I2354" i="3"/>
  <c r="I2355" i="3"/>
  <c r="I2356" i="3"/>
  <c r="I2357" i="3"/>
  <c r="I2358" i="3"/>
  <c r="I2359" i="3"/>
  <c r="I2360" i="3"/>
  <c r="I2361" i="3"/>
  <c r="I2362" i="3"/>
  <c r="I2363" i="3"/>
  <c r="I2364" i="3"/>
  <c r="I2365" i="3"/>
  <c r="I2366" i="3"/>
  <c r="I2367" i="3"/>
  <c r="I2368" i="3"/>
  <c r="I2369" i="3"/>
  <c r="I2370" i="3"/>
  <c r="I2371" i="3"/>
  <c r="I2372" i="3"/>
  <c r="I2373" i="3"/>
  <c r="I2374" i="3"/>
  <c r="I2375" i="3"/>
  <c r="I2376" i="3"/>
  <c r="I2377" i="3"/>
  <c r="I2378" i="3"/>
  <c r="I2379" i="3"/>
  <c r="I2380" i="3"/>
  <c r="I2381" i="3"/>
  <c r="I2382" i="3"/>
  <c r="I2383" i="3"/>
  <c r="I2384" i="3"/>
  <c r="I2385" i="3"/>
  <c r="I2386" i="3"/>
  <c r="I2387" i="3"/>
  <c r="I2388" i="3"/>
  <c r="I2389" i="3"/>
  <c r="I2390" i="3"/>
  <c r="I2391" i="3"/>
  <c r="I2392" i="3"/>
  <c r="I2393" i="3"/>
  <c r="I2394" i="3"/>
  <c r="I2395" i="3"/>
  <c r="I2396" i="3"/>
  <c r="I2397" i="3"/>
  <c r="I2398" i="3"/>
  <c r="I2399" i="3"/>
  <c r="I2400" i="3"/>
  <c r="I2401" i="3"/>
  <c r="I2402" i="3"/>
  <c r="I2403" i="3"/>
  <c r="I2404" i="3"/>
  <c r="I2405" i="3"/>
  <c r="I2406" i="3"/>
  <c r="I2407" i="3"/>
  <c r="I2408" i="3"/>
  <c r="I2409" i="3"/>
  <c r="I2410" i="3"/>
  <c r="I2411" i="3"/>
  <c r="I2412" i="3"/>
  <c r="I2413" i="3"/>
  <c r="I2414" i="3"/>
  <c r="I2415" i="3"/>
  <c r="I2416" i="3"/>
  <c r="I2417" i="3"/>
  <c r="I2418" i="3"/>
  <c r="I2419" i="3"/>
  <c r="I2420" i="3"/>
  <c r="I2421" i="3"/>
  <c r="I2422" i="3"/>
  <c r="I2423" i="3"/>
  <c r="I2424" i="3"/>
  <c r="I2425" i="3"/>
  <c r="I2426" i="3"/>
  <c r="I2427" i="3"/>
  <c r="I2428" i="3"/>
  <c r="I2429" i="3"/>
  <c r="I2430" i="3"/>
  <c r="I2431" i="3"/>
  <c r="I2432" i="3"/>
  <c r="I2433" i="3"/>
  <c r="I2434" i="3"/>
  <c r="I2435" i="3"/>
  <c r="I2436" i="3"/>
  <c r="I2437" i="3"/>
  <c r="I2438" i="3"/>
  <c r="I2439" i="3"/>
  <c r="I2440" i="3"/>
  <c r="I2441" i="3"/>
  <c r="I2442" i="3"/>
  <c r="I2443" i="3"/>
  <c r="I2444" i="3"/>
  <c r="I2445" i="3"/>
  <c r="I2446" i="3"/>
  <c r="I2447" i="3"/>
  <c r="I2448" i="3"/>
  <c r="I2449" i="3"/>
  <c r="I2450" i="3"/>
  <c r="I2451" i="3"/>
  <c r="I2452" i="3"/>
  <c r="I2453" i="3"/>
  <c r="I2454" i="3"/>
  <c r="I2455" i="3"/>
  <c r="I2456" i="3"/>
  <c r="I2457" i="3"/>
  <c r="I2458" i="3"/>
  <c r="I2459" i="3"/>
  <c r="I2460" i="3"/>
  <c r="I2461" i="3"/>
  <c r="I2462" i="3"/>
  <c r="I2463" i="3"/>
  <c r="I2464" i="3"/>
  <c r="I2465" i="3"/>
  <c r="I2466" i="3"/>
  <c r="I2467" i="3"/>
  <c r="I2468" i="3"/>
  <c r="I2469" i="3"/>
  <c r="I2470" i="3"/>
  <c r="I2471" i="3"/>
  <c r="I2472" i="3"/>
  <c r="I2473" i="3"/>
  <c r="I2474" i="3"/>
  <c r="I2475" i="3"/>
  <c r="I2476" i="3"/>
  <c r="I2477" i="3"/>
  <c r="I2478" i="3"/>
  <c r="I2479" i="3"/>
  <c r="I2480" i="3"/>
  <c r="I2481" i="3"/>
  <c r="I2482" i="3"/>
  <c r="I2483" i="3"/>
  <c r="I2484" i="3"/>
  <c r="I2485" i="3"/>
  <c r="I2486" i="3"/>
  <c r="I2487" i="3"/>
  <c r="I2488" i="3"/>
  <c r="I2489" i="3"/>
  <c r="I2490" i="3"/>
  <c r="I2491" i="3"/>
  <c r="I2492" i="3"/>
  <c r="I2493" i="3"/>
  <c r="I2494" i="3"/>
  <c r="I2495" i="3"/>
  <c r="I2496" i="3"/>
  <c r="I2497" i="3"/>
  <c r="I2498" i="3"/>
  <c r="I2499" i="3"/>
  <c r="I2500" i="3"/>
  <c r="I2501" i="3"/>
  <c r="I2502" i="3"/>
  <c r="I2503" i="3"/>
  <c r="I2504" i="3"/>
  <c r="I2505" i="3"/>
  <c r="I2506" i="3"/>
  <c r="I2507" i="3"/>
  <c r="I2508" i="3"/>
  <c r="I2509" i="3"/>
  <c r="I2510" i="3"/>
  <c r="I2511" i="3"/>
  <c r="I2512" i="3"/>
  <c r="I2513" i="3"/>
  <c r="I2514" i="3"/>
  <c r="I2515" i="3"/>
  <c r="I2516" i="3"/>
  <c r="I2517" i="3"/>
  <c r="I2518" i="3"/>
  <c r="I2519" i="3"/>
  <c r="I2520" i="3"/>
  <c r="I2521" i="3"/>
  <c r="I2522" i="3"/>
  <c r="I2523" i="3"/>
  <c r="I2524" i="3"/>
  <c r="I2525" i="3"/>
  <c r="I2526" i="3"/>
  <c r="I2527" i="3"/>
  <c r="I2528" i="3"/>
  <c r="I2529" i="3"/>
  <c r="I2530" i="3"/>
  <c r="I2531" i="3"/>
  <c r="I2532" i="3"/>
  <c r="I2533" i="3"/>
  <c r="I2534" i="3"/>
  <c r="I2535" i="3"/>
  <c r="I2536" i="3"/>
  <c r="I2537" i="3"/>
  <c r="I2538" i="3"/>
  <c r="I2539" i="3"/>
  <c r="I2540" i="3"/>
  <c r="I2541" i="3"/>
  <c r="I2542" i="3"/>
  <c r="I2543" i="3"/>
  <c r="I2544" i="3"/>
  <c r="I2545" i="3"/>
  <c r="I2546" i="3"/>
  <c r="I2547" i="3"/>
  <c r="I2548" i="3"/>
  <c r="I2549" i="3"/>
  <c r="I2550" i="3"/>
  <c r="I2551" i="3"/>
  <c r="I2552" i="3"/>
  <c r="I2553" i="3"/>
  <c r="I2554" i="3"/>
  <c r="I2555" i="3"/>
  <c r="I2556" i="3"/>
  <c r="I2557" i="3"/>
  <c r="I2558" i="3"/>
  <c r="I2559" i="3"/>
  <c r="I2560" i="3"/>
  <c r="I2561" i="3"/>
  <c r="I2562" i="3"/>
  <c r="I2563" i="3"/>
  <c r="I2564" i="3"/>
  <c r="I2565" i="3"/>
  <c r="I2566" i="3"/>
  <c r="I2567" i="3"/>
  <c r="I2568" i="3"/>
  <c r="I2569" i="3"/>
  <c r="I2570" i="3"/>
  <c r="I2571" i="3"/>
  <c r="I2572" i="3"/>
  <c r="I2573" i="3"/>
  <c r="I2574" i="3"/>
  <c r="I2575" i="3"/>
  <c r="I1233" i="3"/>
  <c r="T984" i="3"/>
  <c r="T985" i="3"/>
  <c r="T986" i="3"/>
  <c r="T987" i="3"/>
  <c r="T988" i="3"/>
  <c r="T989" i="3"/>
  <c r="T990" i="3"/>
  <c r="T991" i="3"/>
  <c r="T992" i="3"/>
  <c r="T993" i="3"/>
  <c r="T994" i="3"/>
  <c r="T995" i="3"/>
  <c r="T996" i="3"/>
  <c r="T997" i="3"/>
  <c r="T998" i="3"/>
  <c r="T999" i="3"/>
  <c r="T1000" i="3"/>
  <c r="T1001" i="3"/>
  <c r="T1002" i="3"/>
  <c r="T1003" i="3"/>
  <c r="T1004" i="3"/>
  <c r="T1005" i="3"/>
  <c r="T1006" i="3"/>
  <c r="T1007" i="3"/>
  <c r="T1008" i="3"/>
  <c r="T1009" i="3"/>
  <c r="T1010" i="3"/>
  <c r="T1011" i="3"/>
  <c r="T1012" i="3"/>
  <c r="T1013" i="3"/>
  <c r="T1014" i="3"/>
  <c r="T1015" i="3"/>
  <c r="T1016" i="3"/>
  <c r="T1017" i="3"/>
  <c r="T1018" i="3"/>
  <c r="T1019" i="3"/>
  <c r="T1020" i="3"/>
  <c r="T1021" i="3"/>
  <c r="T1022" i="3"/>
  <c r="T1023" i="3"/>
  <c r="T1024" i="3"/>
  <c r="T1025" i="3"/>
  <c r="T1026" i="3"/>
  <c r="T1027" i="3"/>
  <c r="T1028" i="3"/>
  <c r="T1029" i="3"/>
  <c r="T1030" i="3"/>
  <c r="T1031" i="3"/>
  <c r="T1032" i="3"/>
  <c r="T1033" i="3"/>
  <c r="T1034" i="3"/>
  <c r="T1035" i="3"/>
  <c r="T1036" i="3"/>
  <c r="T1037" i="3"/>
  <c r="T1038" i="3"/>
  <c r="T1039" i="3"/>
  <c r="T1040" i="3"/>
  <c r="T1041" i="3"/>
  <c r="T1042" i="3"/>
  <c r="T1043" i="3"/>
  <c r="T1044" i="3"/>
  <c r="T1045" i="3"/>
  <c r="T1046" i="3"/>
  <c r="T1047" i="3"/>
  <c r="T1048" i="3"/>
  <c r="T1049" i="3"/>
  <c r="T1050" i="3"/>
  <c r="T1051" i="3"/>
  <c r="T1052" i="3"/>
  <c r="T1053" i="3"/>
  <c r="T1054" i="3"/>
  <c r="T1055" i="3"/>
  <c r="T1056" i="3"/>
  <c r="T1057" i="3"/>
  <c r="T1058" i="3"/>
  <c r="T1059" i="3"/>
  <c r="T1060" i="3"/>
  <c r="T1061" i="3"/>
  <c r="T1062" i="3"/>
  <c r="T1063" i="3"/>
  <c r="T1064" i="3"/>
  <c r="T1065" i="3"/>
  <c r="T1066" i="3"/>
  <c r="T1067" i="3"/>
  <c r="T1068" i="3"/>
  <c r="T1069" i="3"/>
  <c r="T1070" i="3"/>
  <c r="T1071" i="3"/>
  <c r="T1072" i="3"/>
  <c r="T1073" i="3"/>
  <c r="T1074" i="3"/>
  <c r="T1075" i="3"/>
  <c r="T1076" i="3"/>
  <c r="T1077" i="3"/>
  <c r="T1078" i="3"/>
  <c r="T1079" i="3"/>
  <c r="T1080" i="3"/>
  <c r="T1081" i="3"/>
  <c r="T1082" i="3"/>
  <c r="T1083" i="3"/>
  <c r="T1084" i="3"/>
  <c r="T1085" i="3"/>
  <c r="T1086" i="3"/>
  <c r="T1087" i="3"/>
  <c r="T1088" i="3"/>
  <c r="T1089" i="3"/>
  <c r="T1090" i="3"/>
  <c r="T1091" i="3"/>
  <c r="T1092" i="3"/>
  <c r="T1093" i="3"/>
  <c r="T1094" i="3"/>
  <c r="T1095" i="3"/>
  <c r="T1096" i="3"/>
  <c r="T1097" i="3"/>
  <c r="T1098" i="3"/>
  <c r="T1099" i="3"/>
  <c r="T1100" i="3"/>
  <c r="T1101" i="3"/>
  <c r="T1102" i="3"/>
  <c r="T1103" i="3"/>
  <c r="T1104" i="3"/>
  <c r="T1105" i="3"/>
  <c r="T1106" i="3"/>
  <c r="T1107" i="3"/>
  <c r="T1108" i="3"/>
  <c r="T1109" i="3"/>
  <c r="T1110" i="3"/>
  <c r="T1111" i="3"/>
  <c r="T1112" i="3"/>
  <c r="T1113" i="3"/>
  <c r="T1114" i="3"/>
  <c r="T1115" i="3"/>
  <c r="T1116" i="3"/>
  <c r="T1117" i="3"/>
  <c r="T1118" i="3"/>
  <c r="T1119" i="3"/>
  <c r="T1120" i="3"/>
  <c r="T1121" i="3"/>
  <c r="T1122" i="3"/>
  <c r="T1123" i="3"/>
  <c r="T1124" i="3"/>
  <c r="T1125" i="3"/>
  <c r="T1126" i="3"/>
  <c r="T1127" i="3"/>
  <c r="T1128" i="3"/>
  <c r="T1129" i="3"/>
  <c r="T1130" i="3"/>
  <c r="T1131" i="3"/>
  <c r="T1132" i="3"/>
  <c r="T1133" i="3"/>
  <c r="T1134" i="3"/>
  <c r="T1135" i="3"/>
  <c r="T1136" i="3"/>
  <c r="T1137" i="3"/>
  <c r="T1138" i="3"/>
  <c r="T1139" i="3"/>
  <c r="T1140" i="3"/>
  <c r="T1141" i="3"/>
  <c r="T1142" i="3"/>
  <c r="T1143" i="3"/>
  <c r="T1144" i="3"/>
  <c r="T1145" i="3"/>
  <c r="T1146" i="3"/>
  <c r="T1147" i="3"/>
  <c r="T1148" i="3"/>
  <c r="T1149" i="3"/>
  <c r="T1150" i="3"/>
  <c r="T1151" i="3"/>
  <c r="T1152" i="3"/>
  <c r="T1153" i="3"/>
  <c r="T1154" i="3"/>
  <c r="T1155" i="3"/>
  <c r="T1156" i="3"/>
  <c r="T1157" i="3"/>
  <c r="T1158" i="3"/>
  <c r="T1159" i="3"/>
  <c r="T1160" i="3"/>
  <c r="T1161" i="3"/>
  <c r="T1162" i="3"/>
  <c r="T1163" i="3"/>
  <c r="T1164" i="3"/>
  <c r="T1165" i="3"/>
  <c r="T1166" i="3"/>
  <c r="T1167" i="3"/>
  <c r="T1168" i="3"/>
  <c r="T1169" i="3"/>
  <c r="T1170" i="3"/>
  <c r="T1171" i="3"/>
  <c r="T1172" i="3"/>
  <c r="T1173" i="3"/>
  <c r="T1174" i="3"/>
  <c r="T1175" i="3"/>
  <c r="T1176" i="3"/>
  <c r="T1177" i="3"/>
  <c r="T1178" i="3"/>
  <c r="T1179" i="3"/>
  <c r="T1180" i="3"/>
  <c r="T1181" i="3"/>
  <c r="T1182" i="3"/>
  <c r="T1183" i="3"/>
  <c r="T1184" i="3"/>
  <c r="T1185" i="3"/>
  <c r="T1186" i="3"/>
  <c r="T1187" i="3"/>
  <c r="T1188" i="3"/>
  <c r="T1189" i="3"/>
  <c r="T1190" i="3"/>
  <c r="T1191" i="3"/>
  <c r="T1192" i="3"/>
  <c r="T1193" i="3"/>
  <c r="T1194" i="3"/>
  <c r="T1195" i="3"/>
  <c r="T1196" i="3"/>
  <c r="T1197" i="3"/>
  <c r="T1198" i="3"/>
  <c r="T1199" i="3"/>
  <c r="T1200" i="3"/>
  <c r="T1201" i="3"/>
  <c r="T1202" i="3"/>
  <c r="T1203" i="3"/>
  <c r="T1204" i="3"/>
  <c r="T1205" i="3"/>
  <c r="T1206" i="3"/>
  <c r="T1207" i="3"/>
  <c r="T1208" i="3"/>
  <c r="T1209" i="3"/>
  <c r="T1210" i="3"/>
  <c r="T1211" i="3"/>
  <c r="T1212" i="3"/>
  <c r="T1213" i="3"/>
  <c r="T1214" i="3"/>
  <c r="T1215" i="3"/>
  <c r="T1216" i="3"/>
  <c r="T1217" i="3"/>
  <c r="T1218" i="3"/>
  <c r="T1219" i="3"/>
  <c r="T1220" i="3"/>
  <c r="T1221" i="3"/>
  <c r="T1222" i="3"/>
  <c r="T1223" i="3"/>
  <c r="T1224" i="3"/>
  <c r="T1225" i="3"/>
  <c r="T1226" i="3"/>
  <c r="T1227" i="3"/>
  <c r="T1228" i="3"/>
  <c r="T1229" i="3"/>
  <c r="T1230" i="3"/>
  <c r="T1231" i="3"/>
  <c r="T1232" i="3"/>
  <c r="T1233" i="3"/>
  <c r="T1234" i="3"/>
  <c r="T1235" i="3"/>
  <c r="T1236" i="3"/>
  <c r="T1237" i="3"/>
  <c r="T1238" i="3"/>
  <c r="T1239" i="3"/>
  <c r="T1240" i="3"/>
  <c r="T1241" i="3"/>
  <c r="T1242" i="3"/>
  <c r="T1243" i="3"/>
  <c r="T1244" i="3"/>
  <c r="T1245" i="3"/>
  <c r="T1246" i="3"/>
  <c r="T1247" i="3"/>
  <c r="T1248" i="3"/>
  <c r="T1249" i="3"/>
  <c r="T1250" i="3"/>
  <c r="T1251" i="3"/>
  <c r="T1252" i="3"/>
  <c r="T1253" i="3"/>
  <c r="T1254" i="3"/>
  <c r="T1255" i="3"/>
  <c r="T1256" i="3"/>
  <c r="T1257" i="3"/>
  <c r="T1258" i="3"/>
  <c r="T1259" i="3"/>
  <c r="T1260" i="3"/>
  <c r="T1261" i="3"/>
  <c r="T1262" i="3"/>
  <c r="T1263" i="3"/>
  <c r="T1264" i="3"/>
  <c r="T1265" i="3"/>
  <c r="T1266" i="3"/>
  <c r="T1267" i="3"/>
  <c r="T1268" i="3"/>
  <c r="T1269" i="3"/>
  <c r="T1270" i="3"/>
  <c r="T1271" i="3"/>
  <c r="T1272" i="3"/>
  <c r="T1273" i="3"/>
  <c r="T1274" i="3"/>
  <c r="T1275" i="3"/>
  <c r="T1276" i="3"/>
  <c r="T1277" i="3"/>
  <c r="T1278" i="3"/>
  <c r="T1279" i="3"/>
  <c r="T1280" i="3"/>
  <c r="T1281" i="3"/>
  <c r="T1282" i="3"/>
  <c r="T1283" i="3"/>
  <c r="T1284" i="3"/>
  <c r="T1285" i="3"/>
  <c r="T1286" i="3"/>
  <c r="T1287" i="3"/>
  <c r="T1288" i="3"/>
  <c r="T1289" i="3"/>
  <c r="T1290" i="3"/>
  <c r="T1291" i="3"/>
  <c r="T1292" i="3"/>
  <c r="T1293" i="3"/>
  <c r="T1294" i="3"/>
  <c r="T1295" i="3"/>
  <c r="T1296" i="3"/>
  <c r="T1297" i="3"/>
  <c r="T1298" i="3"/>
  <c r="T1299" i="3"/>
  <c r="T1300" i="3"/>
  <c r="T1301" i="3"/>
  <c r="T1302" i="3"/>
  <c r="T1303" i="3"/>
  <c r="T1304" i="3"/>
  <c r="T1305" i="3"/>
  <c r="T1306" i="3"/>
  <c r="T1307" i="3"/>
  <c r="T1308" i="3"/>
  <c r="T1309" i="3"/>
  <c r="T1310" i="3"/>
  <c r="T1311" i="3"/>
  <c r="T1312" i="3"/>
  <c r="T1313" i="3"/>
  <c r="T1314" i="3"/>
  <c r="T1315" i="3"/>
  <c r="T1316" i="3"/>
  <c r="T1317" i="3"/>
  <c r="T1318" i="3"/>
  <c r="T1319" i="3"/>
  <c r="T1320" i="3"/>
  <c r="T1321" i="3"/>
  <c r="T1322" i="3"/>
  <c r="T1323" i="3"/>
  <c r="T1324" i="3"/>
  <c r="T1325" i="3"/>
  <c r="T1326" i="3"/>
  <c r="T1327" i="3"/>
  <c r="T1328" i="3"/>
  <c r="T1329" i="3"/>
  <c r="T1330" i="3"/>
  <c r="T1331" i="3"/>
  <c r="T1332" i="3"/>
  <c r="T1333" i="3"/>
  <c r="T1334" i="3"/>
  <c r="T1335" i="3"/>
  <c r="T1336" i="3"/>
  <c r="T1337" i="3"/>
  <c r="T1338" i="3"/>
  <c r="T1339" i="3"/>
  <c r="T1340" i="3"/>
  <c r="T1341" i="3"/>
  <c r="T1342" i="3"/>
  <c r="T1343" i="3"/>
  <c r="T1344" i="3"/>
  <c r="T1345" i="3"/>
  <c r="T1346" i="3"/>
  <c r="T1347" i="3"/>
  <c r="T1348" i="3"/>
  <c r="T1349" i="3"/>
  <c r="T1350" i="3"/>
  <c r="T1351" i="3"/>
  <c r="T1352" i="3"/>
  <c r="T1353" i="3"/>
  <c r="T1354" i="3"/>
  <c r="T1355" i="3"/>
  <c r="T1356" i="3"/>
  <c r="T1357" i="3"/>
  <c r="T1358" i="3"/>
  <c r="T1359" i="3"/>
  <c r="T1360" i="3"/>
  <c r="T1361" i="3"/>
  <c r="T1362" i="3"/>
  <c r="T1363" i="3"/>
  <c r="T1364" i="3"/>
  <c r="T1365" i="3"/>
  <c r="T1366" i="3"/>
  <c r="T1367" i="3"/>
  <c r="T1368" i="3"/>
  <c r="T1369" i="3"/>
  <c r="T1370" i="3"/>
  <c r="T1371" i="3"/>
  <c r="T1372" i="3"/>
  <c r="T1373" i="3"/>
  <c r="T1374" i="3"/>
  <c r="T1375" i="3"/>
  <c r="T1376" i="3"/>
  <c r="T1377" i="3"/>
  <c r="T1378" i="3"/>
  <c r="T1379" i="3"/>
  <c r="T1380" i="3"/>
  <c r="T1381" i="3"/>
  <c r="T1382" i="3"/>
  <c r="T1383" i="3"/>
  <c r="T1384" i="3"/>
  <c r="T1385" i="3"/>
  <c r="T1386" i="3"/>
  <c r="T1387" i="3"/>
  <c r="T1388" i="3"/>
  <c r="T1389" i="3"/>
  <c r="T1390" i="3"/>
  <c r="T1391" i="3"/>
  <c r="T1392" i="3"/>
  <c r="T1393" i="3"/>
  <c r="T1394" i="3"/>
  <c r="T1395" i="3"/>
  <c r="T1396" i="3"/>
  <c r="T1397" i="3"/>
  <c r="T1398" i="3"/>
  <c r="T1399" i="3"/>
  <c r="T1400" i="3"/>
  <c r="T1401" i="3"/>
  <c r="T1402" i="3"/>
  <c r="T1403" i="3"/>
  <c r="T1404" i="3"/>
  <c r="T1405" i="3"/>
  <c r="T1406" i="3"/>
  <c r="T1407" i="3"/>
  <c r="T1408" i="3"/>
  <c r="T1409" i="3"/>
  <c r="T1410" i="3"/>
  <c r="T1411" i="3"/>
  <c r="T1412" i="3"/>
  <c r="T1413" i="3"/>
  <c r="T1414" i="3"/>
  <c r="T1415" i="3"/>
  <c r="T1416" i="3"/>
  <c r="T1417" i="3"/>
  <c r="T1418" i="3"/>
  <c r="T1419" i="3"/>
  <c r="T1420" i="3"/>
  <c r="T1421" i="3"/>
  <c r="T1422" i="3"/>
  <c r="T1423" i="3"/>
  <c r="T1424" i="3"/>
  <c r="T1425" i="3"/>
  <c r="T1426" i="3"/>
  <c r="T1427" i="3"/>
  <c r="T1428" i="3"/>
  <c r="T1429" i="3"/>
  <c r="T1430" i="3"/>
  <c r="T1431" i="3"/>
  <c r="T1432" i="3"/>
  <c r="T1433" i="3"/>
  <c r="T1434" i="3"/>
  <c r="T1435" i="3"/>
  <c r="T1436" i="3"/>
  <c r="T1437" i="3"/>
  <c r="T1438" i="3"/>
  <c r="T1439" i="3"/>
  <c r="T1440" i="3"/>
  <c r="T1441" i="3"/>
  <c r="T1442" i="3"/>
  <c r="T1443" i="3"/>
  <c r="T1444" i="3"/>
  <c r="T1445" i="3"/>
  <c r="T1446" i="3"/>
  <c r="T1447" i="3"/>
  <c r="T1448" i="3"/>
  <c r="T1449" i="3"/>
  <c r="T1450" i="3"/>
  <c r="T1451" i="3"/>
  <c r="T1452" i="3"/>
  <c r="T1453" i="3"/>
  <c r="T1454" i="3"/>
  <c r="T1455" i="3"/>
  <c r="T1456" i="3"/>
  <c r="T1457" i="3"/>
  <c r="T1458" i="3"/>
  <c r="T1459" i="3"/>
  <c r="T1460" i="3"/>
  <c r="T1461" i="3"/>
  <c r="T1462" i="3"/>
  <c r="T1463" i="3"/>
  <c r="T1464" i="3"/>
  <c r="T1465" i="3"/>
  <c r="T1466" i="3"/>
  <c r="T1467" i="3"/>
  <c r="T1468" i="3"/>
  <c r="T1469" i="3"/>
  <c r="T1470" i="3"/>
  <c r="T1471" i="3"/>
  <c r="T1472" i="3"/>
  <c r="T1473" i="3"/>
  <c r="T1474" i="3"/>
  <c r="T1475" i="3"/>
  <c r="T1476" i="3"/>
  <c r="T1477" i="3"/>
  <c r="T1478" i="3"/>
  <c r="T1479" i="3"/>
  <c r="T1480" i="3"/>
  <c r="T1481" i="3"/>
  <c r="T1482" i="3"/>
  <c r="T1483" i="3"/>
  <c r="T1484" i="3"/>
  <c r="T1485" i="3"/>
  <c r="T1486" i="3"/>
  <c r="T1487" i="3"/>
  <c r="T1488" i="3"/>
  <c r="T1489" i="3"/>
  <c r="T1490" i="3"/>
  <c r="T1491" i="3"/>
  <c r="T1492" i="3"/>
  <c r="T1493" i="3"/>
  <c r="T1494" i="3"/>
  <c r="T1495" i="3"/>
  <c r="T1496" i="3"/>
  <c r="T1497" i="3"/>
  <c r="T1498" i="3"/>
  <c r="T1499" i="3"/>
  <c r="T1500" i="3"/>
  <c r="T1501" i="3"/>
  <c r="T1502" i="3"/>
  <c r="T1503" i="3"/>
  <c r="T1504" i="3"/>
  <c r="T1505" i="3"/>
  <c r="T1506" i="3"/>
  <c r="T1507" i="3"/>
  <c r="T1508" i="3"/>
  <c r="T1509" i="3"/>
  <c r="T1510" i="3"/>
  <c r="T1511" i="3"/>
  <c r="T1512" i="3"/>
  <c r="T1513" i="3"/>
  <c r="T1514" i="3"/>
  <c r="T1515" i="3"/>
  <c r="T1516" i="3"/>
  <c r="T1517" i="3"/>
  <c r="T1518" i="3"/>
  <c r="T1519" i="3"/>
  <c r="T1520" i="3"/>
  <c r="T1521" i="3"/>
  <c r="T1522" i="3"/>
  <c r="T1523" i="3"/>
  <c r="T1524" i="3"/>
  <c r="T1525" i="3"/>
  <c r="T1526" i="3"/>
  <c r="T1527" i="3"/>
  <c r="T1528" i="3"/>
  <c r="T1529" i="3"/>
  <c r="T1530" i="3"/>
  <c r="T1531" i="3"/>
  <c r="T1532" i="3"/>
  <c r="T1533" i="3"/>
  <c r="T1534" i="3"/>
  <c r="T1535" i="3"/>
  <c r="T1536" i="3"/>
  <c r="T1537" i="3"/>
  <c r="T1538" i="3"/>
  <c r="T1539" i="3"/>
  <c r="T1540" i="3"/>
  <c r="T1541" i="3"/>
  <c r="T1542" i="3"/>
  <c r="T1543" i="3"/>
  <c r="T1544" i="3"/>
  <c r="T1545" i="3"/>
  <c r="T1546" i="3"/>
  <c r="T1547" i="3"/>
  <c r="T1548" i="3"/>
  <c r="T1549" i="3"/>
  <c r="T1550" i="3"/>
  <c r="T1551" i="3"/>
  <c r="T1552" i="3"/>
  <c r="T1553" i="3"/>
  <c r="T1554" i="3"/>
  <c r="T1555" i="3"/>
  <c r="T1556" i="3"/>
  <c r="T1557" i="3"/>
  <c r="T1558" i="3"/>
  <c r="T1559" i="3"/>
  <c r="T1560" i="3"/>
  <c r="T1561" i="3"/>
  <c r="T1562" i="3"/>
  <c r="T1563" i="3"/>
  <c r="T1564" i="3"/>
  <c r="T1565" i="3"/>
  <c r="T1566" i="3"/>
  <c r="T1567" i="3"/>
  <c r="T1568" i="3"/>
  <c r="T1569" i="3"/>
  <c r="T1570" i="3"/>
  <c r="T1571" i="3"/>
  <c r="T1572" i="3"/>
  <c r="T1573" i="3"/>
  <c r="T1574" i="3"/>
  <c r="T1575" i="3"/>
  <c r="T1576" i="3"/>
  <c r="T1577" i="3"/>
  <c r="T1578" i="3"/>
  <c r="T1579" i="3"/>
  <c r="T1580" i="3"/>
  <c r="T1581" i="3"/>
  <c r="T1582" i="3"/>
  <c r="T1583" i="3"/>
  <c r="T1584" i="3"/>
  <c r="T1585" i="3"/>
  <c r="T1586" i="3"/>
  <c r="T1587" i="3"/>
  <c r="T1588" i="3"/>
  <c r="T1589" i="3"/>
  <c r="T1590" i="3"/>
  <c r="T1591" i="3"/>
  <c r="T1592" i="3"/>
  <c r="T1593" i="3"/>
  <c r="T1594" i="3"/>
  <c r="T1595" i="3"/>
  <c r="T1596" i="3"/>
  <c r="T1597" i="3"/>
  <c r="T1598" i="3"/>
  <c r="T1599" i="3"/>
  <c r="T1600" i="3"/>
  <c r="T1601" i="3"/>
  <c r="T1602" i="3"/>
  <c r="T1603" i="3"/>
  <c r="T1604" i="3"/>
  <c r="T1605" i="3"/>
  <c r="T1606" i="3"/>
  <c r="T1607" i="3"/>
  <c r="T1608" i="3"/>
  <c r="T1609" i="3"/>
  <c r="T1610" i="3"/>
  <c r="T1611" i="3"/>
  <c r="T1612" i="3"/>
  <c r="T1613" i="3"/>
  <c r="T1614" i="3"/>
  <c r="T1615" i="3"/>
  <c r="T1616" i="3"/>
  <c r="T1617" i="3"/>
  <c r="T1618" i="3"/>
  <c r="T1619" i="3"/>
  <c r="T1620" i="3"/>
  <c r="T1621" i="3"/>
  <c r="T1622" i="3"/>
  <c r="T1623" i="3"/>
  <c r="T1624" i="3"/>
  <c r="T1625" i="3"/>
  <c r="T1626" i="3"/>
  <c r="T1627" i="3"/>
  <c r="T1628" i="3"/>
  <c r="T1629" i="3"/>
  <c r="T1630" i="3"/>
  <c r="T1631" i="3"/>
  <c r="T1632" i="3"/>
  <c r="T1633" i="3"/>
  <c r="T1634" i="3"/>
  <c r="T1635" i="3"/>
  <c r="T1636" i="3"/>
  <c r="T1637" i="3"/>
  <c r="T1638" i="3"/>
  <c r="T1639" i="3"/>
  <c r="T1640" i="3"/>
  <c r="T1641" i="3"/>
  <c r="T1642" i="3"/>
  <c r="T1643" i="3"/>
  <c r="T1644" i="3"/>
  <c r="T1645" i="3"/>
  <c r="T1646" i="3"/>
  <c r="T1647" i="3"/>
  <c r="T1648" i="3"/>
  <c r="T1649" i="3"/>
  <c r="T1650" i="3"/>
  <c r="T1651" i="3"/>
  <c r="T1652" i="3"/>
  <c r="T1653" i="3"/>
  <c r="T1654" i="3"/>
  <c r="T1655" i="3"/>
  <c r="T1656" i="3"/>
  <c r="T1657" i="3"/>
  <c r="T1658" i="3"/>
  <c r="T1659" i="3"/>
  <c r="T1660" i="3"/>
  <c r="T1661" i="3"/>
  <c r="T1662" i="3"/>
  <c r="T1663" i="3"/>
  <c r="T1664" i="3"/>
  <c r="T1665" i="3"/>
  <c r="T1666" i="3"/>
  <c r="T1667" i="3"/>
  <c r="T1668" i="3"/>
  <c r="T1669" i="3"/>
  <c r="T1670" i="3"/>
  <c r="T1671" i="3"/>
  <c r="T1672" i="3"/>
  <c r="T1673" i="3"/>
  <c r="T1674" i="3"/>
  <c r="T1675" i="3"/>
  <c r="T1676" i="3"/>
  <c r="T1677" i="3"/>
  <c r="T1678" i="3"/>
  <c r="T1679" i="3"/>
  <c r="T1680" i="3"/>
  <c r="T1681" i="3"/>
  <c r="T1682" i="3"/>
  <c r="T1683" i="3"/>
  <c r="T1684" i="3"/>
  <c r="T1685" i="3"/>
  <c r="T1686" i="3"/>
  <c r="T1687" i="3"/>
  <c r="T1688" i="3"/>
  <c r="T1689" i="3"/>
  <c r="T1690" i="3"/>
  <c r="T1691" i="3"/>
  <c r="T1692" i="3"/>
  <c r="T1693" i="3"/>
  <c r="T1694" i="3"/>
  <c r="T1695" i="3"/>
  <c r="T1696" i="3"/>
  <c r="T1697" i="3"/>
  <c r="T1698" i="3"/>
  <c r="T1699" i="3"/>
  <c r="T1700" i="3"/>
  <c r="T1701" i="3"/>
  <c r="T1702" i="3"/>
  <c r="T1703" i="3"/>
  <c r="T1704" i="3"/>
  <c r="T1705" i="3"/>
  <c r="T1706" i="3"/>
  <c r="T1707" i="3"/>
  <c r="T1708" i="3"/>
  <c r="T1709" i="3"/>
  <c r="T1710" i="3"/>
  <c r="T1711" i="3"/>
  <c r="T1712" i="3"/>
  <c r="T1713" i="3"/>
  <c r="T1714" i="3"/>
  <c r="T1715" i="3"/>
  <c r="T1716" i="3"/>
  <c r="T1717" i="3"/>
  <c r="T1718" i="3"/>
  <c r="T1719" i="3"/>
  <c r="T1720" i="3"/>
  <c r="T1721" i="3"/>
  <c r="T1722" i="3"/>
  <c r="T1723" i="3"/>
  <c r="T1724" i="3"/>
  <c r="T1725" i="3"/>
  <c r="T1726" i="3"/>
  <c r="T1727" i="3"/>
  <c r="T1728" i="3"/>
  <c r="T1729" i="3"/>
  <c r="T1730" i="3"/>
  <c r="T1731" i="3"/>
  <c r="T1732" i="3"/>
  <c r="T1733" i="3"/>
  <c r="T1734" i="3"/>
  <c r="T1735" i="3"/>
  <c r="T1736" i="3"/>
  <c r="T1737" i="3"/>
  <c r="T1738" i="3"/>
  <c r="T1739" i="3"/>
  <c r="T1740" i="3"/>
  <c r="T1741" i="3"/>
  <c r="T1742" i="3"/>
  <c r="T1743" i="3"/>
  <c r="T1744" i="3"/>
  <c r="T1745" i="3"/>
  <c r="T1746" i="3"/>
  <c r="T1747" i="3"/>
  <c r="T1748" i="3"/>
  <c r="T1749" i="3"/>
  <c r="T1750" i="3"/>
  <c r="T1751" i="3"/>
  <c r="T1752" i="3"/>
  <c r="T1753" i="3"/>
  <c r="T1754" i="3"/>
  <c r="T1755" i="3"/>
  <c r="T1756" i="3"/>
  <c r="T1757" i="3"/>
  <c r="T1758" i="3"/>
  <c r="T1759" i="3"/>
  <c r="T1760" i="3"/>
  <c r="T1761" i="3"/>
  <c r="T1762" i="3"/>
  <c r="T1763" i="3"/>
  <c r="T1764" i="3"/>
  <c r="T1765" i="3"/>
  <c r="T1766" i="3"/>
  <c r="T1767" i="3"/>
  <c r="T1768" i="3"/>
  <c r="T1769" i="3"/>
  <c r="T1770" i="3"/>
  <c r="T1771" i="3"/>
  <c r="T1772" i="3"/>
  <c r="T1773" i="3"/>
  <c r="T1774" i="3"/>
  <c r="T1775" i="3"/>
  <c r="T1776" i="3"/>
  <c r="T1777" i="3"/>
  <c r="T1778" i="3"/>
  <c r="T1779" i="3"/>
  <c r="T1780" i="3"/>
  <c r="T1781" i="3"/>
  <c r="T1782" i="3"/>
  <c r="T1783" i="3"/>
  <c r="T1784" i="3"/>
  <c r="T1785" i="3"/>
  <c r="T1786" i="3"/>
  <c r="T1787" i="3"/>
  <c r="T1788" i="3"/>
  <c r="T1789" i="3"/>
  <c r="T1790" i="3"/>
  <c r="T1791" i="3"/>
  <c r="T1792" i="3"/>
  <c r="T1793" i="3"/>
  <c r="T1794" i="3"/>
  <c r="T1795" i="3"/>
  <c r="T1796" i="3"/>
  <c r="T1797" i="3"/>
  <c r="T1798" i="3"/>
  <c r="T1799" i="3"/>
  <c r="T1800" i="3"/>
  <c r="T1801" i="3"/>
  <c r="T1802" i="3"/>
  <c r="T1803" i="3"/>
  <c r="T1804" i="3"/>
  <c r="T1805" i="3"/>
  <c r="T1806" i="3"/>
  <c r="T1807" i="3"/>
  <c r="T1808" i="3"/>
  <c r="T1809" i="3"/>
  <c r="T1810" i="3"/>
  <c r="T1811" i="3"/>
  <c r="T1812" i="3"/>
  <c r="T1813" i="3"/>
  <c r="T1814" i="3"/>
  <c r="T1815" i="3"/>
  <c r="T1816" i="3"/>
  <c r="T1817" i="3"/>
  <c r="T1818" i="3"/>
  <c r="T1819" i="3"/>
  <c r="T1820" i="3"/>
  <c r="T1821" i="3"/>
  <c r="T1822" i="3"/>
  <c r="T1823" i="3"/>
  <c r="T1824" i="3"/>
  <c r="T1825" i="3"/>
  <c r="T1826" i="3"/>
  <c r="T1827" i="3"/>
  <c r="T1828" i="3"/>
  <c r="T1829" i="3"/>
  <c r="T1830" i="3"/>
  <c r="T1831" i="3"/>
  <c r="T1832" i="3"/>
  <c r="T1833" i="3"/>
  <c r="T1834" i="3"/>
  <c r="T1835" i="3"/>
  <c r="T1836" i="3"/>
  <c r="T1837" i="3"/>
  <c r="T1838" i="3"/>
  <c r="T1839" i="3"/>
  <c r="T1840" i="3"/>
  <c r="T1841" i="3"/>
  <c r="T1842" i="3"/>
  <c r="T1843" i="3"/>
  <c r="T1844" i="3"/>
  <c r="T1845" i="3"/>
  <c r="T1846" i="3"/>
  <c r="T1847" i="3"/>
  <c r="T1848" i="3"/>
  <c r="T1849" i="3"/>
  <c r="T1850" i="3"/>
  <c r="T1851" i="3"/>
  <c r="T1852" i="3"/>
  <c r="T1853" i="3"/>
  <c r="T1854" i="3"/>
  <c r="T1855" i="3"/>
  <c r="T1856" i="3"/>
  <c r="T1857" i="3"/>
  <c r="T1858" i="3"/>
  <c r="T1859" i="3"/>
  <c r="T1860" i="3"/>
  <c r="T1861" i="3"/>
  <c r="T1862" i="3"/>
  <c r="T1863" i="3"/>
  <c r="T1864" i="3"/>
  <c r="T1865" i="3"/>
  <c r="T1866" i="3"/>
  <c r="T1867" i="3"/>
  <c r="T1868" i="3"/>
  <c r="T1869" i="3"/>
  <c r="T1870" i="3"/>
  <c r="T1871" i="3"/>
  <c r="T1872" i="3"/>
  <c r="T1873" i="3"/>
  <c r="T1874" i="3"/>
  <c r="T1875" i="3"/>
  <c r="T1876" i="3"/>
  <c r="T1877" i="3"/>
  <c r="T1878" i="3"/>
  <c r="T1879" i="3"/>
  <c r="T1880" i="3"/>
  <c r="T1881" i="3"/>
  <c r="T1882" i="3"/>
  <c r="T1883" i="3"/>
  <c r="T1884" i="3"/>
  <c r="T1885" i="3"/>
  <c r="T1886" i="3"/>
  <c r="T1887" i="3"/>
  <c r="T1888" i="3"/>
  <c r="T1889" i="3"/>
  <c r="T1890" i="3"/>
  <c r="T1891" i="3"/>
  <c r="T1892" i="3"/>
  <c r="T1893" i="3"/>
  <c r="T1894" i="3"/>
  <c r="T1895" i="3"/>
  <c r="T1896" i="3"/>
  <c r="T1897" i="3"/>
  <c r="T1898" i="3"/>
  <c r="T1899" i="3"/>
  <c r="T1900" i="3"/>
  <c r="T1901" i="3"/>
  <c r="T1902" i="3"/>
  <c r="T1903" i="3"/>
  <c r="T1904" i="3"/>
  <c r="T1905" i="3"/>
  <c r="T1906" i="3"/>
  <c r="T1907" i="3"/>
  <c r="T1908" i="3"/>
  <c r="T1909" i="3"/>
  <c r="T1910" i="3"/>
  <c r="T1911" i="3"/>
  <c r="T1912" i="3"/>
  <c r="T1913" i="3"/>
  <c r="T1914" i="3"/>
  <c r="T1915" i="3"/>
  <c r="T1916" i="3"/>
  <c r="T1917" i="3"/>
  <c r="T1918" i="3"/>
  <c r="T1919" i="3"/>
  <c r="T1920" i="3"/>
  <c r="T1921" i="3"/>
  <c r="T1922" i="3"/>
  <c r="T1923" i="3"/>
  <c r="T1924" i="3"/>
  <c r="T1925" i="3"/>
  <c r="T1926" i="3"/>
  <c r="T1927" i="3"/>
  <c r="T1928" i="3"/>
  <c r="T1929" i="3"/>
  <c r="T1930" i="3"/>
  <c r="T1931" i="3"/>
  <c r="T1932" i="3"/>
  <c r="T1933" i="3"/>
  <c r="T1934" i="3"/>
  <c r="T1935" i="3"/>
  <c r="T1936" i="3"/>
  <c r="T1937" i="3"/>
  <c r="T1938" i="3"/>
  <c r="T1939" i="3"/>
  <c r="T1940" i="3"/>
  <c r="T1941" i="3"/>
  <c r="T1942" i="3"/>
  <c r="T1943" i="3"/>
  <c r="T1944" i="3"/>
  <c r="T1945" i="3"/>
  <c r="T1946" i="3"/>
  <c r="T1947" i="3"/>
  <c r="T1948" i="3"/>
  <c r="T1949" i="3"/>
  <c r="T1950" i="3"/>
  <c r="T1951" i="3"/>
  <c r="T1952" i="3"/>
  <c r="T1953" i="3"/>
  <c r="T1954" i="3"/>
  <c r="T1955" i="3"/>
  <c r="T1956" i="3"/>
  <c r="T1957" i="3"/>
  <c r="T1958" i="3"/>
  <c r="T1959" i="3"/>
  <c r="T1960" i="3"/>
  <c r="T1961" i="3"/>
  <c r="T1962" i="3"/>
  <c r="T1963" i="3"/>
  <c r="T1964" i="3"/>
  <c r="T1965" i="3"/>
  <c r="T1966" i="3"/>
  <c r="T1967" i="3"/>
  <c r="T1968" i="3"/>
  <c r="T1969" i="3"/>
  <c r="T1970" i="3"/>
  <c r="T1971" i="3"/>
  <c r="T1972" i="3"/>
  <c r="T1973" i="3"/>
  <c r="T1974" i="3"/>
  <c r="T1975" i="3"/>
  <c r="T1976" i="3"/>
  <c r="T1977" i="3"/>
  <c r="T1978" i="3"/>
  <c r="T1979" i="3"/>
  <c r="T1980" i="3"/>
  <c r="T1981" i="3"/>
  <c r="T1982" i="3"/>
  <c r="T1983" i="3"/>
  <c r="T1984" i="3"/>
  <c r="T1985" i="3"/>
  <c r="T1986" i="3"/>
  <c r="T1987" i="3"/>
  <c r="T1988" i="3"/>
  <c r="T1989" i="3"/>
  <c r="T1990" i="3"/>
  <c r="T1991" i="3"/>
  <c r="T1992" i="3"/>
  <c r="T1993" i="3"/>
  <c r="T1994" i="3"/>
  <c r="T1995" i="3"/>
  <c r="T1996" i="3"/>
  <c r="T1997" i="3"/>
  <c r="T1998" i="3"/>
  <c r="T1999" i="3"/>
  <c r="T2000" i="3"/>
  <c r="T2001" i="3"/>
  <c r="T2002" i="3"/>
  <c r="T2003" i="3"/>
  <c r="T2004" i="3"/>
  <c r="T2005" i="3"/>
  <c r="T2006" i="3"/>
  <c r="T2007" i="3"/>
  <c r="T2008" i="3"/>
  <c r="T2009" i="3"/>
  <c r="T2010" i="3"/>
  <c r="T2011" i="3"/>
  <c r="T2012" i="3"/>
  <c r="T2013" i="3"/>
  <c r="T2014" i="3"/>
  <c r="T2015" i="3"/>
  <c r="T2016" i="3"/>
  <c r="T2017" i="3"/>
  <c r="T2018" i="3"/>
  <c r="T2019" i="3"/>
  <c r="T2020" i="3"/>
  <c r="T2021" i="3"/>
  <c r="T2022" i="3"/>
  <c r="T2023" i="3"/>
  <c r="T2024" i="3"/>
  <c r="T2025" i="3"/>
  <c r="T2026" i="3"/>
  <c r="T2027" i="3"/>
  <c r="T2028" i="3"/>
  <c r="T2029" i="3"/>
  <c r="T2030" i="3"/>
  <c r="T2031" i="3"/>
  <c r="T2032" i="3"/>
  <c r="T2033" i="3"/>
  <c r="T2034" i="3"/>
  <c r="T2035" i="3"/>
  <c r="T2036" i="3"/>
  <c r="T2037" i="3"/>
  <c r="T2038" i="3"/>
  <c r="T2039" i="3"/>
  <c r="T2040" i="3"/>
  <c r="T2041" i="3"/>
  <c r="T2042" i="3"/>
  <c r="T2043" i="3"/>
  <c r="T2044" i="3"/>
  <c r="T2045" i="3"/>
  <c r="T2046" i="3"/>
  <c r="T2047" i="3"/>
  <c r="T2048" i="3"/>
  <c r="T2049" i="3"/>
  <c r="T2050" i="3"/>
  <c r="T2051" i="3"/>
  <c r="T2052" i="3"/>
  <c r="T2053" i="3"/>
  <c r="T2054" i="3"/>
  <c r="T2055" i="3"/>
  <c r="T2056" i="3"/>
  <c r="T2057" i="3"/>
  <c r="T2058" i="3"/>
  <c r="T2059" i="3"/>
  <c r="T2060" i="3"/>
  <c r="T2061" i="3"/>
  <c r="T2062" i="3"/>
  <c r="T2063" i="3"/>
  <c r="T2064" i="3"/>
  <c r="T2065" i="3"/>
  <c r="T2066" i="3"/>
  <c r="T2067" i="3"/>
  <c r="T2068" i="3"/>
  <c r="T2069" i="3"/>
  <c r="T2070" i="3"/>
  <c r="T2071" i="3"/>
  <c r="T2072" i="3"/>
  <c r="T2073" i="3"/>
  <c r="T2074" i="3"/>
  <c r="T2075" i="3"/>
  <c r="T2076" i="3"/>
  <c r="T2077" i="3"/>
  <c r="T2078" i="3"/>
  <c r="T2079" i="3"/>
  <c r="T2080" i="3"/>
  <c r="T2081" i="3"/>
  <c r="T2082" i="3"/>
  <c r="T2083" i="3"/>
  <c r="T2084" i="3"/>
  <c r="T2085" i="3"/>
  <c r="T2086" i="3"/>
  <c r="T2087" i="3"/>
  <c r="T2088" i="3"/>
  <c r="T2089" i="3"/>
  <c r="T2090" i="3"/>
  <c r="T2091" i="3"/>
  <c r="T2092" i="3"/>
  <c r="T2093" i="3"/>
  <c r="T2094" i="3"/>
  <c r="T2095" i="3"/>
  <c r="T2096" i="3"/>
  <c r="T2097" i="3"/>
  <c r="T2098" i="3"/>
  <c r="T2099" i="3"/>
  <c r="T2100" i="3"/>
  <c r="T2101" i="3"/>
  <c r="T2102" i="3"/>
  <c r="T2103" i="3"/>
  <c r="T2104" i="3"/>
  <c r="T2105" i="3"/>
  <c r="T2106" i="3"/>
  <c r="T2107" i="3"/>
  <c r="T2108" i="3"/>
  <c r="T2109" i="3"/>
  <c r="T2110" i="3"/>
  <c r="T2111" i="3"/>
  <c r="T2112" i="3"/>
  <c r="T2113" i="3"/>
  <c r="T2114" i="3"/>
  <c r="T2115" i="3"/>
  <c r="T2116" i="3"/>
  <c r="T2117" i="3"/>
  <c r="T2118" i="3"/>
  <c r="T2119" i="3"/>
  <c r="T2120" i="3"/>
  <c r="T2121" i="3"/>
  <c r="T2122" i="3"/>
  <c r="T2123" i="3"/>
  <c r="T2124" i="3"/>
  <c r="T2125" i="3"/>
  <c r="T2126" i="3"/>
  <c r="T2127" i="3"/>
  <c r="T2128" i="3"/>
  <c r="T2129" i="3"/>
  <c r="T2130" i="3"/>
  <c r="T2131" i="3"/>
  <c r="T2132" i="3"/>
  <c r="T2133" i="3"/>
  <c r="T2134" i="3"/>
  <c r="T2135" i="3"/>
  <c r="T2136" i="3"/>
  <c r="T2137" i="3"/>
  <c r="T2138" i="3"/>
  <c r="T2139" i="3"/>
  <c r="T2140" i="3"/>
  <c r="T2141" i="3"/>
  <c r="T2142" i="3"/>
  <c r="T2143" i="3"/>
  <c r="T2144" i="3"/>
  <c r="T2145" i="3"/>
  <c r="T2146" i="3"/>
  <c r="T2147" i="3"/>
  <c r="T2148" i="3"/>
  <c r="T2149" i="3"/>
  <c r="T2150" i="3"/>
  <c r="T2151" i="3"/>
  <c r="T2152" i="3"/>
  <c r="T2153" i="3"/>
  <c r="T2154" i="3"/>
  <c r="T2155" i="3"/>
  <c r="T2156" i="3"/>
  <c r="T2157" i="3"/>
  <c r="T2158" i="3"/>
  <c r="T2159" i="3"/>
  <c r="T2160" i="3"/>
  <c r="T2161" i="3"/>
  <c r="T2162" i="3"/>
  <c r="T2163" i="3"/>
  <c r="T2164" i="3"/>
  <c r="T2165" i="3"/>
  <c r="T2166" i="3"/>
  <c r="T2167" i="3"/>
  <c r="T2168" i="3"/>
  <c r="T2169" i="3"/>
  <c r="T2170" i="3"/>
  <c r="T2171" i="3"/>
  <c r="T2172" i="3"/>
  <c r="T2173" i="3"/>
  <c r="T2174" i="3"/>
  <c r="T2175" i="3"/>
  <c r="T2176" i="3"/>
  <c r="T2177" i="3"/>
  <c r="T2178" i="3"/>
  <c r="T2179" i="3"/>
  <c r="T2180" i="3"/>
  <c r="T2181" i="3"/>
  <c r="T2182" i="3"/>
  <c r="T2183" i="3"/>
  <c r="T2184" i="3"/>
  <c r="T2185" i="3"/>
  <c r="T2186" i="3"/>
  <c r="T2187" i="3"/>
  <c r="T2188" i="3"/>
  <c r="T2189" i="3"/>
  <c r="T2190" i="3"/>
  <c r="T2191" i="3"/>
  <c r="T2192" i="3"/>
  <c r="T2193" i="3"/>
  <c r="T2194" i="3"/>
  <c r="T2195" i="3"/>
  <c r="T2196" i="3"/>
  <c r="T2197" i="3"/>
  <c r="T2198" i="3"/>
  <c r="T2199" i="3"/>
  <c r="T2200" i="3"/>
  <c r="T2201" i="3"/>
  <c r="T2202" i="3"/>
  <c r="T2203" i="3"/>
  <c r="T2204" i="3"/>
  <c r="T2205" i="3"/>
  <c r="T2206" i="3"/>
  <c r="T2207" i="3"/>
  <c r="T2208" i="3"/>
  <c r="T2209" i="3"/>
  <c r="T2210" i="3"/>
  <c r="T2211" i="3"/>
  <c r="T2212" i="3"/>
  <c r="T2213" i="3"/>
  <c r="T2214" i="3"/>
  <c r="T2215" i="3"/>
  <c r="T2216" i="3"/>
  <c r="T2217" i="3"/>
  <c r="T2218" i="3"/>
  <c r="T2219" i="3"/>
  <c r="T2220" i="3"/>
  <c r="T2221" i="3"/>
  <c r="T2222" i="3"/>
  <c r="T2223" i="3"/>
  <c r="T2224" i="3"/>
  <c r="T2225" i="3"/>
  <c r="T2226" i="3"/>
  <c r="T2227" i="3"/>
  <c r="T2228" i="3"/>
  <c r="T2229" i="3"/>
  <c r="T2230" i="3"/>
  <c r="T2231" i="3"/>
  <c r="T2232" i="3"/>
  <c r="T2233" i="3"/>
  <c r="T2234" i="3"/>
  <c r="T2235" i="3"/>
  <c r="T2236" i="3"/>
  <c r="T2237" i="3"/>
  <c r="T2238" i="3"/>
  <c r="T2239" i="3"/>
  <c r="T2240" i="3"/>
  <c r="T2241" i="3"/>
  <c r="T2242" i="3"/>
  <c r="T2243" i="3"/>
  <c r="T2244" i="3"/>
  <c r="T2245" i="3"/>
  <c r="T2246" i="3"/>
  <c r="T2247" i="3"/>
  <c r="T2248" i="3"/>
  <c r="T2249" i="3"/>
  <c r="T2250" i="3"/>
  <c r="T2251" i="3"/>
  <c r="T2252" i="3"/>
  <c r="T2253" i="3"/>
  <c r="T2254" i="3"/>
  <c r="T2255" i="3"/>
  <c r="T2256" i="3"/>
  <c r="T2257" i="3"/>
  <c r="T2258" i="3"/>
  <c r="T2259" i="3"/>
  <c r="T2260" i="3"/>
  <c r="T2261" i="3"/>
  <c r="T2262" i="3"/>
  <c r="T2263" i="3"/>
  <c r="T2264" i="3"/>
  <c r="T2265" i="3"/>
  <c r="T2266" i="3"/>
  <c r="T2267" i="3"/>
  <c r="T2268" i="3"/>
  <c r="T2269" i="3"/>
  <c r="T2270" i="3"/>
  <c r="T2271" i="3"/>
  <c r="T2272" i="3"/>
  <c r="T2273" i="3"/>
  <c r="T2274" i="3"/>
  <c r="T2275" i="3"/>
  <c r="T2276" i="3"/>
  <c r="T2277" i="3"/>
  <c r="T2278" i="3"/>
  <c r="T2279" i="3"/>
  <c r="T2280" i="3"/>
  <c r="T2281" i="3"/>
  <c r="T2282" i="3"/>
  <c r="T2283" i="3"/>
  <c r="T2284" i="3"/>
  <c r="T2285" i="3"/>
  <c r="T2286" i="3"/>
  <c r="T2287" i="3"/>
  <c r="T2288" i="3"/>
  <c r="T2289" i="3"/>
  <c r="T2290" i="3"/>
  <c r="T2291" i="3"/>
  <c r="T2292" i="3"/>
  <c r="T2293" i="3"/>
  <c r="T2294" i="3"/>
  <c r="T2295" i="3"/>
  <c r="T2296" i="3"/>
  <c r="T2297" i="3"/>
  <c r="T2298" i="3"/>
  <c r="T2299" i="3"/>
  <c r="T2300" i="3"/>
  <c r="T2301" i="3"/>
  <c r="T2302" i="3"/>
  <c r="T2303" i="3"/>
  <c r="T2304" i="3"/>
  <c r="T2305" i="3"/>
  <c r="T2306" i="3"/>
  <c r="T2307" i="3"/>
  <c r="T2308" i="3"/>
  <c r="T2309" i="3"/>
  <c r="T2310" i="3"/>
  <c r="T2311" i="3"/>
  <c r="T2312" i="3"/>
  <c r="T2313" i="3"/>
  <c r="T2314" i="3"/>
  <c r="T2315" i="3"/>
  <c r="T2316" i="3"/>
  <c r="T2317" i="3"/>
  <c r="T2318" i="3"/>
  <c r="T2319" i="3"/>
  <c r="T2320" i="3"/>
  <c r="T2321" i="3"/>
  <c r="T2322" i="3"/>
  <c r="T2323" i="3"/>
  <c r="T2324" i="3"/>
  <c r="T2325" i="3"/>
  <c r="T2326" i="3"/>
  <c r="T2327" i="3"/>
  <c r="T2328" i="3"/>
  <c r="T2329" i="3"/>
  <c r="T2330" i="3"/>
  <c r="T2331" i="3"/>
  <c r="T2332" i="3"/>
  <c r="T2333" i="3"/>
  <c r="T2334" i="3"/>
  <c r="T2335" i="3"/>
  <c r="T2336" i="3"/>
  <c r="T2337" i="3"/>
  <c r="T2338" i="3"/>
  <c r="T2339" i="3"/>
  <c r="T2340" i="3"/>
  <c r="T2341" i="3"/>
  <c r="T2342" i="3"/>
  <c r="T2343" i="3"/>
  <c r="T2344" i="3"/>
  <c r="T2345" i="3"/>
  <c r="T2346" i="3"/>
  <c r="T2347" i="3"/>
  <c r="T2348" i="3"/>
  <c r="T2349" i="3"/>
  <c r="T2350" i="3"/>
  <c r="T2351" i="3"/>
  <c r="T2352" i="3"/>
  <c r="T2353" i="3"/>
  <c r="T2354" i="3"/>
  <c r="T2355" i="3"/>
  <c r="T2356" i="3"/>
  <c r="T2357" i="3"/>
  <c r="T2358" i="3"/>
  <c r="T2359" i="3"/>
  <c r="T2360" i="3"/>
  <c r="T2361" i="3"/>
  <c r="T2362" i="3"/>
  <c r="T2363" i="3"/>
  <c r="T2364" i="3"/>
  <c r="T2365" i="3"/>
  <c r="T2366" i="3"/>
  <c r="T2367" i="3"/>
  <c r="T2368" i="3"/>
  <c r="T2369" i="3"/>
  <c r="T2370" i="3"/>
  <c r="T2371" i="3"/>
  <c r="T2372" i="3"/>
  <c r="T2373" i="3"/>
  <c r="T2374" i="3"/>
  <c r="T2375" i="3"/>
  <c r="T2376" i="3"/>
  <c r="T2377" i="3"/>
  <c r="T2378" i="3"/>
  <c r="T2379" i="3"/>
  <c r="T2380" i="3"/>
  <c r="T2381" i="3"/>
  <c r="T2382" i="3"/>
  <c r="T2383" i="3"/>
  <c r="T2384" i="3"/>
  <c r="T2385" i="3"/>
  <c r="T2386" i="3"/>
  <c r="T2387" i="3"/>
  <c r="T2388" i="3"/>
  <c r="T2389" i="3"/>
  <c r="T2390" i="3"/>
  <c r="T2391" i="3"/>
  <c r="T2392" i="3"/>
  <c r="T2393" i="3"/>
  <c r="T2394" i="3"/>
  <c r="T2395" i="3"/>
  <c r="T2396" i="3"/>
  <c r="T2397" i="3"/>
  <c r="T2398" i="3"/>
  <c r="T2399" i="3"/>
  <c r="T2400" i="3"/>
  <c r="T2401" i="3"/>
  <c r="T2402" i="3"/>
  <c r="T2403" i="3"/>
  <c r="T2404" i="3"/>
  <c r="T2405" i="3"/>
  <c r="T2406" i="3"/>
  <c r="T2407" i="3"/>
  <c r="T2408" i="3"/>
  <c r="T2409" i="3"/>
  <c r="T2410" i="3"/>
  <c r="T2411" i="3"/>
  <c r="T2412" i="3"/>
  <c r="T2413" i="3"/>
  <c r="T2414" i="3"/>
  <c r="T2415" i="3"/>
  <c r="T2416" i="3"/>
  <c r="T2417" i="3"/>
  <c r="T2418" i="3"/>
  <c r="T2419" i="3"/>
  <c r="T2420" i="3"/>
  <c r="T2421" i="3"/>
  <c r="T2422" i="3"/>
  <c r="T2423" i="3"/>
  <c r="T2424" i="3"/>
  <c r="T2425" i="3"/>
  <c r="T2426" i="3"/>
  <c r="T2427" i="3"/>
  <c r="T2428" i="3"/>
  <c r="T2429" i="3"/>
  <c r="T2430" i="3"/>
  <c r="T2431" i="3"/>
  <c r="T2432" i="3"/>
  <c r="T2433" i="3"/>
  <c r="T2434" i="3"/>
  <c r="T2435" i="3"/>
  <c r="T2436" i="3"/>
  <c r="T2437" i="3"/>
  <c r="T2438" i="3"/>
  <c r="T2439" i="3"/>
  <c r="T2440" i="3"/>
  <c r="T2441" i="3"/>
  <c r="T2442" i="3"/>
  <c r="T2443" i="3"/>
  <c r="T2444" i="3"/>
  <c r="T2445" i="3"/>
  <c r="T2446" i="3"/>
  <c r="T2447" i="3"/>
  <c r="T2448" i="3"/>
  <c r="T2449" i="3"/>
  <c r="T2450" i="3"/>
  <c r="T2451" i="3"/>
  <c r="T2452" i="3"/>
  <c r="T2453" i="3"/>
  <c r="T2454" i="3"/>
  <c r="T2455" i="3"/>
  <c r="T2456" i="3"/>
  <c r="T2457" i="3"/>
  <c r="T2458" i="3"/>
  <c r="T2459" i="3"/>
  <c r="T2460" i="3"/>
  <c r="T2461" i="3"/>
  <c r="T2462" i="3"/>
  <c r="T2463" i="3"/>
  <c r="T2464" i="3"/>
  <c r="T2465" i="3"/>
  <c r="T2466" i="3"/>
  <c r="T2467" i="3"/>
  <c r="T2468" i="3"/>
  <c r="T2469" i="3"/>
  <c r="T2470" i="3"/>
  <c r="T2471" i="3"/>
  <c r="T2472" i="3"/>
  <c r="T2473" i="3"/>
  <c r="T2474" i="3"/>
  <c r="T2475" i="3"/>
  <c r="T2476" i="3"/>
  <c r="T2477" i="3"/>
  <c r="T2478" i="3"/>
  <c r="T2479" i="3"/>
  <c r="T2480" i="3"/>
  <c r="T2481" i="3"/>
  <c r="T2482" i="3"/>
  <c r="T2483" i="3"/>
  <c r="T2484" i="3"/>
  <c r="T2485" i="3"/>
  <c r="T2486" i="3"/>
  <c r="T2487" i="3"/>
  <c r="T2488" i="3"/>
  <c r="T2489" i="3"/>
  <c r="T2490" i="3"/>
  <c r="T2491" i="3"/>
  <c r="T2492" i="3"/>
  <c r="T2493" i="3"/>
  <c r="T2494" i="3"/>
  <c r="T2495" i="3"/>
  <c r="T2496" i="3"/>
  <c r="T2497" i="3"/>
  <c r="T2498" i="3"/>
  <c r="T2499" i="3"/>
  <c r="T2500" i="3"/>
  <c r="T2501" i="3"/>
  <c r="T2502" i="3"/>
  <c r="T2503" i="3"/>
  <c r="T2504" i="3"/>
  <c r="T2505" i="3"/>
  <c r="T2506" i="3"/>
  <c r="T2507" i="3"/>
  <c r="T2508" i="3"/>
  <c r="T2509" i="3"/>
  <c r="T2510" i="3"/>
  <c r="T2511" i="3"/>
  <c r="T2512" i="3"/>
  <c r="T2513" i="3"/>
  <c r="T2514" i="3"/>
  <c r="T2515" i="3"/>
  <c r="T2516" i="3"/>
  <c r="T2517" i="3"/>
  <c r="T2518" i="3"/>
  <c r="T2519" i="3"/>
  <c r="T2520" i="3"/>
  <c r="T2521" i="3"/>
  <c r="T2522" i="3"/>
  <c r="T2523" i="3"/>
  <c r="T2524" i="3"/>
  <c r="T2525" i="3"/>
  <c r="T2526" i="3"/>
  <c r="T2527" i="3"/>
  <c r="T2528" i="3"/>
  <c r="T2529" i="3"/>
  <c r="T2530" i="3"/>
  <c r="T2531" i="3"/>
  <c r="T2532" i="3"/>
  <c r="T2533" i="3"/>
  <c r="T2534" i="3"/>
  <c r="T2535" i="3"/>
  <c r="T2536" i="3"/>
  <c r="T2537" i="3"/>
  <c r="T2538" i="3"/>
  <c r="T2539" i="3"/>
  <c r="T2540" i="3"/>
  <c r="T2541" i="3"/>
  <c r="T2542" i="3"/>
  <c r="T2543" i="3"/>
  <c r="T2544" i="3"/>
  <c r="T2545" i="3"/>
  <c r="T2546" i="3"/>
  <c r="T2547" i="3"/>
  <c r="T2548" i="3"/>
  <c r="T2549" i="3"/>
  <c r="T2550" i="3"/>
  <c r="T2551" i="3"/>
  <c r="T2552" i="3"/>
  <c r="T2553" i="3"/>
  <c r="T2554" i="3"/>
  <c r="T2555" i="3"/>
  <c r="T2556" i="3"/>
  <c r="T2557" i="3"/>
  <c r="T2558" i="3"/>
  <c r="T2559" i="3"/>
  <c r="T2560" i="3"/>
  <c r="T2561" i="3"/>
  <c r="T2562" i="3"/>
  <c r="T2563" i="3"/>
  <c r="T2564" i="3"/>
  <c r="T2565" i="3"/>
  <c r="T2566" i="3"/>
  <c r="T2567" i="3"/>
  <c r="T2568" i="3"/>
  <c r="T2569" i="3"/>
  <c r="T2570" i="3"/>
  <c r="T2571" i="3"/>
  <c r="T2572" i="3"/>
  <c r="T2573" i="3"/>
  <c r="T2574" i="3"/>
  <c r="T2575" i="3"/>
  <c r="T983" i="3"/>
  <c r="H984" i="3"/>
  <c r="H985" i="3"/>
  <c r="H986" i="3"/>
  <c r="H987" i="3"/>
  <c r="H988" i="3"/>
  <c r="H989" i="3"/>
  <c r="H990" i="3"/>
  <c r="H991" i="3"/>
  <c r="H992" i="3"/>
  <c r="H993" i="3"/>
  <c r="H994" i="3"/>
  <c r="H995" i="3"/>
  <c r="H996" i="3"/>
  <c r="H997" i="3"/>
  <c r="H998" i="3"/>
  <c r="H999" i="3"/>
  <c r="H1000" i="3"/>
  <c r="H1001" i="3"/>
  <c r="H1002" i="3"/>
  <c r="H1003" i="3"/>
  <c r="H1004" i="3"/>
  <c r="H1005" i="3"/>
  <c r="H1006" i="3"/>
  <c r="H1007" i="3"/>
  <c r="H1008" i="3"/>
  <c r="H1009" i="3"/>
  <c r="H1010" i="3"/>
  <c r="H1011" i="3"/>
  <c r="H1012" i="3"/>
  <c r="H1013" i="3"/>
  <c r="H1014" i="3"/>
  <c r="H1015" i="3"/>
  <c r="H1016" i="3"/>
  <c r="H1017" i="3"/>
  <c r="H1018" i="3"/>
  <c r="H1019" i="3"/>
  <c r="H1020" i="3"/>
  <c r="H1021" i="3"/>
  <c r="H1022" i="3"/>
  <c r="H1023" i="3"/>
  <c r="H1024" i="3"/>
  <c r="H1025" i="3"/>
  <c r="H1026" i="3"/>
  <c r="H1027" i="3"/>
  <c r="H1028" i="3"/>
  <c r="H1029" i="3"/>
  <c r="H1030" i="3"/>
  <c r="H1031" i="3"/>
  <c r="H1032" i="3"/>
  <c r="H1033" i="3"/>
  <c r="H1034" i="3"/>
  <c r="H1035" i="3"/>
  <c r="H1036" i="3"/>
  <c r="H1037" i="3"/>
  <c r="H1038" i="3"/>
  <c r="H1039" i="3"/>
  <c r="H1040" i="3"/>
  <c r="H1041" i="3"/>
  <c r="H1042" i="3"/>
  <c r="H1043" i="3"/>
  <c r="H1044" i="3"/>
  <c r="H1045" i="3"/>
  <c r="H1046" i="3"/>
  <c r="H1047" i="3"/>
  <c r="H1048" i="3"/>
  <c r="H1049" i="3"/>
  <c r="H1050" i="3"/>
  <c r="H1051" i="3"/>
  <c r="H1052" i="3"/>
  <c r="H1053" i="3"/>
  <c r="H1054" i="3"/>
  <c r="H1055" i="3"/>
  <c r="H1056" i="3"/>
  <c r="H1057" i="3"/>
  <c r="H1058" i="3"/>
  <c r="H1059" i="3"/>
  <c r="H1060" i="3"/>
  <c r="H1061" i="3"/>
  <c r="H1062" i="3"/>
  <c r="H1063" i="3"/>
  <c r="H1064" i="3"/>
  <c r="H1065" i="3"/>
  <c r="H1066" i="3"/>
  <c r="H1067" i="3"/>
  <c r="H1068" i="3"/>
  <c r="H1069" i="3"/>
  <c r="H1070" i="3"/>
  <c r="H1071" i="3"/>
  <c r="H1072" i="3"/>
  <c r="H1073" i="3"/>
  <c r="H1074" i="3"/>
  <c r="H1075" i="3"/>
  <c r="H1076" i="3"/>
  <c r="H1077" i="3"/>
  <c r="H1078" i="3"/>
  <c r="H1079" i="3"/>
  <c r="H1080" i="3"/>
  <c r="H1081" i="3"/>
  <c r="H1082" i="3"/>
  <c r="H1083" i="3"/>
  <c r="H1084" i="3"/>
  <c r="H1085" i="3"/>
  <c r="H1086" i="3"/>
  <c r="H1087" i="3"/>
  <c r="H1088" i="3"/>
  <c r="H1089" i="3"/>
  <c r="H1090" i="3"/>
  <c r="H1091" i="3"/>
  <c r="H1092" i="3"/>
  <c r="H1093" i="3"/>
  <c r="H1094" i="3"/>
  <c r="H1095" i="3"/>
  <c r="H1096" i="3"/>
  <c r="H1097" i="3"/>
  <c r="H1098" i="3"/>
  <c r="H1099" i="3"/>
  <c r="H1100" i="3"/>
  <c r="H1101" i="3"/>
  <c r="H1102" i="3"/>
  <c r="H1103" i="3"/>
  <c r="H1104" i="3"/>
  <c r="H1105" i="3"/>
  <c r="H1106" i="3"/>
  <c r="H1107" i="3"/>
  <c r="H1108" i="3"/>
  <c r="H1109" i="3"/>
  <c r="H1110" i="3"/>
  <c r="H1111" i="3"/>
  <c r="H1112" i="3"/>
  <c r="H1113" i="3"/>
  <c r="H1114" i="3"/>
  <c r="H1115" i="3"/>
  <c r="H1116" i="3"/>
  <c r="H1117" i="3"/>
  <c r="H1118" i="3"/>
  <c r="H1119" i="3"/>
  <c r="H1120" i="3"/>
  <c r="H1121" i="3"/>
  <c r="H1122" i="3"/>
  <c r="H1123" i="3"/>
  <c r="H1124" i="3"/>
  <c r="H1125" i="3"/>
  <c r="H1126" i="3"/>
  <c r="H1127" i="3"/>
  <c r="H1128" i="3"/>
  <c r="H1129" i="3"/>
  <c r="H1130" i="3"/>
  <c r="H1131" i="3"/>
  <c r="H1132" i="3"/>
  <c r="H1133" i="3"/>
  <c r="H1134" i="3"/>
  <c r="H1135" i="3"/>
  <c r="H1136" i="3"/>
  <c r="H1137" i="3"/>
  <c r="H1138" i="3"/>
  <c r="H1139" i="3"/>
  <c r="H1140" i="3"/>
  <c r="H1141" i="3"/>
  <c r="H1142" i="3"/>
  <c r="H1143" i="3"/>
  <c r="H1144" i="3"/>
  <c r="H1145" i="3"/>
  <c r="H1146" i="3"/>
  <c r="H1147" i="3"/>
  <c r="H1148" i="3"/>
  <c r="H1149" i="3"/>
  <c r="H1150" i="3"/>
  <c r="H1151" i="3"/>
  <c r="H1152" i="3"/>
  <c r="H1153" i="3"/>
  <c r="H1154" i="3"/>
  <c r="H1155" i="3"/>
  <c r="H1156" i="3"/>
  <c r="H1157" i="3"/>
  <c r="H1158" i="3"/>
  <c r="H1159" i="3"/>
  <c r="H1160" i="3"/>
  <c r="H1161" i="3"/>
  <c r="H1162" i="3"/>
  <c r="H1163" i="3"/>
  <c r="H1164" i="3"/>
  <c r="H1165" i="3"/>
  <c r="H1166" i="3"/>
  <c r="H1167" i="3"/>
  <c r="H1168" i="3"/>
  <c r="H1169" i="3"/>
  <c r="H1170" i="3"/>
  <c r="H1171" i="3"/>
  <c r="H1172" i="3"/>
  <c r="H1173" i="3"/>
  <c r="H1174" i="3"/>
  <c r="H1175" i="3"/>
  <c r="H1176" i="3"/>
  <c r="H1177" i="3"/>
  <c r="H1178" i="3"/>
  <c r="H1179" i="3"/>
  <c r="H1180" i="3"/>
  <c r="H1181" i="3"/>
  <c r="H1182" i="3"/>
  <c r="H1183" i="3"/>
  <c r="H1184" i="3"/>
  <c r="H1185" i="3"/>
  <c r="H1186" i="3"/>
  <c r="H1187" i="3"/>
  <c r="H1188" i="3"/>
  <c r="H1189" i="3"/>
  <c r="H1190" i="3"/>
  <c r="H1191" i="3"/>
  <c r="H1192" i="3"/>
  <c r="H1193" i="3"/>
  <c r="H1194" i="3"/>
  <c r="H1195" i="3"/>
  <c r="H1196" i="3"/>
  <c r="H1197" i="3"/>
  <c r="H1198" i="3"/>
  <c r="H1199" i="3"/>
  <c r="H1200" i="3"/>
  <c r="H1201" i="3"/>
  <c r="H1202" i="3"/>
  <c r="H1203" i="3"/>
  <c r="H1204" i="3"/>
  <c r="H1205" i="3"/>
  <c r="H1206" i="3"/>
  <c r="H1207" i="3"/>
  <c r="H1208" i="3"/>
  <c r="H1209" i="3"/>
  <c r="H1210" i="3"/>
  <c r="H1211" i="3"/>
  <c r="H1212" i="3"/>
  <c r="H1213" i="3"/>
  <c r="H1214" i="3"/>
  <c r="H1215" i="3"/>
  <c r="H1216" i="3"/>
  <c r="H1217" i="3"/>
  <c r="H1218" i="3"/>
  <c r="H1219" i="3"/>
  <c r="H1220" i="3"/>
  <c r="H1221" i="3"/>
  <c r="H1222" i="3"/>
  <c r="H1223" i="3"/>
  <c r="H1224" i="3"/>
  <c r="H1225" i="3"/>
  <c r="H1226" i="3"/>
  <c r="H1227" i="3"/>
  <c r="H1228" i="3"/>
  <c r="H1229" i="3"/>
  <c r="H1230" i="3"/>
  <c r="H1231" i="3"/>
  <c r="H1232" i="3"/>
  <c r="H1233" i="3"/>
  <c r="H1234" i="3"/>
  <c r="H1235" i="3"/>
  <c r="H1236" i="3"/>
  <c r="H1237" i="3"/>
  <c r="H1238" i="3"/>
  <c r="H1239" i="3"/>
  <c r="H1240" i="3"/>
  <c r="H1241" i="3"/>
  <c r="H1242" i="3"/>
  <c r="H1243" i="3"/>
  <c r="H1244" i="3"/>
  <c r="H1245" i="3"/>
  <c r="H1246" i="3"/>
  <c r="H1247" i="3"/>
  <c r="H1248" i="3"/>
  <c r="H1249" i="3"/>
  <c r="H1250" i="3"/>
  <c r="H1251" i="3"/>
  <c r="H1252" i="3"/>
  <c r="H1253" i="3"/>
  <c r="H1254" i="3"/>
  <c r="H1255" i="3"/>
  <c r="H1256" i="3"/>
  <c r="H1257" i="3"/>
  <c r="H1258" i="3"/>
  <c r="H1259" i="3"/>
  <c r="H1260" i="3"/>
  <c r="H1261" i="3"/>
  <c r="H1262" i="3"/>
  <c r="H1263" i="3"/>
  <c r="H1264" i="3"/>
  <c r="H1265" i="3"/>
  <c r="H1266" i="3"/>
  <c r="H1267" i="3"/>
  <c r="H1268" i="3"/>
  <c r="H1269" i="3"/>
  <c r="H1270" i="3"/>
  <c r="H1271" i="3"/>
  <c r="H1272" i="3"/>
  <c r="H1273" i="3"/>
  <c r="H1274" i="3"/>
  <c r="H1275" i="3"/>
  <c r="H1276" i="3"/>
  <c r="H1277" i="3"/>
  <c r="H1278" i="3"/>
  <c r="H1279" i="3"/>
  <c r="H1280" i="3"/>
  <c r="H1281" i="3"/>
  <c r="H1282" i="3"/>
  <c r="H1283" i="3"/>
  <c r="H1284" i="3"/>
  <c r="H1285" i="3"/>
  <c r="H1286" i="3"/>
  <c r="H1287" i="3"/>
  <c r="H1288" i="3"/>
  <c r="H1289" i="3"/>
  <c r="H1290" i="3"/>
  <c r="H1291" i="3"/>
  <c r="H1292" i="3"/>
  <c r="H1293" i="3"/>
  <c r="H1294" i="3"/>
  <c r="H1295" i="3"/>
  <c r="H1296" i="3"/>
  <c r="H1297" i="3"/>
  <c r="H1298" i="3"/>
  <c r="H1299" i="3"/>
  <c r="H1300" i="3"/>
  <c r="H1301" i="3"/>
  <c r="H1302" i="3"/>
  <c r="H1303" i="3"/>
  <c r="H1304" i="3"/>
  <c r="H1305" i="3"/>
  <c r="H1306" i="3"/>
  <c r="H1307" i="3"/>
  <c r="H1308" i="3"/>
  <c r="H1309" i="3"/>
  <c r="H1310" i="3"/>
  <c r="H1311" i="3"/>
  <c r="H1312" i="3"/>
  <c r="H1313" i="3"/>
  <c r="H1314" i="3"/>
  <c r="H1315" i="3"/>
  <c r="H1316" i="3"/>
  <c r="H1317" i="3"/>
  <c r="H1318" i="3"/>
  <c r="H1319" i="3"/>
  <c r="H1320" i="3"/>
  <c r="H1321" i="3"/>
  <c r="H1322" i="3"/>
  <c r="H1323" i="3"/>
  <c r="H1324" i="3"/>
  <c r="H1325" i="3"/>
  <c r="H1326" i="3"/>
  <c r="H1327" i="3"/>
  <c r="H1328" i="3"/>
  <c r="H1329" i="3"/>
  <c r="H1330" i="3"/>
  <c r="H1331" i="3"/>
  <c r="H1332" i="3"/>
  <c r="H1333" i="3"/>
  <c r="H1334" i="3"/>
  <c r="H1335" i="3"/>
  <c r="H1336" i="3"/>
  <c r="H1337" i="3"/>
  <c r="H1338" i="3"/>
  <c r="H1339" i="3"/>
  <c r="H1340" i="3"/>
  <c r="H1341" i="3"/>
  <c r="H1342" i="3"/>
  <c r="H1343" i="3"/>
  <c r="H1344" i="3"/>
  <c r="H1345" i="3"/>
  <c r="H1346" i="3"/>
  <c r="H1347" i="3"/>
  <c r="H1348" i="3"/>
  <c r="H1349" i="3"/>
  <c r="H1350" i="3"/>
  <c r="H1351" i="3"/>
  <c r="H1352" i="3"/>
  <c r="H1353" i="3"/>
  <c r="H1354" i="3"/>
  <c r="H1355" i="3"/>
  <c r="H1356" i="3"/>
  <c r="H1357" i="3"/>
  <c r="H1358" i="3"/>
  <c r="H1359" i="3"/>
  <c r="H1360" i="3"/>
  <c r="H1361" i="3"/>
  <c r="H1362" i="3"/>
  <c r="H1363" i="3"/>
  <c r="H1364" i="3"/>
  <c r="H1365" i="3"/>
  <c r="H1366" i="3"/>
  <c r="H1367" i="3"/>
  <c r="H1368" i="3"/>
  <c r="H1369" i="3"/>
  <c r="H1370" i="3"/>
  <c r="H1371" i="3"/>
  <c r="H1372" i="3"/>
  <c r="H1373" i="3"/>
  <c r="H1374" i="3"/>
  <c r="H1375" i="3"/>
  <c r="H1376" i="3"/>
  <c r="H1377" i="3"/>
  <c r="H1378" i="3"/>
  <c r="H1379" i="3"/>
  <c r="H1380" i="3"/>
  <c r="H1381" i="3"/>
  <c r="H1382" i="3"/>
  <c r="H1383" i="3"/>
  <c r="H1384" i="3"/>
  <c r="H1385" i="3"/>
  <c r="H1386" i="3"/>
  <c r="H1387" i="3"/>
  <c r="H1388" i="3"/>
  <c r="H1389" i="3"/>
  <c r="H1390" i="3"/>
  <c r="H1391" i="3"/>
  <c r="H1392" i="3"/>
  <c r="H1393" i="3"/>
  <c r="H1394" i="3"/>
  <c r="H1395" i="3"/>
  <c r="H1396" i="3"/>
  <c r="H1397" i="3"/>
  <c r="H1398" i="3"/>
  <c r="H1399" i="3"/>
  <c r="H1400" i="3"/>
  <c r="H1401" i="3"/>
  <c r="H1402" i="3"/>
  <c r="H1403" i="3"/>
  <c r="H1404" i="3"/>
  <c r="H1405" i="3"/>
  <c r="H1406" i="3"/>
  <c r="H1407" i="3"/>
  <c r="H1408" i="3"/>
  <c r="H1409" i="3"/>
  <c r="H1410" i="3"/>
  <c r="H1411" i="3"/>
  <c r="H1412" i="3"/>
  <c r="H1413" i="3"/>
  <c r="H1414" i="3"/>
  <c r="H1415" i="3"/>
  <c r="H1416" i="3"/>
  <c r="H1417" i="3"/>
  <c r="H1418" i="3"/>
  <c r="H1419" i="3"/>
  <c r="H1420" i="3"/>
  <c r="H1421" i="3"/>
  <c r="H1422" i="3"/>
  <c r="H1423" i="3"/>
  <c r="H1424" i="3"/>
  <c r="H1425" i="3"/>
  <c r="H1426" i="3"/>
  <c r="H1427" i="3"/>
  <c r="H1428" i="3"/>
  <c r="H1429" i="3"/>
  <c r="H1430" i="3"/>
  <c r="H1431" i="3"/>
  <c r="H1432" i="3"/>
  <c r="H1433" i="3"/>
  <c r="H1434" i="3"/>
  <c r="H1435" i="3"/>
  <c r="H1436" i="3"/>
  <c r="H1437" i="3"/>
  <c r="H1438" i="3"/>
  <c r="H1439" i="3"/>
  <c r="H1440" i="3"/>
  <c r="H1441" i="3"/>
  <c r="H1442" i="3"/>
  <c r="H1443" i="3"/>
  <c r="H1444" i="3"/>
  <c r="H1445" i="3"/>
  <c r="H1446" i="3"/>
  <c r="H1447" i="3"/>
  <c r="H1448" i="3"/>
  <c r="H1449" i="3"/>
  <c r="H1450" i="3"/>
  <c r="H1451" i="3"/>
  <c r="H1452" i="3"/>
  <c r="H1453" i="3"/>
  <c r="H1454" i="3"/>
  <c r="H1455" i="3"/>
  <c r="H1456" i="3"/>
  <c r="H1457" i="3"/>
  <c r="H1458" i="3"/>
  <c r="H1459" i="3"/>
  <c r="H1460" i="3"/>
  <c r="H1461" i="3"/>
  <c r="H1462" i="3"/>
  <c r="H1463" i="3"/>
  <c r="H1464" i="3"/>
  <c r="H1465" i="3"/>
  <c r="H1466" i="3"/>
  <c r="H1467" i="3"/>
  <c r="H1468" i="3"/>
  <c r="H1469" i="3"/>
  <c r="H1470" i="3"/>
  <c r="H1471" i="3"/>
  <c r="H1472" i="3"/>
  <c r="H1473" i="3"/>
  <c r="H1474" i="3"/>
  <c r="H1475" i="3"/>
  <c r="H1476" i="3"/>
  <c r="H1477" i="3"/>
  <c r="H1478" i="3"/>
  <c r="H1479" i="3"/>
  <c r="H1480" i="3"/>
  <c r="H1481" i="3"/>
  <c r="H1482" i="3"/>
  <c r="H1483" i="3"/>
  <c r="H1484" i="3"/>
  <c r="H1485" i="3"/>
  <c r="H1486" i="3"/>
  <c r="H1487" i="3"/>
  <c r="H1488" i="3"/>
  <c r="H1489" i="3"/>
  <c r="H1490" i="3"/>
  <c r="H1491" i="3"/>
  <c r="H1492" i="3"/>
  <c r="H1493" i="3"/>
  <c r="H1494" i="3"/>
  <c r="H1495" i="3"/>
  <c r="H1496" i="3"/>
  <c r="H1497" i="3"/>
  <c r="H1498" i="3"/>
  <c r="H1499" i="3"/>
  <c r="H1500" i="3"/>
  <c r="H1501" i="3"/>
  <c r="H1502" i="3"/>
  <c r="H1503" i="3"/>
  <c r="H1504" i="3"/>
  <c r="H1505" i="3"/>
  <c r="H1506" i="3"/>
  <c r="H1507" i="3"/>
  <c r="H1508" i="3"/>
  <c r="H1509" i="3"/>
  <c r="H1510" i="3"/>
  <c r="H1511" i="3"/>
  <c r="H1512" i="3"/>
  <c r="H1513" i="3"/>
  <c r="H1514" i="3"/>
  <c r="H1515" i="3"/>
  <c r="H1516" i="3"/>
  <c r="H1517" i="3"/>
  <c r="H1518" i="3"/>
  <c r="H1519" i="3"/>
  <c r="H1520" i="3"/>
  <c r="H1521" i="3"/>
  <c r="H1522" i="3"/>
  <c r="H1523" i="3"/>
  <c r="H1524" i="3"/>
  <c r="H1525" i="3"/>
  <c r="H1526" i="3"/>
  <c r="H1527" i="3"/>
  <c r="H1528" i="3"/>
  <c r="H1529" i="3"/>
  <c r="H1530" i="3"/>
  <c r="H1531" i="3"/>
  <c r="H1532" i="3"/>
  <c r="H1533" i="3"/>
  <c r="H1534" i="3"/>
  <c r="H1535" i="3"/>
  <c r="H1536" i="3"/>
  <c r="H1537" i="3"/>
  <c r="H1538" i="3"/>
  <c r="H1539" i="3"/>
  <c r="H1540" i="3"/>
  <c r="H1541" i="3"/>
  <c r="H1542" i="3"/>
  <c r="H1543" i="3"/>
  <c r="H1544" i="3"/>
  <c r="H1545" i="3"/>
  <c r="H1546" i="3"/>
  <c r="H1547" i="3"/>
  <c r="H1548" i="3"/>
  <c r="H1549" i="3"/>
  <c r="H1550" i="3"/>
  <c r="H1551" i="3"/>
  <c r="H1552" i="3"/>
  <c r="H1553" i="3"/>
  <c r="H1554" i="3"/>
  <c r="H1555" i="3"/>
  <c r="H1556" i="3"/>
  <c r="H1557" i="3"/>
  <c r="H1558" i="3"/>
  <c r="H1559" i="3"/>
  <c r="H1560" i="3"/>
  <c r="H1561" i="3"/>
  <c r="H1562" i="3"/>
  <c r="H1563" i="3"/>
  <c r="H1564" i="3"/>
  <c r="H1565" i="3"/>
  <c r="H1566" i="3"/>
  <c r="H1567" i="3"/>
  <c r="H1568" i="3"/>
  <c r="H1569" i="3"/>
  <c r="H1570" i="3"/>
  <c r="H1571" i="3"/>
  <c r="H1572" i="3"/>
  <c r="H1573" i="3"/>
  <c r="H1574" i="3"/>
  <c r="H1575" i="3"/>
  <c r="H1576" i="3"/>
  <c r="H1577" i="3"/>
  <c r="H1578" i="3"/>
  <c r="H1579" i="3"/>
  <c r="H1580" i="3"/>
  <c r="H1581" i="3"/>
  <c r="H1582" i="3"/>
  <c r="H1583" i="3"/>
  <c r="H1584" i="3"/>
  <c r="H1585" i="3"/>
  <c r="H1586" i="3"/>
  <c r="H1587" i="3"/>
  <c r="H1588" i="3"/>
  <c r="H1589" i="3"/>
  <c r="H1590" i="3"/>
  <c r="H1591" i="3"/>
  <c r="H1592" i="3"/>
  <c r="H1593" i="3"/>
  <c r="H1594" i="3"/>
  <c r="H1595" i="3"/>
  <c r="H1596" i="3"/>
  <c r="H1597" i="3"/>
  <c r="H1598" i="3"/>
  <c r="H1599" i="3"/>
  <c r="H1600" i="3"/>
  <c r="H1601" i="3"/>
  <c r="H1602" i="3"/>
  <c r="H1603" i="3"/>
  <c r="H1604" i="3"/>
  <c r="H1605" i="3"/>
  <c r="H1606" i="3"/>
  <c r="H1607" i="3"/>
  <c r="H1608" i="3"/>
  <c r="H1609" i="3"/>
  <c r="H1610" i="3"/>
  <c r="H1611" i="3"/>
  <c r="H1612" i="3"/>
  <c r="H1613" i="3"/>
  <c r="H1614" i="3"/>
  <c r="H1615" i="3"/>
  <c r="H1616" i="3"/>
  <c r="H1617" i="3"/>
  <c r="H1618" i="3"/>
  <c r="H1619" i="3"/>
  <c r="H1620" i="3"/>
  <c r="H1621" i="3"/>
  <c r="H1622" i="3"/>
  <c r="H1623" i="3"/>
  <c r="H1624" i="3"/>
  <c r="H1625" i="3"/>
  <c r="H1626" i="3"/>
  <c r="H1627" i="3"/>
  <c r="H1628" i="3"/>
  <c r="H1629" i="3"/>
  <c r="H1630" i="3"/>
  <c r="H1631" i="3"/>
  <c r="H1632" i="3"/>
  <c r="H1633" i="3"/>
  <c r="H1634" i="3"/>
  <c r="H1635" i="3"/>
  <c r="H1636" i="3"/>
  <c r="H1637" i="3"/>
  <c r="H1638" i="3"/>
  <c r="H1639" i="3"/>
  <c r="H1640" i="3"/>
  <c r="H1641" i="3"/>
  <c r="H1642" i="3"/>
  <c r="H1643" i="3"/>
  <c r="H1644" i="3"/>
  <c r="H1645" i="3"/>
  <c r="H1646" i="3"/>
  <c r="H1647" i="3"/>
  <c r="H1648" i="3"/>
  <c r="H1649" i="3"/>
  <c r="H1650" i="3"/>
  <c r="H1651" i="3"/>
  <c r="H1652" i="3"/>
  <c r="H1653" i="3"/>
  <c r="H1654" i="3"/>
  <c r="H1655" i="3"/>
  <c r="H1656" i="3"/>
  <c r="H1657" i="3"/>
  <c r="H1658" i="3"/>
  <c r="H1659" i="3"/>
  <c r="H1660" i="3"/>
  <c r="H1661" i="3"/>
  <c r="H1662" i="3"/>
  <c r="H1663" i="3"/>
  <c r="H1664" i="3"/>
  <c r="H1665" i="3"/>
  <c r="H1666" i="3"/>
  <c r="H1667" i="3"/>
  <c r="H1668" i="3"/>
  <c r="H1669" i="3"/>
  <c r="H1670" i="3"/>
  <c r="H1671" i="3"/>
  <c r="H1672" i="3"/>
  <c r="H1673" i="3"/>
  <c r="H1674" i="3"/>
  <c r="H1675" i="3"/>
  <c r="H1676" i="3"/>
  <c r="H1677" i="3"/>
  <c r="H1678" i="3"/>
  <c r="H1679" i="3"/>
  <c r="H1680" i="3"/>
  <c r="H1681" i="3"/>
  <c r="H1682" i="3"/>
  <c r="H1683" i="3"/>
  <c r="H1684" i="3"/>
  <c r="H1685" i="3"/>
  <c r="H1686" i="3"/>
  <c r="H1687" i="3"/>
  <c r="H1688" i="3"/>
  <c r="H1689" i="3"/>
  <c r="H1690" i="3"/>
  <c r="H1691" i="3"/>
  <c r="H1692" i="3"/>
  <c r="H1693" i="3"/>
  <c r="H1694" i="3"/>
  <c r="H1695" i="3"/>
  <c r="H1696" i="3"/>
  <c r="H1697" i="3"/>
  <c r="H1698" i="3"/>
  <c r="H1699" i="3"/>
  <c r="H1700" i="3"/>
  <c r="H1701" i="3"/>
  <c r="H1702" i="3"/>
  <c r="H1703" i="3"/>
  <c r="H1704" i="3"/>
  <c r="H1705" i="3"/>
  <c r="H1706" i="3"/>
  <c r="H1707" i="3"/>
  <c r="H1708" i="3"/>
  <c r="H1709" i="3"/>
  <c r="H1710" i="3"/>
  <c r="H1711" i="3"/>
  <c r="H1712" i="3"/>
  <c r="H1713" i="3"/>
  <c r="H1714" i="3"/>
  <c r="H1715" i="3"/>
  <c r="H1716" i="3"/>
  <c r="H1717" i="3"/>
  <c r="H1718" i="3"/>
  <c r="H1719" i="3"/>
  <c r="H1720" i="3"/>
  <c r="H1721" i="3"/>
  <c r="H1722" i="3"/>
  <c r="H1723" i="3"/>
  <c r="H1724" i="3"/>
  <c r="H1725" i="3"/>
  <c r="H1726" i="3"/>
  <c r="H1727" i="3"/>
  <c r="H1728" i="3"/>
  <c r="H1729" i="3"/>
  <c r="H1730" i="3"/>
  <c r="H1731" i="3"/>
  <c r="H1732" i="3"/>
  <c r="H1733" i="3"/>
  <c r="H1734" i="3"/>
  <c r="H1735" i="3"/>
  <c r="H1736" i="3"/>
  <c r="H1737" i="3"/>
  <c r="H1738" i="3"/>
  <c r="H1739" i="3"/>
  <c r="H1740" i="3"/>
  <c r="H1741" i="3"/>
  <c r="H1742" i="3"/>
  <c r="H1743" i="3"/>
  <c r="H1744" i="3"/>
  <c r="H1745" i="3"/>
  <c r="H1746" i="3"/>
  <c r="H1747" i="3"/>
  <c r="H1748" i="3"/>
  <c r="H1749" i="3"/>
  <c r="H1750" i="3"/>
  <c r="H1751" i="3"/>
  <c r="H1752" i="3"/>
  <c r="H1753" i="3"/>
  <c r="H1754" i="3"/>
  <c r="H1755" i="3"/>
  <c r="H1756" i="3"/>
  <c r="H1757" i="3"/>
  <c r="H1758" i="3"/>
  <c r="H1759" i="3"/>
  <c r="H1760" i="3"/>
  <c r="H1761" i="3"/>
  <c r="H1762" i="3"/>
  <c r="H1763" i="3"/>
  <c r="H1764" i="3"/>
  <c r="H1765" i="3"/>
  <c r="H1766" i="3"/>
  <c r="H1767" i="3"/>
  <c r="H1768" i="3"/>
  <c r="H1769" i="3"/>
  <c r="H1770" i="3"/>
  <c r="H1771" i="3"/>
  <c r="H1772" i="3"/>
  <c r="H1773" i="3"/>
  <c r="H1774" i="3"/>
  <c r="H1775" i="3"/>
  <c r="H1776" i="3"/>
  <c r="H1777" i="3"/>
  <c r="H1778" i="3"/>
  <c r="H1779" i="3"/>
  <c r="H1780" i="3"/>
  <c r="H1781" i="3"/>
  <c r="H1782" i="3"/>
  <c r="H1783" i="3"/>
  <c r="H1784" i="3"/>
  <c r="H1785" i="3"/>
  <c r="H1786" i="3"/>
  <c r="H1787" i="3"/>
  <c r="H1788" i="3"/>
  <c r="H1789" i="3"/>
  <c r="H1790" i="3"/>
  <c r="H1791" i="3"/>
  <c r="H1792" i="3"/>
  <c r="H1793" i="3"/>
  <c r="H1794" i="3"/>
  <c r="H1795" i="3"/>
  <c r="H1796" i="3"/>
  <c r="H1797" i="3"/>
  <c r="H1798" i="3"/>
  <c r="H1799" i="3"/>
  <c r="H1800" i="3"/>
  <c r="H1801" i="3"/>
  <c r="H1802" i="3"/>
  <c r="H1803" i="3"/>
  <c r="H1804" i="3"/>
  <c r="H1805" i="3"/>
  <c r="H1806" i="3"/>
  <c r="H1807" i="3"/>
  <c r="H1808" i="3"/>
  <c r="H1809" i="3"/>
  <c r="H1810" i="3"/>
  <c r="H1811" i="3"/>
  <c r="H1812" i="3"/>
  <c r="H1813" i="3"/>
  <c r="H1814" i="3"/>
  <c r="H1815" i="3"/>
  <c r="H1816" i="3"/>
  <c r="H1817" i="3"/>
  <c r="H1818" i="3"/>
  <c r="H1819" i="3"/>
  <c r="H1820" i="3"/>
  <c r="H1821" i="3"/>
  <c r="H1822" i="3"/>
  <c r="H1823" i="3"/>
  <c r="H1824" i="3"/>
  <c r="H1825" i="3"/>
  <c r="H1826" i="3"/>
  <c r="H1827" i="3"/>
  <c r="H1828" i="3"/>
  <c r="H1829" i="3"/>
  <c r="H1830" i="3"/>
  <c r="H1831" i="3"/>
  <c r="H1832" i="3"/>
  <c r="H1833" i="3"/>
  <c r="H1834" i="3"/>
  <c r="H1835" i="3"/>
  <c r="H1836" i="3"/>
  <c r="H1837" i="3"/>
  <c r="H1838" i="3"/>
  <c r="H1839" i="3"/>
  <c r="H1840" i="3"/>
  <c r="H1841" i="3"/>
  <c r="H1842" i="3"/>
  <c r="H1843" i="3"/>
  <c r="H1844" i="3"/>
  <c r="H1845" i="3"/>
  <c r="H1846" i="3"/>
  <c r="H1847" i="3"/>
  <c r="H1848" i="3"/>
  <c r="H1849" i="3"/>
  <c r="H1850" i="3"/>
  <c r="H1851" i="3"/>
  <c r="H1852" i="3"/>
  <c r="H1853" i="3"/>
  <c r="H1854" i="3"/>
  <c r="H1855" i="3"/>
  <c r="H1856" i="3"/>
  <c r="H1857" i="3"/>
  <c r="H1858" i="3"/>
  <c r="H1859" i="3"/>
  <c r="H1860" i="3"/>
  <c r="H1861" i="3"/>
  <c r="H1862" i="3"/>
  <c r="H1863" i="3"/>
  <c r="H1864" i="3"/>
  <c r="H1865" i="3"/>
  <c r="H1866" i="3"/>
  <c r="H1867" i="3"/>
  <c r="H1868" i="3"/>
  <c r="H1869" i="3"/>
  <c r="H1870" i="3"/>
  <c r="H1871" i="3"/>
  <c r="H1872" i="3"/>
  <c r="H1873" i="3"/>
  <c r="H1874" i="3"/>
  <c r="H1875" i="3"/>
  <c r="H1876" i="3"/>
  <c r="H1877" i="3"/>
  <c r="H1878" i="3"/>
  <c r="H1879" i="3"/>
  <c r="H1880" i="3"/>
  <c r="H1881" i="3"/>
  <c r="H1882" i="3"/>
  <c r="H1883" i="3"/>
  <c r="H1884" i="3"/>
  <c r="H1885" i="3"/>
  <c r="H1886" i="3"/>
  <c r="H1887" i="3"/>
  <c r="H1888" i="3"/>
  <c r="H1889" i="3"/>
  <c r="H1890" i="3"/>
  <c r="H1891" i="3"/>
  <c r="H1892" i="3"/>
  <c r="H1893" i="3"/>
  <c r="H1894" i="3"/>
  <c r="H1895" i="3"/>
  <c r="H1896" i="3"/>
  <c r="H1897" i="3"/>
  <c r="H1898" i="3"/>
  <c r="H1899" i="3"/>
  <c r="H1900" i="3"/>
  <c r="H1901" i="3"/>
  <c r="H1902" i="3"/>
  <c r="H1903" i="3"/>
  <c r="H1904" i="3"/>
  <c r="H1905" i="3"/>
  <c r="H1906" i="3"/>
  <c r="H1907" i="3"/>
  <c r="H1908" i="3"/>
  <c r="H1909" i="3"/>
  <c r="H1910" i="3"/>
  <c r="H1911" i="3"/>
  <c r="H1912" i="3"/>
  <c r="H1913" i="3"/>
  <c r="H1914" i="3"/>
  <c r="H1915" i="3"/>
  <c r="H1916" i="3"/>
  <c r="H1917" i="3"/>
  <c r="H1918" i="3"/>
  <c r="H1919" i="3"/>
  <c r="H1920" i="3"/>
  <c r="H1921" i="3"/>
  <c r="H1922" i="3"/>
  <c r="H1923" i="3"/>
  <c r="H1924" i="3"/>
  <c r="H1925" i="3"/>
  <c r="H1926" i="3"/>
  <c r="H1927" i="3"/>
  <c r="H1928" i="3"/>
  <c r="H1929" i="3"/>
  <c r="H1930" i="3"/>
  <c r="H1931" i="3"/>
  <c r="H1932" i="3"/>
  <c r="H1933" i="3"/>
  <c r="H1934" i="3"/>
  <c r="H1935" i="3"/>
  <c r="H1936" i="3"/>
  <c r="H1937" i="3"/>
  <c r="H1938" i="3"/>
  <c r="H1939" i="3"/>
  <c r="H1940" i="3"/>
  <c r="H1941" i="3"/>
  <c r="H1942" i="3"/>
  <c r="H1943" i="3"/>
  <c r="H1944" i="3"/>
  <c r="H1945" i="3"/>
  <c r="H1946" i="3"/>
  <c r="H1947" i="3"/>
  <c r="H1948" i="3"/>
  <c r="H1949" i="3"/>
  <c r="H1950" i="3"/>
  <c r="H1951" i="3"/>
  <c r="H1952" i="3"/>
  <c r="H1953" i="3"/>
  <c r="H1954" i="3"/>
  <c r="H1955" i="3"/>
  <c r="H1956" i="3"/>
  <c r="H1957" i="3"/>
  <c r="H1958" i="3"/>
  <c r="H1959" i="3"/>
  <c r="H1960" i="3"/>
  <c r="H1961" i="3"/>
  <c r="H1962" i="3"/>
  <c r="H1963" i="3"/>
  <c r="H1964" i="3"/>
  <c r="H1965" i="3"/>
  <c r="H1966" i="3"/>
  <c r="H1967" i="3"/>
  <c r="H1968" i="3"/>
  <c r="H1969" i="3"/>
  <c r="H1970" i="3"/>
  <c r="H1971" i="3"/>
  <c r="H1972" i="3"/>
  <c r="H1973" i="3"/>
  <c r="H1974" i="3"/>
  <c r="H1975" i="3"/>
  <c r="H1976" i="3"/>
  <c r="H1977" i="3"/>
  <c r="H1978" i="3"/>
  <c r="H1979" i="3"/>
  <c r="H1980" i="3"/>
  <c r="H1981" i="3"/>
  <c r="H1982" i="3"/>
  <c r="H1983" i="3"/>
  <c r="H1984" i="3"/>
  <c r="H1985" i="3"/>
  <c r="H1986" i="3"/>
  <c r="H1987" i="3"/>
  <c r="H1988" i="3"/>
  <c r="H1989" i="3"/>
  <c r="H1990" i="3"/>
  <c r="H1991" i="3"/>
  <c r="H1992" i="3"/>
  <c r="H1993" i="3"/>
  <c r="H1994" i="3"/>
  <c r="H1995" i="3"/>
  <c r="H1996" i="3"/>
  <c r="H1997" i="3"/>
  <c r="H1998" i="3"/>
  <c r="H1999" i="3"/>
  <c r="H2000" i="3"/>
  <c r="H2001" i="3"/>
  <c r="H2002" i="3"/>
  <c r="H2003" i="3"/>
  <c r="H2004" i="3"/>
  <c r="H2005" i="3"/>
  <c r="H2006" i="3"/>
  <c r="H2007" i="3"/>
  <c r="H2008" i="3"/>
  <c r="H2009" i="3"/>
  <c r="H2010" i="3"/>
  <c r="H2011" i="3"/>
  <c r="H2012" i="3"/>
  <c r="H2013" i="3"/>
  <c r="H2014" i="3"/>
  <c r="H2015" i="3"/>
  <c r="H2016" i="3"/>
  <c r="H2017" i="3"/>
  <c r="H2018" i="3"/>
  <c r="H2019" i="3"/>
  <c r="H2020" i="3"/>
  <c r="H2021" i="3"/>
  <c r="H2022" i="3"/>
  <c r="H2023" i="3"/>
  <c r="H2024" i="3"/>
  <c r="H2025" i="3"/>
  <c r="H2026" i="3"/>
  <c r="H2027" i="3"/>
  <c r="H2028" i="3"/>
  <c r="H2029" i="3"/>
  <c r="H2030" i="3"/>
  <c r="H2031" i="3"/>
  <c r="H2032" i="3"/>
  <c r="H2033" i="3"/>
  <c r="H2034" i="3"/>
  <c r="H2035" i="3"/>
  <c r="H2036" i="3"/>
  <c r="H2037" i="3"/>
  <c r="H2038" i="3"/>
  <c r="H2039" i="3"/>
  <c r="H2040" i="3"/>
  <c r="H2041" i="3"/>
  <c r="H2042" i="3"/>
  <c r="H2043" i="3"/>
  <c r="H2044" i="3"/>
  <c r="H2045" i="3"/>
  <c r="H2046" i="3"/>
  <c r="H2047" i="3"/>
  <c r="H2048" i="3"/>
  <c r="H2049" i="3"/>
  <c r="H2050" i="3"/>
  <c r="H2051" i="3"/>
  <c r="H2052" i="3"/>
  <c r="H2053" i="3"/>
  <c r="H2054" i="3"/>
  <c r="H2055" i="3"/>
  <c r="H2056" i="3"/>
  <c r="H2057" i="3"/>
  <c r="H2058" i="3"/>
  <c r="H2059" i="3"/>
  <c r="H2060" i="3"/>
  <c r="H2061" i="3"/>
  <c r="H2062" i="3"/>
  <c r="H2063" i="3"/>
  <c r="H2064" i="3"/>
  <c r="H2065" i="3"/>
  <c r="H2066" i="3"/>
  <c r="H2067" i="3"/>
  <c r="H2068" i="3"/>
  <c r="H2069" i="3"/>
  <c r="H2070" i="3"/>
  <c r="H2071" i="3"/>
  <c r="H2072" i="3"/>
  <c r="H2073" i="3"/>
  <c r="H2074" i="3"/>
  <c r="H2075" i="3"/>
  <c r="H2076" i="3"/>
  <c r="H2077" i="3"/>
  <c r="H2078" i="3"/>
  <c r="H2079" i="3"/>
  <c r="H2080" i="3"/>
  <c r="H2081" i="3"/>
  <c r="H2082" i="3"/>
  <c r="H2083" i="3"/>
  <c r="H2084" i="3"/>
  <c r="H2085" i="3"/>
  <c r="H2086" i="3"/>
  <c r="H2087" i="3"/>
  <c r="H2088" i="3"/>
  <c r="H2089" i="3"/>
  <c r="H2090" i="3"/>
  <c r="H2091" i="3"/>
  <c r="H2092" i="3"/>
  <c r="H2093" i="3"/>
  <c r="H2094" i="3"/>
  <c r="H2095" i="3"/>
  <c r="H2096" i="3"/>
  <c r="H2097" i="3"/>
  <c r="H2098" i="3"/>
  <c r="H2099" i="3"/>
  <c r="H2100" i="3"/>
  <c r="H2101" i="3"/>
  <c r="H2102" i="3"/>
  <c r="H2103" i="3"/>
  <c r="H2104" i="3"/>
  <c r="H2105" i="3"/>
  <c r="H2106" i="3"/>
  <c r="H2107" i="3"/>
  <c r="H2108" i="3"/>
  <c r="H2109" i="3"/>
  <c r="H2110" i="3"/>
  <c r="H2111" i="3"/>
  <c r="H2112" i="3"/>
  <c r="H2113" i="3"/>
  <c r="H2114" i="3"/>
  <c r="H2115" i="3"/>
  <c r="H2116" i="3"/>
  <c r="H2117" i="3"/>
  <c r="H2118" i="3"/>
  <c r="H2119" i="3"/>
  <c r="H2120" i="3"/>
  <c r="H2121" i="3"/>
  <c r="H2122" i="3"/>
  <c r="H2123" i="3"/>
  <c r="H2124" i="3"/>
  <c r="H2125" i="3"/>
  <c r="H2126" i="3"/>
  <c r="H2127" i="3"/>
  <c r="H2128" i="3"/>
  <c r="H2129" i="3"/>
  <c r="H2130" i="3"/>
  <c r="H2131" i="3"/>
  <c r="H2132" i="3"/>
  <c r="H2133" i="3"/>
  <c r="H2134" i="3"/>
  <c r="H2135" i="3"/>
  <c r="H2136" i="3"/>
  <c r="H2137" i="3"/>
  <c r="H2138" i="3"/>
  <c r="H2139" i="3"/>
  <c r="H2140" i="3"/>
  <c r="H2141" i="3"/>
  <c r="H2142" i="3"/>
  <c r="H2143" i="3"/>
  <c r="H2144" i="3"/>
  <c r="H2145" i="3"/>
  <c r="H2146" i="3"/>
  <c r="H2147" i="3"/>
  <c r="H2148" i="3"/>
  <c r="H2149" i="3"/>
  <c r="H2150" i="3"/>
  <c r="H2151" i="3"/>
  <c r="H2152" i="3"/>
  <c r="H2153" i="3"/>
  <c r="H2154" i="3"/>
  <c r="H2155" i="3"/>
  <c r="H2156" i="3"/>
  <c r="H2157" i="3"/>
  <c r="H2158" i="3"/>
  <c r="H2159" i="3"/>
  <c r="H2160" i="3"/>
  <c r="H2161" i="3"/>
  <c r="H2162" i="3"/>
  <c r="H2163" i="3"/>
  <c r="H2164" i="3"/>
  <c r="H2165" i="3"/>
  <c r="H2166" i="3"/>
  <c r="H2167" i="3"/>
  <c r="H2168" i="3"/>
  <c r="H2169" i="3"/>
  <c r="H2170" i="3"/>
  <c r="H2171" i="3"/>
  <c r="H2172" i="3"/>
  <c r="H2173" i="3"/>
  <c r="H2174" i="3"/>
  <c r="H2175" i="3"/>
  <c r="H2176" i="3"/>
  <c r="H2177" i="3"/>
  <c r="H2178" i="3"/>
  <c r="H2179" i="3"/>
  <c r="H2180" i="3"/>
  <c r="H2181" i="3"/>
  <c r="H2182" i="3"/>
  <c r="H2183" i="3"/>
  <c r="H2184" i="3"/>
  <c r="H2185" i="3"/>
  <c r="H2186" i="3"/>
  <c r="H2187" i="3"/>
  <c r="H2188" i="3"/>
  <c r="H2189" i="3"/>
  <c r="H2190" i="3"/>
  <c r="H2191" i="3"/>
  <c r="H2192" i="3"/>
  <c r="H2193" i="3"/>
  <c r="H2194" i="3"/>
  <c r="H2195" i="3"/>
  <c r="H2196" i="3"/>
  <c r="H2197" i="3"/>
  <c r="H2198" i="3"/>
  <c r="H2199" i="3"/>
  <c r="H2200" i="3"/>
  <c r="H2201" i="3"/>
  <c r="H2202" i="3"/>
  <c r="H2203" i="3"/>
  <c r="H2204" i="3"/>
  <c r="H2205" i="3"/>
  <c r="H2206" i="3"/>
  <c r="H2207" i="3"/>
  <c r="H2208" i="3"/>
  <c r="H2209" i="3"/>
  <c r="H2210" i="3"/>
  <c r="H2211" i="3"/>
  <c r="H2212" i="3"/>
  <c r="H2213" i="3"/>
  <c r="H2214" i="3"/>
  <c r="H2215" i="3"/>
  <c r="H2216" i="3"/>
  <c r="H2217" i="3"/>
  <c r="H2218" i="3"/>
  <c r="H2219" i="3"/>
  <c r="H2220" i="3"/>
  <c r="H2221" i="3"/>
  <c r="H2222" i="3"/>
  <c r="H2223" i="3"/>
  <c r="H2224" i="3"/>
  <c r="H2225" i="3"/>
  <c r="H2226" i="3"/>
  <c r="H2227" i="3"/>
  <c r="H2228" i="3"/>
  <c r="H2229" i="3"/>
  <c r="H2230" i="3"/>
  <c r="H2231" i="3"/>
  <c r="H2232" i="3"/>
  <c r="H2233" i="3"/>
  <c r="H2234" i="3"/>
  <c r="H2235" i="3"/>
  <c r="H2236" i="3"/>
  <c r="H2237" i="3"/>
  <c r="H2238" i="3"/>
  <c r="H2239" i="3"/>
  <c r="H2240" i="3"/>
  <c r="H2241" i="3"/>
  <c r="H2242" i="3"/>
  <c r="H2243" i="3"/>
  <c r="H2244" i="3"/>
  <c r="H2245" i="3"/>
  <c r="H2246" i="3"/>
  <c r="H2247" i="3"/>
  <c r="H2248" i="3"/>
  <c r="H2249" i="3"/>
  <c r="H2250" i="3"/>
  <c r="H2251" i="3"/>
  <c r="H2252" i="3"/>
  <c r="H2253" i="3"/>
  <c r="H2254" i="3"/>
  <c r="H2255" i="3"/>
  <c r="H2256" i="3"/>
  <c r="H2257" i="3"/>
  <c r="H2258" i="3"/>
  <c r="H2259" i="3"/>
  <c r="H2260" i="3"/>
  <c r="H2261" i="3"/>
  <c r="H2262" i="3"/>
  <c r="H2263" i="3"/>
  <c r="H2264" i="3"/>
  <c r="H2265" i="3"/>
  <c r="H2266" i="3"/>
  <c r="H2267" i="3"/>
  <c r="H2268" i="3"/>
  <c r="H2269" i="3"/>
  <c r="H2270" i="3"/>
  <c r="H2271" i="3"/>
  <c r="H2272" i="3"/>
  <c r="H2273" i="3"/>
  <c r="H2274" i="3"/>
  <c r="H2275" i="3"/>
  <c r="H2276" i="3"/>
  <c r="H2277" i="3"/>
  <c r="H2278" i="3"/>
  <c r="H2279" i="3"/>
  <c r="H2280" i="3"/>
  <c r="H2281" i="3"/>
  <c r="H2282" i="3"/>
  <c r="H2283" i="3"/>
  <c r="H2284" i="3"/>
  <c r="H2285" i="3"/>
  <c r="H2286" i="3"/>
  <c r="H2287" i="3"/>
  <c r="H2288" i="3"/>
  <c r="H2289" i="3"/>
  <c r="H2290" i="3"/>
  <c r="H2291" i="3"/>
  <c r="H2292" i="3"/>
  <c r="H2293" i="3"/>
  <c r="H2294" i="3"/>
  <c r="H2295" i="3"/>
  <c r="H2296" i="3"/>
  <c r="H2297" i="3"/>
  <c r="H2298" i="3"/>
  <c r="H2299" i="3"/>
  <c r="H2300" i="3"/>
  <c r="H2301" i="3"/>
  <c r="H2302" i="3"/>
  <c r="H2303" i="3"/>
  <c r="H2304" i="3"/>
  <c r="H2305" i="3"/>
  <c r="H2306" i="3"/>
  <c r="H2307" i="3"/>
  <c r="H2308" i="3"/>
  <c r="H2309" i="3"/>
  <c r="H2310" i="3"/>
  <c r="H2311" i="3"/>
  <c r="H2312" i="3"/>
  <c r="H2313" i="3"/>
  <c r="H2314" i="3"/>
  <c r="H2315" i="3"/>
  <c r="H2316" i="3"/>
  <c r="H2317" i="3"/>
  <c r="H2318" i="3"/>
  <c r="H2319" i="3"/>
  <c r="H2320" i="3"/>
  <c r="H2321" i="3"/>
  <c r="H2322" i="3"/>
  <c r="H2323" i="3"/>
  <c r="H2324" i="3"/>
  <c r="H2325" i="3"/>
  <c r="H2326" i="3"/>
  <c r="H2327" i="3"/>
  <c r="H2328" i="3"/>
  <c r="H2329" i="3"/>
  <c r="H2330" i="3"/>
  <c r="H2331" i="3"/>
  <c r="H2332" i="3"/>
  <c r="H2333" i="3"/>
  <c r="H2334" i="3"/>
  <c r="H2335" i="3"/>
  <c r="H2336" i="3"/>
  <c r="H2337" i="3"/>
  <c r="H2338" i="3"/>
  <c r="H2339" i="3"/>
  <c r="H2340" i="3"/>
  <c r="H2341" i="3"/>
  <c r="H2342" i="3"/>
  <c r="H2343" i="3"/>
  <c r="H2344" i="3"/>
  <c r="H2345" i="3"/>
  <c r="H2346" i="3"/>
  <c r="H2347" i="3"/>
  <c r="H2348" i="3"/>
  <c r="H2349" i="3"/>
  <c r="H2350" i="3"/>
  <c r="H2351" i="3"/>
  <c r="H2352" i="3"/>
  <c r="H2353" i="3"/>
  <c r="H2354" i="3"/>
  <c r="H2355" i="3"/>
  <c r="H2356" i="3"/>
  <c r="H2357" i="3"/>
  <c r="H2358" i="3"/>
  <c r="H2359" i="3"/>
  <c r="H2360" i="3"/>
  <c r="H2361" i="3"/>
  <c r="H2362" i="3"/>
  <c r="H2363" i="3"/>
  <c r="H2364" i="3"/>
  <c r="H2365" i="3"/>
  <c r="H2366" i="3"/>
  <c r="H2367" i="3"/>
  <c r="H2368" i="3"/>
  <c r="H2369" i="3"/>
  <c r="H2370" i="3"/>
  <c r="H2371" i="3"/>
  <c r="H2372" i="3"/>
  <c r="H2373" i="3"/>
  <c r="H2374" i="3"/>
  <c r="H2375" i="3"/>
  <c r="H2376" i="3"/>
  <c r="H2377" i="3"/>
  <c r="H2378" i="3"/>
  <c r="H2379" i="3"/>
  <c r="H2380" i="3"/>
  <c r="H2381" i="3"/>
  <c r="H2382" i="3"/>
  <c r="H2383" i="3"/>
  <c r="H2384" i="3"/>
  <c r="H2385" i="3"/>
  <c r="H2386" i="3"/>
  <c r="H2387" i="3"/>
  <c r="H2388" i="3"/>
  <c r="H2389" i="3"/>
  <c r="H2390" i="3"/>
  <c r="H2391" i="3"/>
  <c r="H2392" i="3"/>
  <c r="H2393" i="3"/>
  <c r="H2394" i="3"/>
  <c r="H2395" i="3"/>
  <c r="H2396" i="3"/>
  <c r="H2397" i="3"/>
  <c r="H2398" i="3"/>
  <c r="H2399" i="3"/>
  <c r="H2400" i="3"/>
  <c r="H2401" i="3"/>
  <c r="H2402" i="3"/>
  <c r="H2403" i="3"/>
  <c r="H2404" i="3"/>
  <c r="H2405" i="3"/>
  <c r="H2406" i="3"/>
  <c r="H2407" i="3"/>
  <c r="H2408" i="3"/>
  <c r="H2409" i="3"/>
  <c r="H2410" i="3"/>
  <c r="H2411" i="3"/>
  <c r="H2412" i="3"/>
  <c r="H2413" i="3"/>
  <c r="H2414" i="3"/>
  <c r="H2415" i="3"/>
  <c r="H2416" i="3"/>
  <c r="H2417" i="3"/>
  <c r="H2418" i="3"/>
  <c r="H2419" i="3"/>
  <c r="H2420" i="3"/>
  <c r="H2421" i="3"/>
  <c r="H2422" i="3"/>
  <c r="H2423" i="3"/>
  <c r="H2424" i="3"/>
  <c r="H2425" i="3"/>
  <c r="H2426" i="3"/>
  <c r="H2427" i="3"/>
  <c r="H2428" i="3"/>
  <c r="H2429" i="3"/>
  <c r="H2430" i="3"/>
  <c r="H2431" i="3"/>
  <c r="H2432" i="3"/>
  <c r="H2433" i="3"/>
  <c r="H2434" i="3"/>
  <c r="H2435" i="3"/>
  <c r="H2436" i="3"/>
  <c r="H2437" i="3"/>
  <c r="H2438" i="3"/>
  <c r="H2439" i="3"/>
  <c r="H2440" i="3"/>
  <c r="H2441" i="3"/>
  <c r="H2442" i="3"/>
  <c r="H2443" i="3"/>
  <c r="H2444" i="3"/>
  <c r="H2445" i="3"/>
  <c r="H2446" i="3"/>
  <c r="H2447" i="3"/>
  <c r="H2448" i="3"/>
  <c r="H2449" i="3"/>
  <c r="H2450" i="3"/>
  <c r="H2451" i="3"/>
  <c r="H2452" i="3"/>
  <c r="H2453" i="3"/>
  <c r="H2454" i="3"/>
  <c r="H2455" i="3"/>
  <c r="H2456" i="3"/>
  <c r="H2457" i="3"/>
  <c r="H2458" i="3"/>
  <c r="H2459" i="3"/>
  <c r="H2460" i="3"/>
  <c r="H2461" i="3"/>
  <c r="H2462" i="3"/>
  <c r="H2463" i="3"/>
  <c r="H2464" i="3"/>
  <c r="H2465" i="3"/>
  <c r="H2466" i="3"/>
  <c r="H2467" i="3"/>
  <c r="H2468" i="3"/>
  <c r="H2469" i="3"/>
  <c r="H2470" i="3"/>
  <c r="H2471" i="3"/>
  <c r="H2472" i="3"/>
  <c r="H2473" i="3"/>
  <c r="H2474" i="3"/>
  <c r="H2475" i="3"/>
  <c r="H2476" i="3"/>
  <c r="H2477" i="3"/>
  <c r="H2478" i="3"/>
  <c r="H2479" i="3"/>
  <c r="H2480" i="3"/>
  <c r="H2481" i="3"/>
  <c r="H2482" i="3"/>
  <c r="H2483" i="3"/>
  <c r="H2484" i="3"/>
  <c r="H2485" i="3"/>
  <c r="H2486" i="3"/>
  <c r="H2487" i="3"/>
  <c r="H2488" i="3"/>
  <c r="H2489" i="3"/>
  <c r="H2490" i="3"/>
  <c r="H2491" i="3"/>
  <c r="H2492" i="3"/>
  <c r="H2493" i="3"/>
  <c r="H2494" i="3"/>
  <c r="H2495" i="3"/>
  <c r="H2496" i="3"/>
  <c r="H2497" i="3"/>
  <c r="H2498" i="3"/>
  <c r="H2499" i="3"/>
  <c r="H2500" i="3"/>
  <c r="H2501" i="3"/>
  <c r="H2502" i="3"/>
  <c r="H2503" i="3"/>
  <c r="H2504" i="3"/>
  <c r="H2505" i="3"/>
  <c r="H2506" i="3"/>
  <c r="H2507" i="3"/>
  <c r="H2508" i="3"/>
  <c r="H2509" i="3"/>
  <c r="H2510" i="3"/>
  <c r="H2511" i="3"/>
  <c r="H2512" i="3"/>
  <c r="H2513" i="3"/>
  <c r="H2514" i="3"/>
  <c r="H2515" i="3"/>
  <c r="H2516" i="3"/>
  <c r="H2517" i="3"/>
  <c r="H2518" i="3"/>
  <c r="H2519" i="3"/>
  <c r="H2520" i="3"/>
  <c r="H2521" i="3"/>
  <c r="H2522" i="3"/>
  <c r="H2523" i="3"/>
  <c r="H2524" i="3"/>
  <c r="H2525" i="3"/>
  <c r="H2526" i="3"/>
  <c r="H2527" i="3"/>
  <c r="H2528" i="3"/>
  <c r="H2529" i="3"/>
  <c r="H2530" i="3"/>
  <c r="H2531" i="3"/>
  <c r="H2532" i="3"/>
  <c r="H2533" i="3"/>
  <c r="H2534" i="3"/>
  <c r="H2535" i="3"/>
  <c r="H2536" i="3"/>
  <c r="H2537" i="3"/>
  <c r="H2538" i="3"/>
  <c r="H2539" i="3"/>
  <c r="H2540" i="3"/>
  <c r="H2541" i="3"/>
  <c r="H2542" i="3"/>
  <c r="H2543" i="3"/>
  <c r="H2544" i="3"/>
  <c r="H2545" i="3"/>
  <c r="H2546" i="3"/>
  <c r="H2547" i="3"/>
  <c r="H2548" i="3"/>
  <c r="H2549" i="3"/>
  <c r="H2550" i="3"/>
  <c r="H2551" i="3"/>
  <c r="H2552" i="3"/>
  <c r="H2553" i="3"/>
  <c r="H2554" i="3"/>
  <c r="H2555" i="3"/>
  <c r="H2556" i="3"/>
  <c r="H2557" i="3"/>
  <c r="H2558" i="3"/>
  <c r="H2559" i="3"/>
  <c r="H2560" i="3"/>
  <c r="H2561" i="3"/>
  <c r="H2562" i="3"/>
  <c r="H2563" i="3"/>
  <c r="H2564" i="3"/>
  <c r="H2565" i="3"/>
  <c r="H2566" i="3"/>
  <c r="H2567" i="3"/>
  <c r="H2568" i="3"/>
  <c r="H2569" i="3"/>
  <c r="H2570" i="3"/>
  <c r="H2571" i="3"/>
  <c r="H2572" i="3"/>
  <c r="H2573" i="3"/>
  <c r="H2574" i="3"/>
  <c r="H2575" i="3"/>
  <c r="H983" i="3"/>
  <c r="S740" i="3"/>
  <c r="S741" i="3"/>
  <c r="S742" i="3"/>
  <c r="S743" i="3"/>
  <c r="S744" i="3"/>
  <c r="S745" i="3"/>
  <c r="S746" i="3"/>
  <c r="S747" i="3"/>
  <c r="S748" i="3"/>
  <c r="S749" i="3"/>
  <c r="S750" i="3"/>
  <c r="S751" i="3"/>
  <c r="S752" i="3"/>
  <c r="S753" i="3"/>
  <c r="S754" i="3"/>
  <c r="S755" i="3"/>
  <c r="S756" i="3"/>
  <c r="S757" i="3"/>
  <c r="S758" i="3"/>
  <c r="S759" i="3"/>
  <c r="S760" i="3"/>
  <c r="S761" i="3"/>
  <c r="S762" i="3"/>
  <c r="S763" i="3"/>
  <c r="S764" i="3"/>
  <c r="S765" i="3"/>
  <c r="S766" i="3"/>
  <c r="S767" i="3"/>
  <c r="S768" i="3"/>
  <c r="S769" i="3"/>
  <c r="S770" i="3"/>
  <c r="S771" i="3"/>
  <c r="S772" i="3"/>
  <c r="S773" i="3"/>
  <c r="S774" i="3"/>
  <c r="S775" i="3"/>
  <c r="S776" i="3"/>
  <c r="S777" i="3"/>
  <c r="S778" i="3"/>
  <c r="S779" i="3"/>
  <c r="S780" i="3"/>
  <c r="S781" i="3"/>
  <c r="S782" i="3"/>
  <c r="S783" i="3"/>
  <c r="S784" i="3"/>
  <c r="S785" i="3"/>
  <c r="S786" i="3"/>
  <c r="S787" i="3"/>
  <c r="S788" i="3"/>
  <c r="S789" i="3"/>
  <c r="S790" i="3"/>
  <c r="S791" i="3"/>
  <c r="S792" i="3"/>
  <c r="S793" i="3"/>
  <c r="S794" i="3"/>
  <c r="S795" i="3"/>
  <c r="S796" i="3"/>
  <c r="S797" i="3"/>
  <c r="S798" i="3"/>
  <c r="S799" i="3"/>
  <c r="S800" i="3"/>
  <c r="S801" i="3"/>
  <c r="S802" i="3"/>
  <c r="S803" i="3"/>
  <c r="S804" i="3"/>
  <c r="S805" i="3"/>
  <c r="S806" i="3"/>
  <c r="S807" i="3"/>
  <c r="S808" i="3"/>
  <c r="S809" i="3"/>
  <c r="S810" i="3"/>
  <c r="S811" i="3"/>
  <c r="S812" i="3"/>
  <c r="S813" i="3"/>
  <c r="S814" i="3"/>
  <c r="S815" i="3"/>
  <c r="S816" i="3"/>
  <c r="S817" i="3"/>
  <c r="S818" i="3"/>
  <c r="S819" i="3"/>
  <c r="S820" i="3"/>
  <c r="S821" i="3"/>
  <c r="S822" i="3"/>
  <c r="S823" i="3"/>
  <c r="S824" i="3"/>
  <c r="S825" i="3"/>
  <c r="S826" i="3"/>
  <c r="S827" i="3"/>
  <c r="S828" i="3"/>
  <c r="S829" i="3"/>
  <c r="S830" i="3"/>
  <c r="S831" i="3"/>
  <c r="S832" i="3"/>
  <c r="S833" i="3"/>
  <c r="S834" i="3"/>
  <c r="S835" i="3"/>
  <c r="S836" i="3"/>
  <c r="S837" i="3"/>
  <c r="S838" i="3"/>
  <c r="S839" i="3"/>
  <c r="S840" i="3"/>
  <c r="S841" i="3"/>
  <c r="S842" i="3"/>
  <c r="S843" i="3"/>
  <c r="S844" i="3"/>
  <c r="S845" i="3"/>
  <c r="S846" i="3"/>
  <c r="S847" i="3"/>
  <c r="S848" i="3"/>
  <c r="S849" i="3"/>
  <c r="S850" i="3"/>
  <c r="S851" i="3"/>
  <c r="S852" i="3"/>
  <c r="S853" i="3"/>
  <c r="S854" i="3"/>
  <c r="S855" i="3"/>
  <c r="S856" i="3"/>
  <c r="S857" i="3"/>
  <c r="S858" i="3"/>
  <c r="S859" i="3"/>
  <c r="S860" i="3"/>
  <c r="S861" i="3"/>
  <c r="S862" i="3"/>
  <c r="S863" i="3"/>
  <c r="S864" i="3"/>
  <c r="S865" i="3"/>
  <c r="S866" i="3"/>
  <c r="S867" i="3"/>
  <c r="S868" i="3"/>
  <c r="S869" i="3"/>
  <c r="S870" i="3"/>
  <c r="S871" i="3"/>
  <c r="S872" i="3"/>
  <c r="S873" i="3"/>
  <c r="S874" i="3"/>
  <c r="S875" i="3"/>
  <c r="S876" i="3"/>
  <c r="S877" i="3"/>
  <c r="S878" i="3"/>
  <c r="S879" i="3"/>
  <c r="S880" i="3"/>
  <c r="S881" i="3"/>
  <c r="S882" i="3"/>
  <c r="S883" i="3"/>
  <c r="S884" i="3"/>
  <c r="S885" i="3"/>
  <c r="S886" i="3"/>
  <c r="S887" i="3"/>
  <c r="S888" i="3"/>
  <c r="S889" i="3"/>
  <c r="S890" i="3"/>
  <c r="S891" i="3"/>
  <c r="S892" i="3"/>
  <c r="S893" i="3"/>
  <c r="S894" i="3"/>
  <c r="S895" i="3"/>
  <c r="S896" i="3"/>
  <c r="S897" i="3"/>
  <c r="S898" i="3"/>
  <c r="S899" i="3"/>
  <c r="S900" i="3"/>
  <c r="S901" i="3"/>
  <c r="S902" i="3"/>
  <c r="S903" i="3"/>
  <c r="S904" i="3"/>
  <c r="S905" i="3"/>
  <c r="S906" i="3"/>
  <c r="S907" i="3"/>
  <c r="S908" i="3"/>
  <c r="S909" i="3"/>
  <c r="S910" i="3"/>
  <c r="S911" i="3"/>
  <c r="S912" i="3"/>
  <c r="S913" i="3"/>
  <c r="S914" i="3"/>
  <c r="S915" i="3"/>
  <c r="S916" i="3"/>
  <c r="S917" i="3"/>
  <c r="S918" i="3"/>
  <c r="S919" i="3"/>
  <c r="S920" i="3"/>
  <c r="S921" i="3"/>
  <c r="S922" i="3"/>
  <c r="S923" i="3"/>
  <c r="S924" i="3"/>
  <c r="S925" i="3"/>
  <c r="S926" i="3"/>
  <c r="S927" i="3"/>
  <c r="S928" i="3"/>
  <c r="S929" i="3"/>
  <c r="S930" i="3"/>
  <c r="S931" i="3"/>
  <c r="S932" i="3"/>
  <c r="S933" i="3"/>
  <c r="S934" i="3"/>
  <c r="S935" i="3"/>
  <c r="S936" i="3"/>
  <c r="S937" i="3"/>
  <c r="S938" i="3"/>
  <c r="S939" i="3"/>
  <c r="S940" i="3"/>
  <c r="S941" i="3"/>
  <c r="S942" i="3"/>
  <c r="S943" i="3"/>
  <c r="S944" i="3"/>
  <c r="S945" i="3"/>
  <c r="S946" i="3"/>
  <c r="S947" i="3"/>
  <c r="S948" i="3"/>
  <c r="S949" i="3"/>
  <c r="S950" i="3"/>
  <c r="S951" i="3"/>
  <c r="S952" i="3"/>
  <c r="S953" i="3"/>
  <c r="S954" i="3"/>
  <c r="S955" i="3"/>
  <c r="S956" i="3"/>
  <c r="S957" i="3"/>
  <c r="S958" i="3"/>
  <c r="S959" i="3"/>
  <c r="S960" i="3"/>
  <c r="S961" i="3"/>
  <c r="S962" i="3"/>
  <c r="S963" i="3"/>
  <c r="S964" i="3"/>
  <c r="S965" i="3"/>
  <c r="S966" i="3"/>
  <c r="S967" i="3"/>
  <c r="S968" i="3"/>
  <c r="S969" i="3"/>
  <c r="S970" i="3"/>
  <c r="S971" i="3"/>
  <c r="S972" i="3"/>
  <c r="S973" i="3"/>
  <c r="S974" i="3"/>
  <c r="S975" i="3"/>
  <c r="S976" i="3"/>
  <c r="S977" i="3"/>
  <c r="S978" i="3"/>
  <c r="S979" i="3"/>
  <c r="S980" i="3"/>
  <c r="S981" i="3"/>
  <c r="S982" i="3"/>
  <c r="S983" i="3"/>
  <c r="S984" i="3"/>
  <c r="S985" i="3"/>
  <c r="S986" i="3"/>
  <c r="S987" i="3"/>
  <c r="S988" i="3"/>
  <c r="S989" i="3"/>
  <c r="S990" i="3"/>
  <c r="S991" i="3"/>
  <c r="S992" i="3"/>
  <c r="S993" i="3"/>
  <c r="S994" i="3"/>
  <c r="S995" i="3"/>
  <c r="S996" i="3"/>
  <c r="S997" i="3"/>
  <c r="S998" i="3"/>
  <c r="S999" i="3"/>
  <c r="S1000" i="3"/>
  <c r="S1001" i="3"/>
  <c r="S1002" i="3"/>
  <c r="S1003" i="3"/>
  <c r="S1004" i="3"/>
  <c r="S1005" i="3"/>
  <c r="S1006" i="3"/>
  <c r="S1007" i="3"/>
  <c r="S1008" i="3"/>
  <c r="S1009" i="3"/>
  <c r="S1010" i="3"/>
  <c r="S1011" i="3"/>
  <c r="S1012" i="3"/>
  <c r="S1013" i="3"/>
  <c r="S1014" i="3"/>
  <c r="S1015" i="3"/>
  <c r="S1016" i="3"/>
  <c r="S1017" i="3"/>
  <c r="S1018" i="3"/>
  <c r="S1019" i="3"/>
  <c r="S1020" i="3"/>
  <c r="S1021" i="3"/>
  <c r="S1022" i="3"/>
  <c r="S1023" i="3"/>
  <c r="S1024" i="3"/>
  <c r="S1025" i="3"/>
  <c r="S1026" i="3"/>
  <c r="S1027" i="3"/>
  <c r="S1028" i="3"/>
  <c r="S1029" i="3"/>
  <c r="S1030" i="3"/>
  <c r="S1031" i="3"/>
  <c r="S1032" i="3"/>
  <c r="S1033" i="3"/>
  <c r="S1034" i="3"/>
  <c r="S1035" i="3"/>
  <c r="S1036" i="3"/>
  <c r="S1037" i="3"/>
  <c r="S1038" i="3"/>
  <c r="S1039" i="3"/>
  <c r="S1040" i="3"/>
  <c r="S1041" i="3"/>
  <c r="S1042" i="3"/>
  <c r="S1043" i="3"/>
  <c r="S1044" i="3"/>
  <c r="S1045" i="3"/>
  <c r="S1046" i="3"/>
  <c r="S1047" i="3"/>
  <c r="S1048" i="3"/>
  <c r="S1049" i="3"/>
  <c r="S1050" i="3"/>
  <c r="S1051" i="3"/>
  <c r="S1052" i="3"/>
  <c r="S1053" i="3"/>
  <c r="S1054" i="3"/>
  <c r="S1055" i="3"/>
  <c r="S1056" i="3"/>
  <c r="S1057" i="3"/>
  <c r="S1058" i="3"/>
  <c r="S1059" i="3"/>
  <c r="S1060" i="3"/>
  <c r="S1061" i="3"/>
  <c r="S1062" i="3"/>
  <c r="S1063" i="3"/>
  <c r="S1064" i="3"/>
  <c r="S1065" i="3"/>
  <c r="S1066" i="3"/>
  <c r="S1067" i="3"/>
  <c r="S1068" i="3"/>
  <c r="S1069" i="3"/>
  <c r="S1070" i="3"/>
  <c r="S1071" i="3"/>
  <c r="S1072" i="3"/>
  <c r="S1073" i="3"/>
  <c r="S1074" i="3"/>
  <c r="S1075" i="3"/>
  <c r="S1076" i="3"/>
  <c r="S1077" i="3"/>
  <c r="S1078" i="3"/>
  <c r="S1079" i="3"/>
  <c r="S1080" i="3"/>
  <c r="S1081" i="3"/>
  <c r="S1082" i="3"/>
  <c r="S1083" i="3"/>
  <c r="S1084" i="3"/>
  <c r="S1085" i="3"/>
  <c r="S1086" i="3"/>
  <c r="S1087" i="3"/>
  <c r="S1088" i="3"/>
  <c r="S1089" i="3"/>
  <c r="S1090" i="3"/>
  <c r="S1091" i="3"/>
  <c r="S1092" i="3"/>
  <c r="S1093" i="3"/>
  <c r="S1094" i="3"/>
  <c r="S1095" i="3"/>
  <c r="S1096" i="3"/>
  <c r="S1097" i="3"/>
  <c r="S1098" i="3"/>
  <c r="S1099" i="3"/>
  <c r="S1100" i="3"/>
  <c r="S1101" i="3"/>
  <c r="S1102" i="3"/>
  <c r="S1103" i="3"/>
  <c r="S1104" i="3"/>
  <c r="S1105" i="3"/>
  <c r="S1106" i="3"/>
  <c r="S1107" i="3"/>
  <c r="S1108" i="3"/>
  <c r="S1109" i="3"/>
  <c r="S1110" i="3"/>
  <c r="S1111" i="3"/>
  <c r="S1112" i="3"/>
  <c r="S1113" i="3"/>
  <c r="S1114" i="3"/>
  <c r="S1115" i="3"/>
  <c r="S1116" i="3"/>
  <c r="S1117" i="3"/>
  <c r="S1118" i="3"/>
  <c r="S1119" i="3"/>
  <c r="S1120" i="3"/>
  <c r="S1121" i="3"/>
  <c r="S1122" i="3"/>
  <c r="S1123" i="3"/>
  <c r="S1124" i="3"/>
  <c r="S1125" i="3"/>
  <c r="S1126" i="3"/>
  <c r="S1127" i="3"/>
  <c r="S1128" i="3"/>
  <c r="S1129" i="3"/>
  <c r="S1130" i="3"/>
  <c r="S1131" i="3"/>
  <c r="S1132" i="3"/>
  <c r="S1133" i="3"/>
  <c r="S1134" i="3"/>
  <c r="S1135" i="3"/>
  <c r="S1136" i="3"/>
  <c r="S1137" i="3"/>
  <c r="S1138" i="3"/>
  <c r="S1139" i="3"/>
  <c r="S1140" i="3"/>
  <c r="S1141" i="3"/>
  <c r="S1142" i="3"/>
  <c r="S1143" i="3"/>
  <c r="S1144" i="3"/>
  <c r="S1145" i="3"/>
  <c r="S1146" i="3"/>
  <c r="S1147" i="3"/>
  <c r="S1148" i="3"/>
  <c r="S1149" i="3"/>
  <c r="S1150" i="3"/>
  <c r="S1151" i="3"/>
  <c r="S1152" i="3"/>
  <c r="S1153" i="3"/>
  <c r="S1154" i="3"/>
  <c r="S1155" i="3"/>
  <c r="S1156" i="3"/>
  <c r="S1157" i="3"/>
  <c r="S1158" i="3"/>
  <c r="S1159" i="3"/>
  <c r="S1160" i="3"/>
  <c r="S1161" i="3"/>
  <c r="S1162" i="3"/>
  <c r="S1163" i="3"/>
  <c r="S1164" i="3"/>
  <c r="S1165" i="3"/>
  <c r="S1166" i="3"/>
  <c r="S1167" i="3"/>
  <c r="S1168" i="3"/>
  <c r="S1169" i="3"/>
  <c r="S1170" i="3"/>
  <c r="S1171" i="3"/>
  <c r="S1172" i="3"/>
  <c r="S1173" i="3"/>
  <c r="S1174" i="3"/>
  <c r="S1175" i="3"/>
  <c r="S1176" i="3"/>
  <c r="S1177" i="3"/>
  <c r="S1178" i="3"/>
  <c r="S1179" i="3"/>
  <c r="S1180" i="3"/>
  <c r="S1181" i="3"/>
  <c r="S1182" i="3"/>
  <c r="S1183" i="3"/>
  <c r="S1184" i="3"/>
  <c r="S1185" i="3"/>
  <c r="S1186" i="3"/>
  <c r="S1187" i="3"/>
  <c r="S1188" i="3"/>
  <c r="S1189" i="3"/>
  <c r="S1190" i="3"/>
  <c r="S1191" i="3"/>
  <c r="S1192" i="3"/>
  <c r="S1193" i="3"/>
  <c r="S1194" i="3"/>
  <c r="S1195" i="3"/>
  <c r="S1196" i="3"/>
  <c r="S1197" i="3"/>
  <c r="S1198" i="3"/>
  <c r="S1199" i="3"/>
  <c r="S1200" i="3"/>
  <c r="S1201" i="3"/>
  <c r="S1202" i="3"/>
  <c r="S1203" i="3"/>
  <c r="S1204" i="3"/>
  <c r="S1205" i="3"/>
  <c r="S1206" i="3"/>
  <c r="S1207" i="3"/>
  <c r="S1208" i="3"/>
  <c r="S1209" i="3"/>
  <c r="S1210" i="3"/>
  <c r="S1211" i="3"/>
  <c r="S1212" i="3"/>
  <c r="S1213" i="3"/>
  <c r="S1214" i="3"/>
  <c r="S1215" i="3"/>
  <c r="S1216" i="3"/>
  <c r="S1217" i="3"/>
  <c r="S1218" i="3"/>
  <c r="S1219" i="3"/>
  <c r="S1220" i="3"/>
  <c r="S1221" i="3"/>
  <c r="S1222" i="3"/>
  <c r="S1223" i="3"/>
  <c r="S1224" i="3"/>
  <c r="S1225" i="3"/>
  <c r="S1226" i="3"/>
  <c r="S1227" i="3"/>
  <c r="S1228" i="3"/>
  <c r="S1229" i="3"/>
  <c r="S1230" i="3"/>
  <c r="S1231" i="3"/>
  <c r="S1232" i="3"/>
  <c r="S1233" i="3"/>
  <c r="S1234" i="3"/>
  <c r="S1235" i="3"/>
  <c r="S1236" i="3"/>
  <c r="S1237" i="3"/>
  <c r="S1238" i="3"/>
  <c r="S1239" i="3"/>
  <c r="S1240" i="3"/>
  <c r="S1241" i="3"/>
  <c r="S1242" i="3"/>
  <c r="S1243" i="3"/>
  <c r="S1244" i="3"/>
  <c r="S1245" i="3"/>
  <c r="S1246" i="3"/>
  <c r="S1247" i="3"/>
  <c r="S1248" i="3"/>
  <c r="S1249" i="3"/>
  <c r="S1250" i="3"/>
  <c r="S1251" i="3"/>
  <c r="S1252" i="3"/>
  <c r="S1253" i="3"/>
  <c r="S1254" i="3"/>
  <c r="S1255" i="3"/>
  <c r="S1256" i="3"/>
  <c r="S1257" i="3"/>
  <c r="S1258" i="3"/>
  <c r="S1259" i="3"/>
  <c r="S1260" i="3"/>
  <c r="S1261" i="3"/>
  <c r="S1262" i="3"/>
  <c r="S1263" i="3"/>
  <c r="S1264" i="3"/>
  <c r="S1265" i="3"/>
  <c r="S1266" i="3"/>
  <c r="S1267" i="3"/>
  <c r="S1268" i="3"/>
  <c r="S1269" i="3"/>
  <c r="S1270" i="3"/>
  <c r="S1271" i="3"/>
  <c r="S1272" i="3"/>
  <c r="S1273" i="3"/>
  <c r="S1274" i="3"/>
  <c r="S1275" i="3"/>
  <c r="S1276" i="3"/>
  <c r="S1277" i="3"/>
  <c r="S1278" i="3"/>
  <c r="S1279" i="3"/>
  <c r="S1280" i="3"/>
  <c r="S1281" i="3"/>
  <c r="S1282" i="3"/>
  <c r="S1283" i="3"/>
  <c r="S1284" i="3"/>
  <c r="S1285" i="3"/>
  <c r="S1286" i="3"/>
  <c r="S1287" i="3"/>
  <c r="S1288" i="3"/>
  <c r="S1289" i="3"/>
  <c r="S1290" i="3"/>
  <c r="S1291" i="3"/>
  <c r="S1292" i="3"/>
  <c r="S1293" i="3"/>
  <c r="S1294" i="3"/>
  <c r="S1295" i="3"/>
  <c r="S1296" i="3"/>
  <c r="S1297" i="3"/>
  <c r="S1298" i="3"/>
  <c r="S1299" i="3"/>
  <c r="S1300" i="3"/>
  <c r="S1301" i="3"/>
  <c r="S1302" i="3"/>
  <c r="S1303" i="3"/>
  <c r="S1304" i="3"/>
  <c r="S1305" i="3"/>
  <c r="S1306" i="3"/>
  <c r="S1307" i="3"/>
  <c r="S1308" i="3"/>
  <c r="S1309" i="3"/>
  <c r="S1310" i="3"/>
  <c r="S1311" i="3"/>
  <c r="S1312" i="3"/>
  <c r="S1313" i="3"/>
  <c r="S1314" i="3"/>
  <c r="S1315" i="3"/>
  <c r="S1316" i="3"/>
  <c r="S1317" i="3"/>
  <c r="S1318" i="3"/>
  <c r="S1319" i="3"/>
  <c r="S1320" i="3"/>
  <c r="S1321" i="3"/>
  <c r="S1322" i="3"/>
  <c r="S1323" i="3"/>
  <c r="S1324" i="3"/>
  <c r="S1325" i="3"/>
  <c r="S1326" i="3"/>
  <c r="S1327" i="3"/>
  <c r="S1328" i="3"/>
  <c r="S1329" i="3"/>
  <c r="S1330" i="3"/>
  <c r="S1331" i="3"/>
  <c r="S1332" i="3"/>
  <c r="S1333" i="3"/>
  <c r="S1334" i="3"/>
  <c r="S1335" i="3"/>
  <c r="S1336" i="3"/>
  <c r="S1337" i="3"/>
  <c r="S1338" i="3"/>
  <c r="S1339" i="3"/>
  <c r="S1340" i="3"/>
  <c r="S1341" i="3"/>
  <c r="S1342" i="3"/>
  <c r="S1343" i="3"/>
  <c r="S1344" i="3"/>
  <c r="S1345" i="3"/>
  <c r="S1346" i="3"/>
  <c r="S1347" i="3"/>
  <c r="S1348" i="3"/>
  <c r="S1349" i="3"/>
  <c r="S1350" i="3"/>
  <c r="S1351" i="3"/>
  <c r="S1352" i="3"/>
  <c r="S1353" i="3"/>
  <c r="S1354" i="3"/>
  <c r="S1355" i="3"/>
  <c r="S1356" i="3"/>
  <c r="S1357" i="3"/>
  <c r="S1358" i="3"/>
  <c r="S1359" i="3"/>
  <c r="S1360" i="3"/>
  <c r="S1361" i="3"/>
  <c r="S1362" i="3"/>
  <c r="S1363" i="3"/>
  <c r="S1364" i="3"/>
  <c r="S1365" i="3"/>
  <c r="S1366" i="3"/>
  <c r="S1367" i="3"/>
  <c r="S1368" i="3"/>
  <c r="S1369" i="3"/>
  <c r="S1370" i="3"/>
  <c r="S1371" i="3"/>
  <c r="S1372" i="3"/>
  <c r="S1373" i="3"/>
  <c r="S1374" i="3"/>
  <c r="S1375" i="3"/>
  <c r="S1376" i="3"/>
  <c r="S1377" i="3"/>
  <c r="S1378" i="3"/>
  <c r="S1379" i="3"/>
  <c r="S1380" i="3"/>
  <c r="S1381" i="3"/>
  <c r="S1382" i="3"/>
  <c r="S1383" i="3"/>
  <c r="S1384" i="3"/>
  <c r="S1385" i="3"/>
  <c r="S1386" i="3"/>
  <c r="S1387" i="3"/>
  <c r="S1388" i="3"/>
  <c r="S1389" i="3"/>
  <c r="S1390" i="3"/>
  <c r="S1391" i="3"/>
  <c r="S1392" i="3"/>
  <c r="S1393" i="3"/>
  <c r="S1394" i="3"/>
  <c r="S1395" i="3"/>
  <c r="S1396" i="3"/>
  <c r="S1397" i="3"/>
  <c r="S1398" i="3"/>
  <c r="S1399" i="3"/>
  <c r="S1400" i="3"/>
  <c r="S1401" i="3"/>
  <c r="S1402" i="3"/>
  <c r="S1403" i="3"/>
  <c r="S1404" i="3"/>
  <c r="S1405" i="3"/>
  <c r="S1406" i="3"/>
  <c r="S1407" i="3"/>
  <c r="S1408" i="3"/>
  <c r="S1409" i="3"/>
  <c r="S1410" i="3"/>
  <c r="S1411" i="3"/>
  <c r="S1412" i="3"/>
  <c r="S1413" i="3"/>
  <c r="S1414" i="3"/>
  <c r="S1415" i="3"/>
  <c r="S1416" i="3"/>
  <c r="S1417" i="3"/>
  <c r="S1418" i="3"/>
  <c r="S1419" i="3"/>
  <c r="S1420" i="3"/>
  <c r="S1421" i="3"/>
  <c r="S1422" i="3"/>
  <c r="S1423" i="3"/>
  <c r="S1424" i="3"/>
  <c r="S1425" i="3"/>
  <c r="S1426" i="3"/>
  <c r="S1427" i="3"/>
  <c r="S1428" i="3"/>
  <c r="S1429" i="3"/>
  <c r="S1430" i="3"/>
  <c r="S1431" i="3"/>
  <c r="S1432" i="3"/>
  <c r="S1433" i="3"/>
  <c r="S1434" i="3"/>
  <c r="S1435" i="3"/>
  <c r="S1436" i="3"/>
  <c r="S1437" i="3"/>
  <c r="S1438" i="3"/>
  <c r="S1439" i="3"/>
  <c r="S1440" i="3"/>
  <c r="S1441" i="3"/>
  <c r="S1442" i="3"/>
  <c r="S1443" i="3"/>
  <c r="S1444" i="3"/>
  <c r="S1445" i="3"/>
  <c r="S1446" i="3"/>
  <c r="S1447" i="3"/>
  <c r="S1448" i="3"/>
  <c r="S1449" i="3"/>
  <c r="S1450" i="3"/>
  <c r="S1451" i="3"/>
  <c r="S1452" i="3"/>
  <c r="S1453" i="3"/>
  <c r="S1454" i="3"/>
  <c r="S1455" i="3"/>
  <c r="S1456" i="3"/>
  <c r="S1457" i="3"/>
  <c r="S1458" i="3"/>
  <c r="S1459" i="3"/>
  <c r="S1460" i="3"/>
  <c r="S1461" i="3"/>
  <c r="S1462" i="3"/>
  <c r="S1463" i="3"/>
  <c r="S1464" i="3"/>
  <c r="S1465" i="3"/>
  <c r="S1466" i="3"/>
  <c r="S1467" i="3"/>
  <c r="S1468" i="3"/>
  <c r="S1469" i="3"/>
  <c r="S1470" i="3"/>
  <c r="S1471" i="3"/>
  <c r="S1472" i="3"/>
  <c r="S1473" i="3"/>
  <c r="S1474" i="3"/>
  <c r="S1475" i="3"/>
  <c r="S1476" i="3"/>
  <c r="S1477" i="3"/>
  <c r="S1478" i="3"/>
  <c r="S1479" i="3"/>
  <c r="S1480" i="3"/>
  <c r="S1481" i="3"/>
  <c r="S1482" i="3"/>
  <c r="S1483" i="3"/>
  <c r="S1484" i="3"/>
  <c r="S1485" i="3"/>
  <c r="S1486" i="3"/>
  <c r="S1487" i="3"/>
  <c r="S1488" i="3"/>
  <c r="S1489" i="3"/>
  <c r="S1490" i="3"/>
  <c r="S1491" i="3"/>
  <c r="S1492" i="3"/>
  <c r="S1493" i="3"/>
  <c r="S1494" i="3"/>
  <c r="S1495" i="3"/>
  <c r="S1496" i="3"/>
  <c r="S1497" i="3"/>
  <c r="S1498" i="3"/>
  <c r="S1499" i="3"/>
  <c r="S1500" i="3"/>
  <c r="S1501" i="3"/>
  <c r="S1502" i="3"/>
  <c r="S1503" i="3"/>
  <c r="S1504" i="3"/>
  <c r="S1505" i="3"/>
  <c r="S1506" i="3"/>
  <c r="S1507" i="3"/>
  <c r="S1508" i="3"/>
  <c r="S1509" i="3"/>
  <c r="S1510" i="3"/>
  <c r="S1511" i="3"/>
  <c r="S1512" i="3"/>
  <c r="S1513" i="3"/>
  <c r="S1514" i="3"/>
  <c r="S1515" i="3"/>
  <c r="S1516" i="3"/>
  <c r="S1517" i="3"/>
  <c r="S1518" i="3"/>
  <c r="S1519" i="3"/>
  <c r="S1520" i="3"/>
  <c r="S1521" i="3"/>
  <c r="S1522" i="3"/>
  <c r="S1523" i="3"/>
  <c r="S1524" i="3"/>
  <c r="S1525" i="3"/>
  <c r="S1526" i="3"/>
  <c r="S1527" i="3"/>
  <c r="S1528" i="3"/>
  <c r="S1529" i="3"/>
  <c r="S1530" i="3"/>
  <c r="S1531" i="3"/>
  <c r="S1532" i="3"/>
  <c r="S1533" i="3"/>
  <c r="S1534" i="3"/>
  <c r="S1535" i="3"/>
  <c r="S1536" i="3"/>
  <c r="S1537" i="3"/>
  <c r="S1538" i="3"/>
  <c r="S1539" i="3"/>
  <c r="S1540" i="3"/>
  <c r="S1541" i="3"/>
  <c r="S1542" i="3"/>
  <c r="S1543" i="3"/>
  <c r="S1544" i="3"/>
  <c r="S1545" i="3"/>
  <c r="S1546" i="3"/>
  <c r="S1547" i="3"/>
  <c r="S1548" i="3"/>
  <c r="S1549" i="3"/>
  <c r="S1550" i="3"/>
  <c r="S1551" i="3"/>
  <c r="S1552" i="3"/>
  <c r="S1553" i="3"/>
  <c r="S1554" i="3"/>
  <c r="S1555" i="3"/>
  <c r="S1556" i="3"/>
  <c r="S1557" i="3"/>
  <c r="S1558" i="3"/>
  <c r="S1559" i="3"/>
  <c r="S1560" i="3"/>
  <c r="S1561" i="3"/>
  <c r="S1562" i="3"/>
  <c r="S1563" i="3"/>
  <c r="S1564" i="3"/>
  <c r="S1565" i="3"/>
  <c r="S1566" i="3"/>
  <c r="S1567" i="3"/>
  <c r="S1568" i="3"/>
  <c r="S1569" i="3"/>
  <c r="S1570" i="3"/>
  <c r="S1571" i="3"/>
  <c r="S1572" i="3"/>
  <c r="S1573" i="3"/>
  <c r="S1574" i="3"/>
  <c r="S1575" i="3"/>
  <c r="S1576" i="3"/>
  <c r="S1577" i="3"/>
  <c r="S1578" i="3"/>
  <c r="S1579" i="3"/>
  <c r="S1580" i="3"/>
  <c r="S1581" i="3"/>
  <c r="S1582" i="3"/>
  <c r="S1583" i="3"/>
  <c r="S1584" i="3"/>
  <c r="S1585" i="3"/>
  <c r="S1586" i="3"/>
  <c r="S1587" i="3"/>
  <c r="S1588" i="3"/>
  <c r="S1589" i="3"/>
  <c r="S1590" i="3"/>
  <c r="S1591" i="3"/>
  <c r="S1592" i="3"/>
  <c r="S1593" i="3"/>
  <c r="S1594" i="3"/>
  <c r="S1595" i="3"/>
  <c r="S1596" i="3"/>
  <c r="S1597" i="3"/>
  <c r="S1598" i="3"/>
  <c r="S1599" i="3"/>
  <c r="S1600" i="3"/>
  <c r="S1601" i="3"/>
  <c r="S1602" i="3"/>
  <c r="S1603" i="3"/>
  <c r="S1604" i="3"/>
  <c r="S1605" i="3"/>
  <c r="S1606" i="3"/>
  <c r="S1607" i="3"/>
  <c r="S1608" i="3"/>
  <c r="S1609" i="3"/>
  <c r="S1610" i="3"/>
  <c r="S1611" i="3"/>
  <c r="S1612" i="3"/>
  <c r="S1613" i="3"/>
  <c r="S1614" i="3"/>
  <c r="S1615" i="3"/>
  <c r="S1616" i="3"/>
  <c r="S1617" i="3"/>
  <c r="S1618" i="3"/>
  <c r="S1619" i="3"/>
  <c r="S1620" i="3"/>
  <c r="S1621" i="3"/>
  <c r="S1622" i="3"/>
  <c r="S1623" i="3"/>
  <c r="S1624" i="3"/>
  <c r="S1625" i="3"/>
  <c r="S1626" i="3"/>
  <c r="S1627" i="3"/>
  <c r="S1628" i="3"/>
  <c r="S1629" i="3"/>
  <c r="S1630" i="3"/>
  <c r="S1631" i="3"/>
  <c r="S1632" i="3"/>
  <c r="S1633" i="3"/>
  <c r="S1634" i="3"/>
  <c r="S1635" i="3"/>
  <c r="S1636" i="3"/>
  <c r="S1637" i="3"/>
  <c r="S1638" i="3"/>
  <c r="S1639" i="3"/>
  <c r="S1640" i="3"/>
  <c r="S1641" i="3"/>
  <c r="S1642" i="3"/>
  <c r="S1643" i="3"/>
  <c r="S1644" i="3"/>
  <c r="S1645" i="3"/>
  <c r="S1646" i="3"/>
  <c r="S1647" i="3"/>
  <c r="S1648" i="3"/>
  <c r="S1649" i="3"/>
  <c r="S1650" i="3"/>
  <c r="S1651" i="3"/>
  <c r="S1652" i="3"/>
  <c r="S1653" i="3"/>
  <c r="S1654" i="3"/>
  <c r="S1655" i="3"/>
  <c r="S1656" i="3"/>
  <c r="S1657" i="3"/>
  <c r="S1658" i="3"/>
  <c r="S1659" i="3"/>
  <c r="S1660" i="3"/>
  <c r="S1661" i="3"/>
  <c r="S1662" i="3"/>
  <c r="S1663" i="3"/>
  <c r="S1664" i="3"/>
  <c r="S1665" i="3"/>
  <c r="S1666" i="3"/>
  <c r="S1667" i="3"/>
  <c r="S1668" i="3"/>
  <c r="S1669" i="3"/>
  <c r="S1670" i="3"/>
  <c r="S1671" i="3"/>
  <c r="S1672" i="3"/>
  <c r="S1673" i="3"/>
  <c r="S1674" i="3"/>
  <c r="S1675" i="3"/>
  <c r="S1676" i="3"/>
  <c r="S1677" i="3"/>
  <c r="S1678" i="3"/>
  <c r="S1679" i="3"/>
  <c r="S1680" i="3"/>
  <c r="S1681" i="3"/>
  <c r="S1682" i="3"/>
  <c r="S1683" i="3"/>
  <c r="S1684" i="3"/>
  <c r="S1685" i="3"/>
  <c r="S1686" i="3"/>
  <c r="S1687" i="3"/>
  <c r="S1688" i="3"/>
  <c r="S1689" i="3"/>
  <c r="S1690" i="3"/>
  <c r="S1691" i="3"/>
  <c r="S1692" i="3"/>
  <c r="S1693" i="3"/>
  <c r="S1694" i="3"/>
  <c r="S1695" i="3"/>
  <c r="S1696" i="3"/>
  <c r="S1697" i="3"/>
  <c r="S1698" i="3"/>
  <c r="S1699" i="3"/>
  <c r="S1700" i="3"/>
  <c r="S1701" i="3"/>
  <c r="S1702" i="3"/>
  <c r="S1703" i="3"/>
  <c r="S1704" i="3"/>
  <c r="S1705" i="3"/>
  <c r="S1706" i="3"/>
  <c r="S1707" i="3"/>
  <c r="S1708" i="3"/>
  <c r="S1709" i="3"/>
  <c r="S1710" i="3"/>
  <c r="S1711" i="3"/>
  <c r="S1712" i="3"/>
  <c r="S1713" i="3"/>
  <c r="S1714" i="3"/>
  <c r="S1715" i="3"/>
  <c r="S1716" i="3"/>
  <c r="S1717" i="3"/>
  <c r="S1718" i="3"/>
  <c r="S1719" i="3"/>
  <c r="S1720" i="3"/>
  <c r="S1721" i="3"/>
  <c r="S1722" i="3"/>
  <c r="S1723" i="3"/>
  <c r="S1724" i="3"/>
  <c r="S1725" i="3"/>
  <c r="S1726" i="3"/>
  <c r="S1727" i="3"/>
  <c r="S1728" i="3"/>
  <c r="S1729" i="3"/>
  <c r="S1730" i="3"/>
  <c r="S1731" i="3"/>
  <c r="S1732" i="3"/>
  <c r="S1733" i="3"/>
  <c r="S1734" i="3"/>
  <c r="S1735" i="3"/>
  <c r="S1736" i="3"/>
  <c r="S1737" i="3"/>
  <c r="S1738" i="3"/>
  <c r="S1739" i="3"/>
  <c r="S1740" i="3"/>
  <c r="S1741" i="3"/>
  <c r="S1742" i="3"/>
  <c r="S1743" i="3"/>
  <c r="S1744" i="3"/>
  <c r="S1745" i="3"/>
  <c r="S1746" i="3"/>
  <c r="S1747" i="3"/>
  <c r="S1748" i="3"/>
  <c r="S1749" i="3"/>
  <c r="S1750" i="3"/>
  <c r="S1751" i="3"/>
  <c r="S1752" i="3"/>
  <c r="S1753" i="3"/>
  <c r="S1754" i="3"/>
  <c r="S1755" i="3"/>
  <c r="S1756" i="3"/>
  <c r="S1757" i="3"/>
  <c r="S1758" i="3"/>
  <c r="S1759" i="3"/>
  <c r="S1760" i="3"/>
  <c r="S1761" i="3"/>
  <c r="S1762" i="3"/>
  <c r="S1763" i="3"/>
  <c r="S1764" i="3"/>
  <c r="S1765" i="3"/>
  <c r="S1766" i="3"/>
  <c r="S1767" i="3"/>
  <c r="S1768" i="3"/>
  <c r="S1769" i="3"/>
  <c r="S1770" i="3"/>
  <c r="S1771" i="3"/>
  <c r="S1772" i="3"/>
  <c r="S1773" i="3"/>
  <c r="S1774" i="3"/>
  <c r="S1775" i="3"/>
  <c r="S1776" i="3"/>
  <c r="S1777" i="3"/>
  <c r="S1778" i="3"/>
  <c r="S1779" i="3"/>
  <c r="S1780" i="3"/>
  <c r="S1781" i="3"/>
  <c r="S1782" i="3"/>
  <c r="S1783" i="3"/>
  <c r="S1784" i="3"/>
  <c r="S1785" i="3"/>
  <c r="S1786" i="3"/>
  <c r="S1787" i="3"/>
  <c r="S1788" i="3"/>
  <c r="S1789" i="3"/>
  <c r="S1790" i="3"/>
  <c r="S1791" i="3"/>
  <c r="S1792" i="3"/>
  <c r="S1793" i="3"/>
  <c r="S1794" i="3"/>
  <c r="S1795" i="3"/>
  <c r="S1796" i="3"/>
  <c r="S1797" i="3"/>
  <c r="S1798" i="3"/>
  <c r="S1799" i="3"/>
  <c r="S1800" i="3"/>
  <c r="S1801" i="3"/>
  <c r="S1802" i="3"/>
  <c r="S1803" i="3"/>
  <c r="S1804" i="3"/>
  <c r="S1805" i="3"/>
  <c r="S1806" i="3"/>
  <c r="S1807" i="3"/>
  <c r="S1808" i="3"/>
  <c r="S1809" i="3"/>
  <c r="S1810" i="3"/>
  <c r="S1811" i="3"/>
  <c r="S1812" i="3"/>
  <c r="S1813" i="3"/>
  <c r="S1814" i="3"/>
  <c r="S1815" i="3"/>
  <c r="S1816" i="3"/>
  <c r="S1817" i="3"/>
  <c r="S1818" i="3"/>
  <c r="S1819" i="3"/>
  <c r="S1820" i="3"/>
  <c r="S1821" i="3"/>
  <c r="S1822" i="3"/>
  <c r="S1823" i="3"/>
  <c r="S1824" i="3"/>
  <c r="S1825" i="3"/>
  <c r="S1826" i="3"/>
  <c r="S1827" i="3"/>
  <c r="S1828" i="3"/>
  <c r="S1829" i="3"/>
  <c r="S1830" i="3"/>
  <c r="S1831" i="3"/>
  <c r="S1832" i="3"/>
  <c r="S1833" i="3"/>
  <c r="S1834" i="3"/>
  <c r="S1835" i="3"/>
  <c r="S1836" i="3"/>
  <c r="S1837" i="3"/>
  <c r="S1838" i="3"/>
  <c r="S1839" i="3"/>
  <c r="S1840" i="3"/>
  <c r="S1841" i="3"/>
  <c r="S1842" i="3"/>
  <c r="S1843" i="3"/>
  <c r="S1844" i="3"/>
  <c r="S1845" i="3"/>
  <c r="S1846" i="3"/>
  <c r="S1847" i="3"/>
  <c r="S1848" i="3"/>
  <c r="S1849" i="3"/>
  <c r="S1850" i="3"/>
  <c r="S1851" i="3"/>
  <c r="S1852" i="3"/>
  <c r="S1853" i="3"/>
  <c r="S1854" i="3"/>
  <c r="S1855" i="3"/>
  <c r="S1856" i="3"/>
  <c r="S1857" i="3"/>
  <c r="S1858" i="3"/>
  <c r="S1859" i="3"/>
  <c r="S1860" i="3"/>
  <c r="S1861" i="3"/>
  <c r="S1862" i="3"/>
  <c r="S1863" i="3"/>
  <c r="S1864" i="3"/>
  <c r="S1865" i="3"/>
  <c r="S1866" i="3"/>
  <c r="S1867" i="3"/>
  <c r="S1868" i="3"/>
  <c r="S1869" i="3"/>
  <c r="S1870" i="3"/>
  <c r="S1871" i="3"/>
  <c r="S1872" i="3"/>
  <c r="S1873" i="3"/>
  <c r="S1874" i="3"/>
  <c r="S1875" i="3"/>
  <c r="S1876" i="3"/>
  <c r="S1877" i="3"/>
  <c r="S1878" i="3"/>
  <c r="S1879" i="3"/>
  <c r="S1880" i="3"/>
  <c r="S1881" i="3"/>
  <c r="S1882" i="3"/>
  <c r="S1883" i="3"/>
  <c r="S1884" i="3"/>
  <c r="S1885" i="3"/>
  <c r="S1886" i="3"/>
  <c r="S1887" i="3"/>
  <c r="S1888" i="3"/>
  <c r="S1889" i="3"/>
  <c r="S1890" i="3"/>
  <c r="S1891" i="3"/>
  <c r="S1892" i="3"/>
  <c r="S1893" i="3"/>
  <c r="S1894" i="3"/>
  <c r="S1895" i="3"/>
  <c r="S1896" i="3"/>
  <c r="S1897" i="3"/>
  <c r="S1898" i="3"/>
  <c r="S1899" i="3"/>
  <c r="S1900" i="3"/>
  <c r="S1901" i="3"/>
  <c r="S1902" i="3"/>
  <c r="S1903" i="3"/>
  <c r="S1904" i="3"/>
  <c r="S1905" i="3"/>
  <c r="S1906" i="3"/>
  <c r="S1907" i="3"/>
  <c r="S1908" i="3"/>
  <c r="S1909" i="3"/>
  <c r="S1910" i="3"/>
  <c r="S1911" i="3"/>
  <c r="S1912" i="3"/>
  <c r="S1913" i="3"/>
  <c r="S1914" i="3"/>
  <c r="S1915" i="3"/>
  <c r="S1916" i="3"/>
  <c r="S1917" i="3"/>
  <c r="S1918" i="3"/>
  <c r="S1919" i="3"/>
  <c r="S1920" i="3"/>
  <c r="S1921" i="3"/>
  <c r="S1922" i="3"/>
  <c r="S1923" i="3"/>
  <c r="S1924" i="3"/>
  <c r="S1925" i="3"/>
  <c r="S1926" i="3"/>
  <c r="S1927" i="3"/>
  <c r="S1928" i="3"/>
  <c r="S1929" i="3"/>
  <c r="S1930" i="3"/>
  <c r="S1931" i="3"/>
  <c r="S1932" i="3"/>
  <c r="S1933" i="3"/>
  <c r="S1934" i="3"/>
  <c r="S1935" i="3"/>
  <c r="S1936" i="3"/>
  <c r="S1937" i="3"/>
  <c r="S1938" i="3"/>
  <c r="S1939" i="3"/>
  <c r="S1940" i="3"/>
  <c r="S1941" i="3"/>
  <c r="S1942" i="3"/>
  <c r="S1943" i="3"/>
  <c r="S1944" i="3"/>
  <c r="S1945" i="3"/>
  <c r="S1946" i="3"/>
  <c r="S1947" i="3"/>
  <c r="S1948" i="3"/>
  <c r="S1949" i="3"/>
  <c r="S1950" i="3"/>
  <c r="S1951" i="3"/>
  <c r="S1952" i="3"/>
  <c r="S1953" i="3"/>
  <c r="S1954" i="3"/>
  <c r="S1955" i="3"/>
  <c r="S1956" i="3"/>
  <c r="S1957" i="3"/>
  <c r="S1958" i="3"/>
  <c r="S1959" i="3"/>
  <c r="S1960" i="3"/>
  <c r="S1961" i="3"/>
  <c r="S1962" i="3"/>
  <c r="S1963" i="3"/>
  <c r="S1964" i="3"/>
  <c r="S1965" i="3"/>
  <c r="S1966" i="3"/>
  <c r="S1967" i="3"/>
  <c r="S1968" i="3"/>
  <c r="S1969" i="3"/>
  <c r="S1970" i="3"/>
  <c r="S1971" i="3"/>
  <c r="S1972" i="3"/>
  <c r="S1973" i="3"/>
  <c r="S1974" i="3"/>
  <c r="S1975" i="3"/>
  <c r="S1976" i="3"/>
  <c r="S1977" i="3"/>
  <c r="S1978" i="3"/>
  <c r="S1979" i="3"/>
  <c r="S1980" i="3"/>
  <c r="S1981" i="3"/>
  <c r="S1982" i="3"/>
  <c r="S1983" i="3"/>
  <c r="S1984" i="3"/>
  <c r="S1985" i="3"/>
  <c r="S1986" i="3"/>
  <c r="S1987" i="3"/>
  <c r="S1988" i="3"/>
  <c r="S1989" i="3"/>
  <c r="S1990" i="3"/>
  <c r="S1991" i="3"/>
  <c r="S1992" i="3"/>
  <c r="S1993" i="3"/>
  <c r="S1994" i="3"/>
  <c r="S1995" i="3"/>
  <c r="S1996" i="3"/>
  <c r="S1997" i="3"/>
  <c r="S1998" i="3"/>
  <c r="S1999" i="3"/>
  <c r="S2000" i="3"/>
  <c r="S2001" i="3"/>
  <c r="S2002" i="3"/>
  <c r="S2003" i="3"/>
  <c r="S2004" i="3"/>
  <c r="S2005" i="3"/>
  <c r="S2006" i="3"/>
  <c r="S2007" i="3"/>
  <c r="S2008" i="3"/>
  <c r="S2009" i="3"/>
  <c r="S2010" i="3"/>
  <c r="S2011" i="3"/>
  <c r="S2012" i="3"/>
  <c r="S2013" i="3"/>
  <c r="S2014" i="3"/>
  <c r="S2015" i="3"/>
  <c r="S2016" i="3"/>
  <c r="S2017" i="3"/>
  <c r="S2018" i="3"/>
  <c r="S2019" i="3"/>
  <c r="S2020" i="3"/>
  <c r="S2021" i="3"/>
  <c r="S2022" i="3"/>
  <c r="S2023" i="3"/>
  <c r="S2024" i="3"/>
  <c r="S2025" i="3"/>
  <c r="S2026" i="3"/>
  <c r="S2027" i="3"/>
  <c r="S2028" i="3"/>
  <c r="S2029" i="3"/>
  <c r="S2030" i="3"/>
  <c r="S2031" i="3"/>
  <c r="S2032" i="3"/>
  <c r="S2033" i="3"/>
  <c r="S2034" i="3"/>
  <c r="S2035" i="3"/>
  <c r="S2036" i="3"/>
  <c r="S2037" i="3"/>
  <c r="S2038" i="3"/>
  <c r="S2039" i="3"/>
  <c r="S2040" i="3"/>
  <c r="S2041" i="3"/>
  <c r="S2042" i="3"/>
  <c r="S2043" i="3"/>
  <c r="S2044" i="3"/>
  <c r="S2045" i="3"/>
  <c r="S2046" i="3"/>
  <c r="S2047" i="3"/>
  <c r="S2048" i="3"/>
  <c r="S2049" i="3"/>
  <c r="S2050" i="3"/>
  <c r="S2051" i="3"/>
  <c r="S2052" i="3"/>
  <c r="S2053" i="3"/>
  <c r="S2054" i="3"/>
  <c r="S2055" i="3"/>
  <c r="S2056" i="3"/>
  <c r="S2057" i="3"/>
  <c r="S2058" i="3"/>
  <c r="S2059" i="3"/>
  <c r="S2060" i="3"/>
  <c r="S2061" i="3"/>
  <c r="S2062" i="3"/>
  <c r="S2063" i="3"/>
  <c r="S2064" i="3"/>
  <c r="S2065" i="3"/>
  <c r="S2066" i="3"/>
  <c r="S2067" i="3"/>
  <c r="S2068" i="3"/>
  <c r="S2069" i="3"/>
  <c r="S2070" i="3"/>
  <c r="S2071" i="3"/>
  <c r="S2072" i="3"/>
  <c r="S2073" i="3"/>
  <c r="S2074" i="3"/>
  <c r="S2075" i="3"/>
  <c r="S2076" i="3"/>
  <c r="S2077" i="3"/>
  <c r="S2078" i="3"/>
  <c r="S2079" i="3"/>
  <c r="S2080" i="3"/>
  <c r="S2081" i="3"/>
  <c r="S2082" i="3"/>
  <c r="S2083" i="3"/>
  <c r="S2084" i="3"/>
  <c r="S2085" i="3"/>
  <c r="S2086" i="3"/>
  <c r="S2087" i="3"/>
  <c r="S2088" i="3"/>
  <c r="S2089" i="3"/>
  <c r="S2090" i="3"/>
  <c r="S2091" i="3"/>
  <c r="S2092" i="3"/>
  <c r="S2093" i="3"/>
  <c r="S2094" i="3"/>
  <c r="S2095" i="3"/>
  <c r="S2096" i="3"/>
  <c r="S2097" i="3"/>
  <c r="S2098" i="3"/>
  <c r="S2099" i="3"/>
  <c r="S2100" i="3"/>
  <c r="S2101" i="3"/>
  <c r="S2102" i="3"/>
  <c r="S2103" i="3"/>
  <c r="S2104" i="3"/>
  <c r="S2105" i="3"/>
  <c r="S2106" i="3"/>
  <c r="S2107" i="3"/>
  <c r="S2108" i="3"/>
  <c r="S2109" i="3"/>
  <c r="S2110" i="3"/>
  <c r="S2111" i="3"/>
  <c r="S2112" i="3"/>
  <c r="S2113" i="3"/>
  <c r="S2114" i="3"/>
  <c r="S2115" i="3"/>
  <c r="S2116" i="3"/>
  <c r="S2117" i="3"/>
  <c r="S2118" i="3"/>
  <c r="S2119" i="3"/>
  <c r="S2120" i="3"/>
  <c r="S2121" i="3"/>
  <c r="S2122" i="3"/>
  <c r="S2123" i="3"/>
  <c r="S2124" i="3"/>
  <c r="S2125" i="3"/>
  <c r="S2126" i="3"/>
  <c r="S2127" i="3"/>
  <c r="S2128" i="3"/>
  <c r="S2129" i="3"/>
  <c r="S2130" i="3"/>
  <c r="S2131" i="3"/>
  <c r="S2132" i="3"/>
  <c r="S2133" i="3"/>
  <c r="S2134" i="3"/>
  <c r="S2135" i="3"/>
  <c r="S2136" i="3"/>
  <c r="S2137" i="3"/>
  <c r="S2138" i="3"/>
  <c r="S2139" i="3"/>
  <c r="S2140" i="3"/>
  <c r="S2141" i="3"/>
  <c r="S2142" i="3"/>
  <c r="S2143" i="3"/>
  <c r="S2144" i="3"/>
  <c r="S2145" i="3"/>
  <c r="S2146" i="3"/>
  <c r="S2147" i="3"/>
  <c r="S2148" i="3"/>
  <c r="S2149" i="3"/>
  <c r="S2150" i="3"/>
  <c r="S2151" i="3"/>
  <c r="S2152" i="3"/>
  <c r="S2153" i="3"/>
  <c r="S2154" i="3"/>
  <c r="S2155" i="3"/>
  <c r="S2156" i="3"/>
  <c r="S2157" i="3"/>
  <c r="S2158" i="3"/>
  <c r="S2159" i="3"/>
  <c r="S2160" i="3"/>
  <c r="S2161" i="3"/>
  <c r="S2162" i="3"/>
  <c r="S2163" i="3"/>
  <c r="S2164" i="3"/>
  <c r="S2165" i="3"/>
  <c r="S2166" i="3"/>
  <c r="S2167" i="3"/>
  <c r="S2168" i="3"/>
  <c r="S2169" i="3"/>
  <c r="S2170" i="3"/>
  <c r="S2171" i="3"/>
  <c r="S2172" i="3"/>
  <c r="S2173" i="3"/>
  <c r="S2174" i="3"/>
  <c r="S2175" i="3"/>
  <c r="S2176" i="3"/>
  <c r="S2177" i="3"/>
  <c r="S2178" i="3"/>
  <c r="S2179" i="3"/>
  <c r="S2180" i="3"/>
  <c r="S2181" i="3"/>
  <c r="S2182" i="3"/>
  <c r="S2183" i="3"/>
  <c r="S2184" i="3"/>
  <c r="S2185" i="3"/>
  <c r="S2186" i="3"/>
  <c r="S2187" i="3"/>
  <c r="S2188" i="3"/>
  <c r="S2189" i="3"/>
  <c r="S2190" i="3"/>
  <c r="S2191" i="3"/>
  <c r="S2192" i="3"/>
  <c r="S2193" i="3"/>
  <c r="S2194" i="3"/>
  <c r="S2195" i="3"/>
  <c r="S2196" i="3"/>
  <c r="S2197" i="3"/>
  <c r="S2198" i="3"/>
  <c r="S2199" i="3"/>
  <c r="S2200" i="3"/>
  <c r="S2201" i="3"/>
  <c r="S2202" i="3"/>
  <c r="S2203" i="3"/>
  <c r="S2204" i="3"/>
  <c r="S2205" i="3"/>
  <c r="S2206" i="3"/>
  <c r="S2207" i="3"/>
  <c r="S2208" i="3"/>
  <c r="S2209" i="3"/>
  <c r="S2210" i="3"/>
  <c r="S2211" i="3"/>
  <c r="S2212" i="3"/>
  <c r="S2213" i="3"/>
  <c r="S2214" i="3"/>
  <c r="S2215" i="3"/>
  <c r="S2216" i="3"/>
  <c r="S2217" i="3"/>
  <c r="S2218" i="3"/>
  <c r="S2219" i="3"/>
  <c r="S2220" i="3"/>
  <c r="S2221" i="3"/>
  <c r="S2222" i="3"/>
  <c r="S2223" i="3"/>
  <c r="S2224" i="3"/>
  <c r="S2225" i="3"/>
  <c r="S2226" i="3"/>
  <c r="S2227" i="3"/>
  <c r="S2228" i="3"/>
  <c r="S2229" i="3"/>
  <c r="S2230" i="3"/>
  <c r="S2231" i="3"/>
  <c r="S2232" i="3"/>
  <c r="S2233" i="3"/>
  <c r="S2234" i="3"/>
  <c r="S2235" i="3"/>
  <c r="S2236" i="3"/>
  <c r="S2237" i="3"/>
  <c r="S2238" i="3"/>
  <c r="S2239" i="3"/>
  <c r="S2240" i="3"/>
  <c r="S2241" i="3"/>
  <c r="S2242" i="3"/>
  <c r="S2243" i="3"/>
  <c r="S2244" i="3"/>
  <c r="S2245" i="3"/>
  <c r="S2246" i="3"/>
  <c r="S2247" i="3"/>
  <c r="S2248" i="3"/>
  <c r="S2249" i="3"/>
  <c r="S2250" i="3"/>
  <c r="S2251" i="3"/>
  <c r="S2252" i="3"/>
  <c r="S2253" i="3"/>
  <c r="S2254" i="3"/>
  <c r="S2255" i="3"/>
  <c r="S2256" i="3"/>
  <c r="S2257" i="3"/>
  <c r="S2258" i="3"/>
  <c r="S2259" i="3"/>
  <c r="S2260" i="3"/>
  <c r="S2261" i="3"/>
  <c r="S2262" i="3"/>
  <c r="S2263" i="3"/>
  <c r="S2264" i="3"/>
  <c r="S2265" i="3"/>
  <c r="S2266" i="3"/>
  <c r="S2267" i="3"/>
  <c r="S2268" i="3"/>
  <c r="S2269" i="3"/>
  <c r="S2270" i="3"/>
  <c r="S2271" i="3"/>
  <c r="S2272" i="3"/>
  <c r="S2273" i="3"/>
  <c r="S2274" i="3"/>
  <c r="S2275" i="3"/>
  <c r="S2276" i="3"/>
  <c r="S2277" i="3"/>
  <c r="S2278" i="3"/>
  <c r="S2279" i="3"/>
  <c r="S2280" i="3"/>
  <c r="S2281" i="3"/>
  <c r="S2282" i="3"/>
  <c r="S2283" i="3"/>
  <c r="S2284" i="3"/>
  <c r="S2285" i="3"/>
  <c r="S2286" i="3"/>
  <c r="S2287" i="3"/>
  <c r="S2288" i="3"/>
  <c r="S2289" i="3"/>
  <c r="S2290" i="3"/>
  <c r="S2291" i="3"/>
  <c r="S2292" i="3"/>
  <c r="S2293" i="3"/>
  <c r="S2294" i="3"/>
  <c r="S2295" i="3"/>
  <c r="S2296" i="3"/>
  <c r="S2297" i="3"/>
  <c r="S2298" i="3"/>
  <c r="S2299" i="3"/>
  <c r="S2300" i="3"/>
  <c r="S2301" i="3"/>
  <c r="S2302" i="3"/>
  <c r="S2303" i="3"/>
  <c r="S2304" i="3"/>
  <c r="S2305" i="3"/>
  <c r="S2306" i="3"/>
  <c r="S2307" i="3"/>
  <c r="S2308" i="3"/>
  <c r="S2309" i="3"/>
  <c r="S2310" i="3"/>
  <c r="S2311" i="3"/>
  <c r="S2312" i="3"/>
  <c r="S2313" i="3"/>
  <c r="S2314" i="3"/>
  <c r="S2315" i="3"/>
  <c r="S2316" i="3"/>
  <c r="S2317" i="3"/>
  <c r="S2318" i="3"/>
  <c r="S2319" i="3"/>
  <c r="S2320" i="3"/>
  <c r="S2321" i="3"/>
  <c r="S2322" i="3"/>
  <c r="S2323" i="3"/>
  <c r="S2324" i="3"/>
  <c r="S2325" i="3"/>
  <c r="S2326" i="3"/>
  <c r="S2327" i="3"/>
  <c r="S2328" i="3"/>
  <c r="S2329" i="3"/>
  <c r="S2330" i="3"/>
  <c r="S2331" i="3"/>
  <c r="S2332" i="3"/>
  <c r="S2333" i="3"/>
  <c r="S2334" i="3"/>
  <c r="S2335" i="3"/>
  <c r="S2336" i="3"/>
  <c r="S2337" i="3"/>
  <c r="S2338" i="3"/>
  <c r="S2339" i="3"/>
  <c r="S2340" i="3"/>
  <c r="S2341" i="3"/>
  <c r="S2342" i="3"/>
  <c r="S2343" i="3"/>
  <c r="S2344" i="3"/>
  <c r="S2345" i="3"/>
  <c r="S2346" i="3"/>
  <c r="S2347" i="3"/>
  <c r="S2348" i="3"/>
  <c r="S2349" i="3"/>
  <c r="S2350" i="3"/>
  <c r="S2351" i="3"/>
  <c r="S2352" i="3"/>
  <c r="S2353" i="3"/>
  <c r="S2354" i="3"/>
  <c r="S2355" i="3"/>
  <c r="S2356" i="3"/>
  <c r="S2357" i="3"/>
  <c r="S2358" i="3"/>
  <c r="S2359" i="3"/>
  <c r="S2360" i="3"/>
  <c r="S2361" i="3"/>
  <c r="S2362" i="3"/>
  <c r="S2363" i="3"/>
  <c r="S2364" i="3"/>
  <c r="S2365" i="3"/>
  <c r="S2366" i="3"/>
  <c r="S2367" i="3"/>
  <c r="S2368" i="3"/>
  <c r="S2369" i="3"/>
  <c r="S2370" i="3"/>
  <c r="S2371" i="3"/>
  <c r="S2372" i="3"/>
  <c r="S2373" i="3"/>
  <c r="S2374" i="3"/>
  <c r="S2375" i="3"/>
  <c r="S2376" i="3"/>
  <c r="S2377" i="3"/>
  <c r="S2378" i="3"/>
  <c r="S2379" i="3"/>
  <c r="S2380" i="3"/>
  <c r="S2381" i="3"/>
  <c r="S2382" i="3"/>
  <c r="S2383" i="3"/>
  <c r="S2384" i="3"/>
  <c r="S2385" i="3"/>
  <c r="S2386" i="3"/>
  <c r="S2387" i="3"/>
  <c r="S2388" i="3"/>
  <c r="S2389" i="3"/>
  <c r="S2390" i="3"/>
  <c r="S2391" i="3"/>
  <c r="S2392" i="3"/>
  <c r="S2393" i="3"/>
  <c r="S2394" i="3"/>
  <c r="S2395" i="3"/>
  <c r="S2396" i="3"/>
  <c r="S2397" i="3"/>
  <c r="S2398" i="3"/>
  <c r="S2399" i="3"/>
  <c r="S2400" i="3"/>
  <c r="S2401" i="3"/>
  <c r="S2402" i="3"/>
  <c r="S2403" i="3"/>
  <c r="S2404" i="3"/>
  <c r="S2405" i="3"/>
  <c r="S2406" i="3"/>
  <c r="S2407" i="3"/>
  <c r="S2408" i="3"/>
  <c r="S2409" i="3"/>
  <c r="S2410" i="3"/>
  <c r="S2411" i="3"/>
  <c r="S2412" i="3"/>
  <c r="S2413" i="3"/>
  <c r="S2414" i="3"/>
  <c r="S2415" i="3"/>
  <c r="S2416" i="3"/>
  <c r="S2417" i="3"/>
  <c r="S2418" i="3"/>
  <c r="S2419" i="3"/>
  <c r="S2420" i="3"/>
  <c r="S2421" i="3"/>
  <c r="S2422" i="3"/>
  <c r="S2423" i="3"/>
  <c r="S2424" i="3"/>
  <c r="S2425" i="3"/>
  <c r="S2426" i="3"/>
  <c r="S2427" i="3"/>
  <c r="S2428" i="3"/>
  <c r="S2429" i="3"/>
  <c r="S2430" i="3"/>
  <c r="S2431" i="3"/>
  <c r="S2432" i="3"/>
  <c r="S2433" i="3"/>
  <c r="S2434" i="3"/>
  <c r="S2435" i="3"/>
  <c r="S2436" i="3"/>
  <c r="S2437" i="3"/>
  <c r="S2438" i="3"/>
  <c r="S2439" i="3"/>
  <c r="S2440" i="3"/>
  <c r="S2441" i="3"/>
  <c r="S2442" i="3"/>
  <c r="S2443" i="3"/>
  <c r="S2444" i="3"/>
  <c r="S2445" i="3"/>
  <c r="S2446" i="3"/>
  <c r="S2447" i="3"/>
  <c r="S2448" i="3"/>
  <c r="S2449" i="3"/>
  <c r="S2450" i="3"/>
  <c r="S2451" i="3"/>
  <c r="S2452" i="3"/>
  <c r="S2453" i="3"/>
  <c r="S2454" i="3"/>
  <c r="S2455" i="3"/>
  <c r="S2456" i="3"/>
  <c r="S2457" i="3"/>
  <c r="S2458" i="3"/>
  <c r="S2459" i="3"/>
  <c r="S2460" i="3"/>
  <c r="S2461" i="3"/>
  <c r="S2462" i="3"/>
  <c r="S2463" i="3"/>
  <c r="S2464" i="3"/>
  <c r="S2465" i="3"/>
  <c r="S2466" i="3"/>
  <c r="S2467" i="3"/>
  <c r="S2468" i="3"/>
  <c r="S2469" i="3"/>
  <c r="S2470" i="3"/>
  <c r="S2471" i="3"/>
  <c r="S2472" i="3"/>
  <c r="S2473" i="3"/>
  <c r="S2474" i="3"/>
  <c r="S2475" i="3"/>
  <c r="S2476" i="3"/>
  <c r="S2477" i="3"/>
  <c r="S2478" i="3"/>
  <c r="S2479" i="3"/>
  <c r="S2480" i="3"/>
  <c r="S2481" i="3"/>
  <c r="S2482" i="3"/>
  <c r="S2483" i="3"/>
  <c r="S2484" i="3"/>
  <c r="S2485" i="3"/>
  <c r="S2486" i="3"/>
  <c r="S2487" i="3"/>
  <c r="S2488" i="3"/>
  <c r="S2489" i="3"/>
  <c r="S2490" i="3"/>
  <c r="S2491" i="3"/>
  <c r="S2492" i="3"/>
  <c r="S2493" i="3"/>
  <c r="S2494" i="3"/>
  <c r="S2495" i="3"/>
  <c r="S2496" i="3"/>
  <c r="S2497" i="3"/>
  <c r="S2498" i="3"/>
  <c r="S2499" i="3"/>
  <c r="S2500" i="3"/>
  <c r="S2501" i="3"/>
  <c r="S2502" i="3"/>
  <c r="S2503" i="3"/>
  <c r="S2504" i="3"/>
  <c r="S2505" i="3"/>
  <c r="S2506" i="3"/>
  <c r="S2507" i="3"/>
  <c r="S2508" i="3"/>
  <c r="S2509" i="3"/>
  <c r="S2510" i="3"/>
  <c r="S2511" i="3"/>
  <c r="S2512" i="3"/>
  <c r="S2513" i="3"/>
  <c r="S2514" i="3"/>
  <c r="S2515" i="3"/>
  <c r="S2516" i="3"/>
  <c r="S2517" i="3"/>
  <c r="S2518" i="3"/>
  <c r="S2519" i="3"/>
  <c r="S2520" i="3"/>
  <c r="S2521" i="3"/>
  <c r="S2522" i="3"/>
  <c r="S2523" i="3"/>
  <c r="S2524" i="3"/>
  <c r="S2525" i="3"/>
  <c r="S2526" i="3"/>
  <c r="S2527" i="3"/>
  <c r="S2528" i="3"/>
  <c r="S2529" i="3"/>
  <c r="S2530" i="3"/>
  <c r="S2531" i="3"/>
  <c r="S2532" i="3"/>
  <c r="S2533" i="3"/>
  <c r="S2534" i="3"/>
  <c r="S2535" i="3"/>
  <c r="S2536" i="3"/>
  <c r="S2537" i="3"/>
  <c r="S2538" i="3"/>
  <c r="S2539" i="3"/>
  <c r="S2540" i="3"/>
  <c r="S2541" i="3"/>
  <c r="S2542" i="3"/>
  <c r="S2543" i="3"/>
  <c r="S2544" i="3"/>
  <c r="S2545" i="3"/>
  <c r="S2546" i="3"/>
  <c r="S2547" i="3"/>
  <c r="S2548" i="3"/>
  <c r="S2549" i="3"/>
  <c r="S2550" i="3"/>
  <c r="S2551" i="3"/>
  <c r="S2552" i="3"/>
  <c r="S2553" i="3"/>
  <c r="S2554" i="3"/>
  <c r="S2555" i="3"/>
  <c r="S2556" i="3"/>
  <c r="S2557" i="3"/>
  <c r="S2558" i="3"/>
  <c r="S2559" i="3"/>
  <c r="S2560" i="3"/>
  <c r="S2561" i="3"/>
  <c r="S2562" i="3"/>
  <c r="S2563" i="3"/>
  <c r="S2564" i="3"/>
  <c r="S2565" i="3"/>
  <c r="S2566" i="3"/>
  <c r="S2567" i="3"/>
  <c r="S2568" i="3"/>
  <c r="S2569" i="3"/>
  <c r="S2570" i="3"/>
  <c r="S2571" i="3"/>
  <c r="S2572" i="3"/>
  <c r="S2573" i="3"/>
  <c r="S2574" i="3"/>
  <c r="S2575" i="3"/>
  <c r="S739" i="3"/>
  <c r="G740" i="3"/>
  <c r="G741" i="3"/>
  <c r="G742" i="3"/>
  <c r="G743" i="3"/>
  <c r="G744" i="3"/>
  <c r="G745" i="3"/>
  <c r="G746" i="3"/>
  <c r="G747" i="3"/>
  <c r="G748" i="3"/>
  <c r="G749" i="3"/>
  <c r="G750" i="3"/>
  <c r="G751" i="3"/>
  <c r="G752" i="3"/>
  <c r="G753" i="3"/>
  <c r="G754" i="3"/>
  <c r="G755" i="3"/>
  <c r="G756" i="3"/>
  <c r="G757" i="3"/>
  <c r="G758" i="3"/>
  <c r="G759" i="3"/>
  <c r="G760" i="3"/>
  <c r="G761" i="3"/>
  <c r="G762" i="3"/>
  <c r="G763" i="3"/>
  <c r="G764" i="3"/>
  <c r="G765" i="3"/>
  <c r="G766" i="3"/>
  <c r="G767" i="3"/>
  <c r="G768" i="3"/>
  <c r="G769" i="3"/>
  <c r="G770" i="3"/>
  <c r="G771" i="3"/>
  <c r="G772" i="3"/>
  <c r="G773" i="3"/>
  <c r="G774" i="3"/>
  <c r="G775" i="3"/>
  <c r="G776" i="3"/>
  <c r="G777" i="3"/>
  <c r="G778" i="3"/>
  <c r="G779" i="3"/>
  <c r="G780" i="3"/>
  <c r="G781" i="3"/>
  <c r="G782" i="3"/>
  <c r="G783" i="3"/>
  <c r="G784" i="3"/>
  <c r="G785" i="3"/>
  <c r="G786" i="3"/>
  <c r="G787" i="3"/>
  <c r="G788" i="3"/>
  <c r="G789" i="3"/>
  <c r="G790" i="3"/>
  <c r="G791" i="3"/>
  <c r="G792" i="3"/>
  <c r="G793" i="3"/>
  <c r="G794" i="3"/>
  <c r="G795" i="3"/>
  <c r="G796" i="3"/>
  <c r="G797" i="3"/>
  <c r="G798" i="3"/>
  <c r="G799" i="3"/>
  <c r="G800" i="3"/>
  <c r="G801" i="3"/>
  <c r="G802" i="3"/>
  <c r="G803" i="3"/>
  <c r="G804" i="3"/>
  <c r="G805" i="3"/>
  <c r="G806" i="3"/>
  <c r="G807" i="3"/>
  <c r="G808" i="3"/>
  <c r="G809" i="3"/>
  <c r="G810" i="3"/>
  <c r="G811" i="3"/>
  <c r="G812" i="3"/>
  <c r="G813" i="3"/>
  <c r="G814" i="3"/>
  <c r="G815" i="3"/>
  <c r="G816" i="3"/>
  <c r="G817" i="3"/>
  <c r="G818" i="3"/>
  <c r="G819" i="3"/>
  <c r="G820" i="3"/>
  <c r="G821" i="3"/>
  <c r="G822" i="3"/>
  <c r="G823" i="3"/>
  <c r="G824" i="3"/>
  <c r="G825" i="3"/>
  <c r="G826" i="3"/>
  <c r="G827" i="3"/>
  <c r="G828" i="3"/>
  <c r="G829" i="3"/>
  <c r="G830" i="3"/>
  <c r="G831" i="3"/>
  <c r="G832" i="3"/>
  <c r="G833" i="3"/>
  <c r="G834" i="3"/>
  <c r="G835" i="3"/>
  <c r="G836" i="3"/>
  <c r="G837" i="3"/>
  <c r="G838" i="3"/>
  <c r="G839" i="3"/>
  <c r="G840" i="3"/>
  <c r="G841" i="3"/>
  <c r="G842" i="3"/>
  <c r="G843" i="3"/>
  <c r="G844" i="3"/>
  <c r="G845" i="3"/>
  <c r="G846" i="3"/>
  <c r="G847" i="3"/>
  <c r="G848" i="3"/>
  <c r="G849" i="3"/>
  <c r="G850" i="3"/>
  <c r="G851" i="3"/>
  <c r="G852" i="3"/>
  <c r="G853" i="3"/>
  <c r="G854" i="3"/>
  <c r="G855" i="3"/>
  <c r="G856" i="3"/>
  <c r="G857" i="3"/>
  <c r="G858" i="3"/>
  <c r="G859" i="3"/>
  <c r="G860" i="3"/>
  <c r="G861" i="3"/>
  <c r="G862" i="3"/>
  <c r="G863" i="3"/>
  <c r="G864" i="3"/>
  <c r="G865" i="3"/>
  <c r="G866" i="3"/>
  <c r="G867" i="3"/>
  <c r="G868" i="3"/>
  <c r="G869" i="3"/>
  <c r="G870" i="3"/>
  <c r="G871" i="3"/>
  <c r="G872" i="3"/>
  <c r="G873" i="3"/>
  <c r="G874" i="3"/>
  <c r="G875" i="3"/>
  <c r="G876" i="3"/>
  <c r="G877" i="3"/>
  <c r="G878" i="3"/>
  <c r="G879" i="3"/>
  <c r="G880" i="3"/>
  <c r="G881" i="3"/>
  <c r="G882" i="3"/>
  <c r="G883" i="3"/>
  <c r="G884" i="3"/>
  <c r="G885" i="3"/>
  <c r="G886" i="3"/>
  <c r="G887" i="3"/>
  <c r="G888" i="3"/>
  <c r="G889" i="3"/>
  <c r="G890" i="3"/>
  <c r="G891" i="3"/>
  <c r="G892" i="3"/>
  <c r="G893" i="3"/>
  <c r="G894" i="3"/>
  <c r="G895" i="3"/>
  <c r="G896" i="3"/>
  <c r="G897" i="3"/>
  <c r="G898" i="3"/>
  <c r="G899" i="3"/>
  <c r="G900" i="3"/>
  <c r="G901" i="3"/>
  <c r="G902" i="3"/>
  <c r="G903" i="3"/>
  <c r="G904" i="3"/>
  <c r="G905" i="3"/>
  <c r="G906" i="3"/>
  <c r="G907" i="3"/>
  <c r="G908" i="3"/>
  <c r="G909" i="3"/>
  <c r="G910" i="3"/>
  <c r="G911" i="3"/>
  <c r="G912" i="3"/>
  <c r="G913" i="3"/>
  <c r="G914" i="3"/>
  <c r="G915" i="3"/>
  <c r="G916" i="3"/>
  <c r="G917" i="3"/>
  <c r="G918" i="3"/>
  <c r="G919" i="3"/>
  <c r="G920" i="3"/>
  <c r="G921" i="3"/>
  <c r="G922" i="3"/>
  <c r="G923" i="3"/>
  <c r="G924" i="3"/>
  <c r="G925" i="3"/>
  <c r="G926" i="3"/>
  <c r="G927" i="3"/>
  <c r="G928" i="3"/>
  <c r="G929" i="3"/>
  <c r="G930" i="3"/>
  <c r="G931" i="3"/>
  <c r="G932" i="3"/>
  <c r="G933" i="3"/>
  <c r="G934" i="3"/>
  <c r="G935" i="3"/>
  <c r="G936" i="3"/>
  <c r="G937" i="3"/>
  <c r="G938" i="3"/>
  <c r="G939" i="3"/>
  <c r="G940" i="3"/>
  <c r="G941" i="3"/>
  <c r="G942" i="3"/>
  <c r="G943" i="3"/>
  <c r="G944" i="3"/>
  <c r="G945" i="3"/>
  <c r="G946" i="3"/>
  <c r="G947" i="3"/>
  <c r="G948" i="3"/>
  <c r="G949" i="3"/>
  <c r="G950" i="3"/>
  <c r="G951" i="3"/>
  <c r="G952" i="3"/>
  <c r="G953" i="3"/>
  <c r="G954" i="3"/>
  <c r="G955" i="3"/>
  <c r="G956" i="3"/>
  <c r="G957" i="3"/>
  <c r="G958" i="3"/>
  <c r="G959" i="3"/>
  <c r="G960" i="3"/>
  <c r="G961" i="3"/>
  <c r="G962" i="3"/>
  <c r="G963" i="3"/>
  <c r="G964" i="3"/>
  <c r="G965" i="3"/>
  <c r="G966" i="3"/>
  <c r="G967" i="3"/>
  <c r="G968" i="3"/>
  <c r="G969" i="3"/>
  <c r="G970" i="3"/>
  <c r="G971" i="3"/>
  <c r="G972" i="3"/>
  <c r="G973" i="3"/>
  <c r="G974" i="3"/>
  <c r="G975" i="3"/>
  <c r="G976" i="3"/>
  <c r="G977" i="3"/>
  <c r="G978" i="3"/>
  <c r="G979" i="3"/>
  <c r="G980" i="3"/>
  <c r="G981" i="3"/>
  <c r="G982" i="3"/>
  <c r="G983" i="3"/>
  <c r="G984" i="3"/>
  <c r="G985" i="3"/>
  <c r="G986" i="3"/>
  <c r="G987" i="3"/>
  <c r="G988" i="3"/>
  <c r="G989" i="3"/>
  <c r="G990" i="3"/>
  <c r="G991" i="3"/>
  <c r="G992" i="3"/>
  <c r="G993" i="3"/>
  <c r="G994" i="3"/>
  <c r="G995" i="3"/>
  <c r="G996" i="3"/>
  <c r="G997" i="3"/>
  <c r="G998" i="3"/>
  <c r="G999" i="3"/>
  <c r="G1000" i="3"/>
  <c r="G1001" i="3"/>
  <c r="G1002" i="3"/>
  <c r="G1003" i="3"/>
  <c r="G1004" i="3"/>
  <c r="G1005" i="3"/>
  <c r="G1006" i="3"/>
  <c r="G1007" i="3"/>
  <c r="G1008" i="3"/>
  <c r="G1009" i="3"/>
  <c r="G1010" i="3"/>
  <c r="G1011" i="3"/>
  <c r="G1012" i="3"/>
  <c r="G1013" i="3"/>
  <c r="G1014" i="3"/>
  <c r="G1015" i="3"/>
  <c r="G1016" i="3"/>
  <c r="G1017" i="3"/>
  <c r="G1018" i="3"/>
  <c r="G1019" i="3"/>
  <c r="G1020" i="3"/>
  <c r="G1021" i="3"/>
  <c r="G1022" i="3"/>
  <c r="G1023" i="3"/>
  <c r="G1024" i="3"/>
  <c r="G1025" i="3"/>
  <c r="G1026" i="3"/>
  <c r="G1027" i="3"/>
  <c r="G1028" i="3"/>
  <c r="G1029" i="3"/>
  <c r="G1030" i="3"/>
  <c r="G1031" i="3"/>
  <c r="G1032" i="3"/>
  <c r="G1033" i="3"/>
  <c r="G1034" i="3"/>
  <c r="G1035" i="3"/>
  <c r="G1036" i="3"/>
  <c r="G1037" i="3"/>
  <c r="G1038" i="3"/>
  <c r="G1039" i="3"/>
  <c r="G1040" i="3"/>
  <c r="G1041" i="3"/>
  <c r="G1042" i="3"/>
  <c r="G1043" i="3"/>
  <c r="G1044" i="3"/>
  <c r="G1045" i="3"/>
  <c r="G1046" i="3"/>
  <c r="G1047" i="3"/>
  <c r="G1048" i="3"/>
  <c r="G1049" i="3"/>
  <c r="G1050" i="3"/>
  <c r="G1051" i="3"/>
  <c r="G1052" i="3"/>
  <c r="G1053" i="3"/>
  <c r="G1054" i="3"/>
  <c r="G1055" i="3"/>
  <c r="G1056" i="3"/>
  <c r="G1057" i="3"/>
  <c r="G1058" i="3"/>
  <c r="G1059" i="3"/>
  <c r="G1060" i="3"/>
  <c r="G1061" i="3"/>
  <c r="G1062" i="3"/>
  <c r="G1063" i="3"/>
  <c r="G1064" i="3"/>
  <c r="G1065" i="3"/>
  <c r="G1066" i="3"/>
  <c r="G1067" i="3"/>
  <c r="G1068" i="3"/>
  <c r="G1069" i="3"/>
  <c r="G1070" i="3"/>
  <c r="G1071" i="3"/>
  <c r="G1072" i="3"/>
  <c r="G1073" i="3"/>
  <c r="G1074" i="3"/>
  <c r="G1075" i="3"/>
  <c r="G1076" i="3"/>
  <c r="G1077" i="3"/>
  <c r="G1078" i="3"/>
  <c r="G1079" i="3"/>
  <c r="G1080" i="3"/>
  <c r="G1081" i="3"/>
  <c r="G1082" i="3"/>
  <c r="G1083" i="3"/>
  <c r="G1084" i="3"/>
  <c r="G1085" i="3"/>
  <c r="G1086" i="3"/>
  <c r="G1087" i="3"/>
  <c r="G1088" i="3"/>
  <c r="G1089" i="3"/>
  <c r="G1090" i="3"/>
  <c r="G1091" i="3"/>
  <c r="G1092" i="3"/>
  <c r="G1093" i="3"/>
  <c r="G1094" i="3"/>
  <c r="G1095" i="3"/>
  <c r="G1096" i="3"/>
  <c r="G1097" i="3"/>
  <c r="G1098" i="3"/>
  <c r="G1099" i="3"/>
  <c r="G1100" i="3"/>
  <c r="G1101" i="3"/>
  <c r="G1102" i="3"/>
  <c r="G1103" i="3"/>
  <c r="G1104" i="3"/>
  <c r="G1105" i="3"/>
  <c r="G1106" i="3"/>
  <c r="G1107" i="3"/>
  <c r="G1108" i="3"/>
  <c r="G1109" i="3"/>
  <c r="G1110" i="3"/>
  <c r="G1111" i="3"/>
  <c r="G1112" i="3"/>
  <c r="G1113" i="3"/>
  <c r="G1114" i="3"/>
  <c r="G1115" i="3"/>
  <c r="G1116" i="3"/>
  <c r="G1117" i="3"/>
  <c r="G1118" i="3"/>
  <c r="G1119" i="3"/>
  <c r="G1120" i="3"/>
  <c r="G1121" i="3"/>
  <c r="G1122" i="3"/>
  <c r="G1123" i="3"/>
  <c r="G1124" i="3"/>
  <c r="G1125" i="3"/>
  <c r="G1126" i="3"/>
  <c r="G1127" i="3"/>
  <c r="G1128" i="3"/>
  <c r="G1129" i="3"/>
  <c r="G1130" i="3"/>
  <c r="G1131" i="3"/>
  <c r="G1132" i="3"/>
  <c r="G1133" i="3"/>
  <c r="G1134" i="3"/>
  <c r="G1135" i="3"/>
  <c r="G1136" i="3"/>
  <c r="G1137" i="3"/>
  <c r="G1138" i="3"/>
  <c r="G1139" i="3"/>
  <c r="G1140" i="3"/>
  <c r="G1141" i="3"/>
  <c r="G1142" i="3"/>
  <c r="G1143" i="3"/>
  <c r="G1144" i="3"/>
  <c r="G1145" i="3"/>
  <c r="G1146" i="3"/>
  <c r="G1147" i="3"/>
  <c r="G1148" i="3"/>
  <c r="G1149" i="3"/>
  <c r="G1150" i="3"/>
  <c r="G1151" i="3"/>
  <c r="G1152" i="3"/>
  <c r="G1153" i="3"/>
  <c r="G1154" i="3"/>
  <c r="G1155" i="3"/>
  <c r="G1156" i="3"/>
  <c r="G1157" i="3"/>
  <c r="G1158" i="3"/>
  <c r="G1159" i="3"/>
  <c r="G1160" i="3"/>
  <c r="G1161" i="3"/>
  <c r="G1162" i="3"/>
  <c r="G1163" i="3"/>
  <c r="G1164" i="3"/>
  <c r="G1165" i="3"/>
  <c r="G1166" i="3"/>
  <c r="G1167" i="3"/>
  <c r="G1168" i="3"/>
  <c r="G1169" i="3"/>
  <c r="G1170" i="3"/>
  <c r="G1171" i="3"/>
  <c r="G1172" i="3"/>
  <c r="G1173" i="3"/>
  <c r="G1174" i="3"/>
  <c r="G1175" i="3"/>
  <c r="G1176" i="3"/>
  <c r="G1177" i="3"/>
  <c r="G1178" i="3"/>
  <c r="G1179" i="3"/>
  <c r="G1180" i="3"/>
  <c r="G1181" i="3"/>
  <c r="G1182" i="3"/>
  <c r="G1183" i="3"/>
  <c r="G1184" i="3"/>
  <c r="G1185" i="3"/>
  <c r="G1186" i="3"/>
  <c r="G1187" i="3"/>
  <c r="G1188" i="3"/>
  <c r="G1189" i="3"/>
  <c r="G1190" i="3"/>
  <c r="G1191" i="3"/>
  <c r="G1192" i="3"/>
  <c r="G1193" i="3"/>
  <c r="G1194" i="3"/>
  <c r="G1195" i="3"/>
  <c r="G1196" i="3"/>
  <c r="G1197" i="3"/>
  <c r="G1198" i="3"/>
  <c r="G1199" i="3"/>
  <c r="G1200" i="3"/>
  <c r="G1201" i="3"/>
  <c r="G1202" i="3"/>
  <c r="G1203" i="3"/>
  <c r="G1204" i="3"/>
  <c r="G1205" i="3"/>
  <c r="G1206" i="3"/>
  <c r="G1207" i="3"/>
  <c r="G1208" i="3"/>
  <c r="G1209" i="3"/>
  <c r="G1210" i="3"/>
  <c r="G1211" i="3"/>
  <c r="G1212" i="3"/>
  <c r="G1213" i="3"/>
  <c r="G1214" i="3"/>
  <c r="G1215" i="3"/>
  <c r="G1216" i="3"/>
  <c r="G1217" i="3"/>
  <c r="G1218" i="3"/>
  <c r="G1219" i="3"/>
  <c r="G1220" i="3"/>
  <c r="G1221" i="3"/>
  <c r="G1222" i="3"/>
  <c r="G1223" i="3"/>
  <c r="G1224" i="3"/>
  <c r="G1225" i="3"/>
  <c r="G1226" i="3"/>
  <c r="G1227" i="3"/>
  <c r="G1228" i="3"/>
  <c r="G1229" i="3"/>
  <c r="G1230" i="3"/>
  <c r="G1231" i="3"/>
  <c r="G1232" i="3"/>
  <c r="G1233" i="3"/>
  <c r="G1234" i="3"/>
  <c r="G1235" i="3"/>
  <c r="G1236" i="3"/>
  <c r="G1237" i="3"/>
  <c r="G1238" i="3"/>
  <c r="G1239" i="3"/>
  <c r="G1240" i="3"/>
  <c r="G1241" i="3"/>
  <c r="G1242" i="3"/>
  <c r="G1243" i="3"/>
  <c r="G1244" i="3"/>
  <c r="G1245" i="3"/>
  <c r="G1246" i="3"/>
  <c r="G1247" i="3"/>
  <c r="G1248" i="3"/>
  <c r="G1249" i="3"/>
  <c r="G1250" i="3"/>
  <c r="G1251" i="3"/>
  <c r="G1252" i="3"/>
  <c r="G1253" i="3"/>
  <c r="G1254" i="3"/>
  <c r="G1255" i="3"/>
  <c r="G1256" i="3"/>
  <c r="G1257" i="3"/>
  <c r="G1258" i="3"/>
  <c r="G1259" i="3"/>
  <c r="G1260" i="3"/>
  <c r="G1261" i="3"/>
  <c r="G1262" i="3"/>
  <c r="G1263" i="3"/>
  <c r="G1264" i="3"/>
  <c r="G1265" i="3"/>
  <c r="G1266" i="3"/>
  <c r="G1267" i="3"/>
  <c r="G1268" i="3"/>
  <c r="G1269" i="3"/>
  <c r="G1270" i="3"/>
  <c r="G1271" i="3"/>
  <c r="G1272" i="3"/>
  <c r="G1273" i="3"/>
  <c r="G1274" i="3"/>
  <c r="G1275" i="3"/>
  <c r="G1276" i="3"/>
  <c r="G1277" i="3"/>
  <c r="G1278" i="3"/>
  <c r="G1279" i="3"/>
  <c r="G1280" i="3"/>
  <c r="G1281" i="3"/>
  <c r="G1282" i="3"/>
  <c r="G1283" i="3"/>
  <c r="G1284" i="3"/>
  <c r="G1285" i="3"/>
  <c r="G1286" i="3"/>
  <c r="G1287" i="3"/>
  <c r="G1288" i="3"/>
  <c r="G1289" i="3"/>
  <c r="G1290" i="3"/>
  <c r="G1291" i="3"/>
  <c r="G1292" i="3"/>
  <c r="G1293" i="3"/>
  <c r="G1294" i="3"/>
  <c r="G1295" i="3"/>
  <c r="G1296" i="3"/>
  <c r="G1297" i="3"/>
  <c r="G1298" i="3"/>
  <c r="G1299" i="3"/>
  <c r="G1300" i="3"/>
  <c r="G1301" i="3"/>
  <c r="G1302" i="3"/>
  <c r="G1303" i="3"/>
  <c r="G1304" i="3"/>
  <c r="G1305" i="3"/>
  <c r="G1306" i="3"/>
  <c r="G1307" i="3"/>
  <c r="G1308" i="3"/>
  <c r="G1309" i="3"/>
  <c r="G1310" i="3"/>
  <c r="G1311" i="3"/>
  <c r="G1312" i="3"/>
  <c r="G1313" i="3"/>
  <c r="G1314" i="3"/>
  <c r="G1315" i="3"/>
  <c r="G1316" i="3"/>
  <c r="G1317" i="3"/>
  <c r="G1318" i="3"/>
  <c r="G1319" i="3"/>
  <c r="G1320" i="3"/>
  <c r="G1321" i="3"/>
  <c r="G1322" i="3"/>
  <c r="G1323" i="3"/>
  <c r="G1324" i="3"/>
  <c r="G1325" i="3"/>
  <c r="G1326" i="3"/>
  <c r="G1327" i="3"/>
  <c r="G1328" i="3"/>
  <c r="G1329" i="3"/>
  <c r="G1330" i="3"/>
  <c r="G1331" i="3"/>
  <c r="G1332" i="3"/>
  <c r="G1333" i="3"/>
  <c r="G1334" i="3"/>
  <c r="G1335" i="3"/>
  <c r="G1336" i="3"/>
  <c r="G1337" i="3"/>
  <c r="G1338" i="3"/>
  <c r="G1339" i="3"/>
  <c r="G1340" i="3"/>
  <c r="G1341" i="3"/>
  <c r="G1342" i="3"/>
  <c r="G1343" i="3"/>
  <c r="G1344" i="3"/>
  <c r="G1345" i="3"/>
  <c r="G1346" i="3"/>
  <c r="G1347" i="3"/>
  <c r="G1348" i="3"/>
  <c r="G1349" i="3"/>
  <c r="G1350" i="3"/>
  <c r="G1351" i="3"/>
  <c r="G1352" i="3"/>
  <c r="G1353" i="3"/>
  <c r="G1354" i="3"/>
  <c r="G1355" i="3"/>
  <c r="G1356" i="3"/>
  <c r="G1357" i="3"/>
  <c r="G1358" i="3"/>
  <c r="G1359" i="3"/>
  <c r="G1360" i="3"/>
  <c r="G1361" i="3"/>
  <c r="G1362" i="3"/>
  <c r="G1363" i="3"/>
  <c r="G1364" i="3"/>
  <c r="G1365" i="3"/>
  <c r="G1366" i="3"/>
  <c r="G1367" i="3"/>
  <c r="G1368" i="3"/>
  <c r="G1369" i="3"/>
  <c r="G1370" i="3"/>
  <c r="G1371" i="3"/>
  <c r="G1372" i="3"/>
  <c r="G1373" i="3"/>
  <c r="G1374" i="3"/>
  <c r="G1375" i="3"/>
  <c r="G1376" i="3"/>
  <c r="G1377" i="3"/>
  <c r="G1378" i="3"/>
  <c r="G1379" i="3"/>
  <c r="G1380" i="3"/>
  <c r="G1381" i="3"/>
  <c r="G1382" i="3"/>
  <c r="G1383" i="3"/>
  <c r="G1384" i="3"/>
  <c r="G1385" i="3"/>
  <c r="G1386" i="3"/>
  <c r="G1387" i="3"/>
  <c r="G1388" i="3"/>
  <c r="G1389" i="3"/>
  <c r="G1390" i="3"/>
  <c r="G1391" i="3"/>
  <c r="G1392" i="3"/>
  <c r="G1393" i="3"/>
  <c r="G1394" i="3"/>
  <c r="G1395" i="3"/>
  <c r="G1396" i="3"/>
  <c r="G1397" i="3"/>
  <c r="G1398" i="3"/>
  <c r="G1399" i="3"/>
  <c r="G1400" i="3"/>
  <c r="G1401" i="3"/>
  <c r="G1402" i="3"/>
  <c r="G1403" i="3"/>
  <c r="G1404" i="3"/>
  <c r="G1405" i="3"/>
  <c r="G1406" i="3"/>
  <c r="G1407" i="3"/>
  <c r="G1408" i="3"/>
  <c r="G1409" i="3"/>
  <c r="G1410" i="3"/>
  <c r="G1411" i="3"/>
  <c r="G1412" i="3"/>
  <c r="G1413" i="3"/>
  <c r="G1414" i="3"/>
  <c r="G1415" i="3"/>
  <c r="G1416" i="3"/>
  <c r="G1417" i="3"/>
  <c r="G1418" i="3"/>
  <c r="G1419" i="3"/>
  <c r="G1420" i="3"/>
  <c r="G1421" i="3"/>
  <c r="G1422" i="3"/>
  <c r="G1423" i="3"/>
  <c r="G1424" i="3"/>
  <c r="G1425" i="3"/>
  <c r="G1426" i="3"/>
  <c r="G1427" i="3"/>
  <c r="G1428" i="3"/>
  <c r="G1429" i="3"/>
  <c r="G1430" i="3"/>
  <c r="G1431" i="3"/>
  <c r="G1432" i="3"/>
  <c r="G1433" i="3"/>
  <c r="G1434" i="3"/>
  <c r="G1435" i="3"/>
  <c r="G1436" i="3"/>
  <c r="G1437" i="3"/>
  <c r="G1438" i="3"/>
  <c r="G1439" i="3"/>
  <c r="G1440" i="3"/>
  <c r="G1441" i="3"/>
  <c r="G1442" i="3"/>
  <c r="G1443" i="3"/>
  <c r="G1444" i="3"/>
  <c r="G1445" i="3"/>
  <c r="G1446" i="3"/>
  <c r="G1447" i="3"/>
  <c r="G1448" i="3"/>
  <c r="G1449" i="3"/>
  <c r="G1450" i="3"/>
  <c r="G1451" i="3"/>
  <c r="G1452" i="3"/>
  <c r="G1453" i="3"/>
  <c r="G1454" i="3"/>
  <c r="G1455" i="3"/>
  <c r="G1456" i="3"/>
  <c r="G1457" i="3"/>
  <c r="G1458" i="3"/>
  <c r="G1459" i="3"/>
  <c r="G1460" i="3"/>
  <c r="G1461" i="3"/>
  <c r="G1462" i="3"/>
  <c r="G1463" i="3"/>
  <c r="G1464" i="3"/>
  <c r="G1465" i="3"/>
  <c r="G1466" i="3"/>
  <c r="G1467" i="3"/>
  <c r="G1468" i="3"/>
  <c r="G1469" i="3"/>
  <c r="G1470" i="3"/>
  <c r="G1471" i="3"/>
  <c r="G1472" i="3"/>
  <c r="G1473" i="3"/>
  <c r="G1474" i="3"/>
  <c r="G1475" i="3"/>
  <c r="G1476" i="3"/>
  <c r="G1477" i="3"/>
  <c r="G1478" i="3"/>
  <c r="G1479" i="3"/>
  <c r="G1480" i="3"/>
  <c r="G1481" i="3"/>
  <c r="G1482" i="3"/>
  <c r="G1483" i="3"/>
  <c r="G1484" i="3"/>
  <c r="G1485" i="3"/>
  <c r="G1486" i="3"/>
  <c r="G1487" i="3"/>
  <c r="G1488" i="3"/>
  <c r="G1489" i="3"/>
  <c r="G1490" i="3"/>
  <c r="G1491" i="3"/>
  <c r="G1492" i="3"/>
  <c r="G1493" i="3"/>
  <c r="G1494" i="3"/>
  <c r="G1495" i="3"/>
  <c r="G1496" i="3"/>
  <c r="G1497" i="3"/>
  <c r="G1498" i="3"/>
  <c r="G1499" i="3"/>
  <c r="G1500" i="3"/>
  <c r="G1501" i="3"/>
  <c r="G1502" i="3"/>
  <c r="G1503" i="3"/>
  <c r="G1504" i="3"/>
  <c r="G1505" i="3"/>
  <c r="G1506" i="3"/>
  <c r="G1507" i="3"/>
  <c r="G1508" i="3"/>
  <c r="G1509" i="3"/>
  <c r="G1510" i="3"/>
  <c r="G1511" i="3"/>
  <c r="G1512" i="3"/>
  <c r="G1513" i="3"/>
  <c r="G1514" i="3"/>
  <c r="G1515" i="3"/>
  <c r="G1516" i="3"/>
  <c r="G1517" i="3"/>
  <c r="G1518" i="3"/>
  <c r="G1519" i="3"/>
  <c r="G1520" i="3"/>
  <c r="G1521" i="3"/>
  <c r="G1522" i="3"/>
  <c r="G1523" i="3"/>
  <c r="G1524" i="3"/>
  <c r="G1525" i="3"/>
  <c r="G1526" i="3"/>
  <c r="G1527" i="3"/>
  <c r="G1528" i="3"/>
  <c r="G1529" i="3"/>
  <c r="G1530" i="3"/>
  <c r="G1531" i="3"/>
  <c r="G1532" i="3"/>
  <c r="G1533" i="3"/>
  <c r="G1534" i="3"/>
  <c r="G1535" i="3"/>
  <c r="G1536" i="3"/>
  <c r="G1537" i="3"/>
  <c r="G1538" i="3"/>
  <c r="G1539" i="3"/>
  <c r="G1540" i="3"/>
  <c r="G1541" i="3"/>
  <c r="G1542" i="3"/>
  <c r="G1543" i="3"/>
  <c r="G1544" i="3"/>
  <c r="G1545" i="3"/>
  <c r="G1546" i="3"/>
  <c r="G1547" i="3"/>
  <c r="G1548" i="3"/>
  <c r="G1549" i="3"/>
  <c r="G1550" i="3"/>
  <c r="G1551" i="3"/>
  <c r="G1552" i="3"/>
  <c r="G1553" i="3"/>
  <c r="G1554" i="3"/>
  <c r="G1555" i="3"/>
  <c r="G1556" i="3"/>
  <c r="G1557" i="3"/>
  <c r="G1558" i="3"/>
  <c r="G1559" i="3"/>
  <c r="G1560" i="3"/>
  <c r="G1561" i="3"/>
  <c r="G1562" i="3"/>
  <c r="G1563" i="3"/>
  <c r="G1564" i="3"/>
  <c r="G1565" i="3"/>
  <c r="G1566" i="3"/>
  <c r="G1567" i="3"/>
  <c r="G1568" i="3"/>
  <c r="G1569" i="3"/>
  <c r="G1570" i="3"/>
  <c r="G1571" i="3"/>
  <c r="G1572" i="3"/>
  <c r="G1573" i="3"/>
  <c r="G1574" i="3"/>
  <c r="G1575" i="3"/>
  <c r="G1576" i="3"/>
  <c r="G1577" i="3"/>
  <c r="G1578" i="3"/>
  <c r="G1579" i="3"/>
  <c r="G1580" i="3"/>
  <c r="G1581" i="3"/>
  <c r="G1582" i="3"/>
  <c r="G1583" i="3"/>
  <c r="G1584" i="3"/>
  <c r="G1585" i="3"/>
  <c r="G1586" i="3"/>
  <c r="G1587" i="3"/>
  <c r="G1588" i="3"/>
  <c r="G1589" i="3"/>
  <c r="G1590" i="3"/>
  <c r="G1591" i="3"/>
  <c r="G1592" i="3"/>
  <c r="G1593" i="3"/>
  <c r="G1594" i="3"/>
  <c r="G1595" i="3"/>
  <c r="G1596" i="3"/>
  <c r="G1597" i="3"/>
  <c r="G1598" i="3"/>
  <c r="G1599" i="3"/>
  <c r="G1600" i="3"/>
  <c r="G1601" i="3"/>
  <c r="G1602" i="3"/>
  <c r="G1603" i="3"/>
  <c r="G1604" i="3"/>
  <c r="G1605" i="3"/>
  <c r="G1606" i="3"/>
  <c r="G1607" i="3"/>
  <c r="G1608" i="3"/>
  <c r="G1609" i="3"/>
  <c r="G1610" i="3"/>
  <c r="G1611" i="3"/>
  <c r="G1612" i="3"/>
  <c r="G1613" i="3"/>
  <c r="G1614" i="3"/>
  <c r="G1615" i="3"/>
  <c r="G1616" i="3"/>
  <c r="G1617" i="3"/>
  <c r="G1618" i="3"/>
  <c r="G1619" i="3"/>
  <c r="G1620" i="3"/>
  <c r="G1621" i="3"/>
  <c r="G1622" i="3"/>
  <c r="G1623" i="3"/>
  <c r="G1624" i="3"/>
  <c r="G1625" i="3"/>
  <c r="G1626" i="3"/>
  <c r="G1627" i="3"/>
  <c r="G1628" i="3"/>
  <c r="G1629" i="3"/>
  <c r="G1630" i="3"/>
  <c r="G1631" i="3"/>
  <c r="G1632" i="3"/>
  <c r="G1633" i="3"/>
  <c r="G1634" i="3"/>
  <c r="G1635" i="3"/>
  <c r="G1636" i="3"/>
  <c r="G1637" i="3"/>
  <c r="G1638" i="3"/>
  <c r="G1639" i="3"/>
  <c r="G1640" i="3"/>
  <c r="G1641" i="3"/>
  <c r="G1642" i="3"/>
  <c r="G1643" i="3"/>
  <c r="G1644" i="3"/>
  <c r="G1645" i="3"/>
  <c r="G1646" i="3"/>
  <c r="G1647" i="3"/>
  <c r="G1648" i="3"/>
  <c r="G1649" i="3"/>
  <c r="G1650" i="3"/>
  <c r="G1651" i="3"/>
  <c r="G1652" i="3"/>
  <c r="G1653" i="3"/>
  <c r="G1654" i="3"/>
  <c r="G1655" i="3"/>
  <c r="G1656" i="3"/>
  <c r="G1657" i="3"/>
  <c r="G1658" i="3"/>
  <c r="G1659" i="3"/>
  <c r="G1660" i="3"/>
  <c r="G1661" i="3"/>
  <c r="G1662" i="3"/>
  <c r="G1663" i="3"/>
  <c r="G1664" i="3"/>
  <c r="G1665" i="3"/>
  <c r="G1666" i="3"/>
  <c r="G1667" i="3"/>
  <c r="G1668" i="3"/>
  <c r="G1669" i="3"/>
  <c r="G1670" i="3"/>
  <c r="G1671" i="3"/>
  <c r="G1672" i="3"/>
  <c r="G1673" i="3"/>
  <c r="G1674" i="3"/>
  <c r="G1675" i="3"/>
  <c r="G1676" i="3"/>
  <c r="G1677" i="3"/>
  <c r="G1678" i="3"/>
  <c r="G1679" i="3"/>
  <c r="G1680" i="3"/>
  <c r="G1681" i="3"/>
  <c r="G1682" i="3"/>
  <c r="G1683" i="3"/>
  <c r="G1684" i="3"/>
  <c r="G1685" i="3"/>
  <c r="G1686" i="3"/>
  <c r="G1687" i="3"/>
  <c r="G1688" i="3"/>
  <c r="G1689" i="3"/>
  <c r="G1690" i="3"/>
  <c r="G1691" i="3"/>
  <c r="G1692" i="3"/>
  <c r="G1693" i="3"/>
  <c r="G1694" i="3"/>
  <c r="G1695" i="3"/>
  <c r="G1696" i="3"/>
  <c r="G1697" i="3"/>
  <c r="G1698" i="3"/>
  <c r="G1699" i="3"/>
  <c r="G1700" i="3"/>
  <c r="G1701" i="3"/>
  <c r="G1702" i="3"/>
  <c r="G1703" i="3"/>
  <c r="G1704" i="3"/>
  <c r="G1705" i="3"/>
  <c r="G1706" i="3"/>
  <c r="G1707" i="3"/>
  <c r="G1708" i="3"/>
  <c r="G1709" i="3"/>
  <c r="G1710" i="3"/>
  <c r="G1711" i="3"/>
  <c r="G1712" i="3"/>
  <c r="G1713" i="3"/>
  <c r="G1714" i="3"/>
  <c r="G1715" i="3"/>
  <c r="G1716" i="3"/>
  <c r="G1717" i="3"/>
  <c r="G1718" i="3"/>
  <c r="G1719" i="3"/>
  <c r="G1720" i="3"/>
  <c r="G1721" i="3"/>
  <c r="G1722" i="3"/>
  <c r="G1723" i="3"/>
  <c r="G1724" i="3"/>
  <c r="G1725" i="3"/>
  <c r="G1726" i="3"/>
  <c r="G1727" i="3"/>
  <c r="G1728" i="3"/>
  <c r="G1729" i="3"/>
  <c r="G1730" i="3"/>
  <c r="G1731" i="3"/>
  <c r="G1732" i="3"/>
  <c r="G1733" i="3"/>
  <c r="G1734" i="3"/>
  <c r="G1735" i="3"/>
  <c r="G1736" i="3"/>
  <c r="G1737" i="3"/>
  <c r="G1738" i="3"/>
  <c r="G1739" i="3"/>
  <c r="G1740" i="3"/>
  <c r="G1741" i="3"/>
  <c r="G1742" i="3"/>
  <c r="G1743" i="3"/>
  <c r="G1744" i="3"/>
  <c r="G1745" i="3"/>
  <c r="G1746" i="3"/>
  <c r="G1747" i="3"/>
  <c r="G1748" i="3"/>
  <c r="G1749" i="3"/>
  <c r="G1750" i="3"/>
  <c r="G1751" i="3"/>
  <c r="G1752" i="3"/>
  <c r="G1753" i="3"/>
  <c r="G1754" i="3"/>
  <c r="G1755" i="3"/>
  <c r="G1756" i="3"/>
  <c r="G1757" i="3"/>
  <c r="G1758" i="3"/>
  <c r="G1759" i="3"/>
  <c r="G1760" i="3"/>
  <c r="G1761" i="3"/>
  <c r="G1762" i="3"/>
  <c r="G1763" i="3"/>
  <c r="G1764" i="3"/>
  <c r="G1765" i="3"/>
  <c r="G1766" i="3"/>
  <c r="G1767" i="3"/>
  <c r="G1768" i="3"/>
  <c r="G1769" i="3"/>
  <c r="G1770" i="3"/>
  <c r="G1771" i="3"/>
  <c r="G1772" i="3"/>
  <c r="G1773" i="3"/>
  <c r="G1774" i="3"/>
  <c r="G1775" i="3"/>
  <c r="G1776" i="3"/>
  <c r="G1777" i="3"/>
  <c r="G1778" i="3"/>
  <c r="G1779" i="3"/>
  <c r="G1780" i="3"/>
  <c r="G1781" i="3"/>
  <c r="G1782" i="3"/>
  <c r="G1783" i="3"/>
  <c r="G1784" i="3"/>
  <c r="G1785" i="3"/>
  <c r="G1786" i="3"/>
  <c r="G1787" i="3"/>
  <c r="G1788" i="3"/>
  <c r="G1789" i="3"/>
  <c r="G1790" i="3"/>
  <c r="G1791" i="3"/>
  <c r="G1792" i="3"/>
  <c r="G1793" i="3"/>
  <c r="G1794" i="3"/>
  <c r="G1795" i="3"/>
  <c r="G1796" i="3"/>
  <c r="G1797" i="3"/>
  <c r="G1798" i="3"/>
  <c r="G1799" i="3"/>
  <c r="G1800" i="3"/>
  <c r="G1801" i="3"/>
  <c r="G1802" i="3"/>
  <c r="G1803" i="3"/>
  <c r="G1804" i="3"/>
  <c r="G1805" i="3"/>
  <c r="G1806" i="3"/>
  <c r="G1807" i="3"/>
  <c r="G1808" i="3"/>
  <c r="G1809" i="3"/>
  <c r="G1810" i="3"/>
  <c r="G1811" i="3"/>
  <c r="G1812" i="3"/>
  <c r="G1813" i="3"/>
  <c r="G1814" i="3"/>
  <c r="G1815" i="3"/>
  <c r="G1816" i="3"/>
  <c r="G1817" i="3"/>
  <c r="G1818" i="3"/>
  <c r="G1819" i="3"/>
  <c r="G1820" i="3"/>
  <c r="G1821" i="3"/>
  <c r="G1822" i="3"/>
  <c r="G1823" i="3"/>
  <c r="G1824" i="3"/>
  <c r="G1825" i="3"/>
  <c r="G1826" i="3"/>
  <c r="G1827" i="3"/>
  <c r="G1828" i="3"/>
  <c r="G1829" i="3"/>
  <c r="G1830" i="3"/>
  <c r="G1831" i="3"/>
  <c r="G1832" i="3"/>
  <c r="G1833" i="3"/>
  <c r="G1834" i="3"/>
  <c r="G1835" i="3"/>
  <c r="G1836" i="3"/>
  <c r="G1837" i="3"/>
  <c r="G1838" i="3"/>
  <c r="G1839" i="3"/>
  <c r="G1840" i="3"/>
  <c r="G1841" i="3"/>
  <c r="G1842" i="3"/>
  <c r="G1843" i="3"/>
  <c r="G1844" i="3"/>
  <c r="G1845" i="3"/>
  <c r="G1846" i="3"/>
  <c r="G1847" i="3"/>
  <c r="G1848" i="3"/>
  <c r="G1849" i="3"/>
  <c r="G1850" i="3"/>
  <c r="G1851" i="3"/>
  <c r="G1852" i="3"/>
  <c r="G1853" i="3"/>
  <c r="G1854" i="3"/>
  <c r="G1855" i="3"/>
  <c r="G1856" i="3"/>
  <c r="G1857" i="3"/>
  <c r="G1858" i="3"/>
  <c r="G1859" i="3"/>
  <c r="G1860" i="3"/>
  <c r="G1861" i="3"/>
  <c r="G1862" i="3"/>
  <c r="G1863" i="3"/>
  <c r="G1864" i="3"/>
  <c r="G1865" i="3"/>
  <c r="G1866" i="3"/>
  <c r="G1867" i="3"/>
  <c r="G1868" i="3"/>
  <c r="G1869" i="3"/>
  <c r="G1870" i="3"/>
  <c r="G1871" i="3"/>
  <c r="G1872" i="3"/>
  <c r="G1873" i="3"/>
  <c r="G1874" i="3"/>
  <c r="G1875" i="3"/>
  <c r="G1876" i="3"/>
  <c r="G1877" i="3"/>
  <c r="G1878" i="3"/>
  <c r="G1879" i="3"/>
  <c r="G1880" i="3"/>
  <c r="G1881" i="3"/>
  <c r="G1882" i="3"/>
  <c r="G1883" i="3"/>
  <c r="G1884" i="3"/>
  <c r="G1885" i="3"/>
  <c r="G1886" i="3"/>
  <c r="G1887" i="3"/>
  <c r="G1888" i="3"/>
  <c r="G1889" i="3"/>
  <c r="G1890" i="3"/>
  <c r="G1891" i="3"/>
  <c r="G1892" i="3"/>
  <c r="G1893" i="3"/>
  <c r="G1894" i="3"/>
  <c r="G1895" i="3"/>
  <c r="G1896" i="3"/>
  <c r="G1897" i="3"/>
  <c r="G1898" i="3"/>
  <c r="G1899" i="3"/>
  <c r="G1900" i="3"/>
  <c r="G1901" i="3"/>
  <c r="G1902" i="3"/>
  <c r="G1903" i="3"/>
  <c r="G1904" i="3"/>
  <c r="G1905" i="3"/>
  <c r="G1906" i="3"/>
  <c r="G1907" i="3"/>
  <c r="G1908" i="3"/>
  <c r="G1909" i="3"/>
  <c r="G1910" i="3"/>
  <c r="G1911" i="3"/>
  <c r="G1912" i="3"/>
  <c r="G1913" i="3"/>
  <c r="G1914" i="3"/>
  <c r="G1915" i="3"/>
  <c r="G1916" i="3"/>
  <c r="G1917" i="3"/>
  <c r="G1918" i="3"/>
  <c r="G1919" i="3"/>
  <c r="G1920" i="3"/>
  <c r="G1921" i="3"/>
  <c r="G1922" i="3"/>
  <c r="G1923" i="3"/>
  <c r="G1924" i="3"/>
  <c r="G1925" i="3"/>
  <c r="G1926" i="3"/>
  <c r="G1927" i="3"/>
  <c r="G1928" i="3"/>
  <c r="G1929" i="3"/>
  <c r="G1930" i="3"/>
  <c r="G1931" i="3"/>
  <c r="G1932" i="3"/>
  <c r="G1933" i="3"/>
  <c r="G1934" i="3"/>
  <c r="G1935" i="3"/>
  <c r="G1936" i="3"/>
  <c r="G1937" i="3"/>
  <c r="G1938" i="3"/>
  <c r="G1939" i="3"/>
  <c r="G1940" i="3"/>
  <c r="G1941" i="3"/>
  <c r="G1942" i="3"/>
  <c r="G1943" i="3"/>
  <c r="G1944" i="3"/>
  <c r="G1945" i="3"/>
  <c r="G1946" i="3"/>
  <c r="G1947" i="3"/>
  <c r="G1948" i="3"/>
  <c r="G1949" i="3"/>
  <c r="G1950" i="3"/>
  <c r="G1951" i="3"/>
  <c r="G1952" i="3"/>
  <c r="G1953" i="3"/>
  <c r="G1954" i="3"/>
  <c r="G1955" i="3"/>
  <c r="G1956" i="3"/>
  <c r="G1957" i="3"/>
  <c r="G1958" i="3"/>
  <c r="G1959" i="3"/>
  <c r="G1960" i="3"/>
  <c r="G1961" i="3"/>
  <c r="G1962" i="3"/>
  <c r="G1963" i="3"/>
  <c r="G1964" i="3"/>
  <c r="G1965" i="3"/>
  <c r="G1966" i="3"/>
  <c r="G1967" i="3"/>
  <c r="G1968" i="3"/>
  <c r="G1969" i="3"/>
  <c r="G1970" i="3"/>
  <c r="G1971" i="3"/>
  <c r="G1972" i="3"/>
  <c r="G1973" i="3"/>
  <c r="G1974" i="3"/>
  <c r="G1975" i="3"/>
  <c r="G1976" i="3"/>
  <c r="G1977" i="3"/>
  <c r="G1978" i="3"/>
  <c r="G1979" i="3"/>
  <c r="G1980" i="3"/>
  <c r="G1981" i="3"/>
  <c r="G1982" i="3"/>
  <c r="G1983" i="3"/>
  <c r="G1984" i="3"/>
  <c r="G1985" i="3"/>
  <c r="G1986" i="3"/>
  <c r="G1987" i="3"/>
  <c r="G1988" i="3"/>
  <c r="G1989" i="3"/>
  <c r="G1990" i="3"/>
  <c r="G1991" i="3"/>
  <c r="G1992" i="3"/>
  <c r="G1993" i="3"/>
  <c r="G1994" i="3"/>
  <c r="G1995" i="3"/>
  <c r="G1996" i="3"/>
  <c r="G1997" i="3"/>
  <c r="G1998" i="3"/>
  <c r="G1999" i="3"/>
  <c r="G2000" i="3"/>
  <c r="G2001" i="3"/>
  <c r="G2002" i="3"/>
  <c r="G2003" i="3"/>
  <c r="G2004" i="3"/>
  <c r="G2005" i="3"/>
  <c r="G2006" i="3"/>
  <c r="G2007" i="3"/>
  <c r="G2008" i="3"/>
  <c r="G2009" i="3"/>
  <c r="G2010" i="3"/>
  <c r="G2011" i="3"/>
  <c r="G2012" i="3"/>
  <c r="G2013" i="3"/>
  <c r="G2014" i="3"/>
  <c r="G2015" i="3"/>
  <c r="G2016" i="3"/>
  <c r="G2017" i="3"/>
  <c r="G2018" i="3"/>
  <c r="G2019" i="3"/>
  <c r="G2020" i="3"/>
  <c r="G2021" i="3"/>
  <c r="G2022" i="3"/>
  <c r="G2023" i="3"/>
  <c r="G2024" i="3"/>
  <c r="G2025" i="3"/>
  <c r="G2026" i="3"/>
  <c r="G2027" i="3"/>
  <c r="G2028" i="3"/>
  <c r="G2029" i="3"/>
  <c r="G2030" i="3"/>
  <c r="G2031" i="3"/>
  <c r="G2032" i="3"/>
  <c r="G2033" i="3"/>
  <c r="G2034" i="3"/>
  <c r="G2035" i="3"/>
  <c r="G2036" i="3"/>
  <c r="G2037" i="3"/>
  <c r="G2038" i="3"/>
  <c r="G2039" i="3"/>
  <c r="G2040" i="3"/>
  <c r="G2041" i="3"/>
  <c r="G2042" i="3"/>
  <c r="G2043" i="3"/>
  <c r="G2044" i="3"/>
  <c r="G2045" i="3"/>
  <c r="G2046" i="3"/>
  <c r="G2047" i="3"/>
  <c r="G2048" i="3"/>
  <c r="G2049" i="3"/>
  <c r="G2050" i="3"/>
  <c r="G2051" i="3"/>
  <c r="G2052" i="3"/>
  <c r="G2053" i="3"/>
  <c r="G2054" i="3"/>
  <c r="G2055" i="3"/>
  <c r="G2056" i="3"/>
  <c r="G2057" i="3"/>
  <c r="G2058" i="3"/>
  <c r="G2059" i="3"/>
  <c r="G2060" i="3"/>
  <c r="G2061" i="3"/>
  <c r="G2062" i="3"/>
  <c r="G2063" i="3"/>
  <c r="G2064" i="3"/>
  <c r="G2065" i="3"/>
  <c r="G2066" i="3"/>
  <c r="G2067" i="3"/>
  <c r="G2068" i="3"/>
  <c r="G2069" i="3"/>
  <c r="G2070" i="3"/>
  <c r="G2071" i="3"/>
  <c r="G2072" i="3"/>
  <c r="G2073" i="3"/>
  <c r="G2074" i="3"/>
  <c r="G2075" i="3"/>
  <c r="G2076" i="3"/>
  <c r="G2077" i="3"/>
  <c r="G2078" i="3"/>
  <c r="G2079" i="3"/>
  <c r="G2080" i="3"/>
  <c r="G2081" i="3"/>
  <c r="G2082" i="3"/>
  <c r="G2083" i="3"/>
  <c r="G2084" i="3"/>
  <c r="G2085" i="3"/>
  <c r="G2086" i="3"/>
  <c r="G2087" i="3"/>
  <c r="G2088" i="3"/>
  <c r="G2089" i="3"/>
  <c r="G2090" i="3"/>
  <c r="G2091" i="3"/>
  <c r="G2092" i="3"/>
  <c r="G2093" i="3"/>
  <c r="G2094" i="3"/>
  <c r="G2095" i="3"/>
  <c r="G2096" i="3"/>
  <c r="G2097" i="3"/>
  <c r="G2098" i="3"/>
  <c r="G2099" i="3"/>
  <c r="G2100" i="3"/>
  <c r="G2101" i="3"/>
  <c r="G2102" i="3"/>
  <c r="G2103" i="3"/>
  <c r="G2104" i="3"/>
  <c r="G2105" i="3"/>
  <c r="G2106" i="3"/>
  <c r="G2107" i="3"/>
  <c r="G2108" i="3"/>
  <c r="G2109" i="3"/>
  <c r="G2110" i="3"/>
  <c r="G2111" i="3"/>
  <c r="G2112" i="3"/>
  <c r="G2113" i="3"/>
  <c r="G2114" i="3"/>
  <c r="G2115" i="3"/>
  <c r="G2116" i="3"/>
  <c r="G2117" i="3"/>
  <c r="G2118" i="3"/>
  <c r="G2119" i="3"/>
  <c r="G2120" i="3"/>
  <c r="G2121" i="3"/>
  <c r="G2122" i="3"/>
  <c r="G2123" i="3"/>
  <c r="G2124" i="3"/>
  <c r="G2125" i="3"/>
  <c r="G2126" i="3"/>
  <c r="G2127" i="3"/>
  <c r="G2128" i="3"/>
  <c r="G2129" i="3"/>
  <c r="G2130" i="3"/>
  <c r="G2131" i="3"/>
  <c r="G2132" i="3"/>
  <c r="G2133" i="3"/>
  <c r="G2134" i="3"/>
  <c r="G2135" i="3"/>
  <c r="G2136" i="3"/>
  <c r="G2137" i="3"/>
  <c r="G2138" i="3"/>
  <c r="G2139" i="3"/>
  <c r="G2140" i="3"/>
  <c r="G2141" i="3"/>
  <c r="G2142" i="3"/>
  <c r="G2143" i="3"/>
  <c r="G2144" i="3"/>
  <c r="G2145" i="3"/>
  <c r="G2146" i="3"/>
  <c r="G2147" i="3"/>
  <c r="G2148" i="3"/>
  <c r="G2149" i="3"/>
  <c r="G2150" i="3"/>
  <c r="G2151" i="3"/>
  <c r="G2152" i="3"/>
  <c r="G2153" i="3"/>
  <c r="G2154" i="3"/>
  <c r="G2155" i="3"/>
  <c r="G2156" i="3"/>
  <c r="G2157" i="3"/>
  <c r="G2158" i="3"/>
  <c r="G2159" i="3"/>
  <c r="G2160" i="3"/>
  <c r="G2161" i="3"/>
  <c r="G2162" i="3"/>
  <c r="G2163" i="3"/>
  <c r="G2164" i="3"/>
  <c r="G2165" i="3"/>
  <c r="G2166" i="3"/>
  <c r="G2167" i="3"/>
  <c r="G2168" i="3"/>
  <c r="G2169" i="3"/>
  <c r="G2170" i="3"/>
  <c r="G2171" i="3"/>
  <c r="G2172" i="3"/>
  <c r="G2173" i="3"/>
  <c r="G2174" i="3"/>
  <c r="G2175" i="3"/>
  <c r="G2176" i="3"/>
  <c r="G2177" i="3"/>
  <c r="G2178" i="3"/>
  <c r="G2179" i="3"/>
  <c r="G2180" i="3"/>
  <c r="G2181" i="3"/>
  <c r="G2182" i="3"/>
  <c r="G2183" i="3"/>
  <c r="G2184" i="3"/>
  <c r="G2185" i="3"/>
  <c r="G2186" i="3"/>
  <c r="G2187" i="3"/>
  <c r="G2188" i="3"/>
  <c r="G2189" i="3"/>
  <c r="G2190" i="3"/>
  <c r="G2191" i="3"/>
  <c r="G2192" i="3"/>
  <c r="G2193" i="3"/>
  <c r="G2194" i="3"/>
  <c r="G2195" i="3"/>
  <c r="G2196" i="3"/>
  <c r="G2197" i="3"/>
  <c r="G2198" i="3"/>
  <c r="G2199" i="3"/>
  <c r="G2200" i="3"/>
  <c r="G2201" i="3"/>
  <c r="G2202" i="3"/>
  <c r="G2203" i="3"/>
  <c r="G2204" i="3"/>
  <c r="G2205" i="3"/>
  <c r="G2206" i="3"/>
  <c r="G2207" i="3"/>
  <c r="G2208" i="3"/>
  <c r="G2209" i="3"/>
  <c r="G2210" i="3"/>
  <c r="G2211" i="3"/>
  <c r="G2212" i="3"/>
  <c r="G2213" i="3"/>
  <c r="G2214" i="3"/>
  <c r="G2215" i="3"/>
  <c r="G2216" i="3"/>
  <c r="G2217" i="3"/>
  <c r="G2218" i="3"/>
  <c r="G2219" i="3"/>
  <c r="G2220" i="3"/>
  <c r="G2221" i="3"/>
  <c r="G2222" i="3"/>
  <c r="G2223" i="3"/>
  <c r="G2224" i="3"/>
  <c r="G2225" i="3"/>
  <c r="G2226" i="3"/>
  <c r="G2227" i="3"/>
  <c r="G2228" i="3"/>
  <c r="G2229" i="3"/>
  <c r="G2230" i="3"/>
  <c r="G2231" i="3"/>
  <c r="G2232" i="3"/>
  <c r="G2233" i="3"/>
  <c r="G2234" i="3"/>
  <c r="G2235" i="3"/>
  <c r="G2236" i="3"/>
  <c r="G2237" i="3"/>
  <c r="G2238" i="3"/>
  <c r="G2239" i="3"/>
  <c r="G2240" i="3"/>
  <c r="G2241" i="3"/>
  <c r="G2242" i="3"/>
  <c r="G2243" i="3"/>
  <c r="G2244" i="3"/>
  <c r="G2245" i="3"/>
  <c r="G2246" i="3"/>
  <c r="G2247" i="3"/>
  <c r="G2248" i="3"/>
  <c r="G2249" i="3"/>
  <c r="G2250" i="3"/>
  <c r="G2251" i="3"/>
  <c r="G2252" i="3"/>
  <c r="G2253" i="3"/>
  <c r="G2254" i="3"/>
  <c r="G2255" i="3"/>
  <c r="G2256" i="3"/>
  <c r="G2257" i="3"/>
  <c r="G2258" i="3"/>
  <c r="G2259" i="3"/>
  <c r="G2260" i="3"/>
  <c r="G2261" i="3"/>
  <c r="G2262" i="3"/>
  <c r="G2263" i="3"/>
  <c r="G2264" i="3"/>
  <c r="G2265" i="3"/>
  <c r="G2266" i="3"/>
  <c r="G2267" i="3"/>
  <c r="G2268" i="3"/>
  <c r="G2269" i="3"/>
  <c r="G2270" i="3"/>
  <c r="G2271" i="3"/>
  <c r="G2272" i="3"/>
  <c r="G2273" i="3"/>
  <c r="G2274" i="3"/>
  <c r="G2275" i="3"/>
  <c r="G2276" i="3"/>
  <c r="G2277" i="3"/>
  <c r="G2278" i="3"/>
  <c r="G2279" i="3"/>
  <c r="G2280" i="3"/>
  <c r="G2281" i="3"/>
  <c r="G2282" i="3"/>
  <c r="G2283" i="3"/>
  <c r="G2284" i="3"/>
  <c r="G2285" i="3"/>
  <c r="G2286" i="3"/>
  <c r="G2287" i="3"/>
  <c r="G2288" i="3"/>
  <c r="G2289" i="3"/>
  <c r="G2290" i="3"/>
  <c r="G2291" i="3"/>
  <c r="G2292" i="3"/>
  <c r="G2293" i="3"/>
  <c r="G2294" i="3"/>
  <c r="G2295" i="3"/>
  <c r="G2296" i="3"/>
  <c r="G2297" i="3"/>
  <c r="G2298" i="3"/>
  <c r="G2299" i="3"/>
  <c r="G2300" i="3"/>
  <c r="G2301" i="3"/>
  <c r="G2302" i="3"/>
  <c r="G2303" i="3"/>
  <c r="G2304" i="3"/>
  <c r="G2305" i="3"/>
  <c r="G2306" i="3"/>
  <c r="G2307" i="3"/>
  <c r="G2308" i="3"/>
  <c r="G2309" i="3"/>
  <c r="G2310" i="3"/>
  <c r="G2311" i="3"/>
  <c r="G2312" i="3"/>
  <c r="G2313" i="3"/>
  <c r="G2314" i="3"/>
  <c r="G2315" i="3"/>
  <c r="G2316" i="3"/>
  <c r="G2317" i="3"/>
  <c r="G2318" i="3"/>
  <c r="G2319" i="3"/>
  <c r="G2320" i="3"/>
  <c r="G2321" i="3"/>
  <c r="G2322" i="3"/>
  <c r="G2323" i="3"/>
  <c r="G2324" i="3"/>
  <c r="G2325" i="3"/>
  <c r="G2326" i="3"/>
  <c r="G2327" i="3"/>
  <c r="G2328" i="3"/>
  <c r="G2329" i="3"/>
  <c r="G2330" i="3"/>
  <c r="G2331" i="3"/>
  <c r="G2332" i="3"/>
  <c r="G2333" i="3"/>
  <c r="G2334" i="3"/>
  <c r="G2335" i="3"/>
  <c r="G2336" i="3"/>
  <c r="G2337" i="3"/>
  <c r="G2338" i="3"/>
  <c r="G2339" i="3"/>
  <c r="G2340" i="3"/>
  <c r="G2341" i="3"/>
  <c r="G2342" i="3"/>
  <c r="G2343" i="3"/>
  <c r="G2344" i="3"/>
  <c r="G2345" i="3"/>
  <c r="G2346" i="3"/>
  <c r="G2347" i="3"/>
  <c r="G2348" i="3"/>
  <c r="G2349" i="3"/>
  <c r="G2350" i="3"/>
  <c r="G2351" i="3"/>
  <c r="G2352" i="3"/>
  <c r="G2353" i="3"/>
  <c r="G2354" i="3"/>
  <c r="G2355" i="3"/>
  <c r="G2356" i="3"/>
  <c r="G2357" i="3"/>
  <c r="G2358" i="3"/>
  <c r="G2359" i="3"/>
  <c r="G2360" i="3"/>
  <c r="G2361" i="3"/>
  <c r="G2362" i="3"/>
  <c r="G2363" i="3"/>
  <c r="G2364" i="3"/>
  <c r="G2365" i="3"/>
  <c r="G2366" i="3"/>
  <c r="G2367" i="3"/>
  <c r="G2368" i="3"/>
  <c r="G2369" i="3"/>
  <c r="G2370" i="3"/>
  <c r="G2371" i="3"/>
  <c r="G2372" i="3"/>
  <c r="G2373" i="3"/>
  <c r="G2374" i="3"/>
  <c r="G2375" i="3"/>
  <c r="G2376" i="3"/>
  <c r="G2377" i="3"/>
  <c r="G2378" i="3"/>
  <c r="G2379" i="3"/>
  <c r="G2380" i="3"/>
  <c r="G2381" i="3"/>
  <c r="G2382" i="3"/>
  <c r="G2383" i="3"/>
  <c r="G2384" i="3"/>
  <c r="G2385" i="3"/>
  <c r="G2386" i="3"/>
  <c r="G2387" i="3"/>
  <c r="G2388" i="3"/>
  <c r="G2389" i="3"/>
  <c r="G2390" i="3"/>
  <c r="G2391" i="3"/>
  <c r="G2392" i="3"/>
  <c r="G2393" i="3"/>
  <c r="G2394" i="3"/>
  <c r="G2395" i="3"/>
  <c r="G2396" i="3"/>
  <c r="G2397" i="3"/>
  <c r="G2398" i="3"/>
  <c r="G2399" i="3"/>
  <c r="G2400" i="3"/>
  <c r="G2401" i="3"/>
  <c r="G2402" i="3"/>
  <c r="G2403" i="3"/>
  <c r="G2404" i="3"/>
  <c r="G2405" i="3"/>
  <c r="G2406" i="3"/>
  <c r="G2407" i="3"/>
  <c r="G2408" i="3"/>
  <c r="G2409" i="3"/>
  <c r="G2410" i="3"/>
  <c r="G2411" i="3"/>
  <c r="G2412" i="3"/>
  <c r="G2413" i="3"/>
  <c r="G2414" i="3"/>
  <c r="G2415" i="3"/>
  <c r="G2416" i="3"/>
  <c r="G2417" i="3"/>
  <c r="G2418" i="3"/>
  <c r="G2419" i="3"/>
  <c r="G2420" i="3"/>
  <c r="G2421" i="3"/>
  <c r="G2422" i="3"/>
  <c r="G2423" i="3"/>
  <c r="G2424" i="3"/>
  <c r="G2425" i="3"/>
  <c r="G2426" i="3"/>
  <c r="G2427" i="3"/>
  <c r="G2428" i="3"/>
  <c r="G2429" i="3"/>
  <c r="G2430" i="3"/>
  <c r="G2431" i="3"/>
  <c r="G2432" i="3"/>
  <c r="G2433" i="3"/>
  <c r="G2434" i="3"/>
  <c r="G2435" i="3"/>
  <c r="G2436" i="3"/>
  <c r="G2437" i="3"/>
  <c r="G2438" i="3"/>
  <c r="G2439" i="3"/>
  <c r="G2440" i="3"/>
  <c r="G2441" i="3"/>
  <c r="G2442" i="3"/>
  <c r="G2443" i="3"/>
  <c r="G2444" i="3"/>
  <c r="G2445" i="3"/>
  <c r="G2446" i="3"/>
  <c r="G2447" i="3"/>
  <c r="G2448" i="3"/>
  <c r="G2449" i="3"/>
  <c r="G2450" i="3"/>
  <c r="G2451" i="3"/>
  <c r="G2452" i="3"/>
  <c r="G2453" i="3"/>
  <c r="G2454" i="3"/>
  <c r="G2455" i="3"/>
  <c r="G2456" i="3"/>
  <c r="G2457" i="3"/>
  <c r="G2458" i="3"/>
  <c r="G2459" i="3"/>
  <c r="G2460" i="3"/>
  <c r="G2461" i="3"/>
  <c r="G2462" i="3"/>
  <c r="G2463" i="3"/>
  <c r="G2464" i="3"/>
  <c r="G2465" i="3"/>
  <c r="G2466" i="3"/>
  <c r="G2467" i="3"/>
  <c r="G2468" i="3"/>
  <c r="G2469" i="3"/>
  <c r="G2470" i="3"/>
  <c r="G2471" i="3"/>
  <c r="G2472" i="3"/>
  <c r="G2473" i="3"/>
  <c r="G2474" i="3"/>
  <c r="G2475" i="3"/>
  <c r="G2476" i="3"/>
  <c r="G2477" i="3"/>
  <c r="G2478" i="3"/>
  <c r="G2479" i="3"/>
  <c r="G2480" i="3"/>
  <c r="G2481" i="3"/>
  <c r="G2482" i="3"/>
  <c r="G2483" i="3"/>
  <c r="G2484" i="3"/>
  <c r="G2485" i="3"/>
  <c r="G2486" i="3"/>
  <c r="G2487" i="3"/>
  <c r="G2488" i="3"/>
  <c r="G2489" i="3"/>
  <c r="G2490" i="3"/>
  <c r="G2491" i="3"/>
  <c r="G2492" i="3"/>
  <c r="G2493" i="3"/>
  <c r="G2494" i="3"/>
  <c r="G2495" i="3"/>
  <c r="G2496" i="3"/>
  <c r="G2497" i="3"/>
  <c r="G2498" i="3"/>
  <c r="G2499" i="3"/>
  <c r="G2500" i="3"/>
  <c r="G2501" i="3"/>
  <c r="G2502" i="3"/>
  <c r="G2503" i="3"/>
  <c r="G2504" i="3"/>
  <c r="G2505" i="3"/>
  <c r="G2506" i="3"/>
  <c r="G2507" i="3"/>
  <c r="G2508" i="3"/>
  <c r="G2509" i="3"/>
  <c r="G2510" i="3"/>
  <c r="G2511" i="3"/>
  <c r="G2512" i="3"/>
  <c r="G2513" i="3"/>
  <c r="G2514" i="3"/>
  <c r="G2515" i="3"/>
  <c r="G2516" i="3"/>
  <c r="G2517" i="3"/>
  <c r="G2518" i="3"/>
  <c r="G2519" i="3"/>
  <c r="G2520" i="3"/>
  <c r="G2521" i="3"/>
  <c r="G2522" i="3"/>
  <c r="G2523" i="3"/>
  <c r="G2524" i="3"/>
  <c r="G2525" i="3"/>
  <c r="G2526" i="3"/>
  <c r="G2527" i="3"/>
  <c r="G2528" i="3"/>
  <c r="G2529" i="3"/>
  <c r="G2530" i="3"/>
  <c r="G2531" i="3"/>
  <c r="G2532" i="3"/>
  <c r="G2533" i="3"/>
  <c r="G2534" i="3"/>
  <c r="G2535" i="3"/>
  <c r="G2536" i="3"/>
  <c r="G2537" i="3"/>
  <c r="G2538" i="3"/>
  <c r="G2539" i="3"/>
  <c r="G2540" i="3"/>
  <c r="G2541" i="3"/>
  <c r="G2542" i="3"/>
  <c r="G2543" i="3"/>
  <c r="G2544" i="3"/>
  <c r="G2545" i="3"/>
  <c r="G2546" i="3"/>
  <c r="G2547" i="3"/>
  <c r="G2548" i="3"/>
  <c r="G2549" i="3"/>
  <c r="G2550" i="3"/>
  <c r="G2551" i="3"/>
  <c r="G2552" i="3"/>
  <c r="G2553" i="3"/>
  <c r="G2554" i="3"/>
  <c r="G2555" i="3"/>
  <c r="G2556" i="3"/>
  <c r="G2557" i="3"/>
  <c r="G2558" i="3"/>
  <c r="G2559" i="3"/>
  <c r="G2560" i="3"/>
  <c r="G2561" i="3"/>
  <c r="G2562" i="3"/>
  <c r="G2563" i="3"/>
  <c r="G2564" i="3"/>
  <c r="G2565" i="3"/>
  <c r="G2566" i="3"/>
  <c r="G2567" i="3"/>
  <c r="G2568" i="3"/>
  <c r="G2569" i="3"/>
  <c r="G2570" i="3"/>
  <c r="G2571" i="3"/>
  <c r="G2572" i="3"/>
  <c r="G2573" i="3"/>
  <c r="G2574" i="3"/>
  <c r="G2575" i="3"/>
  <c r="G739" i="3"/>
  <c r="R495" i="3"/>
  <c r="R496" i="3"/>
  <c r="R497" i="3"/>
  <c r="R498" i="3"/>
  <c r="R499" i="3"/>
  <c r="R500" i="3"/>
  <c r="R501" i="3"/>
  <c r="R502" i="3"/>
  <c r="R503" i="3"/>
  <c r="R504" i="3"/>
  <c r="R505" i="3"/>
  <c r="R506" i="3"/>
  <c r="R507" i="3"/>
  <c r="R508" i="3"/>
  <c r="R509" i="3"/>
  <c r="R510" i="3"/>
  <c r="R511" i="3"/>
  <c r="R512" i="3"/>
  <c r="R513" i="3"/>
  <c r="R514" i="3"/>
  <c r="R515" i="3"/>
  <c r="R516" i="3"/>
  <c r="R517" i="3"/>
  <c r="R518" i="3"/>
  <c r="R519" i="3"/>
  <c r="R520" i="3"/>
  <c r="R521" i="3"/>
  <c r="R522" i="3"/>
  <c r="R523" i="3"/>
  <c r="R524" i="3"/>
  <c r="R525" i="3"/>
  <c r="R526" i="3"/>
  <c r="R527" i="3"/>
  <c r="R528" i="3"/>
  <c r="R529" i="3"/>
  <c r="R530" i="3"/>
  <c r="R531" i="3"/>
  <c r="R532" i="3"/>
  <c r="R533" i="3"/>
  <c r="R534" i="3"/>
  <c r="R535" i="3"/>
  <c r="R536" i="3"/>
  <c r="R537" i="3"/>
  <c r="R538" i="3"/>
  <c r="R539" i="3"/>
  <c r="R540" i="3"/>
  <c r="R541" i="3"/>
  <c r="R542" i="3"/>
  <c r="R543" i="3"/>
  <c r="R544" i="3"/>
  <c r="R545" i="3"/>
  <c r="R546" i="3"/>
  <c r="R547" i="3"/>
  <c r="R548" i="3"/>
  <c r="R549" i="3"/>
  <c r="R550" i="3"/>
  <c r="R551" i="3"/>
  <c r="R552" i="3"/>
  <c r="R553" i="3"/>
  <c r="R554" i="3"/>
  <c r="R555" i="3"/>
  <c r="R556" i="3"/>
  <c r="R557" i="3"/>
  <c r="R558" i="3"/>
  <c r="R559" i="3"/>
  <c r="R560" i="3"/>
  <c r="R561" i="3"/>
  <c r="R562" i="3"/>
  <c r="R563" i="3"/>
  <c r="R564" i="3"/>
  <c r="R565" i="3"/>
  <c r="R566" i="3"/>
  <c r="R567" i="3"/>
  <c r="R568" i="3"/>
  <c r="R569" i="3"/>
  <c r="R570" i="3"/>
  <c r="R571" i="3"/>
  <c r="R572" i="3"/>
  <c r="R573" i="3"/>
  <c r="R574" i="3"/>
  <c r="R575" i="3"/>
  <c r="R576" i="3"/>
  <c r="R577" i="3"/>
  <c r="R578" i="3"/>
  <c r="R579" i="3"/>
  <c r="R580" i="3"/>
  <c r="R581" i="3"/>
  <c r="R582" i="3"/>
  <c r="R583" i="3"/>
  <c r="R584" i="3"/>
  <c r="R585" i="3"/>
  <c r="R586" i="3"/>
  <c r="R587" i="3"/>
  <c r="R588" i="3"/>
  <c r="R589" i="3"/>
  <c r="R590" i="3"/>
  <c r="R591" i="3"/>
  <c r="R592" i="3"/>
  <c r="R593" i="3"/>
  <c r="R594" i="3"/>
  <c r="R595" i="3"/>
  <c r="R596" i="3"/>
  <c r="R597" i="3"/>
  <c r="R598" i="3"/>
  <c r="R599" i="3"/>
  <c r="R600" i="3"/>
  <c r="R601" i="3"/>
  <c r="R602" i="3"/>
  <c r="R603" i="3"/>
  <c r="R604" i="3"/>
  <c r="R605" i="3"/>
  <c r="R606" i="3"/>
  <c r="R607" i="3"/>
  <c r="R608" i="3"/>
  <c r="R609" i="3"/>
  <c r="R610" i="3"/>
  <c r="R611" i="3"/>
  <c r="R612" i="3"/>
  <c r="R613" i="3"/>
  <c r="R614" i="3"/>
  <c r="R615" i="3"/>
  <c r="R616" i="3"/>
  <c r="R617" i="3"/>
  <c r="R618" i="3"/>
  <c r="R619" i="3"/>
  <c r="R620" i="3"/>
  <c r="R621" i="3"/>
  <c r="R622" i="3"/>
  <c r="R623" i="3"/>
  <c r="R624" i="3"/>
  <c r="R625" i="3"/>
  <c r="R626" i="3"/>
  <c r="R627" i="3"/>
  <c r="R628" i="3"/>
  <c r="R629" i="3"/>
  <c r="R630" i="3"/>
  <c r="R631" i="3"/>
  <c r="R632" i="3"/>
  <c r="R633" i="3"/>
  <c r="R634" i="3"/>
  <c r="R635" i="3"/>
  <c r="R636" i="3"/>
  <c r="R637" i="3"/>
  <c r="R638" i="3"/>
  <c r="R639" i="3"/>
  <c r="R640" i="3"/>
  <c r="R641" i="3"/>
  <c r="R642" i="3"/>
  <c r="R643" i="3"/>
  <c r="R644" i="3"/>
  <c r="R645" i="3"/>
  <c r="R646" i="3"/>
  <c r="R647" i="3"/>
  <c r="R648" i="3"/>
  <c r="R649" i="3"/>
  <c r="R650" i="3"/>
  <c r="R651" i="3"/>
  <c r="R652" i="3"/>
  <c r="R653" i="3"/>
  <c r="R654" i="3"/>
  <c r="R655" i="3"/>
  <c r="R656" i="3"/>
  <c r="R657" i="3"/>
  <c r="R658" i="3"/>
  <c r="R659" i="3"/>
  <c r="R660" i="3"/>
  <c r="R661" i="3"/>
  <c r="R662" i="3"/>
  <c r="R663" i="3"/>
  <c r="R664" i="3"/>
  <c r="R665" i="3"/>
  <c r="R666" i="3"/>
  <c r="R667" i="3"/>
  <c r="R668" i="3"/>
  <c r="R669" i="3"/>
  <c r="R670" i="3"/>
  <c r="R671" i="3"/>
  <c r="R672" i="3"/>
  <c r="R673" i="3"/>
  <c r="R674" i="3"/>
  <c r="R675" i="3"/>
  <c r="R676" i="3"/>
  <c r="R677" i="3"/>
  <c r="R678" i="3"/>
  <c r="R679" i="3"/>
  <c r="R680" i="3"/>
  <c r="R681" i="3"/>
  <c r="R682" i="3"/>
  <c r="R683" i="3"/>
  <c r="R684" i="3"/>
  <c r="R685" i="3"/>
  <c r="R686" i="3"/>
  <c r="R687" i="3"/>
  <c r="R688" i="3"/>
  <c r="R689" i="3"/>
  <c r="R690" i="3"/>
  <c r="R691" i="3"/>
  <c r="R692" i="3"/>
  <c r="R693" i="3"/>
  <c r="R694" i="3"/>
  <c r="R695" i="3"/>
  <c r="R696" i="3"/>
  <c r="R697" i="3"/>
  <c r="R698" i="3"/>
  <c r="R699" i="3"/>
  <c r="R700" i="3"/>
  <c r="R701" i="3"/>
  <c r="R702" i="3"/>
  <c r="R703" i="3"/>
  <c r="R704" i="3"/>
  <c r="R705" i="3"/>
  <c r="R706" i="3"/>
  <c r="R707" i="3"/>
  <c r="R708" i="3"/>
  <c r="R709" i="3"/>
  <c r="R710" i="3"/>
  <c r="R711" i="3"/>
  <c r="R712" i="3"/>
  <c r="R713" i="3"/>
  <c r="R714" i="3"/>
  <c r="R715" i="3"/>
  <c r="R716" i="3"/>
  <c r="R717" i="3"/>
  <c r="R718" i="3"/>
  <c r="R719" i="3"/>
  <c r="R720" i="3"/>
  <c r="R721" i="3"/>
  <c r="R722" i="3"/>
  <c r="R723" i="3"/>
  <c r="R724" i="3"/>
  <c r="R725" i="3"/>
  <c r="R726" i="3"/>
  <c r="R727" i="3"/>
  <c r="R728" i="3"/>
  <c r="R729" i="3"/>
  <c r="R730" i="3"/>
  <c r="R731" i="3"/>
  <c r="R732" i="3"/>
  <c r="R733" i="3"/>
  <c r="R734" i="3"/>
  <c r="R735" i="3"/>
  <c r="R736" i="3"/>
  <c r="R737" i="3"/>
  <c r="R738" i="3"/>
  <c r="R739" i="3"/>
  <c r="R740" i="3"/>
  <c r="R741" i="3"/>
  <c r="R742" i="3"/>
  <c r="R743" i="3"/>
  <c r="R744" i="3"/>
  <c r="R745" i="3"/>
  <c r="R746" i="3"/>
  <c r="R747" i="3"/>
  <c r="R748" i="3"/>
  <c r="R749" i="3"/>
  <c r="R750" i="3"/>
  <c r="R751" i="3"/>
  <c r="R752" i="3"/>
  <c r="R753" i="3"/>
  <c r="R754" i="3"/>
  <c r="R755" i="3"/>
  <c r="R756" i="3"/>
  <c r="R757" i="3"/>
  <c r="R758" i="3"/>
  <c r="R759" i="3"/>
  <c r="R760" i="3"/>
  <c r="R761" i="3"/>
  <c r="R762" i="3"/>
  <c r="R763" i="3"/>
  <c r="R764" i="3"/>
  <c r="R765" i="3"/>
  <c r="R766" i="3"/>
  <c r="R767" i="3"/>
  <c r="R768" i="3"/>
  <c r="R769" i="3"/>
  <c r="R770" i="3"/>
  <c r="R771" i="3"/>
  <c r="R772" i="3"/>
  <c r="R773" i="3"/>
  <c r="R774" i="3"/>
  <c r="R775" i="3"/>
  <c r="R776" i="3"/>
  <c r="R777" i="3"/>
  <c r="R778" i="3"/>
  <c r="R779" i="3"/>
  <c r="R780" i="3"/>
  <c r="R781" i="3"/>
  <c r="R782" i="3"/>
  <c r="R783" i="3"/>
  <c r="R784" i="3"/>
  <c r="R785" i="3"/>
  <c r="R786" i="3"/>
  <c r="R787" i="3"/>
  <c r="R788" i="3"/>
  <c r="R789" i="3"/>
  <c r="R790" i="3"/>
  <c r="R791" i="3"/>
  <c r="R792" i="3"/>
  <c r="R793" i="3"/>
  <c r="R794" i="3"/>
  <c r="R795" i="3"/>
  <c r="R796" i="3"/>
  <c r="R797" i="3"/>
  <c r="R798" i="3"/>
  <c r="R799" i="3"/>
  <c r="R800" i="3"/>
  <c r="R801" i="3"/>
  <c r="R802" i="3"/>
  <c r="R803" i="3"/>
  <c r="R804" i="3"/>
  <c r="R805" i="3"/>
  <c r="R806" i="3"/>
  <c r="R807" i="3"/>
  <c r="R808" i="3"/>
  <c r="R809" i="3"/>
  <c r="R810" i="3"/>
  <c r="R811" i="3"/>
  <c r="R812" i="3"/>
  <c r="R813" i="3"/>
  <c r="R814" i="3"/>
  <c r="R815" i="3"/>
  <c r="R816" i="3"/>
  <c r="R817" i="3"/>
  <c r="R818" i="3"/>
  <c r="R819" i="3"/>
  <c r="R820" i="3"/>
  <c r="R821" i="3"/>
  <c r="R822" i="3"/>
  <c r="R823" i="3"/>
  <c r="R824" i="3"/>
  <c r="R825" i="3"/>
  <c r="R826" i="3"/>
  <c r="R827" i="3"/>
  <c r="R828" i="3"/>
  <c r="R829" i="3"/>
  <c r="R830" i="3"/>
  <c r="R831" i="3"/>
  <c r="R832" i="3"/>
  <c r="R833" i="3"/>
  <c r="R834" i="3"/>
  <c r="R835" i="3"/>
  <c r="R836" i="3"/>
  <c r="R837" i="3"/>
  <c r="R838" i="3"/>
  <c r="R839" i="3"/>
  <c r="R840" i="3"/>
  <c r="R841" i="3"/>
  <c r="R842" i="3"/>
  <c r="R843" i="3"/>
  <c r="R844" i="3"/>
  <c r="R845" i="3"/>
  <c r="R846" i="3"/>
  <c r="R847" i="3"/>
  <c r="R848" i="3"/>
  <c r="R849" i="3"/>
  <c r="R850" i="3"/>
  <c r="R851" i="3"/>
  <c r="R852" i="3"/>
  <c r="R853" i="3"/>
  <c r="R854" i="3"/>
  <c r="R855" i="3"/>
  <c r="R856" i="3"/>
  <c r="R857" i="3"/>
  <c r="R858" i="3"/>
  <c r="R859" i="3"/>
  <c r="R860" i="3"/>
  <c r="R861" i="3"/>
  <c r="R862" i="3"/>
  <c r="R863" i="3"/>
  <c r="R864" i="3"/>
  <c r="R865" i="3"/>
  <c r="R866" i="3"/>
  <c r="R867" i="3"/>
  <c r="R868" i="3"/>
  <c r="R869" i="3"/>
  <c r="R870" i="3"/>
  <c r="R871" i="3"/>
  <c r="R872" i="3"/>
  <c r="R873" i="3"/>
  <c r="R874" i="3"/>
  <c r="R875" i="3"/>
  <c r="R876" i="3"/>
  <c r="R877" i="3"/>
  <c r="R878" i="3"/>
  <c r="R879" i="3"/>
  <c r="R880" i="3"/>
  <c r="R881" i="3"/>
  <c r="R882" i="3"/>
  <c r="R883" i="3"/>
  <c r="R884" i="3"/>
  <c r="R885" i="3"/>
  <c r="R886" i="3"/>
  <c r="R887" i="3"/>
  <c r="R888" i="3"/>
  <c r="R889" i="3"/>
  <c r="R890" i="3"/>
  <c r="R891" i="3"/>
  <c r="R892" i="3"/>
  <c r="R893" i="3"/>
  <c r="R894" i="3"/>
  <c r="R895" i="3"/>
  <c r="R896" i="3"/>
  <c r="R897" i="3"/>
  <c r="R898" i="3"/>
  <c r="R899" i="3"/>
  <c r="R900" i="3"/>
  <c r="R901" i="3"/>
  <c r="R902" i="3"/>
  <c r="R903" i="3"/>
  <c r="R904" i="3"/>
  <c r="R905" i="3"/>
  <c r="R906" i="3"/>
  <c r="R907" i="3"/>
  <c r="R908" i="3"/>
  <c r="R909" i="3"/>
  <c r="R910" i="3"/>
  <c r="R911" i="3"/>
  <c r="R912" i="3"/>
  <c r="R913" i="3"/>
  <c r="R914" i="3"/>
  <c r="R915" i="3"/>
  <c r="R916" i="3"/>
  <c r="R917" i="3"/>
  <c r="R918" i="3"/>
  <c r="R919" i="3"/>
  <c r="R920" i="3"/>
  <c r="R921" i="3"/>
  <c r="R922" i="3"/>
  <c r="R923" i="3"/>
  <c r="R924" i="3"/>
  <c r="R925" i="3"/>
  <c r="R926" i="3"/>
  <c r="R927" i="3"/>
  <c r="R928" i="3"/>
  <c r="R929" i="3"/>
  <c r="R930" i="3"/>
  <c r="R931" i="3"/>
  <c r="R932" i="3"/>
  <c r="R933" i="3"/>
  <c r="R934" i="3"/>
  <c r="R935" i="3"/>
  <c r="R936" i="3"/>
  <c r="R937" i="3"/>
  <c r="R938" i="3"/>
  <c r="R939" i="3"/>
  <c r="R940" i="3"/>
  <c r="R941" i="3"/>
  <c r="R942" i="3"/>
  <c r="R943" i="3"/>
  <c r="R944" i="3"/>
  <c r="R945" i="3"/>
  <c r="R946" i="3"/>
  <c r="R947" i="3"/>
  <c r="R948" i="3"/>
  <c r="R949" i="3"/>
  <c r="R950" i="3"/>
  <c r="R951" i="3"/>
  <c r="R952" i="3"/>
  <c r="R953" i="3"/>
  <c r="R954" i="3"/>
  <c r="R955" i="3"/>
  <c r="R956" i="3"/>
  <c r="R957" i="3"/>
  <c r="R958" i="3"/>
  <c r="R959" i="3"/>
  <c r="R960" i="3"/>
  <c r="R961" i="3"/>
  <c r="R962" i="3"/>
  <c r="R963" i="3"/>
  <c r="R964" i="3"/>
  <c r="R965" i="3"/>
  <c r="R966" i="3"/>
  <c r="R967" i="3"/>
  <c r="R968" i="3"/>
  <c r="R969" i="3"/>
  <c r="R970" i="3"/>
  <c r="R971" i="3"/>
  <c r="R972" i="3"/>
  <c r="R973" i="3"/>
  <c r="R974" i="3"/>
  <c r="R975" i="3"/>
  <c r="R976" i="3"/>
  <c r="R977" i="3"/>
  <c r="R978" i="3"/>
  <c r="R979" i="3"/>
  <c r="R980" i="3"/>
  <c r="R981" i="3"/>
  <c r="R982" i="3"/>
  <c r="R983" i="3"/>
  <c r="R984" i="3"/>
  <c r="R985" i="3"/>
  <c r="R986" i="3"/>
  <c r="R987" i="3"/>
  <c r="R988" i="3"/>
  <c r="R989" i="3"/>
  <c r="R990" i="3"/>
  <c r="R991" i="3"/>
  <c r="R992" i="3"/>
  <c r="R993" i="3"/>
  <c r="R994" i="3"/>
  <c r="R995" i="3"/>
  <c r="R996" i="3"/>
  <c r="R997" i="3"/>
  <c r="R998" i="3"/>
  <c r="R999" i="3"/>
  <c r="R1000" i="3"/>
  <c r="R1001" i="3"/>
  <c r="R1002" i="3"/>
  <c r="R1003" i="3"/>
  <c r="R1004" i="3"/>
  <c r="R1005" i="3"/>
  <c r="R1006" i="3"/>
  <c r="R1007" i="3"/>
  <c r="R1008" i="3"/>
  <c r="R1009" i="3"/>
  <c r="R1010" i="3"/>
  <c r="R1011" i="3"/>
  <c r="R1012" i="3"/>
  <c r="R1013" i="3"/>
  <c r="R1014" i="3"/>
  <c r="R1015" i="3"/>
  <c r="R1016" i="3"/>
  <c r="R1017" i="3"/>
  <c r="R1018" i="3"/>
  <c r="R1019" i="3"/>
  <c r="R1020" i="3"/>
  <c r="R1021" i="3"/>
  <c r="R1022" i="3"/>
  <c r="R1023" i="3"/>
  <c r="R1024" i="3"/>
  <c r="R1025" i="3"/>
  <c r="R1026" i="3"/>
  <c r="R1027" i="3"/>
  <c r="R1028" i="3"/>
  <c r="R1029" i="3"/>
  <c r="R1030" i="3"/>
  <c r="R1031" i="3"/>
  <c r="R1032" i="3"/>
  <c r="R1033" i="3"/>
  <c r="R1034" i="3"/>
  <c r="R1035" i="3"/>
  <c r="R1036" i="3"/>
  <c r="R1037" i="3"/>
  <c r="R1038" i="3"/>
  <c r="R1039" i="3"/>
  <c r="R1040" i="3"/>
  <c r="R1041" i="3"/>
  <c r="R1042" i="3"/>
  <c r="R1043" i="3"/>
  <c r="R1044" i="3"/>
  <c r="R1045" i="3"/>
  <c r="R1046" i="3"/>
  <c r="R1047" i="3"/>
  <c r="R1048" i="3"/>
  <c r="R1049" i="3"/>
  <c r="R1050" i="3"/>
  <c r="R1051" i="3"/>
  <c r="R1052" i="3"/>
  <c r="R1053" i="3"/>
  <c r="R1054" i="3"/>
  <c r="R1055" i="3"/>
  <c r="R1056" i="3"/>
  <c r="R1057" i="3"/>
  <c r="R1058" i="3"/>
  <c r="R1059" i="3"/>
  <c r="R1060" i="3"/>
  <c r="R1061" i="3"/>
  <c r="R1062" i="3"/>
  <c r="R1063" i="3"/>
  <c r="R1064" i="3"/>
  <c r="R1065" i="3"/>
  <c r="R1066" i="3"/>
  <c r="R1067" i="3"/>
  <c r="R1068" i="3"/>
  <c r="R1069" i="3"/>
  <c r="R1070" i="3"/>
  <c r="R1071" i="3"/>
  <c r="R1072" i="3"/>
  <c r="R1073" i="3"/>
  <c r="R1074" i="3"/>
  <c r="R1075" i="3"/>
  <c r="R1076" i="3"/>
  <c r="R1077" i="3"/>
  <c r="R1078" i="3"/>
  <c r="R1079" i="3"/>
  <c r="R1080" i="3"/>
  <c r="R1081" i="3"/>
  <c r="R1082" i="3"/>
  <c r="R1083" i="3"/>
  <c r="R1084" i="3"/>
  <c r="R1085" i="3"/>
  <c r="R1086" i="3"/>
  <c r="R1087" i="3"/>
  <c r="R1088" i="3"/>
  <c r="R1089" i="3"/>
  <c r="R1090" i="3"/>
  <c r="R1091" i="3"/>
  <c r="R1092" i="3"/>
  <c r="R1093" i="3"/>
  <c r="R1094" i="3"/>
  <c r="R1095" i="3"/>
  <c r="R1096" i="3"/>
  <c r="R1097" i="3"/>
  <c r="R1098" i="3"/>
  <c r="R1099" i="3"/>
  <c r="R1100" i="3"/>
  <c r="R1101" i="3"/>
  <c r="R1102" i="3"/>
  <c r="R1103" i="3"/>
  <c r="R1104" i="3"/>
  <c r="R1105" i="3"/>
  <c r="R1106" i="3"/>
  <c r="R1107" i="3"/>
  <c r="R1108" i="3"/>
  <c r="R1109" i="3"/>
  <c r="R1110" i="3"/>
  <c r="R1111" i="3"/>
  <c r="R1112" i="3"/>
  <c r="R1113" i="3"/>
  <c r="R1114" i="3"/>
  <c r="R1115" i="3"/>
  <c r="R1116" i="3"/>
  <c r="R1117" i="3"/>
  <c r="R1118" i="3"/>
  <c r="R1119" i="3"/>
  <c r="R1120" i="3"/>
  <c r="R1121" i="3"/>
  <c r="R1122" i="3"/>
  <c r="R1123" i="3"/>
  <c r="R1124" i="3"/>
  <c r="R1125" i="3"/>
  <c r="R1126" i="3"/>
  <c r="R1127" i="3"/>
  <c r="R1128" i="3"/>
  <c r="R1129" i="3"/>
  <c r="R1130" i="3"/>
  <c r="R1131" i="3"/>
  <c r="R1132" i="3"/>
  <c r="R1133" i="3"/>
  <c r="R1134" i="3"/>
  <c r="R1135" i="3"/>
  <c r="R1136" i="3"/>
  <c r="R1137" i="3"/>
  <c r="R1138" i="3"/>
  <c r="R1139" i="3"/>
  <c r="R1140" i="3"/>
  <c r="R1141" i="3"/>
  <c r="R1142" i="3"/>
  <c r="R1143" i="3"/>
  <c r="R1144" i="3"/>
  <c r="R1145" i="3"/>
  <c r="R1146" i="3"/>
  <c r="R1147" i="3"/>
  <c r="R1148" i="3"/>
  <c r="R1149" i="3"/>
  <c r="R1150" i="3"/>
  <c r="R1151" i="3"/>
  <c r="R1152" i="3"/>
  <c r="R1153" i="3"/>
  <c r="R1154" i="3"/>
  <c r="R1155" i="3"/>
  <c r="R1156" i="3"/>
  <c r="R1157" i="3"/>
  <c r="R1158" i="3"/>
  <c r="R1159" i="3"/>
  <c r="R1160" i="3"/>
  <c r="R1161" i="3"/>
  <c r="R1162" i="3"/>
  <c r="R1163" i="3"/>
  <c r="R1164" i="3"/>
  <c r="R1165" i="3"/>
  <c r="R1166" i="3"/>
  <c r="R1167" i="3"/>
  <c r="R1168" i="3"/>
  <c r="R1169" i="3"/>
  <c r="R1170" i="3"/>
  <c r="R1171" i="3"/>
  <c r="R1172" i="3"/>
  <c r="R1173" i="3"/>
  <c r="R1174" i="3"/>
  <c r="R1175" i="3"/>
  <c r="R1176" i="3"/>
  <c r="R1177" i="3"/>
  <c r="R1178" i="3"/>
  <c r="R1179" i="3"/>
  <c r="R1180" i="3"/>
  <c r="R1181" i="3"/>
  <c r="R1182" i="3"/>
  <c r="R1183" i="3"/>
  <c r="R1184" i="3"/>
  <c r="R1185" i="3"/>
  <c r="R1186" i="3"/>
  <c r="R1187" i="3"/>
  <c r="R1188" i="3"/>
  <c r="R1189" i="3"/>
  <c r="R1190" i="3"/>
  <c r="R1191" i="3"/>
  <c r="R1192" i="3"/>
  <c r="R1193" i="3"/>
  <c r="R1194" i="3"/>
  <c r="R1195" i="3"/>
  <c r="R1196" i="3"/>
  <c r="R1197" i="3"/>
  <c r="R1198" i="3"/>
  <c r="R1199" i="3"/>
  <c r="R1200" i="3"/>
  <c r="R1201" i="3"/>
  <c r="R1202" i="3"/>
  <c r="R1203" i="3"/>
  <c r="R1204" i="3"/>
  <c r="R1205" i="3"/>
  <c r="R1206" i="3"/>
  <c r="R1207" i="3"/>
  <c r="R1208" i="3"/>
  <c r="R1209" i="3"/>
  <c r="R1210" i="3"/>
  <c r="R1211" i="3"/>
  <c r="R1212" i="3"/>
  <c r="R1213" i="3"/>
  <c r="R1214" i="3"/>
  <c r="R1215" i="3"/>
  <c r="R1216" i="3"/>
  <c r="R1217" i="3"/>
  <c r="R1218" i="3"/>
  <c r="R1219" i="3"/>
  <c r="R1220" i="3"/>
  <c r="R1221" i="3"/>
  <c r="R1222" i="3"/>
  <c r="R1223" i="3"/>
  <c r="R1224" i="3"/>
  <c r="R1225" i="3"/>
  <c r="R1226" i="3"/>
  <c r="R1227" i="3"/>
  <c r="R1228" i="3"/>
  <c r="R1229" i="3"/>
  <c r="R1230" i="3"/>
  <c r="R1231" i="3"/>
  <c r="R1232" i="3"/>
  <c r="R1233" i="3"/>
  <c r="R1234" i="3"/>
  <c r="R1235" i="3"/>
  <c r="R1236" i="3"/>
  <c r="R1237" i="3"/>
  <c r="R1238" i="3"/>
  <c r="R1239" i="3"/>
  <c r="R1240" i="3"/>
  <c r="R1241" i="3"/>
  <c r="R1242" i="3"/>
  <c r="R1243" i="3"/>
  <c r="R1244" i="3"/>
  <c r="R1245" i="3"/>
  <c r="R1246" i="3"/>
  <c r="R1247" i="3"/>
  <c r="R1248" i="3"/>
  <c r="R1249" i="3"/>
  <c r="R1250" i="3"/>
  <c r="R1251" i="3"/>
  <c r="R1252" i="3"/>
  <c r="R1253" i="3"/>
  <c r="R1254" i="3"/>
  <c r="R1255" i="3"/>
  <c r="R1256" i="3"/>
  <c r="R1257" i="3"/>
  <c r="R1258" i="3"/>
  <c r="R1259" i="3"/>
  <c r="R1260" i="3"/>
  <c r="R1261" i="3"/>
  <c r="R1262" i="3"/>
  <c r="R1263" i="3"/>
  <c r="R1264" i="3"/>
  <c r="R1265" i="3"/>
  <c r="R1266" i="3"/>
  <c r="R1267" i="3"/>
  <c r="R1268" i="3"/>
  <c r="R1269" i="3"/>
  <c r="R1270" i="3"/>
  <c r="R1271" i="3"/>
  <c r="R1272" i="3"/>
  <c r="R1273" i="3"/>
  <c r="R1274" i="3"/>
  <c r="R1275" i="3"/>
  <c r="R1276" i="3"/>
  <c r="R1277" i="3"/>
  <c r="R1278" i="3"/>
  <c r="R1279" i="3"/>
  <c r="R1280" i="3"/>
  <c r="R1281" i="3"/>
  <c r="R1282" i="3"/>
  <c r="R1283" i="3"/>
  <c r="R1284" i="3"/>
  <c r="R1285" i="3"/>
  <c r="R1286" i="3"/>
  <c r="R1287" i="3"/>
  <c r="R1288" i="3"/>
  <c r="R1289" i="3"/>
  <c r="R1290" i="3"/>
  <c r="R1291" i="3"/>
  <c r="R1292" i="3"/>
  <c r="R1293" i="3"/>
  <c r="R1294" i="3"/>
  <c r="R1295" i="3"/>
  <c r="R1296" i="3"/>
  <c r="R1297" i="3"/>
  <c r="R1298" i="3"/>
  <c r="R1299" i="3"/>
  <c r="R1300" i="3"/>
  <c r="R1301" i="3"/>
  <c r="R1302" i="3"/>
  <c r="R1303" i="3"/>
  <c r="R1304" i="3"/>
  <c r="R1305" i="3"/>
  <c r="R1306" i="3"/>
  <c r="R1307" i="3"/>
  <c r="R1308" i="3"/>
  <c r="R1309" i="3"/>
  <c r="R1310" i="3"/>
  <c r="R1311" i="3"/>
  <c r="R1312" i="3"/>
  <c r="R1313" i="3"/>
  <c r="R1314" i="3"/>
  <c r="R1315" i="3"/>
  <c r="R1316" i="3"/>
  <c r="R1317" i="3"/>
  <c r="R1318" i="3"/>
  <c r="R1319" i="3"/>
  <c r="R1320" i="3"/>
  <c r="R1321" i="3"/>
  <c r="R1322" i="3"/>
  <c r="R1323" i="3"/>
  <c r="R1324" i="3"/>
  <c r="R1325" i="3"/>
  <c r="R1326" i="3"/>
  <c r="R1327" i="3"/>
  <c r="R1328" i="3"/>
  <c r="R1329" i="3"/>
  <c r="R1330" i="3"/>
  <c r="R1331" i="3"/>
  <c r="R1332" i="3"/>
  <c r="R1333" i="3"/>
  <c r="R1334" i="3"/>
  <c r="R1335" i="3"/>
  <c r="R1336" i="3"/>
  <c r="R1337" i="3"/>
  <c r="R1338" i="3"/>
  <c r="R1339" i="3"/>
  <c r="R1340" i="3"/>
  <c r="R1341" i="3"/>
  <c r="R1342" i="3"/>
  <c r="R1343" i="3"/>
  <c r="R1344" i="3"/>
  <c r="R1345" i="3"/>
  <c r="R1346" i="3"/>
  <c r="R1347" i="3"/>
  <c r="R1348" i="3"/>
  <c r="R1349" i="3"/>
  <c r="R1350" i="3"/>
  <c r="R1351" i="3"/>
  <c r="R1352" i="3"/>
  <c r="R1353" i="3"/>
  <c r="R1354" i="3"/>
  <c r="R1355" i="3"/>
  <c r="R1356" i="3"/>
  <c r="R1357" i="3"/>
  <c r="R1358" i="3"/>
  <c r="R1359" i="3"/>
  <c r="R1360" i="3"/>
  <c r="R1361" i="3"/>
  <c r="R1362" i="3"/>
  <c r="R1363" i="3"/>
  <c r="R1364" i="3"/>
  <c r="R1365" i="3"/>
  <c r="R1366" i="3"/>
  <c r="R1367" i="3"/>
  <c r="R1368" i="3"/>
  <c r="R1369" i="3"/>
  <c r="R1370" i="3"/>
  <c r="R1371" i="3"/>
  <c r="R1372" i="3"/>
  <c r="R1373" i="3"/>
  <c r="R1374" i="3"/>
  <c r="R1375" i="3"/>
  <c r="R1376" i="3"/>
  <c r="R1377" i="3"/>
  <c r="R1378" i="3"/>
  <c r="R1379" i="3"/>
  <c r="R1380" i="3"/>
  <c r="R1381" i="3"/>
  <c r="R1382" i="3"/>
  <c r="R1383" i="3"/>
  <c r="R1384" i="3"/>
  <c r="R1385" i="3"/>
  <c r="R1386" i="3"/>
  <c r="R1387" i="3"/>
  <c r="R1388" i="3"/>
  <c r="R1389" i="3"/>
  <c r="R1390" i="3"/>
  <c r="R1391" i="3"/>
  <c r="R1392" i="3"/>
  <c r="R1393" i="3"/>
  <c r="R1394" i="3"/>
  <c r="R1395" i="3"/>
  <c r="R1396" i="3"/>
  <c r="R1397" i="3"/>
  <c r="R1398" i="3"/>
  <c r="R1399" i="3"/>
  <c r="R1400" i="3"/>
  <c r="R1401" i="3"/>
  <c r="R1402" i="3"/>
  <c r="R1403" i="3"/>
  <c r="R1404" i="3"/>
  <c r="R1405" i="3"/>
  <c r="R1406" i="3"/>
  <c r="R1407" i="3"/>
  <c r="R1408" i="3"/>
  <c r="R1409" i="3"/>
  <c r="R1410" i="3"/>
  <c r="R1411" i="3"/>
  <c r="R1412" i="3"/>
  <c r="R1413" i="3"/>
  <c r="R1414" i="3"/>
  <c r="R1415" i="3"/>
  <c r="R1416" i="3"/>
  <c r="R1417" i="3"/>
  <c r="R1418" i="3"/>
  <c r="R1419" i="3"/>
  <c r="R1420" i="3"/>
  <c r="R1421" i="3"/>
  <c r="R1422" i="3"/>
  <c r="R1423" i="3"/>
  <c r="R1424" i="3"/>
  <c r="R1425" i="3"/>
  <c r="R1426" i="3"/>
  <c r="R1427" i="3"/>
  <c r="R1428" i="3"/>
  <c r="R1429" i="3"/>
  <c r="R1430" i="3"/>
  <c r="R1431" i="3"/>
  <c r="R1432" i="3"/>
  <c r="R1433" i="3"/>
  <c r="R1434" i="3"/>
  <c r="R1435" i="3"/>
  <c r="R1436" i="3"/>
  <c r="R1437" i="3"/>
  <c r="R1438" i="3"/>
  <c r="R1439" i="3"/>
  <c r="R1440" i="3"/>
  <c r="R1441" i="3"/>
  <c r="R1442" i="3"/>
  <c r="R1443" i="3"/>
  <c r="R1444" i="3"/>
  <c r="R1445" i="3"/>
  <c r="R1446" i="3"/>
  <c r="R1447" i="3"/>
  <c r="R1448" i="3"/>
  <c r="R1449" i="3"/>
  <c r="R1450" i="3"/>
  <c r="R1451" i="3"/>
  <c r="R1452" i="3"/>
  <c r="R1453" i="3"/>
  <c r="R1454" i="3"/>
  <c r="R1455" i="3"/>
  <c r="R1456" i="3"/>
  <c r="R1457" i="3"/>
  <c r="R1458" i="3"/>
  <c r="R1459" i="3"/>
  <c r="R1460" i="3"/>
  <c r="R1461" i="3"/>
  <c r="R1462" i="3"/>
  <c r="R1463" i="3"/>
  <c r="R1464" i="3"/>
  <c r="R1465" i="3"/>
  <c r="R1466" i="3"/>
  <c r="R1467" i="3"/>
  <c r="R1468" i="3"/>
  <c r="R1469" i="3"/>
  <c r="R1470" i="3"/>
  <c r="R1471" i="3"/>
  <c r="R1472" i="3"/>
  <c r="R1473" i="3"/>
  <c r="R1474" i="3"/>
  <c r="R1475" i="3"/>
  <c r="R1476" i="3"/>
  <c r="R1477" i="3"/>
  <c r="R1478" i="3"/>
  <c r="R1479" i="3"/>
  <c r="R1480" i="3"/>
  <c r="R1481" i="3"/>
  <c r="R1482" i="3"/>
  <c r="R1483" i="3"/>
  <c r="R1484" i="3"/>
  <c r="R1485" i="3"/>
  <c r="R1486" i="3"/>
  <c r="R1487" i="3"/>
  <c r="R1488" i="3"/>
  <c r="R1489" i="3"/>
  <c r="R1490" i="3"/>
  <c r="R1491" i="3"/>
  <c r="R1492" i="3"/>
  <c r="R1493" i="3"/>
  <c r="R1494" i="3"/>
  <c r="R1495" i="3"/>
  <c r="R1496" i="3"/>
  <c r="R1497" i="3"/>
  <c r="R1498" i="3"/>
  <c r="R1499" i="3"/>
  <c r="R1500" i="3"/>
  <c r="R1501" i="3"/>
  <c r="R1502" i="3"/>
  <c r="R1503" i="3"/>
  <c r="R1504" i="3"/>
  <c r="R1505" i="3"/>
  <c r="R1506" i="3"/>
  <c r="R1507" i="3"/>
  <c r="R1508" i="3"/>
  <c r="R1509" i="3"/>
  <c r="R1510" i="3"/>
  <c r="R1511" i="3"/>
  <c r="R1512" i="3"/>
  <c r="R1513" i="3"/>
  <c r="R1514" i="3"/>
  <c r="R1515" i="3"/>
  <c r="R1516" i="3"/>
  <c r="R1517" i="3"/>
  <c r="R1518" i="3"/>
  <c r="R1519" i="3"/>
  <c r="R1520" i="3"/>
  <c r="R1521" i="3"/>
  <c r="R1522" i="3"/>
  <c r="R1523" i="3"/>
  <c r="R1524" i="3"/>
  <c r="R1525" i="3"/>
  <c r="R1526" i="3"/>
  <c r="R1527" i="3"/>
  <c r="R1528" i="3"/>
  <c r="R1529" i="3"/>
  <c r="R1530" i="3"/>
  <c r="R1531" i="3"/>
  <c r="R1532" i="3"/>
  <c r="R1533" i="3"/>
  <c r="R1534" i="3"/>
  <c r="R1535" i="3"/>
  <c r="R1536" i="3"/>
  <c r="R1537" i="3"/>
  <c r="R1538" i="3"/>
  <c r="R1539" i="3"/>
  <c r="R1540" i="3"/>
  <c r="R1541" i="3"/>
  <c r="R1542" i="3"/>
  <c r="R1543" i="3"/>
  <c r="R1544" i="3"/>
  <c r="R1545" i="3"/>
  <c r="R1546" i="3"/>
  <c r="R1547" i="3"/>
  <c r="R1548" i="3"/>
  <c r="R1549" i="3"/>
  <c r="R1550" i="3"/>
  <c r="R1551" i="3"/>
  <c r="R1552" i="3"/>
  <c r="R1553" i="3"/>
  <c r="R1554" i="3"/>
  <c r="R1555" i="3"/>
  <c r="R1556" i="3"/>
  <c r="R1557" i="3"/>
  <c r="R1558" i="3"/>
  <c r="R1559" i="3"/>
  <c r="R1560" i="3"/>
  <c r="R1561" i="3"/>
  <c r="R1562" i="3"/>
  <c r="R1563" i="3"/>
  <c r="R1564" i="3"/>
  <c r="R1565" i="3"/>
  <c r="R1566" i="3"/>
  <c r="R1567" i="3"/>
  <c r="R1568" i="3"/>
  <c r="R1569" i="3"/>
  <c r="R1570" i="3"/>
  <c r="R1571" i="3"/>
  <c r="R1572" i="3"/>
  <c r="R1573" i="3"/>
  <c r="R1574" i="3"/>
  <c r="R1575" i="3"/>
  <c r="R1576" i="3"/>
  <c r="R1577" i="3"/>
  <c r="R1578" i="3"/>
  <c r="R1579" i="3"/>
  <c r="R1580" i="3"/>
  <c r="R1581" i="3"/>
  <c r="R1582" i="3"/>
  <c r="R1583" i="3"/>
  <c r="R1584" i="3"/>
  <c r="R1585" i="3"/>
  <c r="R1586" i="3"/>
  <c r="R1587" i="3"/>
  <c r="R1588" i="3"/>
  <c r="R1589" i="3"/>
  <c r="R1590" i="3"/>
  <c r="R1591" i="3"/>
  <c r="R1592" i="3"/>
  <c r="R1593" i="3"/>
  <c r="R1594" i="3"/>
  <c r="R1595" i="3"/>
  <c r="R1596" i="3"/>
  <c r="R1597" i="3"/>
  <c r="R1598" i="3"/>
  <c r="R1599" i="3"/>
  <c r="R1600" i="3"/>
  <c r="R1601" i="3"/>
  <c r="R1602" i="3"/>
  <c r="R1603" i="3"/>
  <c r="R1604" i="3"/>
  <c r="R1605" i="3"/>
  <c r="R1606" i="3"/>
  <c r="R1607" i="3"/>
  <c r="R1608" i="3"/>
  <c r="R1609" i="3"/>
  <c r="R1610" i="3"/>
  <c r="R1611" i="3"/>
  <c r="R1612" i="3"/>
  <c r="R1613" i="3"/>
  <c r="R1614" i="3"/>
  <c r="R1615" i="3"/>
  <c r="R1616" i="3"/>
  <c r="R1617" i="3"/>
  <c r="R1618" i="3"/>
  <c r="R1619" i="3"/>
  <c r="R1620" i="3"/>
  <c r="R1621" i="3"/>
  <c r="R1622" i="3"/>
  <c r="R1623" i="3"/>
  <c r="R1624" i="3"/>
  <c r="R1625" i="3"/>
  <c r="R1626" i="3"/>
  <c r="R1627" i="3"/>
  <c r="R1628" i="3"/>
  <c r="R1629" i="3"/>
  <c r="R1630" i="3"/>
  <c r="R1631" i="3"/>
  <c r="R1632" i="3"/>
  <c r="R1633" i="3"/>
  <c r="R1634" i="3"/>
  <c r="R1635" i="3"/>
  <c r="R1636" i="3"/>
  <c r="R1637" i="3"/>
  <c r="R1638" i="3"/>
  <c r="R1639" i="3"/>
  <c r="R1640" i="3"/>
  <c r="R1641" i="3"/>
  <c r="R1642" i="3"/>
  <c r="R1643" i="3"/>
  <c r="R1644" i="3"/>
  <c r="R1645" i="3"/>
  <c r="R1646" i="3"/>
  <c r="R1647" i="3"/>
  <c r="R1648" i="3"/>
  <c r="R1649" i="3"/>
  <c r="R1650" i="3"/>
  <c r="R1651" i="3"/>
  <c r="R1652" i="3"/>
  <c r="R1653" i="3"/>
  <c r="R1654" i="3"/>
  <c r="R1655" i="3"/>
  <c r="R1656" i="3"/>
  <c r="R1657" i="3"/>
  <c r="R1658" i="3"/>
  <c r="R1659" i="3"/>
  <c r="R1660" i="3"/>
  <c r="R1661" i="3"/>
  <c r="R1662" i="3"/>
  <c r="R1663" i="3"/>
  <c r="R1664" i="3"/>
  <c r="R1665" i="3"/>
  <c r="R1666" i="3"/>
  <c r="R1667" i="3"/>
  <c r="R1668" i="3"/>
  <c r="R1669" i="3"/>
  <c r="R1670" i="3"/>
  <c r="R1671" i="3"/>
  <c r="R1672" i="3"/>
  <c r="R1673" i="3"/>
  <c r="R1674" i="3"/>
  <c r="R1675" i="3"/>
  <c r="R1676" i="3"/>
  <c r="R1677" i="3"/>
  <c r="R1678" i="3"/>
  <c r="R1679" i="3"/>
  <c r="R1680" i="3"/>
  <c r="R1681" i="3"/>
  <c r="R1682" i="3"/>
  <c r="R1683" i="3"/>
  <c r="R1684" i="3"/>
  <c r="R1685" i="3"/>
  <c r="R1686" i="3"/>
  <c r="R1687" i="3"/>
  <c r="R1688" i="3"/>
  <c r="R1689" i="3"/>
  <c r="R1690" i="3"/>
  <c r="R1691" i="3"/>
  <c r="R1692" i="3"/>
  <c r="R1693" i="3"/>
  <c r="R1694" i="3"/>
  <c r="R1695" i="3"/>
  <c r="R1696" i="3"/>
  <c r="R1697" i="3"/>
  <c r="R1698" i="3"/>
  <c r="R1699" i="3"/>
  <c r="R1700" i="3"/>
  <c r="R1701" i="3"/>
  <c r="R1702" i="3"/>
  <c r="R1703" i="3"/>
  <c r="R1704" i="3"/>
  <c r="R1705" i="3"/>
  <c r="R1706" i="3"/>
  <c r="R1707" i="3"/>
  <c r="R1708" i="3"/>
  <c r="R1709" i="3"/>
  <c r="R1710" i="3"/>
  <c r="R1711" i="3"/>
  <c r="R1712" i="3"/>
  <c r="R1713" i="3"/>
  <c r="R1714" i="3"/>
  <c r="R1715" i="3"/>
  <c r="R1716" i="3"/>
  <c r="R1717" i="3"/>
  <c r="R1718" i="3"/>
  <c r="R1719" i="3"/>
  <c r="R1720" i="3"/>
  <c r="R1721" i="3"/>
  <c r="R1722" i="3"/>
  <c r="R1723" i="3"/>
  <c r="R1724" i="3"/>
  <c r="R1725" i="3"/>
  <c r="R1726" i="3"/>
  <c r="R1727" i="3"/>
  <c r="R1728" i="3"/>
  <c r="R1729" i="3"/>
  <c r="R1730" i="3"/>
  <c r="R1731" i="3"/>
  <c r="R1732" i="3"/>
  <c r="R1733" i="3"/>
  <c r="R1734" i="3"/>
  <c r="R1735" i="3"/>
  <c r="R1736" i="3"/>
  <c r="R1737" i="3"/>
  <c r="R1738" i="3"/>
  <c r="R1739" i="3"/>
  <c r="R1740" i="3"/>
  <c r="R1741" i="3"/>
  <c r="R1742" i="3"/>
  <c r="R1743" i="3"/>
  <c r="R1744" i="3"/>
  <c r="R1745" i="3"/>
  <c r="R1746" i="3"/>
  <c r="R1747" i="3"/>
  <c r="R1748" i="3"/>
  <c r="R1749" i="3"/>
  <c r="R1750" i="3"/>
  <c r="R1751" i="3"/>
  <c r="R1752" i="3"/>
  <c r="R1753" i="3"/>
  <c r="R1754" i="3"/>
  <c r="R1755" i="3"/>
  <c r="R1756" i="3"/>
  <c r="R1757" i="3"/>
  <c r="R1758" i="3"/>
  <c r="R1759" i="3"/>
  <c r="R1760" i="3"/>
  <c r="R1761" i="3"/>
  <c r="R1762" i="3"/>
  <c r="R1763" i="3"/>
  <c r="R1764" i="3"/>
  <c r="R1765" i="3"/>
  <c r="R1766" i="3"/>
  <c r="R1767" i="3"/>
  <c r="R1768" i="3"/>
  <c r="R1769" i="3"/>
  <c r="R1770" i="3"/>
  <c r="R1771" i="3"/>
  <c r="R1772" i="3"/>
  <c r="R1773" i="3"/>
  <c r="R1774" i="3"/>
  <c r="R1775" i="3"/>
  <c r="R1776" i="3"/>
  <c r="R1777" i="3"/>
  <c r="R1778" i="3"/>
  <c r="R1779" i="3"/>
  <c r="R1780" i="3"/>
  <c r="R1781" i="3"/>
  <c r="R1782" i="3"/>
  <c r="R1783" i="3"/>
  <c r="R1784" i="3"/>
  <c r="R1785" i="3"/>
  <c r="R1786" i="3"/>
  <c r="R1787" i="3"/>
  <c r="R1788" i="3"/>
  <c r="R1789" i="3"/>
  <c r="R1790" i="3"/>
  <c r="R1791" i="3"/>
  <c r="R1792" i="3"/>
  <c r="R1793" i="3"/>
  <c r="R1794" i="3"/>
  <c r="R1795" i="3"/>
  <c r="R1796" i="3"/>
  <c r="R1797" i="3"/>
  <c r="R1798" i="3"/>
  <c r="R1799" i="3"/>
  <c r="R1800" i="3"/>
  <c r="R1801" i="3"/>
  <c r="R1802" i="3"/>
  <c r="R1803" i="3"/>
  <c r="R1804" i="3"/>
  <c r="R1805" i="3"/>
  <c r="R1806" i="3"/>
  <c r="R1807" i="3"/>
  <c r="R1808" i="3"/>
  <c r="R1809" i="3"/>
  <c r="R1810" i="3"/>
  <c r="R1811" i="3"/>
  <c r="R1812" i="3"/>
  <c r="R1813" i="3"/>
  <c r="R1814" i="3"/>
  <c r="R1815" i="3"/>
  <c r="R1816" i="3"/>
  <c r="R1817" i="3"/>
  <c r="R1818" i="3"/>
  <c r="R1819" i="3"/>
  <c r="R1820" i="3"/>
  <c r="R1821" i="3"/>
  <c r="R1822" i="3"/>
  <c r="R1823" i="3"/>
  <c r="R1824" i="3"/>
  <c r="R1825" i="3"/>
  <c r="R1826" i="3"/>
  <c r="R1827" i="3"/>
  <c r="R1828" i="3"/>
  <c r="R1829" i="3"/>
  <c r="R1830" i="3"/>
  <c r="R1831" i="3"/>
  <c r="R1832" i="3"/>
  <c r="R1833" i="3"/>
  <c r="R1834" i="3"/>
  <c r="R1835" i="3"/>
  <c r="R1836" i="3"/>
  <c r="R1837" i="3"/>
  <c r="R1838" i="3"/>
  <c r="R1839" i="3"/>
  <c r="R1840" i="3"/>
  <c r="R1841" i="3"/>
  <c r="R1842" i="3"/>
  <c r="R1843" i="3"/>
  <c r="R1844" i="3"/>
  <c r="R1845" i="3"/>
  <c r="R1846" i="3"/>
  <c r="R1847" i="3"/>
  <c r="R1848" i="3"/>
  <c r="R1849" i="3"/>
  <c r="R1850" i="3"/>
  <c r="R1851" i="3"/>
  <c r="R1852" i="3"/>
  <c r="R1853" i="3"/>
  <c r="R1854" i="3"/>
  <c r="R1855" i="3"/>
  <c r="R1856" i="3"/>
  <c r="R1857" i="3"/>
  <c r="R1858" i="3"/>
  <c r="R1859" i="3"/>
  <c r="R1860" i="3"/>
  <c r="R1861" i="3"/>
  <c r="R1862" i="3"/>
  <c r="R1863" i="3"/>
  <c r="R1864" i="3"/>
  <c r="R1865" i="3"/>
  <c r="R1866" i="3"/>
  <c r="R1867" i="3"/>
  <c r="R1868" i="3"/>
  <c r="R1869" i="3"/>
  <c r="R1870" i="3"/>
  <c r="R1871" i="3"/>
  <c r="R1872" i="3"/>
  <c r="R1873" i="3"/>
  <c r="R1874" i="3"/>
  <c r="R1875" i="3"/>
  <c r="R1876" i="3"/>
  <c r="R1877" i="3"/>
  <c r="R1878" i="3"/>
  <c r="R1879" i="3"/>
  <c r="R1880" i="3"/>
  <c r="R1881" i="3"/>
  <c r="R1882" i="3"/>
  <c r="R1883" i="3"/>
  <c r="R1884" i="3"/>
  <c r="R1885" i="3"/>
  <c r="R1886" i="3"/>
  <c r="R1887" i="3"/>
  <c r="R1888" i="3"/>
  <c r="R1889" i="3"/>
  <c r="R1890" i="3"/>
  <c r="R1891" i="3"/>
  <c r="R1892" i="3"/>
  <c r="R1893" i="3"/>
  <c r="R1894" i="3"/>
  <c r="R1895" i="3"/>
  <c r="R1896" i="3"/>
  <c r="R1897" i="3"/>
  <c r="R1898" i="3"/>
  <c r="R1899" i="3"/>
  <c r="R1900" i="3"/>
  <c r="R1901" i="3"/>
  <c r="R1902" i="3"/>
  <c r="R1903" i="3"/>
  <c r="R1904" i="3"/>
  <c r="R1905" i="3"/>
  <c r="R1906" i="3"/>
  <c r="R1907" i="3"/>
  <c r="R1908" i="3"/>
  <c r="R1909" i="3"/>
  <c r="R1910" i="3"/>
  <c r="R1911" i="3"/>
  <c r="R1912" i="3"/>
  <c r="R1913" i="3"/>
  <c r="R1914" i="3"/>
  <c r="R1915" i="3"/>
  <c r="R1916" i="3"/>
  <c r="R1917" i="3"/>
  <c r="R1918" i="3"/>
  <c r="R1919" i="3"/>
  <c r="R1920" i="3"/>
  <c r="R1921" i="3"/>
  <c r="R1922" i="3"/>
  <c r="R1923" i="3"/>
  <c r="R1924" i="3"/>
  <c r="R1925" i="3"/>
  <c r="R1926" i="3"/>
  <c r="R1927" i="3"/>
  <c r="R1928" i="3"/>
  <c r="R1929" i="3"/>
  <c r="R1930" i="3"/>
  <c r="R1931" i="3"/>
  <c r="R1932" i="3"/>
  <c r="R1933" i="3"/>
  <c r="R1934" i="3"/>
  <c r="R1935" i="3"/>
  <c r="R1936" i="3"/>
  <c r="R1937" i="3"/>
  <c r="R1938" i="3"/>
  <c r="R1939" i="3"/>
  <c r="R1940" i="3"/>
  <c r="R1941" i="3"/>
  <c r="R1942" i="3"/>
  <c r="R1943" i="3"/>
  <c r="R1944" i="3"/>
  <c r="R1945" i="3"/>
  <c r="R1946" i="3"/>
  <c r="R1947" i="3"/>
  <c r="R1948" i="3"/>
  <c r="R1949" i="3"/>
  <c r="R1950" i="3"/>
  <c r="R1951" i="3"/>
  <c r="R1952" i="3"/>
  <c r="R1953" i="3"/>
  <c r="R1954" i="3"/>
  <c r="R1955" i="3"/>
  <c r="R1956" i="3"/>
  <c r="R1957" i="3"/>
  <c r="R1958" i="3"/>
  <c r="R1959" i="3"/>
  <c r="R1960" i="3"/>
  <c r="R1961" i="3"/>
  <c r="R1962" i="3"/>
  <c r="R1963" i="3"/>
  <c r="R1964" i="3"/>
  <c r="R1965" i="3"/>
  <c r="R1966" i="3"/>
  <c r="R1967" i="3"/>
  <c r="R1968" i="3"/>
  <c r="R1969" i="3"/>
  <c r="R1970" i="3"/>
  <c r="R1971" i="3"/>
  <c r="R1972" i="3"/>
  <c r="R1973" i="3"/>
  <c r="R1974" i="3"/>
  <c r="R1975" i="3"/>
  <c r="R1976" i="3"/>
  <c r="R1977" i="3"/>
  <c r="R1978" i="3"/>
  <c r="R1979" i="3"/>
  <c r="R1980" i="3"/>
  <c r="R1981" i="3"/>
  <c r="R1982" i="3"/>
  <c r="R1983" i="3"/>
  <c r="R1984" i="3"/>
  <c r="R1985" i="3"/>
  <c r="R1986" i="3"/>
  <c r="R1987" i="3"/>
  <c r="R1988" i="3"/>
  <c r="R1989" i="3"/>
  <c r="R1990" i="3"/>
  <c r="R1991" i="3"/>
  <c r="R1992" i="3"/>
  <c r="R1993" i="3"/>
  <c r="R1994" i="3"/>
  <c r="R1995" i="3"/>
  <c r="R1996" i="3"/>
  <c r="R1997" i="3"/>
  <c r="R1998" i="3"/>
  <c r="R1999" i="3"/>
  <c r="R2000" i="3"/>
  <c r="R2001" i="3"/>
  <c r="R2002" i="3"/>
  <c r="R2003" i="3"/>
  <c r="R2004" i="3"/>
  <c r="R2005" i="3"/>
  <c r="R2006" i="3"/>
  <c r="R2007" i="3"/>
  <c r="R2008" i="3"/>
  <c r="R2009" i="3"/>
  <c r="R2010" i="3"/>
  <c r="R2011" i="3"/>
  <c r="R2012" i="3"/>
  <c r="R2013" i="3"/>
  <c r="R2014" i="3"/>
  <c r="R2015" i="3"/>
  <c r="R2016" i="3"/>
  <c r="R2017" i="3"/>
  <c r="R2018" i="3"/>
  <c r="R2019" i="3"/>
  <c r="R2020" i="3"/>
  <c r="R2021" i="3"/>
  <c r="R2022" i="3"/>
  <c r="R2023" i="3"/>
  <c r="R2024" i="3"/>
  <c r="R2025" i="3"/>
  <c r="R2026" i="3"/>
  <c r="R2027" i="3"/>
  <c r="R2028" i="3"/>
  <c r="R2029" i="3"/>
  <c r="R2030" i="3"/>
  <c r="R2031" i="3"/>
  <c r="R2032" i="3"/>
  <c r="R2033" i="3"/>
  <c r="R2034" i="3"/>
  <c r="R2035" i="3"/>
  <c r="R2036" i="3"/>
  <c r="R2037" i="3"/>
  <c r="R2038" i="3"/>
  <c r="R2039" i="3"/>
  <c r="R2040" i="3"/>
  <c r="R2041" i="3"/>
  <c r="R2042" i="3"/>
  <c r="R2043" i="3"/>
  <c r="R2044" i="3"/>
  <c r="R2045" i="3"/>
  <c r="R2046" i="3"/>
  <c r="R2047" i="3"/>
  <c r="R2048" i="3"/>
  <c r="R2049" i="3"/>
  <c r="R2050" i="3"/>
  <c r="R2051" i="3"/>
  <c r="R2052" i="3"/>
  <c r="R2053" i="3"/>
  <c r="R2054" i="3"/>
  <c r="R2055" i="3"/>
  <c r="R2056" i="3"/>
  <c r="R2057" i="3"/>
  <c r="R2058" i="3"/>
  <c r="R2059" i="3"/>
  <c r="R2060" i="3"/>
  <c r="R2061" i="3"/>
  <c r="R2062" i="3"/>
  <c r="R2063" i="3"/>
  <c r="R2064" i="3"/>
  <c r="R2065" i="3"/>
  <c r="R2066" i="3"/>
  <c r="R2067" i="3"/>
  <c r="R2068" i="3"/>
  <c r="R2069" i="3"/>
  <c r="R2070" i="3"/>
  <c r="R2071" i="3"/>
  <c r="R2072" i="3"/>
  <c r="R2073" i="3"/>
  <c r="R2074" i="3"/>
  <c r="R2075" i="3"/>
  <c r="R2076" i="3"/>
  <c r="R2077" i="3"/>
  <c r="R2078" i="3"/>
  <c r="R2079" i="3"/>
  <c r="R2080" i="3"/>
  <c r="R2081" i="3"/>
  <c r="R2082" i="3"/>
  <c r="R2083" i="3"/>
  <c r="R2084" i="3"/>
  <c r="R2085" i="3"/>
  <c r="R2086" i="3"/>
  <c r="R2087" i="3"/>
  <c r="R2088" i="3"/>
  <c r="R2089" i="3"/>
  <c r="R2090" i="3"/>
  <c r="R2091" i="3"/>
  <c r="R2092" i="3"/>
  <c r="R2093" i="3"/>
  <c r="R2094" i="3"/>
  <c r="R2095" i="3"/>
  <c r="R2096" i="3"/>
  <c r="R2097" i="3"/>
  <c r="R2098" i="3"/>
  <c r="R2099" i="3"/>
  <c r="R2100" i="3"/>
  <c r="R2101" i="3"/>
  <c r="R2102" i="3"/>
  <c r="R2103" i="3"/>
  <c r="R2104" i="3"/>
  <c r="R2105" i="3"/>
  <c r="R2106" i="3"/>
  <c r="R2107" i="3"/>
  <c r="R2108" i="3"/>
  <c r="R2109" i="3"/>
  <c r="R2110" i="3"/>
  <c r="R2111" i="3"/>
  <c r="R2112" i="3"/>
  <c r="R2113" i="3"/>
  <c r="R2114" i="3"/>
  <c r="R2115" i="3"/>
  <c r="R2116" i="3"/>
  <c r="R2117" i="3"/>
  <c r="R2118" i="3"/>
  <c r="R2119" i="3"/>
  <c r="R2120" i="3"/>
  <c r="R2121" i="3"/>
  <c r="R2122" i="3"/>
  <c r="R2123" i="3"/>
  <c r="R2124" i="3"/>
  <c r="R2125" i="3"/>
  <c r="R2126" i="3"/>
  <c r="R2127" i="3"/>
  <c r="R2128" i="3"/>
  <c r="R2129" i="3"/>
  <c r="R2130" i="3"/>
  <c r="R2131" i="3"/>
  <c r="R2132" i="3"/>
  <c r="R2133" i="3"/>
  <c r="R2134" i="3"/>
  <c r="R2135" i="3"/>
  <c r="R2136" i="3"/>
  <c r="R2137" i="3"/>
  <c r="R2138" i="3"/>
  <c r="R2139" i="3"/>
  <c r="R2140" i="3"/>
  <c r="R2141" i="3"/>
  <c r="R2142" i="3"/>
  <c r="R2143" i="3"/>
  <c r="R2144" i="3"/>
  <c r="R2145" i="3"/>
  <c r="R2146" i="3"/>
  <c r="R2147" i="3"/>
  <c r="R2148" i="3"/>
  <c r="R2149" i="3"/>
  <c r="R2150" i="3"/>
  <c r="R2151" i="3"/>
  <c r="R2152" i="3"/>
  <c r="R2153" i="3"/>
  <c r="R2154" i="3"/>
  <c r="R2155" i="3"/>
  <c r="R2156" i="3"/>
  <c r="R2157" i="3"/>
  <c r="R2158" i="3"/>
  <c r="R2159" i="3"/>
  <c r="R2160" i="3"/>
  <c r="R2161" i="3"/>
  <c r="R2162" i="3"/>
  <c r="R2163" i="3"/>
  <c r="R2164" i="3"/>
  <c r="R2165" i="3"/>
  <c r="R2166" i="3"/>
  <c r="R2167" i="3"/>
  <c r="R2168" i="3"/>
  <c r="R2169" i="3"/>
  <c r="R2170" i="3"/>
  <c r="R2171" i="3"/>
  <c r="R2172" i="3"/>
  <c r="R2173" i="3"/>
  <c r="R2174" i="3"/>
  <c r="R2175" i="3"/>
  <c r="R2176" i="3"/>
  <c r="R2177" i="3"/>
  <c r="R2178" i="3"/>
  <c r="R2179" i="3"/>
  <c r="R2180" i="3"/>
  <c r="R2181" i="3"/>
  <c r="R2182" i="3"/>
  <c r="R2183" i="3"/>
  <c r="R2184" i="3"/>
  <c r="R2185" i="3"/>
  <c r="R2186" i="3"/>
  <c r="R2187" i="3"/>
  <c r="R2188" i="3"/>
  <c r="R2189" i="3"/>
  <c r="R2190" i="3"/>
  <c r="R2191" i="3"/>
  <c r="R2192" i="3"/>
  <c r="R2193" i="3"/>
  <c r="R2194" i="3"/>
  <c r="R2195" i="3"/>
  <c r="R2196" i="3"/>
  <c r="R2197" i="3"/>
  <c r="R2198" i="3"/>
  <c r="R2199" i="3"/>
  <c r="R2200" i="3"/>
  <c r="R2201" i="3"/>
  <c r="R2202" i="3"/>
  <c r="R2203" i="3"/>
  <c r="R2204" i="3"/>
  <c r="R2205" i="3"/>
  <c r="R2206" i="3"/>
  <c r="R2207" i="3"/>
  <c r="R2208" i="3"/>
  <c r="R2209" i="3"/>
  <c r="R2210" i="3"/>
  <c r="R2211" i="3"/>
  <c r="R2212" i="3"/>
  <c r="R2213" i="3"/>
  <c r="R2214" i="3"/>
  <c r="R2215" i="3"/>
  <c r="R2216" i="3"/>
  <c r="R2217" i="3"/>
  <c r="R2218" i="3"/>
  <c r="R2219" i="3"/>
  <c r="R2220" i="3"/>
  <c r="R2221" i="3"/>
  <c r="R2222" i="3"/>
  <c r="R2223" i="3"/>
  <c r="R2224" i="3"/>
  <c r="R2225" i="3"/>
  <c r="R2226" i="3"/>
  <c r="R2227" i="3"/>
  <c r="R2228" i="3"/>
  <c r="R2229" i="3"/>
  <c r="R2230" i="3"/>
  <c r="R2231" i="3"/>
  <c r="R2232" i="3"/>
  <c r="R2233" i="3"/>
  <c r="R2234" i="3"/>
  <c r="R2235" i="3"/>
  <c r="R2236" i="3"/>
  <c r="R2237" i="3"/>
  <c r="R2238" i="3"/>
  <c r="R2239" i="3"/>
  <c r="R2240" i="3"/>
  <c r="R2241" i="3"/>
  <c r="R2242" i="3"/>
  <c r="R2243" i="3"/>
  <c r="R2244" i="3"/>
  <c r="R2245" i="3"/>
  <c r="R2246" i="3"/>
  <c r="R2247" i="3"/>
  <c r="R2248" i="3"/>
  <c r="R2249" i="3"/>
  <c r="R2250" i="3"/>
  <c r="R2251" i="3"/>
  <c r="R2252" i="3"/>
  <c r="R2253" i="3"/>
  <c r="R2254" i="3"/>
  <c r="R2255" i="3"/>
  <c r="R2256" i="3"/>
  <c r="R2257" i="3"/>
  <c r="R2258" i="3"/>
  <c r="R2259" i="3"/>
  <c r="R2260" i="3"/>
  <c r="R2261" i="3"/>
  <c r="R2262" i="3"/>
  <c r="R2263" i="3"/>
  <c r="R2264" i="3"/>
  <c r="R2265" i="3"/>
  <c r="R2266" i="3"/>
  <c r="R2267" i="3"/>
  <c r="R2268" i="3"/>
  <c r="R2269" i="3"/>
  <c r="R2270" i="3"/>
  <c r="R2271" i="3"/>
  <c r="R2272" i="3"/>
  <c r="R2273" i="3"/>
  <c r="R2274" i="3"/>
  <c r="R2275" i="3"/>
  <c r="R2276" i="3"/>
  <c r="R2277" i="3"/>
  <c r="R2278" i="3"/>
  <c r="R2279" i="3"/>
  <c r="R2280" i="3"/>
  <c r="R2281" i="3"/>
  <c r="R2282" i="3"/>
  <c r="R2283" i="3"/>
  <c r="R2284" i="3"/>
  <c r="R2285" i="3"/>
  <c r="R2286" i="3"/>
  <c r="R2287" i="3"/>
  <c r="R2288" i="3"/>
  <c r="R2289" i="3"/>
  <c r="R2290" i="3"/>
  <c r="R2291" i="3"/>
  <c r="R2292" i="3"/>
  <c r="R2293" i="3"/>
  <c r="R2294" i="3"/>
  <c r="R2295" i="3"/>
  <c r="R2296" i="3"/>
  <c r="R2297" i="3"/>
  <c r="R2298" i="3"/>
  <c r="R2299" i="3"/>
  <c r="R2300" i="3"/>
  <c r="R2301" i="3"/>
  <c r="R2302" i="3"/>
  <c r="R2303" i="3"/>
  <c r="R2304" i="3"/>
  <c r="R2305" i="3"/>
  <c r="R2306" i="3"/>
  <c r="R2307" i="3"/>
  <c r="R2308" i="3"/>
  <c r="R2309" i="3"/>
  <c r="R2310" i="3"/>
  <c r="R2311" i="3"/>
  <c r="R2312" i="3"/>
  <c r="R2313" i="3"/>
  <c r="R2314" i="3"/>
  <c r="R2315" i="3"/>
  <c r="R2316" i="3"/>
  <c r="R2317" i="3"/>
  <c r="R2318" i="3"/>
  <c r="R2319" i="3"/>
  <c r="R2320" i="3"/>
  <c r="R2321" i="3"/>
  <c r="R2322" i="3"/>
  <c r="R2323" i="3"/>
  <c r="R2324" i="3"/>
  <c r="R2325" i="3"/>
  <c r="R2326" i="3"/>
  <c r="R2327" i="3"/>
  <c r="R2328" i="3"/>
  <c r="R2329" i="3"/>
  <c r="R2330" i="3"/>
  <c r="R2331" i="3"/>
  <c r="R2332" i="3"/>
  <c r="R2333" i="3"/>
  <c r="R2334" i="3"/>
  <c r="R2335" i="3"/>
  <c r="R2336" i="3"/>
  <c r="R2337" i="3"/>
  <c r="R2338" i="3"/>
  <c r="R2339" i="3"/>
  <c r="R2340" i="3"/>
  <c r="R2341" i="3"/>
  <c r="R2342" i="3"/>
  <c r="R2343" i="3"/>
  <c r="R2344" i="3"/>
  <c r="R2345" i="3"/>
  <c r="R2346" i="3"/>
  <c r="R2347" i="3"/>
  <c r="R2348" i="3"/>
  <c r="R2349" i="3"/>
  <c r="R2350" i="3"/>
  <c r="R2351" i="3"/>
  <c r="R2352" i="3"/>
  <c r="R2353" i="3"/>
  <c r="R2354" i="3"/>
  <c r="R2355" i="3"/>
  <c r="R2356" i="3"/>
  <c r="R2357" i="3"/>
  <c r="R2358" i="3"/>
  <c r="R2359" i="3"/>
  <c r="R2360" i="3"/>
  <c r="R2361" i="3"/>
  <c r="R2362" i="3"/>
  <c r="R2363" i="3"/>
  <c r="R2364" i="3"/>
  <c r="R2365" i="3"/>
  <c r="R2366" i="3"/>
  <c r="R2367" i="3"/>
  <c r="R2368" i="3"/>
  <c r="R2369" i="3"/>
  <c r="R2370" i="3"/>
  <c r="R2371" i="3"/>
  <c r="R2372" i="3"/>
  <c r="R2373" i="3"/>
  <c r="R2374" i="3"/>
  <c r="R2375" i="3"/>
  <c r="R2376" i="3"/>
  <c r="R2377" i="3"/>
  <c r="R2378" i="3"/>
  <c r="R2379" i="3"/>
  <c r="R2380" i="3"/>
  <c r="R2381" i="3"/>
  <c r="R2382" i="3"/>
  <c r="R2383" i="3"/>
  <c r="R2384" i="3"/>
  <c r="R2385" i="3"/>
  <c r="R2386" i="3"/>
  <c r="R2387" i="3"/>
  <c r="R2388" i="3"/>
  <c r="R2389" i="3"/>
  <c r="R2390" i="3"/>
  <c r="R2391" i="3"/>
  <c r="R2392" i="3"/>
  <c r="R2393" i="3"/>
  <c r="R2394" i="3"/>
  <c r="R2395" i="3"/>
  <c r="R2396" i="3"/>
  <c r="R2397" i="3"/>
  <c r="R2398" i="3"/>
  <c r="R2399" i="3"/>
  <c r="R2400" i="3"/>
  <c r="R2401" i="3"/>
  <c r="R2402" i="3"/>
  <c r="R2403" i="3"/>
  <c r="R2404" i="3"/>
  <c r="R2405" i="3"/>
  <c r="R2406" i="3"/>
  <c r="R2407" i="3"/>
  <c r="R2408" i="3"/>
  <c r="R2409" i="3"/>
  <c r="R2410" i="3"/>
  <c r="R2411" i="3"/>
  <c r="R2412" i="3"/>
  <c r="R2413" i="3"/>
  <c r="R2414" i="3"/>
  <c r="R2415" i="3"/>
  <c r="R2416" i="3"/>
  <c r="R2417" i="3"/>
  <c r="R2418" i="3"/>
  <c r="R2419" i="3"/>
  <c r="R2420" i="3"/>
  <c r="R2421" i="3"/>
  <c r="R2422" i="3"/>
  <c r="R2423" i="3"/>
  <c r="R2424" i="3"/>
  <c r="R2425" i="3"/>
  <c r="R2426" i="3"/>
  <c r="R2427" i="3"/>
  <c r="R2428" i="3"/>
  <c r="R2429" i="3"/>
  <c r="R2430" i="3"/>
  <c r="R2431" i="3"/>
  <c r="R2432" i="3"/>
  <c r="R2433" i="3"/>
  <c r="R2434" i="3"/>
  <c r="R2435" i="3"/>
  <c r="R2436" i="3"/>
  <c r="R2437" i="3"/>
  <c r="R2438" i="3"/>
  <c r="R2439" i="3"/>
  <c r="R2440" i="3"/>
  <c r="R2441" i="3"/>
  <c r="R2442" i="3"/>
  <c r="R2443" i="3"/>
  <c r="R2444" i="3"/>
  <c r="R2445" i="3"/>
  <c r="R2446" i="3"/>
  <c r="R2447" i="3"/>
  <c r="R2448" i="3"/>
  <c r="R2449" i="3"/>
  <c r="R2450" i="3"/>
  <c r="R2451" i="3"/>
  <c r="R2452" i="3"/>
  <c r="R2453" i="3"/>
  <c r="R2454" i="3"/>
  <c r="R2455" i="3"/>
  <c r="R2456" i="3"/>
  <c r="R2457" i="3"/>
  <c r="R2458" i="3"/>
  <c r="R2459" i="3"/>
  <c r="R2460" i="3"/>
  <c r="R2461" i="3"/>
  <c r="R2462" i="3"/>
  <c r="R2463" i="3"/>
  <c r="R2464" i="3"/>
  <c r="R2465" i="3"/>
  <c r="R2466" i="3"/>
  <c r="R2467" i="3"/>
  <c r="R2468" i="3"/>
  <c r="R2469" i="3"/>
  <c r="R2470" i="3"/>
  <c r="R2471" i="3"/>
  <c r="R2472" i="3"/>
  <c r="R2473" i="3"/>
  <c r="R2474" i="3"/>
  <c r="R2475" i="3"/>
  <c r="R2476" i="3"/>
  <c r="R2477" i="3"/>
  <c r="R2478" i="3"/>
  <c r="R2479" i="3"/>
  <c r="R2480" i="3"/>
  <c r="R2481" i="3"/>
  <c r="R2482" i="3"/>
  <c r="R2483" i="3"/>
  <c r="R2484" i="3"/>
  <c r="R2485" i="3"/>
  <c r="R2486" i="3"/>
  <c r="R2487" i="3"/>
  <c r="R2488" i="3"/>
  <c r="R2489" i="3"/>
  <c r="R2490" i="3"/>
  <c r="R2491" i="3"/>
  <c r="R2492" i="3"/>
  <c r="R2493" i="3"/>
  <c r="R2494" i="3"/>
  <c r="R2495" i="3"/>
  <c r="R2496" i="3"/>
  <c r="R2497" i="3"/>
  <c r="R2498" i="3"/>
  <c r="R2499" i="3"/>
  <c r="R2500" i="3"/>
  <c r="R2501" i="3"/>
  <c r="R2502" i="3"/>
  <c r="R2503" i="3"/>
  <c r="R2504" i="3"/>
  <c r="R2505" i="3"/>
  <c r="R2506" i="3"/>
  <c r="R2507" i="3"/>
  <c r="R2508" i="3"/>
  <c r="R2509" i="3"/>
  <c r="R2510" i="3"/>
  <c r="R2511" i="3"/>
  <c r="R2512" i="3"/>
  <c r="R2513" i="3"/>
  <c r="R2514" i="3"/>
  <c r="R2515" i="3"/>
  <c r="R2516" i="3"/>
  <c r="R2517" i="3"/>
  <c r="R2518" i="3"/>
  <c r="R2519" i="3"/>
  <c r="R2520" i="3"/>
  <c r="R2521" i="3"/>
  <c r="R2522" i="3"/>
  <c r="R2523" i="3"/>
  <c r="R2524" i="3"/>
  <c r="R2525" i="3"/>
  <c r="R2526" i="3"/>
  <c r="R2527" i="3"/>
  <c r="R2528" i="3"/>
  <c r="R2529" i="3"/>
  <c r="R2530" i="3"/>
  <c r="R2531" i="3"/>
  <c r="R2532" i="3"/>
  <c r="R2533" i="3"/>
  <c r="R2534" i="3"/>
  <c r="R2535" i="3"/>
  <c r="R2536" i="3"/>
  <c r="R2537" i="3"/>
  <c r="R2538" i="3"/>
  <c r="R2539" i="3"/>
  <c r="R2540" i="3"/>
  <c r="R2541" i="3"/>
  <c r="R2542" i="3"/>
  <c r="R2543" i="3"/>
  <c r="R2544" i="3"/>
  <c r="R2545" i="3"/>
  <c r="R2546" i="3"/>
  <c r="R2547" i="3"/>
  <c r="R2548" i="3"/>
  <c r="R2549" i="3"/>
  <c r="R2550" i="3"/>
  <c r="R2551" i="3"/>
  <c r="R2552" i="3"/>
  <c r="R2553" i="3"/>
  <c r="R2554" i="3"/>
  <c r="R2555" i="3"/>
  <c r="R2556" i="3"/>
  <c r="R2557" i="3"/>
  <c r="R2558" i="3"/>
  <c r="R2559" i="3"/>
  <c r="R2560" i="3"/>
  <c r="R2561" i="3"/>
  <c r="R2562" i="3"/>
  <c r="R2563" i="3"/>
  <c r="R2564" i="3"/>
  <c r="R2565" i="3"/>
  <c r="R2566" i="3"/>
  <c r="R2567" i="3"/>
  <c r="R2568" i="3"/>
  <c r="R2569" i="3"/>
  <c r="R2570" i="3"/>
  <c r="R2571" i="3"/>
  <c r="R2572" i="3"/>
  <c r="R2573" i="3"/>
  <c r="R2574" i="3"/>
  <c r="R2575" i="3"/>
  <c r="R494" i="3"/>
  <c r="F495" i="3"/>
  <c r="F496" i="3"/>
  <c r="F497" i="3"/>
  <c r="F498" i="3"/>
  <c r="F499" i="3"/>
  <c r="F500" i="3"/>
  <c r="F501" i="3"/>
  <c r="F502" i="3"/>
  <c r="F503" i="3"/>
  <c r="F504" i="3"/>
  <c r="F505" i="3"/>
  <c r="F506" i="3"/>
  <c r="F507" i="3"/>
  <c r="F508" i="3"/>
  <c r="F509" i="3"/>
  <c r="F510" i="3"/>
  <c r="F511" i="3"/>
  <c r="F512" i="3"/>
  <c r="F513" i="3"/>
  <c r="F514" i="3"/>
  <c r="F515" i="3"/>
  <c r="F516" i="3"/>
  <c r="F517" i="3"/>
  <c r="F518" i="3"/>
  <c r="F519" i="3"/>
  <c r="F520" i="3"/>
  <c r="F521" i="3"/>
  <c r="F522" i="3"/>
  <c r="F523" i="3"/>
  <c r="F524" i="3"/>
  <c r="F525" i="3"/>
  <c r="F526" i="3"/>
  <c r="F527" i="3"/>
  <c r="F528" i="3"/>
  <c r="F529" i="3"/>
  <c r="F530" i="3"/>
  <c r="F531" i="3"/>
  <c r="F532" i="3"/>
  <c r="F533" i="3"/>
  <c r="F534" i="3"/>
  <c r="F535" i="3"/>
  <c r="F536" i="3"/>
  <c r="F537" i="3"/>
  <c r="F538" i="3"/>
  <c r="F539" i="3"/>
  <c r="F540" i="3"/>
  <c r="F541" i="3"/>
  <c r="F542" i="3"/>
  <c r="F543" i="3"/>
  <c r="F544" i="3"/>
  <c r="F545" i="3"/>
  <c r="F546" i="3"/>
  <c r="F547" i="3"/>
  <c r="F548" i="3"/>
  <c r="F549" i="3"/>
  <c r="F550" i="3"/>
  <c r="F551" i="3"/>
  <c r="F552" i="3"/>
  <c r="F553" i="3"/>
  <c r="F554" i="3"/>
  <c r="F555" i="3"/>
  <c r="F556" i="3"/>
  <c r="F557" i="3"/>
  <c r="F558" i="3"/>
  <c r="F559" i="3"/>
  <c r="F560" i="3"/>
  <c r="F561" i="3"/>
  <c r="F562" i="3"/>
  <c r="F563" i="3"/>
  <c r="F564" i="3"/>
  <c r="F565" i="3"/>
  <c r="F566" i="3"/>
  <c r="F567" i="3"/>
  <c r="F568" i="3"/>
  <c r="F569" i="3"/>
  <c r="F570" i="3"/>
  <c r="F571" i="3"/>
  <c r="F572" i="3"/>
  <c r="F573" i="3"/>
  <c r="F574" i="3"/>
  <c r="F575" i="3"/>
  <c r="F576" i="3"/>
  <c r="F577" i="3"/>
  <c r="F578" i="3"/>
  <c r="F579" i="3"/>
  <c r="F580" i="3"/>
  <c r="F581" i="3"/>
  <c r="F582" i="3"/>
  <c r="F583" i="3"/>
  <c r="F584" i="3"/>
  <c r="F585" i="3"/>
  <c r="F586" i="3"/>
  <c r="F587" i="3"/>
  <c r="F588" i="3"/>
  <c r="F589" i="3"/>
  <c r="F590" i="3"/>
  <c r="F591" i="3"/>
  <c r="F592" i="3"/>
  <c r="F593" i="3"/>
  <c r="F594" i="3"/>
  <c r="F595" i="3"/>
  <c r="F596" i="3"/>
  <c r="F597" i="3"/>
  <c r="F598" i="3"/>
  <c r="F599" i="3"/>
  <c r="F600" i="3"/>
  <c r="F601" i="3"/>
  <c r="F602" i="3"/>
  <c r="F603" i="3"/>
  <c r="F604" i="3"/>
  <c r="F605" i="3"/>
  <c r="F606" i="3"/>
  <c r="F607" i="3"/>
  <c r="F608" i="3"/>
  <c r="F609" i="3"/>
  <c r="F610" i="3"/>
  <c r="F611" i="3"/>
  <c r="F612" i="3"/>
  <c r="F613" i="3"/>
  <c r="F614" i="3"/>
  <c r="F615" i="3"/>
  <c r="F616" i="3"/>
  <c r="F617" i="3"/>
  <c r="F618" i="3"/>
  <c r="F619" i="3"/>
  <c r="F620" i="3"/>
  <c r="F621" i="3"/>
  <c r="F622" i="3"/>
  <c r="F623" i="3"/>
  <c r="F624" i="3"/>
  <c r="F625" i="3"/>
  <c r="F626" i="3"/>
  <c r="F627" i="3"/>
  <c r="F628" i="3"/>
  <c r="F629" i="3"/>
  <c r="F630" i="3"/>
  <c r="F631" i="3"/>
  <c r="F632" i="3"/>
  <c r="F633" i="3"/>
  <c r="F634" i="3"/>
  <c r="F635" i="3"/>
  <c r="F636" i="3"/>
  <c r="F637" i="3"/>
  <c r="F638" i="3"/>
  <c r="F639" i="3"/>
  <c r="F640" i="3"/>
  <c r="F641" i="3"/>
  <c r="F642" i="3"/>
  <c r="F643" i="3"/>
  <c r="F644" i="3"/>
  <c r="F645" i="3"/>
  <c r="F646" i="3"/>
  <c r="F647" i="3"/>
  <c r="F648" i="3"/>
  <c r="F649" i="3"/>
  <c r="F650" i="3"/>
  <c r="F651" i="3"/>
  <c r="F652" i="3"/>
  <c r="F653" i="3"/>
  <c r="F654" i="3"/>
  <c r="F655" i="3"/>
  <c r="F656" i="3"/>
  <c r="F657" i="3"/>
  <c r="F658" i="3"/>
  <c r="F659" i="3"/>
  <c r="F660" i="3"/>
  <c r="F661" i="3"/>
  <c r="F662" i="3"/>
  <c r="F663" i="3"/>
  <c r="F664" i="3"/>
  <c r="F665" i="3"/>
  <c r="F666" i="3"/>
  <c r="F667" i="3"/>
  <c r="F668" i="3"/>
  <c r="F669" i="3"/>
  <c r="F670" i="3"/>
  <c r="F671" i="3"/>
  <c r="F672" i="3"/>
  <c r="F673" i="3"/>
  <c r="F674" i="3"/>
  <c r="F675" i="3"/>
  <c r="F676" i="3"/>
  <c r="F677" i="3"/>
  <c r="F678" i="3"/>
  <c r="F679" i="3"/>
  <c r="F680" i="3"/>
  <c r="F681" i="3"/>
  <c r="F682" i="3"/>
  <c r="F683" i="3"/>
  <c r="F684" i="3"/>
  <c r="F685" i="3"/>
  <c r="F686" i="3"/>
  <c r="F687" i="3"/>
  <c r="F688" i="3"/>
  <c r="F689" i="3"/>
  <c r="F690" i="3"/>
  <c r="F691" i="3"/>
  <c r="F692" i="3"/>
  <c r="F693" i="3"/>
  <c r="F694" i="3"/>
  <c r="F695" i="3"/>
  <c r="F696" i="3"/>
  <c r="F697" i="3"/>
  <c r="F698" i="3"/>
  <c r="F699" i="3"/>
  <c r="F700" i="3"/>
  <c r="F701" i="3"/>
  <c r="F702" i="3"/>
  <c r="F703" i="3"/>
  <c r="F704" i="3"/>
  <c r="F705" i="3"/>
  <c r="F706" i="3"/>
  <c r="F707" i="3"/>
  <c r="F708" i="3"/>
  <c r="F709" i="3"/>
  <c r="F710" i="3"/>
  <c r="F711" i="3"/>
  <c r="F712" i="3"/>
  <c r="F713" i="3"/>
  <c r="F714" i="3"/>
  <c r="F715" i="3"/>
  <c r="F716" i="3"/>
  <c r="F717" i="3"/>
  <c r="F718" i="3"/>
  <c r="F719" i="3"/>
  <c r="F720" i="3"/>
  <c r="F721" i="3"/>
  <c r="F722" i="3"/>
  <c r="F723" i="3"/>
  <c r="F724" i="3"/>
  <c r="F725" i="3"/>
  <c r="F726" i="3"/>
  <c r="F727" i="3"/>
  <c r="F728" i="3"/>
  <c r="F729" i="3"/>
  <c r="F730" i="3"/>
  <c r="F731" i="3"/>
  <c r="F732" i="3"/>
  <c r="F733" i="3"/>
  <c r="F734" i="3"/>
  <c r="F735" i="3"/>
  <c r="F736" i="3"/>
  <c r="F737" i="3"/>
  <c r="F738" i="3"/>
  <c r="F739" i="3"/>
  <c r="F740" i="3"/>
  <c r="F741" i="3"/>
  <c r="F742" i="3"/>
  <c r="F743" i="3"/>
  <c r="F744" i="3"/>
  <c r="F745" i="3"/>
  <c r="F746" i="3"/>
  <c r="F747" i="3"/>
  <c r="F748" i="3"/>
  <c r="F749" i="3"/>
  <c r="F750" i="3"/>
  <c r="F751" i="3"/>
  <c r="F752" i="3"/>
  <c r="F753" i="3"/>
  <c r="F754" i="3"/>
  <c r="F755" i="3"/>
  <c r="F756" i="3"/>
  <c r="F757" i="3"/>
  <c r="F758" i="3"/>
  <c r="F759" i="3"/>
  <c r="F760" i="3"/>
  <c r="F761" i="3"/>
  <c r="F762" i="3"/>
  <c r="F763" i="3"/>
  <c r="F764" i="3"/>
  <c r="F765" i="3"/>
  <c r="F766" i="3"/>
  <c r="F767" i="3"/>
  <c r="F768" i="3"/>
  <c r="F769" i="3"/>
  <c r="F770" i="3"/>
  <c r="F771" i="3"/>
  <c r="F772" i="3"/>
  <c r="F773" i="3"/>
  <c r="F774" i="3"/>
  <c r="F775" i="3"/>
  <c r="F776" i="3"/>
  <c r="F777" i="3"/>
  <c r="F778" i="3"/>
  <c r="F779" i="3"/>
  <c r="F780" i="3"/>
  <c r="F781" i="3"/>
  <c r="F782" i="3"/>
  <c r="F783" i="3"/>
  <c r="F784" i="3"/>
  <c r="F785" i="3"/>
  <c r="F786" i="3"/>
  <c r="F787" i="3"/>
  <c r="F788" i="3"/>
  <c r="F789" i="3"/>
  <c r="F790" i="3"/>
  <c r="F791" i="3"/>
  <c r="F792" i="3"/>
  <c r="F793" i="3"/>
  <c r="F794" i="3"/>
  <c r="F795" i="3"/>
  <c r="F796" i="3"/>
  <c r="F797" i="3"/>
  <c r="F798" i="3"/>
  <c r="F799" i="3"/>
  <c r="F800" i="3"/>
  <c r="F801" i="3"/>
  <c r="F802" i="3"/>
  <c r="F803" i="3"/>
  <c r="F804" i="3"/>
  <c r="F805" i="3"/>
  <c r="F806" i="3"/>
  <c r="F807" i="3"/>
  <c r="F808" i="3"/>
  <c r="F809" i="3"/>
  <c r="F810" i="3"/>
  <c r="F811" i="3"/>
  <c r="F812" i="3"/>
  <c r="F813" i="3"/>
  <c r="F814" i="3"/>
  <c r="F815" i="3"/>
  <c r="F816" i="3"/>
  <c r="F817" i="3"/>
  <c r="F818" i="3"/>
  <c r="F819" i="3"/>
  <c r="F820" i="3"/>
  <c r="F821" i="3"/>
  <c r="F822" i="3"/>
  <c r="F823" i="3"/>
  <c r="F824" i="3"/>
  <c r="F825" i="3"/>
  <c r="F826" i="3"/>
  <c r="F827" i="3"/>
  <c r="F828" i="3"/>
  <c r="F829" i="3"/>
  <c r="F830" i="3"/>
  <c r="F831" i="3"/>
  <c r="F832" i="3"/>
  <c r="F833" i="3"/>
  <c r="F834" i="3"/>
  <c r="F835" i="3"/>
  <c r="F836" i="3"/>
  <c r="F837" i="3"/>
  <c r="F838" i="3"/>
  <c r="F839" i="3"/>
  <c r="F840" i="3"/>
  <c r="F841" i="3"/>
  <c r="F842" i="3"/>
  <c r="F843" i="3"/>
  <c r="F844" i="3"/>
  <c r="F845" i="3"/>
  <c r="F846" i="3"/>
  <c r="F847" i="3"/>
  <c r="F848" i="3"/>
  <c r="F849" i="3"/>
  <c r="F850" i="3"/>
  <c r="F851" i="3"/>
  <c r="F852" i="3"/>
  <c r="F853" i="3"/>
  <c r="F854" i="3"/>
  <c r="F855" i="3"/>
  <c r="F856" i="3"/>
  <c r="F857" i="3"/>
  <c r="F858" i="3"/>
  <c r="F859" i="3"/>
  <c r="F860" i="3"/>
  <c r="F861" i="3"/>
  <c r="F862" i="3"/>
  <c r="F863" i="3"/>
  <c r="F864" i="3"/>
  <c r="F865" i="3"/>
  <c r="F866" i="3"/>
  <c r="F867" i="3"/>
  <c r="F868" i="3"/>
  <c r="F869" i="3"/>
  <c r="F870" i="3"/>
  <c r="F871" i="3"/>
  <c r="F872" i="3"/>
  <c r="F873" i="3"/>
  <c r="F874" i="3"/>
  <c r="F875" i="3"/>
  <c r="F876" i="3"/>
  <c r="F877" i="3"/>
  <c r="F878" i="3"/>
  <c r="F879" i="3"/>
  <c r="F880" i="3"/>
  <c r="F881" i="3"/>
  <c r="F882" i="3"/>
  <c r="F883" i="3"/>
  <c r="F884" i="3"/>
  <c r="F885" i="3"/>
  <c r="F886" i="3"/>
  <c r="F887" i="3"/>
  <c r="F888" i="3"/>
  <c r="F889" i="3"/>
  <c r="F890" i="3"/>
  <c r="F891" i="3"/>
  <c r="F892" i="3"/>
  <c r="F893" i="3"/>
  <c r="F894" i="3"/>
  <c r="F895" i="3"/>
  <c r="F896" i="3"/>
  <c r="F897" i="3"/>
  <c r="F898" i="3"/>
  <c r="F899" i="3"/>
  <c r="F900" i="3"/>
  <c r="F901" i="3"/>
  <c r="F902" i="3"/>
  <c r="F903" i="3"/>
  <c r="F904" i="3"/>
  <c r="F905" i="3"/>
  <c r="F906" i="3"/>
  <c r="F907" i="3"/>
  <c r="F908" i="3"/>
  <c r="F909" i="3"/>
  <c r="F910" i="3"/>
  <c r="F911" i="3"/>
  <c r="F912" i="3"/>
  <c r="F913" i="3"/>
  <c r="F914" i="3"/>
  <c r="F915" i="3"/>
  <c r="F916" i="3"/>
  <c r="F917" i="3"/>
  <c r="F918" i="3"/>
  <c r="F919" i="3"/>
  <c r="F920" i="3"/>
  <c r="F921" i="3"/>
  <c r="F922" i="3"/>
  <c r="F923" i="3"/>
  <c r="F924" i="3"/>
  <c r="F925" i="3"/>
  <c r="F926" i="3"/>
  <c r="F927" i="3"/>
  <c r="F928" i="3"/>
  <c r="F929" i="3"/>
  <c r="F930" i="3"/>
  <c r="F931" i="3"/>
  <c r="F932" i="3"/>
  <c r="F933" i="3"/>
  <c r="F934" i="3"/>
  <c r="F935" i="3"/>
  <c r="F936" i="3"/>
  <c r="F937" i="3"/>
  <c r="F938" i="3"/>
  <c r="F939" i="3"/>
  <c r="F940" i="3"/>
  <c r="F941" i="3"/>
  <c r="F942" i="3"/>
  <c r="F943" i="3"/>
  <c r="F944" i="3"/>
  <c r="F945" i="3"/>
  <c r="F946" i="3"/>
  <c r="F947" i="3"/>
  <c r="F948" i="3"/>
  <c r="F949" i="3"/>
  <c r="F950" i="3"/>
  <c r="F951" i="3"/>
  <c r="F952" i="3"/>
  <c r="F953" i="3"/>
  <c r="F954" i="3"/>
  <c r="F955" i="3"/>
  <c r="F956" i="3"/>
  <c r="F957" i="3"/>
  <c r="F958" i="3"/>
  <c r="F959" i="3"/>
  <c r="F960" i="3"/>
  <c r="F961" i="3"/>
  <c r="F962" i="3"/>
  <c r="F963" i="3"/>
  <c r="F964" i="3"/>
  <c r="F965" i="3"/>
  <c r="F966" i="3"/>
  <c r="F967" i="3"/>
  <c r="F968" i="3"/>
  <c r="F969" i="3"/>
  <c r="F970" i="3"/>
  <c r="F971" i="3"/>
  <c r="F972" i="3"/>
  <c r="F973" i="3"/>
  <c r="F974" i="3"/>
  <c r="F975" i="3"/>
  <c r="F976" i="3"/>
  <c r="F977" i="3"/>
  <c r="F978" i="3"/>
  <c r="F979" i="3"/>
  <c r="F980" i="3"/>
  <c r="F981" i="3"/>
  <c r="F982" i="3"/>
  <c r="F983" i="3"/>
  <c r="F984" i="3"/>
  <c r="F985" i="3"/>
  <c r="F986" i="3"/>
  <c r="F987" i="3"/>
  <c r="F988" i="3"/>
  <c r="F989" i="3"/>
  <c r="F990" i="3"/>
  <c r="F991" i="3"/>
  <c r="F992" i="3"/>
  <c r="F993" i="3"/>
  <c r="F994" i="3"/>
  <c r="F995" i="3"/>
  <c r="F996" i="3"/>
  <c r="F997" i="3"/>
  <c r="F998" i="3"/>
  <c r="F999" i="3"/>
  <c r="F1000" i="3"/>
  <c r="F1001" i="3"/>
  <c r="F1002" i="3"/>
  <c r="F1003" i="3"/>
  <c r="F1004" i="3"/>
  <c r="F1005" i="3"/>
  <c r="F1006" i="3"/>
  <c r="F1007" i="3"/>
  <c r="F1008" i="3"/>
  <c r="F1009" i="3"/>
  <c r="F1010" i="3"/>
  <c r="F1011" i="3"/>
  <c r="F1012" i="3"/>
  <c r="F1013" i="3"/>
  <c r="F1014" i="3"/>
  <c r="F1015" i="3"/>
  <c r="F1016" i="3"/>
  <c r="F1017" i="3"/>
  <c r="F1018" i="3"/>
  <c r="F1019" i="3"/>
  <c r="F1020" i="3"/>
  <c r="F1021" i="3"/>
  <c r="F1022" i="3"/>
  <c r="F1023" i="3"/>
  <c r="F1024" i="3"/>
  <c r="F1025" i="3"/>
  <c r="F1026" i="3"/>
  <c r="F1027" i="3"/>
  <c r="F1028" i="3"/>
  <c r="F1029" i="3"/>
  <c r="F1030" i="3"/>
  <c r="F1031" i="3"/>
  <c r="F1032" i="3"/>
  <c r="F1033" i="3"/>
  <c r="F1034" i="3"/>
  <c r="F1035" i="3"/>
  <c r="F1036" i="3"/>
  <c r="F1037" i="3"/>
  <c r="F1038" i="3"/>
  <c r="F1039" i="3"/>
  <c r="F1040" i="3"/>
  <c r="F1041" i="3"/>
  <c r="F1042" i="3"/>
  <c r="F1043" i="3"/>
  <c r="F1044" i="3"/>
  <c r="F1045" i="3"/>
  <c r="F1046" i="3"/>
  <c r="F1047" i="3"/>
  <c r="F1048" i="3"/>
  <c r="F1049" i="3"/>
  <c r="F1050" i="3"/>
  <c r="F1051" i="3"/>
  <c r="F1052" i="3"/>
  <c r="F1053" i="3"/>
  <c r="F1054" i="3"/>
  <c r="F1055" i="3"/>
  <c r="F1056" i="3"/>
  <c r="F1057" i="3"/>
  <c r="F1058" i="3"/>
  <c r="F1059" i="3"/>
  <c r="F1060" i="3"/>
  <c r="F1061" i="3"/>
  <c r="F1062" i="3"/>
  <c r="F1063" i="3"/>
  <c r="F1064" i="3"/>
  <c r="F1065" i="3"/>
  <c r="F1066" i="3"/>
  <c r="F1067" i="3"/>
  <c r="F1068" i="3"/>
  <c r="F1069" i="3"/>
  <c r="F1070" i="3"/>
  <c r="F1071" i="3"/>
  <c r="F1072" i="3"/>
  <c r="F1073" i="3"/>
  <c r="F1074" i="3"/>
  <c r="F1075" i="3"/>
  <c r="F1076" i="3"/>
  <c r="F1077" i="3"/>
  <c r="F1078" i="3"/>
  <c r="F1079" i="3"/>
  <c r="F1080" i="3"/>
  <c r="F1081" i="3"/>
  <c r="F1082" i="3"/>
  <c r="F1083" i="3"/>
  <c r="F1084" i="3"/>
  <c r="F1085" i="3"/>
  <c r="F1086" i="3"/>
  <c r="F1087" i="3"/>
  <c r="F1088" i="3"/>
  <c r="F1089" i="3"/>
  <c r="F1090" i="3"/>
  <c r="F1091" i="3"/>
  <c r="F1092" i="3"/>
  <c r="F1093" i="3"/>
  <c r="F1094" i="3"/>
  <c r="F1095" i="3"/>
  <c r="F1096" i="3"/>
  <c r="F1097" i="3"/>
  <c r="F1098" i="3"/>
  <c r="F1099" i="3"/>
  <c r="F1100" i="3"/>
  <c r="F1101" i="3"/>
  <c r="F1102" i="3"/>
  <c r="F1103" i="3"/>
  <c r="F1104" i="3"/>
  <c r="F1105" i="3"/>
  <c r="F1106" i="3"/>
  <c r="F1107" i="3"/>
  <c r="F1108" i="3"/>
  <c r="F1109" i="3"/>
  <c r="F1110" i="3"/>
  <c r="F1111" i="3"/>
  <c r="F1112" i="3"/>
  <c r="F1113" i="3"/>
  <c r="F1114" i="3"/>
  <c r="F1115" i="3"/>
  <c r="F1116" i="3"/>
  <c r="F1117" i="3"/>
  <c r="F1118" i="3"/>
  <c r="F1119" i="3"/>
  <c r="F1120" i="3"/>
  <c r="F1121" i="3"/>
  <c r="F1122" i="3"/>
  <c r="F1123" i="3"/>
  <c r="F1124" i="3"/>
  <c r="F1125" i="3"/>
  <c r="F1126" i="3"/>
  <c r="F1127" i="3"/>
  <c r="F1128" i="3"/>
  <c r="F1129" i="3"/>
  <c r="F1130" i="3"/>
  <c r="F1131" i="3"/>
  <c r="F1132" i="3"/>
  <c r="F1133" i="3"/>
  <c r="F1134" i="3"/>
  <c r="F1135" i="3"/>
  <c r="F1136" i="3"/>
  <c r="F1137" i="3"/>
  <c r="F1138" i="3"/>
  <c r="F1139" i="3"/>
  <c r="F1140" i="3"/>
  <c r="F1141" i="3"/>
  <c r="F1142" i="3"/>
  <c r="F1143" i="3"/>
  <c r="F1144" i="3"/>
  <c r="F1145" i="3"/>
  <c r="F1146" i="3"/>
  <c r="F1147" i="3"/>
  <c r="F1148" i="3"/>
  <c r="F1149" i="3"/>
  <c r="F1150" i="3"/>
  <c r="F1151" i="3"/>
  <c r="F1152" i="3"/>
  <c r="F1153" i="3"/>
  <c r="F1154" i="3"/>
  <c r="F1155" i="3"/>
  <c r="F1156" i="3"/>
  <c r="F1157" i="3"/>
  <c r="F1158" i="3"/>
  <c r="F1159" i="3"/>
  <c r="F1160" i="3"/>
  <c r="F1161" i="3"/>
  <c r="F1162" i="3"/>
  <c r="F1163" i="3"/>
  <c r="F1164" i="3"/>
  <c r="F1165" i="3"/>
  <c r="F1166" i="3"/>
  <c r="F1167" i="3"/>
  <c r="F1168" i="3"/>
  <c r="F1169" i="3"/>
  <c r="F1170" i="3"/>
  <c r="F1171" i="3"/>
  <c r="F1172" i="3"/>
  <c r="F1173" i="3"/>
  <c r="F1174" i="3"/>
  <c r="F1175" i="3"/>
  <c r="F1176" i="3"/>
  <c r="F1177" i="3"/>
  <c r="F1178" i="3"/>
  <c r="F1179" i="3"/>
  <c r="F1180" i="3"/>
  <c r="F1181" i="3"/>
  <c r="F1182" i="3"/>
  <c r="F1183" i="3"/>
  <c r="F1184" i="3"/>
  <c r="F1185" i="3"/>
  <c r="F1186" i="3"/>
  <c r="F1187" i="3"/>
  <c r="F1188" i="3"/>
  <c r="F1189" i="3"/>
  <c r="F1190" i="3"/>
  <c r="F1191" i="3"/>
  <c r="F1192" i="3"/>
  <c r="F1193" i="3"/>
  <c r="F1194" i="3"/>
  <c r="F1195" i="3"/>
  <c r="F1196" i="3"/>
  <c r="F1197" i="3"/>
  <c r="F1198" i="3"/>
  <c r="F1199" i="3"/>
  <c r="F1200" i="3"/>
  <c r="F1201" i="3"/>
  <c r="F1202" i="3"/>
  <c r="F1203" i="3"/>
  <c r="F1204" i="3"/>
  <c r="F1205" i="3"/>
  <c r="F1206" i="3"/>
  <c r="F1207" i="3"/>
  <c r="F1208" i="3"/>
  <c r="F1209" i="3"/>
  <c r="F1210" i="3"/>
  <c r="F1211" i="3"/>
  <c r="F1212" i="3"/>
  <c r="F1213" i="3"/>
  <c r="F1214" i="3"/>
  <c r="F1215" i="3"/>
  <c r="F1216" i="3"/>
  <c r="F1217" i="3"/>
  <c r="F1218" i="3"/>
  <c r="F1219" i="3"/>
  <c r="F1220" i="3"/>
  <c r="F1221" i="3"/>
  <c r="F1222" i="3"/>
  <c r="F1223" i="3"/>
  <c r="F1224" i="3"/>
  <c r="F1225" i="3"/>
  <c r="F1226" i="3"/>
  <c r="F1227" i="3"/>
  <c r="F1228" i="3"/>
  <c r="F1229" i="3"/>
  <c r="F1230" i="3"/>
  <c r="F1231" i="3"/>
  <c r="F1232" i="3"/>
  <c r="F1233" i="3"/>
  <c r="F1234" i="3"/>
  <c r="F1235" i="3"/>
  <c r="F1236" i="3"/>
  <c r="F1237" i="3"/>
  <c r="F1238" i="3"/>
  <c r="F1239" i="3"/>
  <c r="F1240" i="3"/>
  <c r="F1241" i="3"/>
  <c r="F1242" i="3"/>
  <c r="F1243" i="3"/>
  <c r="F1244" i="3"/>
  <c r="F1245" i="3"/>
  <c r="F1246" i="3"/>
  <c r="F1247" i="3"/>
  <c r="F1248" i="3"/>
  <c r="F1249" i="3"/>
  <c r="F1250" i="3"/>
  <c r="F1251" i="3"/>
  <c r="F1252" i="3"/>
  <c r="F1253" i="3"/>
  <c r="F1254" i="3"/>
  <c r="F1255" i="3"/>
  <c r="F1256" i="3"/>
  <c r="F1257" i="3"/>
  <c r="F1258" i="3"/>
  <c r="F1259" i="3"/>
  <c r="F1260" i="3"/>
  <c r="F1261" i="3"/>
  <c r="F1262" i="3"/>
  <c r="F1263" i="3"/>
  <c r="F1264" i="3"/>
  <c r="F1265" i="3"/>
  <c r="F1266" i="3"/>
  <c r="F1267" i="3"/>
  <c r="F1268" i="3"/>
  <c r="F1269" i="3"/>
  <c r="F1270" i="3"/>
  <c r="F1271" i="3"/>
  <c r="F1272" i="3"/>
  <c r="F1273" i="3"/>
  <c r="F1274" i="3"/>
  <c r="F1275" i="3"/>
  <c r="F1276" i="3"/>
  <c r="F1277" i="3"/>
  <c r="F1278" i="3"/>
  <c r="F1279" i="3"/>
  <c r="F1280" i="3"/>
  <c r="F1281" i="3"/>
  <c r="F1282" i="3"/>
  <c r="F1283" i="3"/>
  <c r="F1284" i="3"/>
  <c r="F1285" i="3"/>
  <c r="F1286" i="3"/>
  <c r="F1287" i="3"/>
  <c r="F1288" i="3"/>
  <c r="F1289" i="3"/>
  <c r="F1290" i="3"/>
  <c r="F1291" i="3"/>
  <c r="F1292" i="3"/>
  <c r="F1293" i="3"/>
  <c r="F1294" i="3"/>
  <c r="F1295" i="3"/>
  <c r="F1296" i="3"/>
  <c r="F1297" i="3"/>
  <c r="F1298" i="3"/>
  <c r="F1299" i="3"/>
  <c r="F1300" i="3"/>
  <c r="F1301" i="3"/>
  <c r="F1302" i="3"/>
  <c r="F1303" i="3"/>
  <c r="F1304" i="3"/>
  <c r="F1305" i="3"/>
  <c r="F1306" i="3"/>
  <c r="F1307" i="3"/>
  <c r="F1308" i="3"/>
  <c r="F1309" i="3"/>
  <c r="F1310" i="3"/>
  <c r="F1311" i="3"/>
  <c r="F1312" i="3"/>
  <c r="F1313" i="3"/>
  <c r="F1314" i="3"/>
  <c r="F1315" i="3"/>
  <c r="F1316" i="3"/>
  <c r="F1317" i="3"/>
  <c r="F1318" i="3"/>
  <c r="F1319" i="3"/>
  <c r="F1320" i="3"/>
  <c r="F1321" i="3"/>
  <c r="F1322" i="3"/>
  <c r="F1323" i="3"/>
  <c r="F1324" i="3"/>
  <c r="F1325" i="3"/>
  <c r="F1326" i="3"/>
  <c r="F1327" i="3"/>
  <c r="F1328" i="3"/>
  <c r="F1329" i="3"/>
  <c r="F1330" i="3"/>
  <c r="F1331" i="3"/>
  <c r="F1332" i="3"/>
  <c r="F1333" i="3"/>
  <c r="F1334" i="3"/>
  <c r="F1335" i="3"/>
  <c r="F1336" i="3"/>
  <c r="F1337" i="3"/>
  <c r="F1338" i="3"/>
  <c r="F1339" i="3"/>
  <c r="F1340" i="3"/>
  <c r="F1341" i="3"/>
  <c r="F1342" i="3"/>
  <c r="F1343" i="3"/>
  <c r="F1344" i="3"/>
  <c r="F1345" i="3"/>
  <c r="F1346" i="3"/>
  <c r="F1347" i="3"/>
  <c r="F1348" i="3"/>
  <c r="F1349" i="3"/>
  <c r="F1350" i="3"/>
  <c r="F1351" i="3"/>
  <c r="F1352" i="3"/>
  <c r="F1353" i="3"/>
  <c r="F1354" i="3"/>
  <c r="F1355" i="3"/>
  <c r="F1356" i="3"/>
  <c r="F1357" i="3"/>
  <c r="F1358" i="3"/>
  <c r="F1359" i="3"/>
  <c r="F1360" i="3"/>
  <c r="F1361" i="3"/>
  <c r="F1362" i="3"/>
  <c r="F1363" i="3"/>
  <c r="F1364" i="3"/>
  <c r="F1365" i="3"/>
  <c r="F1366" i="3"/>
  <c r="F1367" i="3"/>
  <c r="F1368" i="3"/>
  <c r="F1369" i="3"/>
  <c r="F1370" i="3"/>
  <c r="F1371" i="3"/>
  <c r="F1372" i="3"/>
  <c r="F1373" i="3"/>
  <c r="F1374" i="3"/>
  <c r="F1375" i="3"/>
  <c r="F1376" i="3"/>
  <c r="F1377" i="3"/>
  <c r="F1378" i="3"/>
  <c r="F1379" i="3"/>
  <c r="F1380" i="3"/>
  <c r="F1381" i="3"/>
  <c r="F1382" i="3"/>
  <c r="F1383" i="3"/>
  <c r="F1384" i="3"/>
  <c r="F1385" i="3"/>
  <c r="F1386" i="3"/>
  <c r="F1387" i="3"/>
  <c r="F1388" i="3"/>
  <c r="F1389" i="3"/>
  <c r="F1390" i="3"/>
  <c r="F1391" i="3"/>
  <c r="F1392" i="3"/>
  <c r="F1393" i="3"/>
  <c r="F1394" i="3"/>
  <c r="F1395" i="3"/>
  <c r="F1396" i="3"/>
  <c r="F1397" i="3"/>
  <c r="F1398" i="3"/>
  <c r="F1399" i="3"/>
  <c r="F1400" i="3"/>
  <c r="F1401" i="3"/>
  <c r="F1402" i="3"/>
  <c r="F1403" i="3"/>
  <c r="F1404" i="3"/>
  <c r="F1405" i="3"/>
  <c r="F1406" i="3"/>
  <c r="F1407" i="3"/>
  <c r="F1408" i="3"/>
  <c r="F1409" i="3"/>
  <c r="F1410" i="3"/>
  <c r="F1411" i="3"/>
  <c r="F1412" i="3"/>
  <c r="F1413" i="3"/>
  <c r="F1414" i="3"/>
  <c r="F1415" i="3"/>
  <c r="F1416" i="3"/>
  <c r="F1417" i="3"/>
  <c r="F1418" i="3"/>
  <c r="F1419" i="3"/>
  <c r="F1420" i="3"/>
  <c r="F1421" i="3"/>
  <c r="F1422" i="3"/>
  <c r="F1423" i="3"/>
  <c r="F1424" i="3"/>
  <c r="F1425" i="3"/>
  <c r="F1426" i="3"/>
  <c r="F1427" i="3"/>
  <c r="F1428" i="3"/>
  <c r="F1429" i="3"/>
  <c r="F1430" i="3"/>
  <c r="F1431" i="3"/>
  <c r="F1432" i="3"/>
  <c r="F1433" i="3"/>
  <c r="F1434" i="3"/>
  <c r="F1435" i="3"/>
  <c r="F1436" i="3"/>
  <c r="F1437" i="3"/>
  <c r="F1438" i="3"/>
  <c r="F1439" i="3"/>
  <c r="F1440" i="3"/>
  <c r="F1441" i="3"/>
  <c r="F1442" i="3"/>
  <c r="F1443" i="3"/>
  <c r="F1444" i="3"/>
  <c r="F1445" i="3"/>
  <c r="F1446" i="3"/>
  <c r="F1447" i="3"/>
  <c r="F1448" i="3"/>
  <c r="F1449" i="3"/>
  <c r="F1450" i="3"/>
  <c r="F1451" i="3"/>
  <c r="F1452" i="3"/>
  <c r="F1453" i="3"/>
  <c r="F1454" i="3"/>
  <c r="F1455" i="3"/>
  <c r="F1456" i="3"/>
  <c r="F1457" i="3"/>
  <c r="F1458" i="3"/>
  <c r="F1459" i="3"/>
  <c r="F1460" i="3"/>
  <c r="F1461" i="3"/>
  <c r="F1462" i="3"/>
  <c r="F1463" i="3"/>
  <c r="F1464" i="3"/>
  <c r="F1465" i="3"/>
  <c r="F1466" i="3"/>
  <c r="F1467" i="3"/>
  <c r="F1468" i="3"/>
  <c r="F1469" i="3"/>
  <c r="F1470" i="3"/>
  <c r="F1471" i="3"/>
  <c r="F1472" i="3"/>
  <c r="F1473" i="3"/>
  <c r="F1474" i="3"/>
  <c r="F1475" i="3"/>
  <c r="F1476" i="3"/>
  <c r="F1477" i="3"/>
  <c r="F1478" i="3"/>
  <c r="F1479" i="3"/>
  <c r="F1480" i="3"/>
  <c r="F1481" i="3"/>
  <c r="F1482" i="3"/>
  <c r="F1483" i="3"/>
  <c r="F1484" i="3"/>
  <c r="F1485" i="3"/>
  <c r="F1486" i="3"/>
  <c r="F1487" i="3"/>
  <c r="F1488" i="3"/>
  <c r="F1489" i="3"/>
  <c r="F1490" i="3"/>
  <c r="F1491" i="3"/>
  <c r="F1492" i="3"/>
  <c r="F1493" i="3"/>
  <c r="F1494" i="3"/>
  <c r="F1495" i="3"/>
  <c r="F1496" i="3"/>
  <c r="F1497" i="3"/>
  <c r="F1498" i="3"/>
  <c r="F1499" i="3"/>
  <c r="F1500" i="3"/>
  <c r="F1501" i="3"/>
  <c r="F1502" i="3"/>
  <c r="F1503" i="3"/>
  <c r="F1504" i="3"/>
  <c r="F1505" i="3"/>
  <c r="F1506" i="3"/>
  <c r="F1507" i="3"/>
  <c r="F1508" i="3"/>
  <c r="F1509" i="3"/>
  <c r="F1510" i="3"/>
  <c r="F1511" i="3"/>
  <c r="F1512" i="3"/>
  <c r="F1513" i="3"/>
  <c r="F1514" i="3"/>
  <c r="F1515" i="3"/>
  <c r="F1516" i="3"/>
  <c r="F1517" i="3"/>
  <c r="F1518" i="3"/>
  <c r="F1519" i="3"/>
  <c r="F1520" i="3"/>
  <c r="F1521" i="3"/>
  <c r="F1522" i="3"/>
  <c r="F1523" i="3"/>
  <c r="F1524" i="3"/>
  <c r="F1525" i="3"/>
  <c r="F1526" i="3"/>
  <c r="F1527" i="3"/>
  <c r="F1528" i="3"/>
  <c r="F1529" i="3"/>
  <c r="F1530" i="3"/>
  <c r="F1531" i="3"/>
  <c r="F1532" i="3"/>
  <c r="F1533" i="3"/>
  <c r="F1534" i="3"/>
  <c r="F1535" i="3"/>
  <c r="F1536" i="3"/>
  <c r="F1537" i="3"/>
  <c r="F1538" i="3"/>
  <c r="F1539" i="3"/>
  <c r="F1540" i="3"/>
  <c r="F1541" i="3"/>
  <c r="F1542" i="3"/>
  <c r="F1543" i="3"/>
  <c r="F1544" i="3"/>
  <c r="F1545" i="3"/>
  <c r="F1546" i="3"/>
  <c r="F1547" i="3"/>
  <c r="F1548" i="3"/>
  <c r="F1549" i="3"/>
  <c r="F1550" i="3"/>
  <c r="F1551" i="3"/>
  <c r="F1552" i="3"/>
  <c r="F1553" i="3"/>
  <c r="F1554" i="3"/>
  <c r="F1555" i="3"/>
  <c r="F1556" i="3"/>
  <c r="F1557" i="3"/>
  <c r="F1558" i="3"/>
  <c r="F1559" i="3"/>
  <c r="F1560" i="3"/>
  <c r="F1561" i="3"/>
  <c r="F1562" i="3"/>
  <c r="F1563" i="3"/>
  <c r="F1564" i="3"/>
  <c r="F1565" i="3"/>
  <c r="F1566" i="3"/>
  <c r="F1567" i="3"/>
  <c r="F1568" i="3"/>
  <c r="F1569" i="3"/>
  <c r="F1570" i="3"/>
  <c r="F1571" i="3"/>
  <c r="F1572" i="3"/>
  <c r="F1573" i="3"/>
  <c r="F1574" i="3"/>
  <c r="F1575" i="3"/>
  <c r="F1576" i="3"/>
  <c r="F1577" i="3"/>
  <c r="F1578" i="3"/>
  <c r="F1579" i="3"/>
  <c r="F1580" i="3"/>
  <c r="F1581" i="3"/>
  <c r="F1582" i="3"/>
  <c r="F1583" i="3"/>
  <c r="F1584" i="3"/>
  <c r="F1585" i="3"/>
  <c r="F1586" i="3"/>
  <c r="F1587" i="3"/>
  <c r="F1588" i="3"/>
  <c r="F1589" i="3"/>
  <c r="F1590" i="3"/>
  <c r="F1591" i="3"/>
  <c r="F1592" i="3"/>
  <c r="F1593" i="3"/>
  <c r="F1594" i="3"/>
  <c r="F1595" i="3"/>
  <c r="F1596" i="3"/>
  <c r="F1597" i="3"/>
  <c r="F1598" i="3"/>
  <c r="F1599" i="3"/>
  <c r="F1600" i="3"/>
  <c r="F1601" i="3"/>
  <c r="F1602" i="3"/>
  <c r="F1603" i="3"/>
  <c r="F1604" i="3"/>
  <c r="F1605" i="3"/>
  <c r="F1606" i="3"/>
  <c r="F1607" i="3"/>
  <c r="F1608" i="3"/>
  <c r="F1609" i="3"/>
  <c r="F1610" i="3"/>
  <c r="F1611" i="3"/>
  <c r="F1612" i="3"/>
  <c r="F1613" i="3"/>
  <c r="F1614" i="3"/>
  <c r="F1615" i="3"/>
  <c r="F1616" i="3"/>
  <c r="F1617" i="3"/>
  <c r="F1618" i="3"/>
  <c r="F1619" i="3"/>
  <c r="F1620" i="3"/>
  <c r="F1621" i="3"/>
  <c r="F1622" i="3"/>
  <c r="F1623" i="3"/>
  <c r="F1624" i="3"/>
  <c r="F1625" i="3"/>
  <c r="F1626" i="3"/>
  <c r="F1627" i="3"/>
  <c r="F1628" i="3"/>
  <c r="F1629" i="3"/>
  <c r="F1630" i="3"/>
  <c r="F1631" i="3"/>
  <c r="F1632" i="3"/>
  <c r="F1633" i="3"/>
  <c r="F1634" i="3"/>
  <c r="F1635" i="3"/>
  <c r="F1636" i="3"/>
  <c r="F1637" i="3"/>
  <c r="F1638" i="3"/>
  <c r="F1639" i="3"/>
  <c r="F1640" i="3"/>
  <c r="F1641" i="3"/>
  <c r="F1642" i="3"/>
  <c r="F1643" i="3"/>
  <c r="F1644" i="3"/>
  <c r="F1645" i="3"/>
  <c r="F1646" i="3"/>
  <c r="F1647" i="3"/>
  <c r="F1648" i="3"/>
  <c r="F1649" i="3"/>
  <c r="F1650" i="3"/>
  <c r="F1651" i="3"/>
  <c r="F1652" i="3"/>
  <c r="F1653" i="3"/>
  <c r="F1654" i="3"/>
  <c r="F1655" i="3"/>
  <c r="F1656" i="3"/>
  <c r="F1657" i="3"/>
  <c r="F1658" i="3"/>
  <c r="F1659" i="3"/>
  <c r="F1660" i="3"/>
  <c r="F1661" i="3"/>
  <c r="F1662" i="3"/>
  <c r="F1663" i="3"/>
  <c r="F1664" i="3"/>
  <c r="F1665" i="3"/>
  <c r="F1666" i="3"/>
  <c r="F1667" i="3"/>
  <c r="F1668" i="3"/>
  <c r="F1669" i="3"/>
  <c r="F1670" i="3"/>
  <c r="F1671" i="3"/>
  <c r="F1672" i="3"/>
  <c r="F1673" i="3"/>
  <c r="F1674" i="3"/>
  <c r="F1675" i="3"/>
  <c r="F1676" i="3"/>
  <c r="F1677" i="3"/>
  <c r="F1678" i="3"/>
  <c r="F1679" i="3"/>
  <c r="F1680" i="3"/>
  <c r="F1681" i="3"/>
  <c r="F1682" i="3"/>
  <c r="F1683" i="3"/>
  <c r="F1684" i="3"/>
  <c r="F1685" i="3"/>
  <c r="F1686" i="3"/>
  <c r="F1687" i="3"/>
  <c r="F1688" i="3"/>
  <c r="F1689" i="3"/>
  <c r="F1690" i="3"/>
  <c r="F1691" i="3"/>
  <c r="F1692" i="3"/>
  <c r="F1693" i="3"/>
  <c r="F1694" i="3"/>
  <c r="F1695" i="3"/>
  <c r="F1696" i="3"/>
  <c r="F1697" i="3"/>
  <c r="F1698" i="3"/>
  <c r="F1699" i="3"/>
  <c r="F1700" i="3"/>
  <c r="F1701" i="3"/>
  <c r="F1702" i="3"/>
  <c r="F1703" i="3"/>
  <c r="F1704" i="3"/>
  <c r="F1705" i="3"/>
  <c r="F1706" i="3"/>
  <c r="F1707" i="3"/>
  <c r="F1708" i="3"/>
  <c r="F1709" i="3"/>
  <c r="F1710" i="3"/>
  <c r="F1711" i="3"/>
  <c r="F1712" i="3"/>
  <c r="F1713" i="3"/>
  <c r="F1714" i="3"/>
  <c r="F1715" i="3"/>
  <c r="F1716" i="3"/>
  <c r="F1717" i="3"/>
  <c r="F1718" i="3"/>
  <c r="F1719" i="3"/>
  <c r="F1720" i="3"/>
  <c r="F1721" i="3"/>
  <c r="F1722" i="3"/>
  <c r="F1723" i="3"/>
  <c r="F1724" i="3"/>
  <c r="F1725" i="3"/>
  <c r="F1726" i="3"/>
  <c r="F1727" i="3"/>
  <c r="F1728" i="3"/>
  <c r="F1729" i="3"/>
  <c r="F1730" i="3"/>
  <c r="F1731" i="3"/>
  <c r="F1732" i="3"/>
  <c r="F1733" i="3"/>
  <c r="F1734" i="3"/>
  <c r="F1735" i="3"/>
  <c r="F1736" i="3"/>
  <c r="F1737" i="3"/>
  <c r="F1738" i="3"/>
  <c r="F1739" i="3"/>
  <c r="F1740" i="3"/>
  <c r="F1741" i="3"/>
  <c r="F1742" i="3"/>
  <c r="F1743" i="3"/>
  <c r="F1744" i="3"/>
  <c r="F1745" i="3"/>
  <c r="F1746" i="3"/>
  <c r="F1747" i="3"/>
  <c r="F1748" i="3"/>
  <c r="F1749" i="3"/>
  <c r="F1750" i="3"/>
  <c r="F1751" i="3"/>
  <c r="F1752" i="3"/>
  <c r="F1753" i="3"/>
  <c r="F1754" i="3"/>
  <c r="F1755" i="3"/>
  <c r="F1756" i="3"/>
  <c r="F1757" i="3"/>
  <c r="F1758" i="3"/>
  <c r="F1759" i="3"/>
  <c r="F1760" i="3"/>
  <c r="F1761" i="3"/>
  <c r="F1762" i="3"/>
  <c r="F1763" i="3"/>
  <c r="F1764" i="3"/>
  <c r="F1765" i="3"/>
  <c r="F1766" i="3"/>
  <c r="F1767" i="3"/>
  <c r="F1768" i="3"/>
  <c r="F1769" i="3"/>
  <c r="F1770" i="3"/>
  <c r="F1771" i="3"/>
  <c r="F1772" i="3"/>
  <c r="F1773" i="3"/>
  <c r="F1774" i="3"/>
  <c r="F1775" i="3"/>
  <c r="F1776" i="3"/>
  <c r="F1777" i="3"/>
  <c r="F1778" i="3"/>
  <c r="F1779" i="3"/>
  <c r="F1780" i="3"/>
  <c r="F1781" i="3"/>
  <c r="F1782" i="3"/>
  <c r="F1783" i="3"/>
  <c r="F1784" i="3"/>
  <c r="F1785" i="3"/>
  <c r="F1786" i="3"/>
  <c r="F1787" i="3"/>
  <c r="F1788" i="3"/>
  <c r="F1789" i="3"/>
  <c r="F1790" i="3"/>
  <c r="F1791" i="3"/>
  <c r="F1792" i="3"/>
  <c r="F1793" i="3"/>
  <c r="F1794" i="3"/>
  <c r="F1795" i="3"/>
  <c r="F1796" i="3"/>
  <c r="F1797" i="3"/>
  <c r="F1798" i="3"/>
  <c r="F1799" i="3"/>
  <c r="F1800" i="3"/>
  <c r="F1801" i="3"/>
  <c r="F1802" i="3"/>
  <c r="F1803" i="3"/>
  <c r="F1804" i="3"/>
  <c r="F1805" i="3"/>
  <c r="F1806" i="3"/>
  <c r="F1807" i="3"/>
  <c r="F1808" i="3"/>
  <c r="F1809" i="3"/>
  <c r="F1810" i="3"/>
  <c r="F1811" i="3"/>
  <c r="F1812" i="3"/>
  <c r="F1813" i="3"/>
  <c r="F1814" i="3"/>
  <c r="F1815" i="3"/>
  <c r="F1816" i="3"/>
  <c r="F1817" i="3"/>
  <c r="F1818" i="3"/>
  <c r="F1819" i="3"/>
  <c r="F1820" i="3"/>
  <c r="F1821" i="3"/>
  <c r="F1822" i="3"/>
  <c r="F1823" i="3"/>
  <c r="F1824" i="3"/>
  <c r="F1825" i="3"/>
  <c r="F1826" i="3"/>
  <c r="F1827" i="3"/>
  <c r="F1828" i="3"/>
  <c r="F1829" i="3"/>
  <c r="F1830" i="3"/>
  <c r="F1831" i="3"/>
  <c r="F1832" i="3"/>
  <c r="F1833" i="3"/>
  <c r="F1834" i="3"/>
  <c r="F1835" i="3"/>
  <c r="F1836" i="3"/>
  <c r="F1837" i="3"/>
  <c r="F1838" i="3"/>
  <c r="F1839" i="3"/>
  <c r="F1840" i="3"/>
  <c r="F1841" i="3"/>
  <c r="F1842" i="3"/>
  <c r="F1843" i="3"/>
  <c r="F1844" i="3"/>
  <c r="F1845" i="3"/>
  <c r="F1846" i="3"/>
  <c r="F1847" i="3"/>
  <c r="F1848" i="3"/>
  <c r="F1849" i="3"/>
  <c r="F1850" i="3"/>
  <c r="F1851" i="3"/>
  <c r="F1852" i="3"/>
  <c r="F1853" i="3"/>
  <c r="F1854" i="3"/>
  <c r="F1855" i="3"/>
  <c r="F1856" i="3"/>
  <c r="F1857" i="3"/>
  <c r="F1858" i="3"/>
  <c r="F1859" i="3"/>
  <c r="F1860" i="3"/>
  <c r="F1861" i="3"/>
  <c r="F1862" i="3"/>
  <c r="F1863" i="3"/>
  <c r="F1864" i="3"/>
  <c r="F1865" i="3"/>
  <c r="F1866" i="3"/>
  <c r="F1867" i="3"/>
  <c r="F1868" i="3"/>
  <c r="F1869" i="3"/>
  <c r="F1870" i="3"/>
  <c r="F1871" i="3"/>
  <c r="F1872" i="3"/>
  <c r="F1873" i="3"/>
  <c r="F1874" i="3"/>
  <c r="F1875" i="3"/>
  <c r="F1876" i="3"/>
  <c r="F1877" i="3"/>
  <c r="F1878" i="3"/>
  <c r="F1879" i="3"/>
  <c r="F1880" i="3"/>
  <c r="F1881" i="3"/>
  <c r="F1882" i="3"/>
  <c r="F1883" i="3"/>
  <c r="F1884" i="3"/>
  <c r="F1885" i="3"/>
  <c r="F1886" i="3"/>
  <c r="F1887" i="3"/>
  <c r="F1888" i="3"/>
  <c r="F1889" i="3"/>
  <c r="F1890" i="3"/>
  <c r="F1891" i="3"/>
  <c r="F1892" i="3"/>
  <c r="F1893" i="3"/>
  <c r="F1894" i="3"/>
  <c r="F1895" i="3"/>
  <c r="F1896" i="3"/>
  <c r="F1897" i="3"/>
  <c r="F1898" i="3"/>
  <c r="F1899" i="3"/>
  <c r="F1900" i="3"/>
  <c r="F1901" i="3"/>
  <c r="F1902" i="3"/>
  <c r="F1903" i="3"/>
  <c r="F1904" i="3"/>
  <c r="F1905" i="3"/>
  <c r="F1906" i="3"/>
  <c r="F1907" i="3"/>
  <c r="F1908" i="3"/>
  <c r="F1909" i="3"/>
  <c r="F1910" i="3"/>
  <c r="F1911" i="3"/>
  <c r="F1912" i="3"/>
  <c r="F1913" i="3"/>
  <c r="F1914" i="3"/>
  <c r="F1915" i="3"/>
  <c r="F1916" i="3"/>
  <c r="F1917" i="3"/>
  <c r="F1918" i="3"/>
  <c r="F1919" i="3"/>
  <c r="F1920" i="3"/>
  <c r="F1921" i="3"/>
  <c r="F1922" i="3"/>
  <c r="F1923" i="3"/>
  <c r="F1924" i="3"/>
  <c r="F1925" i="3"/>
  <c r="F1926" i="3"/>
  <c r="F1927" i="3"/>
  <c r="F1928" i="3"/>
  <c r="F1929" i="3"/>
  <c r="F1930" i="3"/>
  <c r="F1931" i="3"/>
  <c r="F1932" i="3"/>
  <c r="F1933" i="3"/>
  <c r="F1934" i="3"/>
  <c r="F1935" i="3"/>
  <c r="F1936" i="3"/>
  <c r="F1937" i="3"/>
  <c r="F1938" i="3"/>
  <c r="F1939" i="3"/>
  <c r="F1940" i="3"/>
  <c r="F1941" i="3"/>
  <c r="F1942" i="3"/>
  <c r="F1943" i="3"/>
  <c r="F1944" i="3"/>
  <c r="F1945" i="3"/>
  <c r="F1946" i="3"/>
  <c r="F1947" i="3"/>
  <c r="F1948" i="3"/>
  <c r="F1949" i="3"/>
  <c r="F1950" i="3"/>
  <c r="F1951" i="3"/>
  <c r="F1952" i="3"/>
  <c r="F1953" i="3"/>
  <c r="F1954" i="3"/>
  <c r="F1955" i="3"/>
  <c r="F1956" i="3"/>
  <c r="F1957" i="3"/>
  <c r="F1958" i="3"/>
  <c r="F1959" i="3"/>
  <c r="F1960" i="3"/>
  <c r="F1961" i="3"/>
  <c r="F1962" i="3"/>
  <c r="F1963" i="3"/>
  <c r="F1964" i="3"/>
  <c r="F1965" i="3"/>
  <c r="F1966" i="3"/>
  <c r="F1967" i="3"/>
  <c r="F1968" i="3"/>
  <c r="F1969" i="3"/>
  <c r="F1970" i="3"/>
  <c r="F1971" i="3"/>
  <c r="F1972" i="3"/>
  <c r="F1973" i="3"/>
  <c r="F1974" i="3"/>
  <c r="F1975" i="3"/>
  <c r="F1976" i="3"/>
  <c r="F1977" i="3"/>
  <c r="F1978" i="3"/>
  <c r="F1979" i="3"/>
  <c r="F1980" i="3"/>
  <c r="F1981" i="3"/>
  <c r="F1982" i="3"/>
  <c r="F1983" i="3"/>
  <c r="F1984" i="3"/>
  <c r="F1985" i="3"/>
  <c r="F1986" i="3"/>
  <c r="F1987" i="3"/>
  <c r="F1988" i="3"/>
  <c r="F1989" i="3"/>
  <c r="F1990" i="3"/>
  <c r="F1991" i="3"/>
  <c r="F1992" i="3"/>
  <c r="F1993" i="3"/>
  <c r="F1994" i="3"/>
  <c r="F1995" i="3"/>
  <c r="F1996" i="3"/>
  <c r="F1997" i="3"/>
  <c r="F1998" i="3"/>
  <c r="F1999" i="3"/>
  <c r="F2000" i="3"/>
  <c r="F2001" i="3"/>
  <c r="F2002" i="3"/>
  <c r="F2003" i="3"/>
  <c r="F2004" i="3"/>
  <c r="F2005" i="3"/>
  <c r="F2006" i="3"/>
  <c r="F2007" i="3"/>
  <c r="F2008" i="3"/>
  <c r="F2009" i="3"/>
  <c r="F2010" i="3"/>
  <c r="F2011" i="3"/>
  <c r="F2012" i="3"/>
  <c r="F2013" i="3"/>
  <c r="F2014" i="3"/>
  <c r="F2015" i="3"/>
  <c r="F2016" i="3"/>
  <c r="F2017" i="3"/>
  <c r="F2018" i="3"/>
  <c r="F2019" i="3"/>
  <c r="F2020" i="3"/>
  <c r="F2021" i="3"/>
  <c r="F2022" i="3"/>
  <c r="F2023" i="3"/>
  <c r="F2024" i="3"/>
  <c r="F2025" i="3"/>
  <c r="F2026" i="3"/>
  <c r="F2027" i="3"/>
  <c r="F2028" i="3"/>
  <c r="F2029" i="3"/>
  <c r="F2030" i="3"/>
  <c r="F2031" i="3"/>
  <c r="F2032" i="3"/>
  <c r="F2033" i="3"/>
  <c r="F2034" i="3"/>
  <c r="F2035" i="3"/>
  <c r="F2036" i="3"/>
  <c r="F2037" i="3"/>
  <c r="F2038" i="3"/>
  <c r="F2039" i="3"/>
  <c r="F2040" i="3"/>
  <c r="F2041" i="3"/>
  <c r="F2042" i="3"/>
  <c r="F2043" i="3"/>
  <c r="F2044" i="3"/>
  <c r="F2045" i="3"/>
  <c r="F2046" i="3"/>
  <c r="F2047" i="3"/>
  <c r="F2048" i="3"/>
  <c r="F2049" i="3"/>
  <c r="F2050" i="3"/>
  <c r="F2051" i="3"/>
  <c r="F2052" i="3"/>
  <c r="F2053" i="3"/>
  <c r="F2054" i="3"/>
  <c r="F2055" i="3"/>
  <c r="F2056" i="3"/>
  <c r="F2057" i="3"/>
  <c r="F2058" i="3"/>
  <c r="F2059" i="3"/>
  <c r="F2060" i="3"/>
  <c r="F2061" i="3"/>
  <c r="F2062" i="3"/>
  <c r="F2063" i="3"/>
  <c r="F2064" i="3"/>
  <c r="F2065" i="3"/>
  <c r="F2066" i="3"/>
  <c r="F2067" i="3"/>
  <c r="F2068" i="3"/>
  <c r="F2069" i="3"/>
  <c r="F2070" i="3"/>
  <c r="F2071" i="3"/>
  <c r="F2072" i="3"/>
  <c r="F2073" i="3"/>
  <c r="F2074" i="3"/>
  <c r="F2075" i="3"/>
  <c r="F2076" i="3"/>
  <c r="F2077" i="3"/>
  <c r="F2078" i="3"/>
  <c r="F2079" i="3"/>
  <c r="F2080" i="3"/>
  <c r="F2081" i="3"/>
  <c r="F2082" i="3"/>
  <c r="F2083" i="3"/>
  <c r="F2084" i="3"/>
  <c r="F2085" i="3"/>
  <c r="F2086" i="3"/>
  <c r="F2087" i="3"/>
  <c r="F2088" i="3"/>
  <c r="F2089" i="3"/>
  <c r="F2090" i="3"/>
  <c r="F2091" i="3"/>
  <c r="F2092" i="3"/>
  <c r="F2093" i="3"/>
  <c r="F2094" i="3"/>
  <c r="F2095" i="3"/>
  <c r="F2096" i="3"/>
  <c r="F2097" i="3"/>
  <c r="F2098" i="3"/>
  <c r="F2099" i="3"/>
  <c r="F2100" i="3"/>
  <c r="F2101" i="3"/>
  <c r="F2102" i="3"/>
  <c r="F2103" i="3"/>
  <c r="F2104" i="3"/>
  <c r="F2105" i="3"/>
  <c r="F2106" i="3"/>
  <c r="F2107" i="3"/>
  <c r="F2108" i="3"/>
  <c r="F2109" i="3"/>
  <c r="F2110" i="3"/>
  <c r="F2111" i="3"/>
  <c r="F2112" i="3"/>
  <c r="F2113" i="3"/>
  <c r="F2114" i="3"/>
  <c r="F2115" i="3"/>
  <c r="F2116" i="3"/>
  <c r="F2117" i="3"/>
  <c r="F2118" i="3"/>
  <c r="F2119" i="3"/>
  <c r="F2120" i="3"/>
  <c r="F2121" i="3"/>
  <c r="F2122" i="3"/>
  <c r="F2123" i="3"/>
  <c r="F2124" i="3"/>
  <c r="F2125" i="3"/>
  <c r="F2126" i="3"/>
  <c r="F2127" i="3"/>
  <c r="F2128" i="3"/>
  <c r="F2129" i="3"/>
  <c r="F2130" i="3"/>
  <c r="F2131" i="3"/>
  <c r="F2132" i="3"/>
  <c r="F2133" i="3"/>
  <c r="F2134" i="3"/>
  <c r="F2135" i="3"/>
  <c r="F2136" i="3"/>
  <c r="F2137" i="3"/>
  <c r="F2138" i="3"/>
  <c r="F2139" i="3"/>
  <c r="F2140" i="3"/>
  <c r="F2141" i="3"/>
  <c r="F2142" i="3"/>
  <c r="F2143" i="3"/>
  <c r="F2144" i="3"/>
  <c r="F2145" i="3"/>
  <c r="F2146" i="3"/>
  <c r="F2147" i="3"/>
  <c r="F2148" i="3"/>
  <c r="F2149" i="3"/>
  <c r="F2150" i="3"/>
  <c r="F2151" i="3"/>
  <c r="F2152" i="3"/>
  <c r="F2153" i="3"/>
  <c r="F2154" i="3"/>
  <c r="F2155" i="3"/>
  <c r="F2156" i="3"/>
  <c r="F2157" i="3"/>
  <c r="F2158" i="3"/>
  <c r="F2159" i="3"/>
  <c r="F2160" i="3"/>
  <c r="F2161" i="3"/>
  <c r="F2162" i="3"/>
  <c r="F2163" i="3"/>
  <c r="F2164" i="3"/>
  <c r="F2165" i="3"/>
  <c r="F2166" i="3"/>
  <c r="F2167" i="3"/>
  <c r="F2168" i="3"/>
  <c r="F2169" i="3"/>
  <c r="F2170" i="3"/>
  <c r="F2171" i="3"/>
  <c r="F2172" i="3"/>
  <c r="F2173" i="3"/>
  <c r="F2174" i="3"/>
  <c r="F2175" i="3"/>
  <c r="F2176" i="3"/>
  <c r="F2177" i="3"/>
  <c r="F2178" i="3"/>
  <c r="F2179" i="3"/>
  <c r="F2180" i="3"/>
  <c r="F2181" i="3"/>
  <c r="F2182" i="3"/>
  <c r="F2183" i="3"/>
  <c r="F2184" i="3"/>
  <c r="F2185" i="3"/>
  <c r="F2186" i="3"/>
  <c r="F2187" i="3"/>
  <c r="F2188" i="3"/>
  <c r="F2189" i="3"/>
  <c r="F2190" i="3"/>
  <c r="F2191" i="3"/>
  <c r="F2192" i="3"/>
  <c r="F2193" i="3"/>
  <c r="F2194" i="3"/>
  <c r="F2195" i="3"/>
  <c r="F2196" i="3"/>
  <c r="F2197" i="3"/>
  <c r="F2198" i="3"/>
  <c r="F2199" i="3"/>
  <c r="F2200" i="3"/>
  <c r="F2201" i="3"/>
  <c r="F2202" i="3"/>
  <c r="F2203" i="3"/>
  <c r="F2204" i="3"/>
  <c r="F2205" i="3"/>
  <c r="F2206" i="3"/>
  <c r="F2207" i="3"/>
  <c r="F2208" i="3"/>
  <c r="F2209" i="3"/>
  <c r="F2210" i="3"/>
  <c r="F2211" i="3"/>
  <c r="F2212" i="3"/>
  <c r="F2213" i="3"/>
  <c r="F2214" i="3"/>
  <c r="F2215" i="3"/>
  <c r="F2216" i="3"/>
  <c r="F2217" i="3"/>
  <c r="F2218" i="3"/>
  <c r="F2219" i="3"/>
  <c r="F2220" i="3"/>
  <c r="F2221" i="3"/>
  <c r="F2222" i="3"/>
  <c r="F2223" i="3"/>
  <c r="F2224" i="3"/>
  <c r="F2225" i="3"/>
  <c r="F2226" i="3"/>
  <c r="F2227" i="3"/>
  <c r="F2228" i="3"/>
  <c r="F2229" i="3"/>
  <c r="F2230" i="3"/>
  <c r="F2231" i="3"/>
  <c r="F2232" i="3"/>
  <c r="F2233" i="3"/>
  <c r="F2234" i="3"/>
  <c r="F2235" i="3"/>
  <c r="F2236" i="3"/>
  <c r="F2237" i="3"/>
  <c r="F2238" i="3"/>
  <c r="F2239" i="3"/>
  <c r="F2240" i="3"/>
  <c r="F2241" i="3"/>
  <c r="F2242" i="3"/>
  <c r="F2243" i="3"/>
  <c r="F2244" i="3"/>
  <c r="F2245" i="3"/>
  <c r="F2246" i="3"/>
  <c r="F2247" i="3"/>
  <c r="F2248" i="3"/>
  <c r="F2249" i="3"/>
  <c r="F2250" i="3"/>
  <c r="F2251" i="3"/>
  <c r="F2252" i="3"/>
  <c r="F2253" i="3"/>
  <c r="F2254" i="3"/>
  <c r="F2255" i="3"/>
  <c r="F2256" i="3"/>
  <c r="F2257" i="3"/>
  <c r="F2258" i="3"/>
  <c r="F2259" i="3"/>
  <c r="F2260" i="3"/>
  <c r="F2261" i="3"/>
  <c r="F2262" i="3"/>
  <c r="F2263" i="3"/>
  <c r="F2264" i="3"/>
  <c r="F2265" i="3"/>
  <c r="F2266" i="3"/>
  <c r="F2267" i="3"/>
  <c r="F2268" i="3"/>
  <c r="F2269" i="3"/>
  <c r="F2270" i="3"/>
  <c r="F2271" i="3"/>
  <c r="F2272" i="3"/>
  <c r="F2273" i="3"/>
  <c r="F2274" i="3"/>
  <c r="F2275" i="3"/>
  <c r="F2276" i="3"/>
  <c r="F2277" i="3"/>
  <c r="F2278" i="3"/>
  <c r="F2279" i="3"/>
  <c r="F2280" i="3"/>
  <c r="F2281" i="3"/>
  <c r="F2282" i="3"/>
  <c r="F2283" i="3"/>
  <c r="F2284" i="3"/>
  <c r="F2285" i="3"/>
  <c r="F2286" i="3"/>
  <c r="F2287" i="3"/>
  <c r="F2288" i="3"/>
  <c r="F2289" i="3"/>
  <c r="F2290" i="3"/>
  <c r="F2291" i="3"/>
  <c r="F2292" i="3"/>
  <c r="F2293" i="3"/>
  <c r="F2294" i="3"/>
  <c r="F2295" i="3"/>
  <c r="F2296" i="3"/>
  <c r="F2297" i="3"/>
  <c r="F2298" i="3"/>
  <c r="F2299" i="3"/>
  <c r="F2300" i="3"/>
  <c r="F2301" i="3"/>
  <c r="F2302" i="3"/>
  <c r="F2303" i="3"/>
  <c r="F2304" i="3"/>
  <c r="F2305" i="3"/>
  <c r="F2306" i="3"/>
  <c r="F2307" i="3"/>
  <c r="F2308" i="3"/>
  <c r="F2309" i="3"/>
  <c r="F2310" i="3"/>
  <c r="F2311" i="3"/>
  <c r="F2312" i="3"/>
  <c r="F2313" i="3"/>
  <c r="F2314" i="3"/>
  <c r="F2315" i="3"/>
  <c r="F2316" i="3"/>
  <c r="F2317" i="3"/>
  <c r="F2318" i="3"/>
  <c r="F2319" i="3"/>
  <c r="F2320" i="3"/>
  <c r="F2321" i="3"/>
  <c r="F2322" i="3"/>
  <c r="F2323" i="3"/>
  <c r="F2324" i="3"/>
  <c r="F2325" i="3"/>
  <c r="F2326" i="3"/>
  <c r="F2327" i="3"/>
  <c r="F2328" i="3"/>
  <c r="F2329" i="3"/>
  <c r="F2330" i="3"/>
  <c r="F2331" i="3"/>
  <c r="F2332" i="3"/>
  <c r="F2333" i="3"/>
  <c r="F2334" i="3"/>
  <c r="F2335" i="3"/>
  <c r="F2336" i="3"/>
  <c r="F2337" i="3"/>
  <c r="F2338" i="3"/>
  <c r="F2339" i="3"/>
  <c r="F2340" i="3"/>
  <c r="F2341" i="3"/>
  <c r="F2342" i="3"/>
  <c r="F2343" i="3"/>
  <c r="F2344" i="3"/>
  <c r="F2345" i="3"/>
  <c r="F2346" i="3"/>
  <c r="F2347" i="3"/>
  <c r="F2348" i="3"/>
  <c r="F2349" i="3"/>
  <c r="F2350" i="3"/>
  <c r="F2351" i="3"/>
  <c r="F2352" i="3"/>
  <c r="F2353" i="3"/>
  <c r="F2354" i="3"/>
  <c r="F2355" i="3"/>
  <c r="F2356" i="3"/>
  <c r="F2357" i="3"/>
  <c r="F2358" i="3"/>
  <c r="F2359" i="3"/>
  <c r="F2360" i="3"/>
  <c r="F2361" i="3"/>
  <c r="F2362" i="3"/>
  <c r="F2363" i="3"/>
  <c r="F2364" i="3"/>
  <c r="F2365" i="3"/>
  <c r="F2366" i="3"/>
  <c r="F2367" i="3"/>
  <c r="F2368" i="3"/>
  <c r="F2369" i="3"/>
  <c r="F2370" i="3"/>
  <c r="F2371" i="3"/>
  <c r="F2372" i="3"/>
  <c r="F2373" i="3"/>
  <c r="F2374" i="3"/>
  <c r="F2375" i="3"/>
  <c r="F2376" i="3"/>
  <c r="F2377" i="3"/>
  <c r="F2378" i="3"/>
  <c r="F2379" i="3"/>
  <c r="F2380" i="3"/>
  <c r="F2381" i="3"/>
  <c r="F2382" i="3"/>
  <c r="F2383" i="3"/>
  <c r="F2384" i="3"/>
  <c r="F2385" i="3"/>
  <c r="F2386" i="3"/>
  <c r="F2387" i="3"/>
  <c r="F2388" i="3"/>
  <c r="F2389" i="3"/>
  <c r="F2390" i="3"/>
  <c r="F2391" i="3"/>
  <c r="F2392" i="3"/>
  <c r="F2393" i="3"/>
  <c r="F2394" i="3"/>
  <c r="F2395" i="3"/>
  <c r="F2396" i="3"/>
  <c r="F2397" i="3"/>
  <c r="F2398" i="3"/>
  <c r="F2399" i="3"/>
  <c r="F2400" i="3"/>
  <c r="F2401" i="3"/>
  <c r="F2402" i="3"/>
  <c r="F2403" i="3"/>
  <c r="F2404" i="3"/>
  <c r="F2405" i="3"/>
  <c r="F2406" i="3"/>
  <c r="F2407" i="3"/>
  <c r="F2408" i="3"/>
  <c r="F2409" i="3"/>
  <c r="F2410" i="3"/>
  <c r="F2411" i="3"/>
  <c r="F2412" i="3"/>
  <c r="F2413" i="3"/>
  <c r="F2414" i="3"/>
  <c r="F2415" i="3"/>
  <c r="F2416" i="3"/>
  <c r="F2417" i="3"/>
  <c r="F2418" i="3"/>
  <c r="F2419" i="3"/>
  <c r="F2420" i="3"/>
  <c r="F2421" i="3"/>
  <c r="F2422" i="3"/>
  <c r="F2423" i="3"/>
  <c r="F2424" i="3"/>
  <c r="F2425" i="3"/>
  <c r="F2426" i="3"/>
  <c r="F2427" i="3"/>
  <c r="F2428" i="3"/>
  <c r="F2429" i="3"/>
  <c r="F2430" i="3"/>
  <c r="F2431" i="3"/>
  <c r="F2432" i="3"/>
  <c r="F2433" i="3"/>
  <c r="F2434" i="3"/>
  <c r="F2435" i="3"/>
  <c r="F2436" i="3"/>
  <c r="F2437" i="3"/>
  <c r="F2438" i="3"/>
  <c r="F2439" i="3"/>
  <c r="F2440" i="3"/>
  <c r="F2441" i="3"/>
  <c r="F2442" i="3"/>
  <c r="F2443" i="3"/>
  <c r="F2444" i="3"/>
  <c r="F2445" i="3"/>
  <c r="F2446" i="3"/>
  <c r="F2447" i="3"/>
  <c r="F2448" i="3"/>
  <c r="F2449" i="3"/>
  <c r="F2450" i="3"/>
  <c r="F2451" i="3"/>
  <c r="F2452" i="3"/>
  <c r="F2453" i="3"/>
  <c r="F2454" i="3"/>
  <c r="F2455" i="3"/>
  <c r="F2456" i="3"/>
  <c r="F2457" i="3"/>
  <c r="F2458" i="3"/>
  <c r="F2459" i="3"/>
  <c r="F2460" i="3"/>
  <c r="F2461" i="3"/>
  <c r="F2462" i="3"/>
  <c r="F2463" i="3"/>
  <c r="F2464" i="3"/>
  <c r="F2465" i="3"/>
  <c r="F2466" i="3"/>
  <c r="F2467" i="3"/>
  <c r="F2468" i="3"/>
  <c r="F2469" i="3"/>
  <c r="F2470" i="3"/>
  <c r="F2471" i="3"/>
  <c r="F2472" i="3"/>
  <c r="F2473" i="3"/>
  <c r="F2474" i="3"/>
  <c r="F2475" i="3"/>
  <c r="F2476" i="3"/>
  <c r="F2477" i="3"/>
  <c r="F2478" i="3"/>
  <c r="F2479" i="3"/>
  <c r="F2480" i="3"/>
  <c r="F2481" i="3"/>
  <c r="F2482" i="3"/>
  <c r="F2483" i="3"/>
  <c r="F2484" i="3"/>
  <c r="F2485" i="3"/>
  <c r="F2486" i="3"/>
  <c r="F2487" i="3"/>
  <c r="F2488" i="3"/>
  <c r="F2489" i="3"/>
  <c r="F2490" i="3"/>
  <c r="F2491" i="3"/>
  <c r="F2492" i="3"/>
  <c r="F2493" i="3"/>
  <c r="F2494" i="3"/>
  <c r="F2495" i="3"/>
  <c r="F2496" i="3"/>
  <c r="F2497" i="3"/>
  <c r="F2498" i="3"/>
  <c r="F2499" i="3"/>
  <c r="F2500" i="3"/>
  <c r="F2501" i="3"/>
  <c r="F2502" i="3"/>
  <c r="F2503" i="3"/>
  <c r="F2504" i="3"/>
  <c r="F2505" i="3"/>
  <c r="F2506" i="3"/>
  <c r="F2507" i="3"/>
  <c r="F2508" i="3"/>
  <c r="F2509" i="3"/>
  <c r="F2510" i="3"/>
  <c r="F2511" i="3"/>
  <c r="F2512" i="3"/>
  <c r="F2513" i="3"/>
  <c r="F2514" i="3"/>
  <c r="F2515" i="3"/>
  <c r="F2516" i="3"/>
  <c r="F2517" i="3"/>
  <c r="F2518" i="3"/>
  <c r="F2519" i="3"/>
  <c r="F2520" i="3"/>
  <c r="F2521" i="3"/>
  <c r="F2522" i="3"/>
  <c r="F2523" i="3"/>
  <c r="F2524" i="3"/>
  <c r="F2525" i="3"/>
  <c r="F2526" i="3"/>
  <c r="F2527" i="3"/>
  <c r="F2528" i="3"/>
  <c r="F2529" i="3"/>
  <c r="F2530" i="3"/>
  <c r="F2531" i="3"/>
  <c r="F2532" i="3"/>
  <c r="F2533" i="3"/>
  <c r="F2534" i="3"/>
  <c r="F2535" i="3"/>
  <c r="F2536" i="3"/>
  <c r="F2537" i="3"/>
  <c r="F2538" i="3"/>
  <c r="F2539" i="3"/>
  <c r="F2540" i="3"/>
  <c r="F2541" i="3"/>
  <c r="F2542" i="3"/>
  <c r="F2543" i="3"/>
  <c r="F2544" i="3"/>
  <c r="F2545" i="3"/>
  <c r="F2546" i="3"/>
  <c r="F2547" i="3"/>
  <c r="F2548" i="3"/>
  <c r="F2549" i="3"/>
  <c r="F2550" i="3"/>
  <c r="F2551" i="3"/>
  <c r="F2552" i="3"/>
  <c r="F2553" i="3"/>
  <c r="F2554" i="3"/>
  <c r="F2555" i="3"/>
  <c r="F2556" i="3"/>
  <c r="F2557" i="3"/>
  <c r="F2558" i="3"/>
  <c r="F2559" i="3"/>
  <c r="F2560" i="3"/>
  <c r="F2561" i="3"/>
  <c r="F2562" i="3"/>
  <c r="F2563" i="3"/>
  <c r="F2564" i="3"/>
  <c r="F2565" i="3"/>
  <c r="F2566" i="3"/>
  <c r="F2567" i="3"/>
  <c r="F2568" i="3"/>
  <c r="F2569" i="3"/>
  <c r="F2570" i="3"/>
  <c r="F2571" i="3"/>
  <c r="F2572" i="3"/>
  <c r="F2573" i="3"/>
  <c r="F2574" i="3"/>
  <c r="F2575" i="3"/>
  <c r="F494" i="3"/>
  <c r="Q248" i="3"/>
  <c r="Q249" i="3"/>
  <c r="Q250" i="3"/>
  <c r="Q251" i="3"/>
  <c r="Q252" i="3"/>
  <c r="Q253" i="3"/>
  <c r="Q254" i="3"/>
  <c r="Q255" i="3"/>
  <c r="Q256" i="3"/>
  <c r="Q257" i="3"/>
  <c r="Q258" i="3"/>
  <c r="Q259" i="3"/>
  <c r="Q260" i="3"/>
  <c r="Q261" i="3"/>
  <c r="Q262" i="3"/>
  <c r="Q263" i="3"/>
  <c r="Q264" i="3"/>
  <c r="Q265" i="3"/>
  <c r="Q266" i="3"/>
  <c r="Q267" i="3"/>
  <c r="Q268" i="3"/>
  <c r="Q269" i="3"/>
  <c r="Q270" i="3"/>
  <c r="Q271" i="3"/>
  <c r="Q272" i="3"/>
  <c r="Q273" i="3"/>
  <c r="Q274" i="3"/>
  <c r="Q275" i="3"/>
  <c r="Q276" i="3"/>
  <c r="Q277" i="3"/>
  <c r="Q278" i="3"/>
  <c r="Q279" i="3"/>
  <c r="Q280" i="3"/>
  <c r="Q281" i="3"/>
  <c r="Q282" i="3"/>
  <c r="Q283" i="3"/>
  <c r="Q284" i="3"/>
  <c r="Q285" i="3"/>
  <c r="Q286" i="3"/>
  <c r="Q287" i="3"/>
  <c r="Q288" i="3"/>
  <c r="Q289" i="3"/>
  <c r="Q290" i="3"/>
  <c r="Q291" i="3"/>
  <c r="Q292" i="3"/>
  <c r="Q293" i="3"/>
  <c r="Q294" i="3"/>
  <c r="Q295" i="3"/>
  <c r="Q296" i="3"/>
  <c r="Q297" i="3"/>
  <c r="Q298" i="3"/>
  <c r="Q299" i="3"/>
  <c r="Q300" i="3"/>
  <c r="Q301" i="3"/>
  <c r="Q302" i="3"/>
  <c r="Q303" i="3"/>
  <c r="Q304" i="3"/>
  <c r="Q305" i="3"/>
  <c r="Q306" i="3"/>
  <c r="Q307" i="3"/>
  <c r="Q308" i="3"/>
  <c r="Q309" i="3"/>
  <c r="Q310" i="3"/>
  <c r="Q311" i="3"/>
  <c r="Q312" i="3"/>
  <c r="Q313" i="3"/>
  <c r="Q314" i="3"/>
  <c r="Q315" i="3"/>
  <c r="Q316" i="3"/>
  <c r="Q317" i="3"/>
  <c r="Q318" i="3"/>
  <c r="Q319" i="3"/>
  <c r="Q320" i="3"/>
  <c r="Q321" i="3"/>
  <c r="Q322" i="3"/>
  <c r="Q323" i="3"/>
  <c r="Q324" i="3"/>
  <c r="Q325" i="3"/>
  <c r="Q326" i="3"/>
  <c r="Q327" i="3"/>
  <c r="Q328" i="3"/>
  <c r="Q329" i="3"/>
  <c r="Q330" i="3"/>
  <c r="Q331" i="3"/>
  <c r="Q332" i="3"/>
  <c r="Q333" i="3"/>
  <c r="Q334" i="3"/>
  <c r="Q335" i="3"/>
  <c r="Q336" i="3"/>
  <c r="Q337" i="3"/>
  <c r="Q338" i="3"/>
  <c r="Q339" i="3"/>
  <c r="Q340" i="3"/>
  <c r="Q341" i="3"/>
  <c r="Q342" i="3"/>
  <c r="Q343" i="3"/>
  <c r="Q344" i="3"/>
  <c r="Q345" i="3"/>
  <c r="Q346" i="3"/>
  <c r="Q347" i="3"/>
  <c r="Q348" i="3"/>
  <c r="Q349" i="3"/>
  <c r="Q350" i="3"/>
  <c r="Q351" i="3"/>
  <c r="Q352" i="3"/>
  <c r="Q353" i="3"/>
  <c r="Q354" i="3"/>
  <c r="Q355" i="3"/>
  <c r="Q356" i="3"/>
  <c r="Q357" i="3"/>
  <c r="Q358" i="3"/>
  <c r="Q359" i="3"/>
  <c r="Q360" i="3"/>
  <c r="Q361" i="3"/>
  <c r="Q362" i="3"/>
  <c r="Q363" i="3"/>
  <c r="Q364" i="3"/>
  <c r="Q365" i="3"/>
  <c r="Q366" i="3"/>
  <c r="Q367" i="3"/>
  <c r="Q368" i="3"/>
  <c r="Q369" i="3"/>
  <c r="Q370" i="3"/>
  <c r="Q371" i="3"/>
  <c r="Q372" i="3"/>
  <c r="Q373" i="3"/>
  <c r="Q374" i="3"/>
  <c r="Q375" i="3"/>
  <c r="Q376" i="3"/>
  <c r="Q377" i="3"/>
  <c r="Q378" i="3"/>
  <c r="Q379" i="3"/>
  <c r="Q380" i="3"/>
  <c r="Q381" i="3"/>
  <c r="Q382" i="3"/>
  <c r="Q383" i="3"/>
  <c r="Q384" i="3"/>
  <c r="Q385" i="3"/>
  <c r="Q386" i="3"/>
  <c r="Q387" i="3"/>
  <c r="Q388" i="3"/>
  <c r="Q389" i="3"/>
  <c r="Q390" i="3"/>
  <c r="Q391" i="3"/>
  <c r="Q392" i="3"/>
  <c r="Q393" i="3"/>
  <c r="Q394" i="3"/>
  <c r="Q395" i="3"/>
  <c r="Q396" i="3"/>
  <c r="Q397" i="3"/>
  <c r="Q398" i="3"/>
  <c r="Q399" i="3"/>
  <c r="Q400" i="3"/>
  <c r="Q401" i="3"/>
  <c r="Q402" i="3"/>
  <c r="Q403" i="3"/>
  <c r="Q404" i="3"/>
  <c r="Q405" i="3"/>
  <c r="Q406" i="3"/>
  <c r="Q407" i="3"/>
  <c r="Q408" i="3"/>
  <c r="Q409" i="3"/>
  <c r="Q410" i="3"/>
  <c r="Q411" i="3"/>
  <c r="Q412" i="3"/>
  <c r="Q413" i="3"/>
  <c r="Q414" i="3"/>
  <c r="Q415" i="3"/>
  <c r="Q416" i="3"/>
  <c r="Q417" i="3"/>
  <c r="Q418" i="3"/>
  <c r="Q419" i="3"/>
  <c r="Q420" i="3"/>
  <c r="Q421" i="3"/>
  <c r="Q422" i="3"/>
  <c r="Q423" i="3"/>
  <c r="Q424" i="3"/>
  <c r="Q425" i="3"/>
  <c r="Q426" i="3"/>
  <c r="Q427" i="3"/>
  <c r="Q428" i="3"/>
  <c r="Q429" i="3"/>
  <c r="Q430" i="3"/>
  <c r="Q431" i="3"/>
  <c r="Q432" i="3"/>
  <c r="Q433" i="3"/>
  <c r="Q434" i="3"/>
  <c r="Q435" i="3"/>
  <c r="Q436" i="3"/>
  <c r="Q437" i="3"/>
  <c r="Q438" i="3"/>
  <c r="Q439" i="3"/>
  <c r="Q440" i="3"/>
  <c r="Q441" i="3"/>
  <c r="Q442" i="3"/>
  <c r="Q443" i="3"/>
  <c r="Q444" i="3"/>
  <c r="Q445" i="3"/>
  <c r="Q446" i="3"/>
  <c r="Q447" i="3"/>
  <c r="Q448" i="3"/>
  <c r="Q449" i="3"/>
  <c r="Q450" i="3"/>
  <c r="Q451" i="3"/>
  <c r="Q452" i="3"/>
  <c r="Q453" i="3"/>
  <c r="Q454" i="3"/>
  <c r="Q455" i="3"/>
  <c r="Q456" i="3"/>
  <c r="Q457" i="3"/>
  <c r="Q458" i="3"/>
  <c r="Q459" i="3"/>
  <c r="Q460" i="3"/>
  <c r="Q461" i="3"/>
  <c r="Q462" i="3"/>
  <c r="Q463" i="3"/>
  <c r="Q464" i="3"/>
  <c r="Q465" i="3"/>
  <c r="Q466" i="3"/>
  <c r="Q467" i="3"/>
  <c r="Q468" i="3"/>
  <c r="Q469" i="3"/>
  <c r="Q470" i="3"/>
  <c r="Q471" i="3"/>
  <c r="Q472" i="3"/>
  <c r="Q473" i="3"/>
  <c r="Q474" i="3"/>
  <c r="Q475" i="3"/>
  <c r="Q476" i="3"/>
  <c r="Q477" i="3"/>
  <c r="Q478" i="3"/>
  <c r="Q479" i="3"/>
  <c r="Q480" i="3"/>
  <c r="Q481" i="3"/>
  <c r="Q482" i="3"/>
  <c r="Q483" i="3"/>
  <c r="Q484" i="3"/>
  <c r="Q485" i="3"/>
  <c r="Q486" i="3"/>
  <c r="Q487" i="3"/>
  <c r="Q488" i="3"/>
  <c r="Q489" i="3"/>
  <c r="Q490" i="3"/>
  <c r="Q491" i="3"/>
  <c r="Q492" i="3"/>
  <c r="Q493" i="3"/>
  <c r="Q494" i="3"/>
  <c r="Q495" i="3"/>
  <c r="Q496" i="3"/>
  <c r="Q497" i="3"/>
  <c r="Q498" i="3"/>
  <c r="Q499" i="3"/>
  <c r="Q500" i="3"/>
  <c r="Q501" i="3"/>
  <c r="Q502" i="3"/>
  <c r="Q503" i="3"/>
  <c r="Q504" i="3"/>
  <c r="Q505" i="3"/>
  <c r="Q506" i="3"/>
  <c r="Q507" i="3"/>
  <c r="Q508" i="3"/>
  <c r="Q509" i="3"/>
  <c r="Q510" i="3"/>
  <c r="Q511" i="3"/>
  <c r="Q512" i="3"/>
  <c r="Q513" i="3"/>
  <c r="Q514" i="3"/>
  <c r="Q515" i="3"/>
  <c r="Q516" i="3"/>
  <c r="Q517" i="3"/>
  <c r="Q518" i="3"/>
  <c r="Q519" i="3"/>
  <c r="Q520" i="3"/>
  <c r="Q521" i="3"/>
  <c r="Q522" i="3"/>
  <c r="Q523" i="3"/>
  <c r="Q524" i="3"/>
  <c r="Q525" i="3"/>
  <c r="Q526" i="3"/>
  <c r="Q527" i="3"/>
  <c r="Q528" i="3"/>
  <c r="Q529" i="3"/>
  <c r="Q530" i="3"/>
  <c r="Q531" i="3"/>
  <c r="Q532" i="3"/>
  <c r="Q533" i="3"/>
  <c r="Q534" i="3"/>
  <c r="Q535" i="3"/>
  <c r="Q536" i="3"/>
  <c r="Q537" i="3"/>
  <c r="Q538" i="3"/>
  <c r="Q539" i="3"/>
  <c r="Q540" i="3"/>
  <c r="Q541" i="3"/>
  <c r="Q542" i="3"/>
  <c r="Q543" i="3"/>
  <c r="Q544" i="3"/>
  <c r="Q545" i="3"/>
  <c r="Q546" i="3"/>
  <c r="Q547" i="3"/>
  <c r="Q548" i="3"/>
  <c r="Q549" i="3"/>
  <c r="Q550" i="3"/>
  <c r="Q551" i="3"/>
  <c r="Q552" i="3"/>
  <c r="Q553" i="3"/>
  <c r="Q554" i="3"/>
  <c r="Q555" i="3"/>
  <c r="Q556" i="3"/>
  <c r="Q557" i="3"/>
  <c r="Q558" i="3"/>
  <c r="Q559" i="3"/>
  <c r="Q560" i="3"/>
  <c r="Q561" i="3"/>
  <c r="Q562" i="3"/>
  <c r="Q563" i="3"/>
  <c r="Q564" i="3"/>
  <c r="Q565" i="3"/>
  <c r="Q566" i="3"/>
  <c r="Q567" i="3"/>
  <c r="Q568" i="3"/>
  <c r="Q569" i="3"/>
  <c r="Q570" i="3"/>
  <c r="Q571" i="3"/>
  <c r="Q572" i="3"/>
  <c r="Q573" i="3"/>
  <c r="Q574" i="3"/>
  <c r="Q575" i="3"/>
  <c r="Q576" i="3"/>
  <c r="Q577" i="3"/>
  <c r="Q578" i="3"/>
  <c r="Q579" i="3"/>
  <c r="Q580" i="3"/>
  <c r="Q581" i="3"/>
  <c r="Q582" i="3"/>
  <c r="Q583" i="3"/>
  <c r="Q584" i="3"/>
  <c r="Q585" i="3"/>
  <c r="Q586" i="3"/>
  <c r="Q587" i="3"/>
  <c r="Q588" i="3"/>
  <c r="Q589" i="3"/>
  <c r="Q590" i="3"/>
  <c r="Q591" i="3"/>
  <c r="Q592" i="3"/>
  <c r="Q593" i="3"/>
  <c r="Q594" i="3"/>
  <c r="Q595" i="3"/>
  <c r="Q596" i="3"/>
  <c r="Q597" i="3"/>
  <c r="Q598" i="3"/>
  <c r="Q599" i="3"/>
  <c r="Q600" i="3"/>
  <c r="Q601" i="3"/>
  <c r="Q602" i="3"/>
  <c r="Q603" i="3"/>
  <c r="Q604" i="3"/>
  <c r="Q605" i="3"/>
  <c r="Q606" i="3"/>
  <c r="Q607" i="3"/>
  <c r="Q608" i="3"/>
  <c r="Q609" i="3"/>
  <c r="Q610" i="3"/>
  <c r="Q611" i="3"/>
  <c r="Q612" i="3"/>
  <c r="Q613" i="3"/>
  <c r="Q614" i="3"/>
  <c r="Q615" i="3"/>
  <c r="Q616" i="3"/>
  <c r="Q617" i="3"/>
  <c r="Q618" i="3"/>
  <c r="Q619" i="3"/>
  <c r="Q620" i="3"/>
  <c r="Q621" i="3"/>
  <c r="Q622" i="3"/>
  <c r="Q623" i="3"/>
  <c r="Q624" i="3"/>
  <c r="Q625" i="3"/>
  <c r="Q626" i="3"/>
  <c r="Q627" i="3"/>
  <c r="Q628" i="3"/>
  <c r="Q629" i="3"/>
  <c r="Q630" i="3"/>
  <c r="Q631" i="3"/>
  <c r="Q632" i="3"/>
  <c r="Q633" i="3"/>
  <c r="Q634" i="3"/>
  <c r="Q635" i="3"/>
  <c r="Q636" i="3"/>
  <c r="Q637" i="3"/>
  <c r="Q638" i="3"/>
  <c r="Q639" i="3"/>
  <c r="Q640" i="3"/>
  <c r="Q641" i="3"/>
  <c r="Q642" i="3"/>
  <c r="Q643" i="3"/>
  <c r="Q644" i="3"/>
  <c r="Q645" i="3"/>
  <c r="Q646" i="3"/>
  <c r="Q647" i="3"/>
  <c r="Q648" i="3"/>
  <c r="Q649" i="3"/>
  <c r="Q650" i="3"/>
  <c r="Q651" i="3"/>
  <c r="Q652" i="3"/>
  <c r="Q653" i="3"/>
  <c r="Q654" i="3"/>
  <c r="Q655" i="3"/>
  <c r="Q656" i="3"/>
  <c r="Q657" i="3"/>
  <c r="Q658" i="3"/>
  <c r="Q659" i="3"/>
  <c r="Q660" i="3"/>
  <c r="Q661" i="3"/>
  <c r="Q662" i="3"/>
  <c r="Q663" i="3"/>
  <c r="Q664" i="3"/>
  <c r="Q665" i="3"/>
  <c r="Q666" i="3"/>
  <c r="Q667" i="3"/>
  <c r="Q668" i="3"/>
  <c r="Q669" i="3"/>
  <c r="Q670" i="3"/>
  <c r="Q671" i="3"/>
  <c r="Q672" i="3"/>
  <c r="Q673" i="3"/>
  <c r="Q674" i="3"/>
  <c r="Q675" i="3"/>
  <c r="Q676" i="3"/>
  <c r="Q677" i="3"/>
  <c r="Q678" i="3"/>
  <c r="Q679" i="3"/>
  <c r="Q680" i="3"/>
  <c r="Q681" i="3"/>
  <c r="Q682" i="3"/>
  <c r="Q683" i="3"/>
  <c r="Q684" i="3"/>
  <c r="Q685" i="3"/>
  <c r="Q686" i="3"/>
  <c r="Q687" i="3"/>
  <c r="Q688" i="3"/>
  <c r="Q689" i="3"/>
  <c r="Q690" i="3"/>
  <c r="Q691" i="3"/>
  <c r="Q692" i="3"/>
  <c r="Q693" i="3"/>
  <c r="Q694" i="3"/>
  <c r="Q695" i="3"/>
  <c r="Q696" i="3"/>
  <c r="Q697" i="3"/>
  <c r="Q698" i="3"/>
  <c r="Q699" i="3"/>
  <c r="Q700" i="3"/>
  <c r="Q701" i="3"/>
  <c r="Q702" i="3"/>
  <c r="Q703" i="3"/>
  <c r="Q704" i="3"/>
  <c r="Q705" i="3"/>
  <c r="Q706" i="3"/>
  <c r="Q707" i="3"/>
  <c r="Q708" i="3"/>
  <c r="Q709" i="3"/>
  <c r="Q710" i="3"/>
  <c r="Q711" i="3"/>
  <c r="Q712" i="3"/>
  <c r="Q713" i="3"/>
  <c r="Q714" i="3"/>
  <c r="Q715" i="3"/>
  <c r="Q716" i="3"/>
  <c r="Q717" i="3"/>
  <c r="Q718" i="3"/>
  <c r="Q719" i="3"/>
  <c r="Q720" i="3"/>
  <c r="Q721" i="3"/>
  <c r="Q722" i="3"/>
  <c r="Q723" i="3"/>
  <c r="Q724" i="3"/>
  <c r="Q725" i="3"/>
  <c r="Q726" i="3"/>
  <c r="Q727" i="3"/>
  <c r="Q728" i="3"/>
  <c r="Q729" i="3"/>
  <c r="Q730" i="3"/>
  <c r="Q731" i="3"/>
  <c r="Q732" i="3"/>
  <c r="Q733" i="3"/>
  <c r="Q734" i="3"/>
  <c r="Q735" i="3"/>
  <c r="Q736" i="3"/>
  <c r="Q737" i="3"/>
  <c r="Q738" i="3"/>
  <c r="Q739" i="3"/>
  <c r="Q740" i="3"/>
  <c r="Q741" i="3"/>
  <c r="Q742" i="3"/>
  <c r="Q743" i="3"/>
  <c r="Q744" i="3"/>
  <c r="Q745" i="3"/>
  <c r="Q746" i="3"/>
  <c r="Q747" i="3"/>
  <c r="Q748" i="3"/>
  <c r="Q749" i="3"/>
  <c r="Q750" i="3"/>
  <c r="Q751" i="3"/>
  <c r="Q752" i="3"/>
  <c r="Q753" i="3"/>
  <c r="Q754" i="3"/>
  <c r="Q755" i="3"/>
  <c r="Q756" i="3"/>
  <c r="Q757" i="3"/>
  <c r="Q758" i="3"/>
  <c r="Q759" i="3"/>
  <c r="Q760" i="3"/>
  <c r="Q761" i="3"/>
  <c r="Q762" i="3"/>
  <c r="Q763" i="3"/>
  <c r="Q764" i="3"/>
  <c r="Q765" i="3"/>
  <c r="Q766" i="3"/>
  <c r="Q767" i="3"/>
  <c r="Q768" i="3"/>
  <c r="Q769" i="3"/>
  <c r="Q770" i="3"/>
  <c r="Q771" i="3"/>
  <c r="Q772" i="3"/>
  <c r="Q773" i="3"/>
  <c r="Q774" i="3"/>
  <c r="Q775" i="3"/>
  <c r="Q776" i="3"/>
  <c r="Q777" i="3"/>
  <c r="Q778" i="3"/>
  <c r="Q779" i="3"/>
  <c r="Q780" i="3"/>
  <c r="Q781" i="3"/>
  <c r="Q782" i="3"/>
  <c r="Q783" i="3"/>
  <c r="Q784" i="3"/>
  <c r="Q785" i="3"/>
  <c r="Q786" i="3"/>
  <c r="Q787" i="3"/>
  <c r="Q788" i="3"/>
  <c r="Q789" i="3"/>
  <c r="Q790" i="3"/>
  <c r="Q791" i="3"/>
  <c r="Q792" i="3"/>
  <c r="Q793" i="3"/>
  <c r="Q794" i="3"/>
  <c r="Q795" i="3"/>
  <c r="Q796" i="3"/>
  <c r="Q797" i="3"/>
  <c r="Q798" i="3"/>
  <c r="Q799" i="3"/>
  <c r="Q800" i="3"/>
  <c r="Q801" i="3"/>
  <c r="Q802" i="3"/>
  <c r="Q803" i="3"/>
  <c r="Q804" i="3"/>
  <c r="Q805" i="3"/>
  <c r="Q806" i="3"/>
  <c r="Q807" i="3"/>
  <c r="Q808" i="3"/>
  <c r="Q809" i="3"/>
  <c r="Q810" i="3"/>
  <c r="Q811" i="3"/>
  <c r="Q812" i="3"/>
  <c r="Q813" i="3"/>
  <c r="Q814" i="3"/>
  <c r="Q815" i="3"/>
  <c r="Q816" i="3"/>
  <c r="Q817" i="3"/>
  <c r="Q818" i="3"/>
  <c r="Q819" i="3"/>
  <c r="Q820" i="3"/>
  <c r="Q821" i="3"/>
  <c r="Q822" i="3"/>
  <c r="Q823" i="3"/>
  <c r="Q824" i="3"/>
  <c r="Q825" i="3"/>
  <c r="Q826" i="3"/>
  <c r="Q827" i="3"/>
  <c r="Q828" i="3"/>
  <c r="Q829" i="3"/>
  <c r="Q830" i="3"/>
  <c r="Q831" i="3"/>
  <c r="Q832" i="3"/>
  <c r="Q833" i="3"/>
  <c r="Q834" i="3"/>
  <c r="Q835" i="3"/>
  <c r="Q836" i="3"/>
  <c r="Q837" i="3"/>
  <c r="Q838" i="3"/>
  <c r="Q839" i="3"/>
  <c r="Q840" i="3"/>
  <c r="Q841" i="3"/>
  <c r="Q842" i="3"/>
  <c r="Q843" i="3"/>
  <c r="Q844" i="3"/>
  <c r="Q845" i="3"/>
  <c r="Q846" i="3"/>
  <c r="Q847" i="3"/>
  <c r="Q848" i="3"/>
  <c r="Q849" i="3"/>
  <c r="Q850" i="3"/>
  <c r="Q851" i="3"/>
  <c r="Q852" i="3"/>
  <c r="Q853" i="3"/>
  <c r="Q854" i="3"/>
  <c r="Q855" i="3"/>
  <c r="Q856" i="3"/>
  <c r="Q857" i="3"/>
  <c r="Q858" i="3"/>
  <c r="Q859" i="3"/>
  <c r="Q860" i="3"/>
  <c r="Q861" i="3"/>
  <c r="Q862" i="3"/>
  <c r="Q863" i="3"/>
  <c r="Q864" i="3"/>
  <c r="Q865" i="3"/>
  <c r="Q866" i="3"/>
  <c r="Q867" i="3"/>
  <c r="Q868" i="3"/>
  <c r="Q869" i="3"/>
  <c r="Q870" i="3"/>
  <c r="Q871" i="3"/>
  <c r="Q872" i="3"/>
  <c r="Q873" i="3"/>
  <c r="Q874" i="3"/>
  <c r="Q875" i="3"/>
  <c r="Q876" i="3"/>
  <c r="Q877" i="3"/>
  <c r="Q878" i="3"/>
  <c r="Q879" i="3"/>
  <c r="Q880" i="3"/>
  <c r="Q881" i="3"/>
  <c r="Q882" i="3"/>
  <c r="Q883" i="3"/>
  <c r="Q884" i="3"/>
  <c r="Q885" i="3"/>
  <c r="Q886" i="3"/>
  <c r="Q887" i="3"/>
  <c r="Q888" i="3"/>
  <c r="Q889" i="3"/>
  <c r="Q890" i="3"/>
  <c r="Q891" i="3"/>
  <c r="Q892" i="3"/>
  <c r="Q893" i="3"/>
  <c r="Q894" i="3"/>
  <c r="Q895" i="3"/>
  <c r="Q896" i="3"/>
  <c r="Q897" i="3"/>
  <c r="Q898" i="3"/>
  <c r="Q899" i="3"/>
  <c r="Q900" i="3"/>
  <c r="Q901" i="3"/>
  <c r="Q902" i="3"/>
  <c r="Q903" i="3"/>
  <c r="Q904" i="3"/>
  <c r="Q905" i="3"/>
  <c r="Q906" i="3"/>
  <c r="Q907" i="3"/>
  <c r="Q908" i="3"/>
  <c r="Q909" i="3"/>
  <c r="Q910" i="3"/>
  <c r="Q911" i="3"/>
  <c r="Q912" i="3"/>
  <c r="Q913" i="3"/>
  <c r="Q914" i="3"/>
  <c r="Q915" i="3"/>
  <c r="Q916" i="3"/>
  <c r="Q917" i="3"/>
  <c r="Q918" i="3"/>
  <c r="Q919" i="3"/>
  <c r="Q920" i="3"/>
  <c r="Q921" i="3"/>
  <c r="Q922" i="3"/>
  <c r="Q923" i="3"/>
  <c r="Q924" i="3"/>
  <c r="Q925" i="3"/>
  <c r="Q926" i="3"/>
  <c r="Q927" i="3"/>
  <c r="Q928" i="3"/>
  <c r="Q929" i="3"/>
  <c r="Q930" i="3"/>
  <c r="Q931" i="3"/>
  <c r="Q932" i="3"/>
  <c r="Q933" i="3"/>
  <c r="Q934" i="3"/>
  <c r="Q935" i="3"/>
  <c r="Q936" i="3"/>
  <c r="Q937" i="3"/>
  <c r="Q938" i="3"/>
  <c r="Q939" i="3"/>
  <c r="Q940" i="3"/>
  <c r="Q941" i="3"/>
  <c r="Q942" i="3"/>
  <c r="Q943" i="3"/>
  <c r="Q944" i="3"/>
  <c r="Q945" i="3"/>
  <c r="Q946" i="3"/>
  <c r="Q947" i="3"/>
  <c r="Q948" i="3"/>
  <c r="Q949" i="3"/>
  <c r="Q950" i="3"/>
  <c r="Q951" i="3"/>
  <c r="Q952" i="3"/>
  <c r="Q953" i="3"/>
  <c r="Q954" i="3"/>
  <c r="Q955" i="3"/>
  <c r="Q956" i="3"/>
  <c r="Q957" i="3"/>
  <c r="Q958" i="3"/>
  <c r="Q959" i="3"/>
  <c r="Q960" i="3"/>
  <c r="Q961" i="3"/>
  <c r="Q962" i="3"/>
  <c r="Q963" i="3"/>
  <c r="Q964" i="3"/>
  <c r="Q965" i="3"/>
  <c r="Q966" i="3"/>
  <c r="Q967" i="3"/>
  <c r="Q968" i="3"/>
  <c r="Q969" i="3"/>
  <c r="Q970" i="3"/>
  <c r="Q971" i="3"/>
  <c r="Q972" i="3"/>
  <c r="Q973" i="3"/>
  <c r="Q974" i="3"/>
  <c r="Q975" i="3"/>
  <c r="Q976" i="3"/>
  <c r="Q977" i="3"/>
  <c r="Q978" i="3"/>
  <c r="Q979" i="3"/>
  <c r="Q980" i="3"/>
  <c r="Q981" i="3"/>
  <c r="Q982" i="3"/>
  <c r="Q983" i="3"/>
  <c r="Q984" i="3"/>
  <c r="Q985" i="3"/>
  <c r="Q986" i="3"/>
  <c r="Q987" i="3"/>
  <c r="Q988" i="3"/>
  <c r="Q989" i="3"/>
  <c r="Q990" i="3"/>
  <c r="Q991" i="3"/>
  <c r="Q992" i="3"/>
  <c r="Q993" i="3"/>
  <c r="Q994" i="3"/>
  <c r="Q995" i="3"/>
  <c r="Q996" i="3"/>
  <c r="Q997" i="3"/>
  <c r="Q998" i="3"/>
  <c r="Q999" i="3"/>
  <c r="Q1000" i="3"/>
  <c r="Q1001" i="3"/>
  <c r="Q1002" i="3"/>
  <c r="Q1003" i="3"/>
  <c r="Q1004" i="3"/>
  <c r="Q1005" i="3"/>
  <c r="Q1006" i="3"/>
  <c r="Q1007" i="3"/>
  <c r="Q1008" i="3"/>
  <c r="Q1009" i="3"/>
  <c r="Q1010" i="3"/>
  <c r="Q1011" i="3"/>
  <c r="Q1012" i="3"/>
  <c r="Q1013" i="3"/>
  <c r="Q1014" i="3"/>
  <c r="Q1015" i="3"/>
  <c r="Q1016" i="3"/>
  <c r="Q1017" i="3"/>
  <c r="Q1018" i="3"/>
  <c r="Q1019" i="3"/>
  <c r="Q1020" i="3"/>
  <c r="Q1021" i="3"/>
  <c r="Q1022" i="3"/>
  <c r="Q1023" i="3"/>
  <c r="Q1024" i="3"/>
  <c r="Q1025" i="3"/>
  <c r="Q1026" i="3"/>
  <c r="Q1027" i="3"/>
  <c r="Q1028" i="3"/>
  <c r="Q1029" i="3"/>
  <c r="Q1030" i="3"/>
  <c r="Q1031" i="3"/>
  <c r="Q1032" i="3"/>
  <c r="Q1033" i="3"/>
  <c r="Q1034" i="3"/>
  <c r="Q1035" i="3"/>
  <c r="Q1036" i="3"/>
  <c r="Q1037" i="3"/>
  <c r="Q1038" i="3"/>
  <c r="Q1039" i="3"/>
  <c r="Q1040" i="3"/>
  <c r="Q1041" i="3"/>
  <c r="Q1042" i="3"/>
  <c r="Q1043" i="3"/>
  <c r="Q1044" i="3"/>
  <c r="Q1045" i="3"/>
  <c r="Q1046" i="3"/>
  <c r="Q1047" i="3"/>
  <c r="Q1048" i="3"/>
  <c r="Q1049" i="3"/>
  <c r="Q1050" i="3"/>
  <c r="Q1051" i="3"/>
  <c r="Q1052" i="3"/>
  <c r="Q1053" i="3"/>
  <c r="Q1054" i="3"/>
  <c r="Q1055" i="3"/>
  <c r="Q1056" i="3"/>
  <c r="Q1057" i="3"/>
  <c r="Q1058" i="3"/>
  <c r="Q1059" i="3"/>
  <c r="Q1060" i="3"/>
  <c r="Q1061" i="3"/>
  <c r="Q1062" i="3"/>
  <c r="Q1063" i="3"/>
  <c r="Q1064" i="3"/>
  <c r="Q1065" i="3"/>
  <c r="Q1066" i="3"/>
  <c r="Q1067" i="3"/>
  <c r="Q1068" i="3"/>
  <c r="Q1069" i="3"/>
  <c r="Q1070" i="3"/>
  <c r="Q1071" i="3"/>
  <c r="Q1072" i="3"/>
  <c r="Q1073" i="3"/>
  <c r="Q1074" i="3"/>
  <c r="Q1075" i="3"/>
  <c r="Q1076" i="3"/>
  <c r="Q1077" i="3"/>
  <c r="Q1078" i="3"/>
  <c r="Q1079" i="3"/>
  <c r="Q1080" i="3"/>
  <c r="Q1081" i="3"/>
  <c r="Q1082" i="3"/>
  <c r="Q1083" i="3"/>
  <c r="Q1084" i="3"/>
  <c r="Q1085" i="3"/>
  <c r="Q1086" i="3"/>
  <c r="Q1087" i="3"/>
  <c r="Q1088" i="3"/>
  <c r="Q1089" i="3"/>
  <c r="Q1090" i="3"/>
  <c r="Q1091" i="3"/>
  <c r="Q1092" i="3"/>
  <c r="Q1093" i="3"/>
  <c r="Q1094" i="3"/>
  <c r="Q1095" i="3"/>
  <c r="Q1096" i="3"/>
  <c r="Q1097" i="3"/>
  <c r="Q1098" i="3"/>
  <c r="Q1099" i="3"/>
  <c r="Q1100" i="3"/>
  <c r="Q1101" i="3"/>
  <c r="Q1102" i="3"/>
  <c r="Q1103" i="3"/>
  <c r="Q1104" i="3"/>
  <c r="Q1105" i="3"/>
  <c r="Q1106" i="3"/>
  <c r="Q1107" i="3"/>
  <c r="Q1108" i="3"/>
  <c r="Q1109" i="3"/>
  <c r="Q1110" i="3"/>
  <c r="Q1111" i="3"/>
  <c r="Q1112" i="3"/>
  <c r="Q1113" i="3"/>
  <c r="Q1114" i="3"/>
  <c r="Q1115" i="3"/>
  <c r="Q1116" i="3"/>
  <c r="Q1117" i="3"/>
  <c r="Q1118" i="3"/>
  <c r="Q1119" i="3"/>
  <c r="Q1120" i="3"/>
  <c r="Q1121" i="3"/>
  <c r="Q1122" i="3"/>
  <c r="Q1123" i="3"/>
  <c r="Q1124" i="3"/>
  <c r="Q1125" i="3"/>
  <c r="Q1126" i="3"/>
  <c r="Q1127" i="3"/>
  <c r="Q1128" i="3"/>
  <c r="Q1129" i="3"/>
  <c r="Q1130" i="3"/>
  <c r="Q1131" i="3"/>
  <c r="Q1132" i="3"/>
  <c r="Q1133" i="3"/>
  <c r="Q1134" i="3"/>
  <c r="Q1135" i="3"/>
  <c r="Q1136" i="3"/>
  <c r="Q1137" i="3"/>
  <c r="Q1138" i="3"/>
  <c r="Q1139" i="3"/>
  <c r="Q1140" i="3"/>
  <c r="Q1141" i="3"/>
  <c r="Q1142" i="3"/>
  <c r="Q1143" i="3"/>
  <c r="Q1144" i="3"/>
  <c r="Q1145" i="3"/>
  <c r="Q1146" i="3"/>
  <c r="Q1147" i="3"/>
  <c r="Q1148" i="3"/>
  <c r="Q1149" i="3"/>
  <c r="Q1150" i="3"/>
  <c r="Q1151" i="3"/>
  <c r="Q1152" i="3"/>
  <c r="Q1153" i="3"/>
  <c r="Q1154" i="3"/>
  <c r="Q1155" i="3"/>
  <c r="Q1156" i="3"/>
  <c r="Q1157" i="3"/>
  <c r="Q1158" i="3"/>
  <c r="Q1159" i="3"/>
  <c r="Q1160" i="3"/>
  <c r="Q1161" i="3"/>
  <c r="Q1162" i="3"/>
  <c r="Q1163" i="3"/>
  <c r="Q1164" i="3"/>
  <c r="Q1165" i="3"/>
  <c r="Q1166" i="3"/>
  <c r="Q1167" i="3"/>
  <c r="Q1168" i="3"/>
  <c r="Q1169" i="3"/>
  <c r="Q1170" i="3"/>
  <c r="Q1171" i="3"/>
  <c r="Q1172" i="3"/>
  <c r="Q1173" i="3"/>
  <c r="Q1174" i="3"/>
  <c r="Q1175" i="3"/>
  <c r="Q1176" i="3"/>
  <c r="Q1177" i="3"/>
  <c r="Q1178" i="3"/>
  <c r="Q1179" i="3"/>
  <c r="Q1180" i="3"/>
  <c r="Q1181" i="3"/>
  <c r="Q1182" i="3"/>
  <c r="Q1183" i="3"/>
  <c r="Q1184" i="3"/>
  <c r="Q1185" i="3"/>
  <c r="Q1186" i="3"/>
  <c r="Q1187" i="3"/>
  <c r="Q1188" i="3"/>
  <c r="Q1189" i="3"/>
  <c r="Q1190" i="3"/>
  <c r="Q1191" i="3"/>
  <c r="Q1192" i="3"/>
  <c r="Q1193" i="3"/>
  <c r="Q1194" i="3"/>
  <c r="Q1195" i="3"/>
  <c r="Q1196" i="3"/>
  <c r="Q1197" i="3"/>
  <c r="Q1198" i="3"/>
  <c r="Q1199" i="3"/>
  <c r="Q1200" i="3"/>
  <c r="Q1201" i="3"/>
  <c r="Q1202" i="3"/>
  <c r="Q1203" i="3"/>
  <c r="Q1204" i="3"/>
  <c r="Q1205" i="3"/>
  <c r="Q1206" i="3"/>
  <c r="Q1207" i="3"/>
  <c r="Q1208" i="3"/>
  <c r="Q1209" i="3"/>
  <c r="Q1210" i="3"/>
  <c r="Q1211" i="3"/>
  <c r="Q1212" i="3"/>
  <c r="Q1213" i="3"/>
  <c r="Q1214" i="3"/>
  <c r="Q1215" i="3"/>
  <c r="Q1216" i="3"/>
  <c r="Q1217" i="3"/>
  <c r="Q1218" i="3"/>
  <c r="Q1219" i="3"/>
  <c r="Q1220" i="3"/>
  <c r="Q1221" i="3"/>
  <c r="Q1222" i="3"/>
  <c r="Q1223" i="3"/>
  <c r="Q1224" i="3"/>
  <c r="Q1225" i="3"/>
  <c r="Q1226" i="3"/>
  <c r="Q1227" i="3"/>
  <c r="Q1228" i="3"/>
  <c r="Q1229" i="3"/>
  <c r="Q1230" i="3"/>
  <c r="Q1231" i="3"/>
  <c r="Q1232" i="3"/>
  <c r="Q1233" i="3"/>
  <c r="Q1234" i="3"/>
  <c r="Q1235" i="3"/>
  <c r="Q1236" i="3"/>
  <c r="Q1237" i="3"/>
  <c r="Q1238" i="3"/>
  <c r="Q1239" i="3"/>
  <c r="Q1240" i="3"/>
  <c r="Q1241" i="3"/>
  <c r="Q1242" i="3"/>
  <c r="Q1243" i="3"/>
  <c r="Q1244" i="3"/>
  <c r="Q1245" i="3"/>
  <c r="Q1246" i="3"/>
  <c r="Q1247" i="3"/>
  <c r="Q1248" i="3"/>
  <c r="Q1249" i="3"/>
  <c r="Q1250" i="3"/>
  <c r="Q1251" i="3"/>
  <c r="Q1252" i="3"/>
  <c r="Q1253" i="3"/>
  <c r="Q1254" i="3"/>
  <c r="Q1255" i="3"/>
  <c r="Q1256" i="3"/>
  <c r="Q1257" i="3"/>
  <c r="Q1258" i="3"/>
  <c r="Q1259" i="3"/>
  <c r="Q1260" i="3"/>
  <c r="Q1261" i="3"/>
  <c r="Q1262" i="3"/>
  <c r="Q1263" i="3"/>
  <c r="Q1264" i="3"/>
  <c r="Q1265" i="3"/>
  <c r="Q1266" i="3"/>
  <c r="Q1267" i="3"/>
  <c r="Q1268" i="3"/>
  <c r="Q1269" i="3"/>
  <c r="Q1270" i="3"/>
  <c r="Q1271" i="3"/>
  <c r="Q1272" i="3"/>
  <c r="Q1273" i="3"/>
  <c r="Q1274" i="3"/>
  <c r="Q1275" i="3"/>
  <c r="Q1276" i="3"/>
  <c r="Q1277" i="3"/>
  <c r="Q1278" i="3"/>
  <c r="Q1279" i="3"/>
  <c r="Q1280" i="3"/>
  <c r="Q1281" i="3"/>
  <c r="Q1282" i="3"/>
  <c r="Q1283" i="3"/>
  <c r="Q1284" i="3"/>
  <c r="Q1285" i="3"/>
  <c r="Q1286" i="3"/>
  <c r="Q1287" i="3"/>
  <c r="Q1288" i="3"/>
  <c r="Q1289" i="3"/>
  <c r="Q1290" i="3"/>
  <c r="Q1291" i="3"/>
  <c r="Q1292" i="3"/>
  <c r="Q1293" i="3"/>
  <c r="Q1294" i="3"/>
  <c r="Q1295" i="3"/>
  <c r="Q1296" i="3"/>
  <c r="Q1297" i="3"/>
  <c r="Q1298" i="3"/>
  <c r="Q1299" i="3"/>
  <c r="Q1300" i="3"/>
  <c r="Q1301" i="3"/>
  <c r="Q1302" i="3"/>
  <c r="Q1303" i="3"/>
  <c r="Q1304" i="3"/>
  <c r="Q1305" i="3"/>
  <c r="Q1306" i="3"/>
  <c r="Q1307" i="3"/>
  <c r="Q1308" i="3"/>
  <c r="Q1309" i="3"/>
  <c r="Q1310" i="3"/>
  <c r="Q1311" i="3"/>
  <c r="Q1312" i="3"/>
  <c r="Q1313" i="3"/>
  <c r="Q1314" i="3"/>
  <c r="Q1315" i="3"/>
  <c r="Q1316" i="3"/>
  <c r="Q1317" i="3"/>
  <c r="Q1318" i="3"/>
  <c r="Q1319" i="3"/>
  <c r="Q1320" i="3"/>
  <c r="Q1321" i="3"/>
  <c r="Q1322" i="3"/>
  <c r="Q1323" i="3"/>
  <c r="Q1324" i="3"/>
  <c r="Q1325" i="3"/>
  <c r="Q1326" i="3"/>
  <c r="Q1327" i="3"/>
  <c r="Q1328" i="3"/>
  <c r="Q1329" i="3"/>
  <c r="Q1330" i="3"/>
  <c r="Q1331" i="3"/>
  <c r="Q1332" i="3"/>
  <c r="Q1333" i="3"/>
  <c r="Q1334" i="3"/>
  <c r="Q1335" i="3"/>
  <c r="Q1336" i="3"/>
  <c r="Q1337" i="3"/>
  <c r="Q1338" i="3"/>
  <c r="Q1339" i="3"/>
  <c r="Q1340" i="3"/>
  <c r="Q1341" i="3"/>
  <c r="Q1342" i="3"/>
  <c r="Q1343" i="3"/>
  <c r="Q1344" i="3"/>
  <c r="Q1345" i="3"/>
  <c r="Q1346" i="3"/>
  <c r="Q1347" i="3"/>
  <c r="Q1348" i="3"/>
  <c r="Q1349" i="3"/>
  <c r="Q1350" i="3"/>
  <c r="Q1351" i="3"/>
  <c r="Q1352" i="3"/>
  <c r="Q1353" i="3"/>
  <c r="Q1354" i="3"/>
  <c r="Q1355" i="3"/>
  <c r="Q1356" i="3"/>
  <c r="Q1357" i="3"/>
  <c r="Q1358" i="3"/>
  <c r="Q1359" i="3"/>
  <c r="Q1360" i="3"/>
  <c r="Q1361" i="3"/>
  <c r="Q1362" i="3"/>
  <c r="Q1363" i="3"/>
  <c r="Q1364" i="3"/>
  <c r="Q1365" i="3"/>
  <c r="Q1366" i="3"/>
  <c r="Q1367" i="3"/>
  <c r="Q1368" i="3"/>
  <c r="Q1369" i="3"/>
  <c r="Q1370" i="3"/>
  <c r="Q1371" i="3"/>
  <c r="Q1372" i="3"/>
  <c r="Q1373" i="3"/>
  <c r="Q1374" i="3"/>
  <c r="Q1375" i="3"/>
  <c r="Q1376" i="3"/>
  <c r="Q1377" i="3"/>
  <c r="Q1378" i="3"/>
  <c r="Q1379" i="3"/>
  <c r="Q1380" i="3"/>
  <c r="Q1381" i="3"/>
  <c r="Q1382" i="3"/>
  <c r="Q1383" i="3"/>
  <c r="Q1384" i="3"/>
  <c r="Q1385" i="3"/>
  <c r="Q1386" i="3"/>
  <c r="Q1387" i="3"/>
  <c r="Q1388" i="3"/>
  <c r="Q1389" i="3"/>
  <c r="Q1390" i="3"/>
  <c r="Q1391" i="3"/>
  <c r="Q1392" i="3"/>
  <c r="Q1393" i="3"/>
  <c r="Q1394" i="3"/>
  <c r="Q1395" i="3"/>
  <c r="Q1396" i="3"/>
  <c r="Q1397" i="3"/>
  <c r="Q1398" i="3"/>
  <c r="Q1399" i="3"/>
  <c r="Q1400" i="3"/>
  <c r="Q1401" i="3"/>
  <c r="Q1402" i="3"/>
  <c r="Q1403" i="3"/>
  <c r="Q1404" i="3"/>
  <c r="Q1405" i="3"/>
  <c r="Q1406" i="3"/>
  <c r="Q1407" i="3"/>
  <c r="Q1408" i="3"/>
  <c r="Q1409" i="3"/>
  <c r="Q1410" i="3"/>
  <c r="Q1411" i="3"/>
  <c r="Q1412" i="3"/>
  <c r="Q1413" i="3"/>
  <c r="Q1414" i="3"/>
  <c r="Q1415" i="3"/>
  <c r="Q1416" i="3"/>
  <c r="Q1417" i="3"/>
  <c r="Q1418" i="3"/>
  <c r="Q1419" i="3"/>
  <c r="Q1420" i="3"/>
  <c r="Q1421" i="3"/>
  <c r="Q1422" i="3"/>
  <c r="Q1423" i="3"/>
  <c r="Q1424" i="3"/>
  <c r="Q1425" i="3"/>
  <c r="Q1426" i="3"/>
  <c r="Q1427" i="3"/>
  <c r="Q1428" i="3"/>
  <c r="Q1429" i="3"/>
  <c r="Q1430" i="3"/>
  <c r="Q1431" i="3"/>
  <c r="Q1432" i="3"/>
  <c r="Q1433" i="3"/>
  <c r="Q1434" i="3"/>
  <c r="Q1435" i="3"/>
  <c r="Q1436" i="3"/>
  <c r="Q1437" i="3"/>
  <c r="Q1438" i="3"/>
  <c r="Q1439" i="3"/>
  <c r="Q1440" i="3"/>
  <c r="Q1441" i="3"/>
  <c r="Q1442" i="3"/>
  <c r="Q1443" i="3"/>
  <c r="Q1444" i="3"/>
  <c r="Q1445" i="3"/>
  <c r="Q1446" i="3"/>
  <c r="Q1447" i="3"/>
  <c r="Q1448" i="3"/>
  <c r="Q1449" i="3"/>
  <c r="Q1450" i="3"/>
  <c r="Q1451" i="3"/>
  <c r="Q1452" i="3"/>
  <c r="Q1453" i="3"/>
  <c r="Q1454" i="3"/>
  <c r="Q1455" i="3"/>
  <c r="Q1456" i="3"/>
  <c r="Q1457" i="3"/>
  <c r="Q1458" i="3"/>
  <c r="Q1459" i="3"/>
  <c r="Q1460" i="3"/>
  <c r="Q1461" i="3"/>
  <c r="Q1462" i="3"/>
  <c r="Q1463" i="3"/>
  <c r="Q1464" i="3"/>
  <c r="Q1465" i="3"/>
  <c r="Q1466" i="3"/>
  <c r="Q1467" i="3"/>
  <c r="Q1468" i="3"/>
  <c r="Q1469" i="3"/>
  <c r="Q1470" i="3"/>
  <c r="Q1471" i="3"/>
  <c r="Q1472" i="3"/>
  <c r="Q1473" i="3"/>
  <c r="Q1474" i="3"/>
  <c r="Q1475" i="3"/>
  <c r="Q1476" i="3"/>
  <c r="Q1477" i="3"/>
  <c r="Q1478" i="3"/>
  <c r="Q1479" i="3"/>
  <c r="Q1480" i="3"/>
  <c r="Q1481" i="3"/>
  <c r="Q1482" i="3"/>
  <c r="Q1483" i="3"/>
  <c r="Q1484" i="3"/>
  <c r="Q1485" i="3"/>
  <c r="Q1486" i="3"/>
  <c r="Q1487" i="3"/>
  <c r="Q1488" i="3"/>
  <c r="Q1489" i="3"/>
  <c r="Q1490" i="3"/>
  <c r="Q1491" i="3"/>
  <c r="Q1492" i="3"/>
  <c r="Q1493" i="3"/>
  <c r="Q1494" i="3"/>
  <c r="Q1495" i="3"/>
  <c r="Q1496" i="3"/>
  <c r="Q1497" i="3"/>
  <c r="Q1498" i="3"/>
  <c r="Q1499" i="3"/>
  <c r="Q1500" i="3"/>
  <c r="Q1501" i="3"/>
  <c r="Q1502" i="3"/>
  <c r="Q1503" i="3"/>
  <c r="Q1504" i="3"/>
  <c r="Q1505" i="3"/>
  <c r="Q1506" i="3"/>
  <c r="Q1507" i="3"/>
  <c r="Q1508" i="3"/>
  <c r="Q1509" i="3"/>
  <c r="Q1510" i="3"/>
  <c r="Q1511" i="3"/>
  <c r="Q1512" i="3"/>
  <c r="Q1513" i="3"/>
  <c r="Q1514" i="3"/>
  <c r="Q1515" i="3"/>
  <c r="Q1516" i="3"/>
  <c r="Q1517" i="3"/>
  <c r="Q1518" i="3"/>
  <c r="Q1519" i="3"/>
  <c r="Q1520" i="3"/>
  <c r="Q1521" i="3"/>
  <c r="Q1522" i="3"/>
  <c r="Q1523" i="3"/>
  <c r="Q1524" i="3"/>
  <c r="Q1525" i="3"/>
  <c r="Q1526" i="3"/>
  <c r="Q1527" i="3"/>
  <c r="Q1528" i="3"/>
  <c r="Q1529" i="3"/>
  <c r="Q1530" i="3"/>
  <c r="Q1531" i="3"/>
  <c r="Q1532" i="3"/>
  <c r="Q1533" i="3"/>
  <c r="Q1534" i="3"/>
  <c r="Q1535" i="3"/>
  <c r="Q1536" i="3"/>
  <c r="Q1537" i="3"/>
  <c r="Q1538" i="3"/>
  <c r="Q1539" i="3"/>
  <c r="Q1540" i="3"/>
  <c r="Q1541" i="3"/>
  <c r="Q1542" i="3"/>
  <c r="Q1543" i="3"/>
  <c r="Q1544" i="3"/>
  <c r="Q1545" i="3"/>
  <c r="Q1546" i="3"/>
  <c r="Q1547" i="3"/>
  <c r="Q1548" i="3"/>
  <c r="Q1549" i="3"/>
  <c r="Q1550" i="3"/>
  <c r="Q1551" i="3"/>
  <c r="Q1552" i="3"/>
  <c r="Q1553" i="3"/>
  <c r="Q1554" i="3"/>
  <c r="Q1555" i="3"/>
  <c r="Q1556" i="3"/>
  <c r="Q1557" i="3"/>
  <c r="Q1558" i="3"/>
  <c r="Q1559" i="3"/>
  <c r="Q1560" i="3"/>
  <c r="Q1561" i="3"/>
  <c r="Q1562" i="3"/>
  <c r="Q1563" i="3"/>
  <c r="Q1564" i="3"/>
  <c r="Q1565" i="3"/>
  <c r="Q1566" i="3"/>
  <c r="Q1567" i="3"/>
  <c r="Q1568" i="3"/>
  <c r="Q1569" i="3"/>
  <c r="Q1570" i="3"/>
  <c r="Q1571" i="3"/>
  <c r="Q1572" i="3"/>
  <c r="Q1573" i="3"/>
  <c r="Q1574" i="3"/>
  <c r="Q1575" i="3"/>
  <c r="Q1576" i="3"/>
  <c r="Q1577" i="3"/>
  <c r="Q1578" i="3"/>
  <c r="Q1579" i="3"/>
  <c r="Q1580" i="3"/>
  <c r="Q1581" i="3"/>
  <c r="Q1582" i="3"/>
  <c r="Q1583" i="3"/>
  <c r="Q1584" i="3"/>
  <c r="Q1585" i="3"/>
  <c r="Q1586" i="3"/>
  <c r="Q1587" i="3"/>
  <c r="Q1588" i="3"/>
  <c r="Q1589" i="3"/>
  <c r="Q1590" i="3"/>
  <c r="Q1591" i="3"/>
  <c r="Q1592" i="3"/>
  <c r="Q1593" i="3"/>
  <c r="Q1594" i="3"/>
  <c r="Q1595" i="3"/>
  <c r="Q1596" i="3"/>
  <c r="Q1597" i="3"/>
  <c r="Q1598" i="3"/>
  <c r="Q1599" i="3"/>
  <c r="Q1600" i="3"/>
  <c r="Q1601" i="3"/>
  <c r="Q1602" i="3"/>
  <c r="Q1603" i="3"/>
  <c r="Q1604" i="3"/>
  <c r="Q1605" i="3"/>
  <c r="Q1606" i="3"/>
  <c r="Q1607" i="3"/>
  <c r="Q1608" i="3"/>
  <c r="Q1609" i="3"/>
  <c r="Q1610" i="3"/>
  <c r="Q1611" i="3"/>
  <c r="Q1612" i="3"/>
  <c r="Q1613" i="3"/>
  <c r="Q1614" i="3"/>
  <c r="Q1615" i="3"/>
  <c r="Q1616" i="3"/>
  <c r="Q1617" i="3"/>
  <c r="Q1618" i="3"/>
  <c r="Q1619" i="3"/>
  <c r="Q1620" i="3"/>
  <c r="Q1621" i="3"/>
  <c r="Q1622" i="3"/>
  <c r="Q1623" i="3"/>
  <c r="Q1624" i="3"/>
  <c r="Q1625" i="3"/>
  <c r="Q1626" i="3"/>
  <c r="Q1627" i="3"/>
  <c r="Q1628" i="3"/>
  <c r="Q1629" i="3"/>
  <c r="Q1630" i="3"/>
  <c r="Q1631" i="3"/>
  <c r="Q1632" i="3"/>
  <c r="Q1633" i="3"/>
  <c r="Q1634" i="3"/>
  <c r="Q1635" i="3"/>
  <c r="Q1636" i="3"/>
  <c r="Q1637" i="3"/>
  <c r="Q1638" i="3"/>
  <c r="Q1639" i="3"/>
  <c r="Q1640" i="3"/>
  <c r="Q1641" i="3"/>
  <c r="Q1642" i="3"/>
  <c r="Q1643" i="3"/>
  <c r="Q1644" i="3"/>
  <c r="Q1645" i="3"/>
  <c r="Q1646" i="3"/>
  <c r="Q1647" i="3"/>
  <c r="Q1648" i="3"/>
  <c r="Q1649" i="3"/>
  <c r="Q1650" i="3"/>
  <c r="Q1651" i="3"/>
  <c r="Q1652" i="3"/>
  <c r="Q1653" i="3"/>
  <c r="Q1654" i="3"/>
  <c r="Q1655" i="3"/>
  <c r="Q1656" i="3"/>
  <c r="Q1657" i="3"/>
  <c r="Q1658" i="3"/>
  <c r="Q1659" i="3"/>
  <c r="Q1660" i="3"/>
  <c r="Q1661" i="3"/>
  <c r="Q1662" i="3"/>
  <c r="Q1663" i="3"/>
  <c r="Q1664" i="3"/>
  <c r="Q1665" i="3"/>
  <c r="Q1666" i="3"/>
  <c r="Q1667" i="3"/>
  <c r="Q1668" i="3"/>
  <c r="Q1669" i="3"/>
  <c r="Q1670" i="3"/>
  <c r="Q1671" i="3"/>
  <c r="Q1672" i="3"/>
  <c r="Q1673" i="3"/>
  <c r="Q1674" i="3"/>
  <c r="Q1675" i="3"/>
  <c r="Q1676" i="3"/>
  <c r="Q1677" i="3"/>
  <c r="Q1678" i="3"/>
  <c r="Q1679" i="3"/>
  <c r="Q1680" i="3"/>
  <c r="Q1681" i="3"/>
  <c r="Q1682" i="3"/>
  <c r="Q1683" i="3"/>
  <c r="Q1684" i="3"/>
  <c r="Q1685" i="3"/>
  <c r="Q1686" i="3"/>
  <c r="Q1687" i="3"/>
  <c r="Q1688" i="3"/>
  <c r="Q1689" i="3"/>
  <c r="Q1690" i="3"/>
  <c r="Q1691" i="3"/>
  <c r="Q1692" i="3"/>
  <c r="Q1693" i="3"/>
  <c r="Q1694" i="3"/>
  <c r="Q1695" i="3"/>
  <c r="Q1696" i="3"/>
  <c r="Q1697" i="3"/>
  <c r="Q1698" i="3"/>
  <c r="Q1699" i="3"/>
  <c r="Q1700" i="3"/>
  <c r="Q1701" i="3"/>
  <c r="Q1702" i="3"/>
  <c r="Q1703" i="3"/>
  <c r="Q1704" i="3"/>
  <c r="Q1705" i="3"/>
  <c r="Q1706" i="3"/>
  <c r="Q1707" i="3"/>
  <c r="Q1708" i="3"/>
  <c r="Q1709" i="3"/>
  <c r="Q1710" i="3"/>
  <c r="Q1711" i="3"/>
  <c r="Q1712" i="3"/>
  <c r="Q1713" i="3"/>
  <c r="Q1714" i="3"/>
  <c r="Q1715" i="3"/>
  <c r="Q1716" i="3"/>
  <c r="Q1717" i="3"/>
  <c r="Q1718" i="3"/>
  <c r="Q1719" i="3"/>
  <c r="Q1720" i="3"/>
  <c r="Q1721" i="3"/>
  <c r="Q1722" i="3"/>
  <c r="Q1723" i="3"/>
  <c r="Q1724" i="3"/>
  <c r="Q1725" i="3"/>
  <c r="Q1726" i="3"/>
  <c r="Q1727" i="3"/>
  <c r="Q1728" i="3"/>
  <c r="Q1729" i="3"/>
  <c r="Q1730" i="3"/>
  <c r="Q1731" i="3"/>
  <c r="Q1732" i="3"/>
  <c r="Q1733" i="3"/>
  <c r="Q1734" i="3"/>
  <c r="Q1735" i="3"/>
  <c r="Q1736" i="3"/>
  <c r="Q1737" i="3"/>
  <c r="Q1738" i="3"/>
  <c r="Q1739" i="3"/>
  <c r="Q1740" i="3"/>
  <c r="Q1741" i="3"/>
  <c r="Q1742" i="3"/>
  <c r="Q1743" i="3"/>
  <c r="Q1744" i="3"/>
  <c r="Q1745" i="3"/>
  <c r="Q1746" i="3"/>
  <c r="Q1747" i="3"/>
  <c r="Q1748" i="3"/>
  <c r="Q1749" i="3"/>
  <c r="Q1750" i="3"/>
  <c r="Q1751" i="3"/>
  <c r="Q1752" i="3"/>
  <c r="Q1753" i="3"/>
  <c r="Q1754" i="3"/>
  <c r="Q1755" i="3"/>
  <c r="Q1756" i="3"/>
  <c r="Q1757" i="3"/>
  <c r="Q1758" i="3"/>
  <c r="Q1759" i="3"/>
  <c r="Q1760" i="3"/>
  <c r="Q1761" i="3"/>
  <c r="Q1762" i="3"/>
  <c r="Q1763" i="3"/>
  <c r="Q1764" i="3"/>
  <c r="Q1765" i="3"/>
  <c r="Q1766" i="3"/>
  <c r="Q1767" i="3"/>
  <c r="Q1768" i="3"/>
  <c r="Q1769" i="3"/>
  <c r="Q1770" i="3"/>
  <c r="Q1771" i="3"/>
  <c r="Q1772" i="3"/>
  <c r="Q1773" i="3"/>
  <c r="Q1774" i="3"/>
  <c r="Q1775" i="3"/>
  <c r="Q1776" i="3"/>
  <c r="Q1777" i="3"/>
  <c r="Q1778" i="3"/>
  <c r="Q1779" i="3"/>
  <c r="Q1780" i="3"/>
  <c r="Q1781" i="3"/>
  <c r="Q1782" i="3"/>
  <c r="Q1783" i="3"/>
  <c r="Q1784" i="3"/>
  <c r="Q1785" i="3"/>
  <c r="Q1786" i="3"/>
  <c r="Q1787" i="3"/>
  <c r="Q1788" i="3"/>
  <c r="Q1789" i="3"/>
  <c r="Q1790" i="3"/>
  <c r="Q1791" i="3"/>
  <c r="Q1792" i="3"/>
  <c r="Q1793" i="3"/>
  <c r="Q1794" i="3"/>
  <c r="Q1795" i="3"/>
  <c r="Q1796" i="3"/>
  <c r="Q1797" i="3"/>
  <c r="Q1798" i="3"/>
  <c r="Q1799" i="3"/>
  <c r="Q1800" i="3"/>
  <c r="Q1801" i="3"/>
  <c r="Q1802" i="3"/>
  <c r="Q1803" i="3"/>
  <c r="Q1804" i="3"/>
  <c r="Q1805" i="3"/>
  <c r="Q1806" i="3"/>
  <c r="Q1807" i="3"/>
  <c r="Q1808" i="3"/>
  <c r="Q1809" i="3"/>
  <c r="Q1810" i="3"/>
  <c r="Q1811" i="3"/>
  <c r="Q1812" i="3"/>
  <c r="Q1813" i="3"/>
  <c r="Q1814" i="3"/>
  <c r="Q1815" i="3"/>
  <c r="Q1816" i="3"/>
  <c r="Q1817" i="3"/>
  <c r="Q1818" i="3"/>
  <c r="Q1819" i="3"/>
  <c r="Q1820" i="3"/>
  <c r="Q1821" i="3"/>
  <c r="Q1822" i="3"/>
  <c r="Q1823" i="3"/>
  <c r="Q1824" i="3"/>
  <c r="Q1825" i="3"/>
  <c r="Q1826" i="3"/>
  <c r="Q1827" i="3"/>
  <c r="Q1828" i="3"/>
  <c r="Q1829" i="3"/>
  <c r="Q1830" i="3"/>
  <c r="Q1831" i="3"/>
  <c r="Q1832" i="3"/>
  <c r="Q1833" i="3"/>
  <c r="Q1834" i="3"/>
  <c r="Q1835" i="3"/>
  <c r="Q1836" i="3"/>
  <c r="Q1837" i="3"/>
  <c r="Q1838" i="3"/>
  <c r="Q1839" i="3"/>
  <c r="Q1840" i="3"/>
  <c r="Q1841" i="3"/>
  <c r="Q1842" i="3"/>
  <c r="Q1843" i="3"/>
  <c r="Q1844" i="3"/>
  <c r="Q1845" i="3"/>
  <c r="Q1846" i="3"/>
  <c r="Q1847" i="3"/>
  <c r="Q1848" i="3"/>
  <c r="Q1849" i="3"/>
  <c r="Q1850" i="3"/>
  <c r="Q1851" i="3"/>
  <c r="Q1852" i="3"/>
  <c r="Q1853" i="3"/>
  <c r="Q1854" i="3"/>
  <c r="Q1855" i="3"/>
  <c r="Q1856" i="3"/>
  <c r="Q1857" i="3"/>
  <c r="Q1858" i="3"/>
  <c r="Q1859" i="3"/>
  <c r="Q1860" i="3"/>
  <c r="Q1861" i="3"/>
  <c r="Q1862" i="3"/>
  <c r="Q1863" i="3"/>
  <c r="Q1864" i="3"/>
  <c r="Q1865" i="3"/>
  <c r="Q1866" i="3"/>
  <c r="Q1867" i="3"/>
  <c r="Q1868" i="3"/>
  <c r="Q1869" i="3"/>
  <c r="Q1870" i="3"/>
  <c r="Q1871" i="3"/>
  <c r="Q1872" i="3"/>
  <c r="Q1873" i="3"/>
  <c r="Q1874" i="3"/>
  <c r="Q1875" i="3"/>
  <c r="Q1876" i="3"/>
  <c r="Q1877" i="3"/>
  <c r="Q1878" i="3"/>
  <c r="Q1879" i="3"/>
  <c r="Q1880" i="3"/>
  <c r="Q1881" i="3"/>
  <c r="Q1882" i="3"/>
  <c r="Q1883" i="3"/>
  <c r="Q1884" i="3"/>
  <c r="Q1885" i="3"/>
  <c r="Q1886" i="3"/>
  <c r="Q1887" i="3"/>
  <c r="Q1888" i="3"/>
  <c r="Q1889" i="3"/>
  <c r="Q1890" i="3"/>
  <c r="Q1891" i="3"/>
  <c r="Q1892" i="3"/>
  <c r="Q1893" i="3"/>
  <c r="Q1894" i="3"/>
  <c r="Q1895" i="3"/>
  <c r="Q1896" i="3"/>
  <c r="Q1897" i="3"/>
  <c r="Q1898" i="3"/>
  <c r="Q1899" i="3"/>
  <c r="Q1900" i="3"/>
  <c r="Q1901" i="3"/>
  <c r="Q1902" i="3"/>
  <c r="Q1903" i="3"/>
  <c r="Q1904" i="3"/>
  <c r="Q1905" i="3"/>
  <c r="Q1906" i="3"/>
  <c r="Q1907" i="3"/>
  <c r="Q1908" i="3"/>
  <c r="Q1909" i="3"/>
  <c r="Q1910" i="3"/>
  <c r="Q1911" i="3"/>
  <c r="Q1912" i="3"/>
  <c r="Q1913" i="3"/>
  <c r="Q1914" i="3"/>
  <c r="Q1915" i="3"/>
  <c r="Q1916" i="3"/>
  <c r="Q1917" i="3"/>
  <c r="Q1918" i="3"/>
  <c r="Q1919" i="3"/>
  <c r="Q1920" i="3"/>
  <c r="Q1921" i="3"/>
  <c r="Q1922" i="3"/>
  <c r="Q1923" i="3"/>
  <c r="Q1924" i="3"/>
  <c r="Q1925" i="3"/>
  <c r="Q1926" i="3"/>
  <c r="Q1927" i="3"/>
  <c r="Q1928" i="3"/>
  <c r="Q1929" i="3"/>
  <c r="Q1930" i="3"/>
  <c r="Q1931" i="3"/>
  <c r="Q1932" i="3"/>
  <c r="Q1933" i="3"/>
  <c r="Q1934" i="3"/>
  <c r="Q1935" i="3"/>
  <c r="Q1936" i="3"/>
  <c r="Q1937" i="3"/>
  <c r="Q1938" i="3"/>
  <c r="Q1939" i="3"/>
  <c r="Q1940" i="3"/>
  <c r="Q1941" i="3"/>
  <c r="Q1942" i="3"/>
  <c r="Q1943" i="3"/>
  <c r="Q1944" i="3"/>
  <c r="Q1945" i="3"/>
  <c r="Q1946" i="3"/>
  <c r="Q1947" i="3"/>
  <c r="Q1948" i="3"/>
  <c r="Q1949" i="3"/>
  <c r="Q1950" i="3"/>
  <c r="Q1951" i="3"/>
  <c r="Q1952" i="3"/>
  <c r="Q1953" i="3"/>
  <c r="Q1954" i="3"/>
  <c r="Q1955" i="3"/>
  <c r="Q1956" i="3"/>
  <c r="Q1957" i="3"/>
  <c r="Q1958" i="3"/>
  <c r="Q1959" i="3"/>
  <c r="Q1960" i="3"/>
  <c r="Q1961" i="3"/>
  <c r="Q1962" i="3"/>
  <c r="Q1963" i="3"/>
  <c r="Q1964" i="3"/>
  <c r="Q1965" i="3"/>
  <c r="Q1966" i="3"/>
  <c r="Q1967" i="3"/>
  <c r="Q1968" i="3"/>
  <c r="Q1969" i="3"/>
  <c r="Q1970" i="3"/>
  <c r="Q1971" i="3"/>
  <c r="Q1972" i="3"/>
  <c r="Q1973" i="3"/>
  <c r="Q1974" i="3"/>
  <c r="Q1975" i="3"/>
  <c r="Q1976" i="3"/>
  <c r="Q1977" i="3"/>
  <c r="Q1978" i="3"/>
  <c r="Q1979" i="3"/>
  <c r="Q1980" i="3"/>
  <c r="Q1981" i="3"/>
  <c r="Q1982" i="3"/>
  <c r="Q1983" i="3"/>
  <c r="Q1984" i="3"/>
  <c r="Q1985" i="3"/>
  <c r="Q1986" i="3"/>
  <c r="Q1987" i="3"/>
  <c r="Q1988" i="3"/>
  <c r="Q1989" i="3"/>
  <c r="Q1990" i="3"/>
  <c r="Q1991" i="3"/>
  <c r="Q1992" i="3"/>
  <c r="Q1993" i="3"/>
  <c r="Q1994" i="3"/>
  <c r="Q1995" i="3"/>
  <c r="Q1996" i="3"/>
  <c r="Q1997" i="3"/>
  <c r="Q1998" i="3"/>
  <c r="Q1999" i="3"/>
  <c r="Q2000" i="3"/>
  <c r="Q2001" i="3"/>
  <c r="Q2002" i="3"/>
  <c r="Q2003" i="3"/>
  <c r="Q2004" i="3"/>
  <c r="Q2005" i="3"/>
  <c r="Q2006" i="3"/>
  <c r="Q2007" i="3"/>
  <c r="Q2008" i="3"/>
  <c r="Q2009" i="3"/>
  <c r="Q2010" i="3"/>
  <c r="Q2011" i="3"/>
  <c r="Q2012" i="3"/>
  <c r="Q2013" i="3"/>
  <c r="Q2014" i="3"/>
  <c r="Q2015" i="3"/>
  <c r="Q2016" i="3"/>
  <c r="Q2017" i="3"/>
  <c r="Q2018" i="3"/>
  <c r="Q2019" i="3"/>
  <c r="Q2020" i="3"/>
  <c r="Q2021" i="3"/>
  <c r="Q2022" i="3"/>
  <c r="Q2023" i="3"/>
  <c r="Q2024" i="3"/>
  <c r="Q2025" i="3"/>
  <c r="Q2026" i="3"/>
  <c r="Q2027" i="3"/>
  <c r="Q2028" i="3"/>
  <c r="Q2029" i="3"/>
  <c r="Q2030" i="3"/>
  <c r="Q2031" i="3"/>
  <c r="Q2032" i="3"/>
  <c r="Q2033" i="3"/>
  <c r="Q2034" i="3"/>
  <c r="Q2035" i="3"/>
  <c r="Q2036" i="3"/>
  <c r="Q2037" i="3"/>
  <c r="Q2038" i="3"/>
  <c r="Q2039" i="3"/>
  <c r="Q2040" i="3"/>
  <c r="Q2041" i="3"/>
  <c r="Q2042" i="3"/>
  <c r="Q2043" i="3"/>
  <c r="Q2044" i="3"/>
  <c r="Q2045" i="3"/>
  <c r="Q2046" i="3"/>
  <c r="Q2047" i="3"/>
  <c r="Q2048" i="3"/>
  <c r="Q2049" i="3"/>
  <c r="Q2050" i="3"/>
  <c r="Q2051" i="3"/>
  <c r="Q2052" i="3"/>
  <c r="Q2053" i="3"/>
  <c r="Q2054" i="3"/>
  <c r="Q2055" i="3"/>
  <c r="Q2056" i="3"/>
  <c r="Q2057" i="3"/>
  <c r="Q2058" i="3"/>
  <c r="Q2059" i="3"/>
  <c r="Q2060" i="3"/>
  <c r="Q2061" i="3"/>
  <c r="Q2062" i="3"/>
  <c r="Q2063" i="3"/>
  <c r="Q2064" i="3"/>
  <c r="Q2065" i="3"/>
  <c r="Q2066" i="3"/>
  <c r="Q2067" i="3"/>
  <c r="Q2068" i="3"/>
  <c r="Q2069" i="3"/>
  <c r="Q2070" i="3"/>
  <c r="Q2071" i="3"/>
  <c r="Q2072" i="3"/>
  <c r="Q2073" i="3"/>
  <c r="Q2074" i="3"/>
  <c r="Q2075" i="3"/>
  <c r="Q2076" i="3"/>
  <c r="Q2077" i="3"/>
  <c r="Q2078" i="3"/>
  <c r="Q2079" i="3"/>
  <c r="Q2080" i="3"/>
  <c r="Q2081" i="3"/>
  <c r="Q2082" i="3"/>
  <c r="Q2083" i="3"/>
  <c r="Q2084" i="3"/>
  <c r="Q2085" i="3"/>
  <c r="Q2086" i="3"/>
  <c r="Q2087" i="3"/>
  <c r="Q2088" i="3"/>
  <c r="Q2089" i="3"/>
  <c r="Q2090" i="3"/>
  <c r="Q2091" i="3"/>
  <c r="Q2092" i="3"/>
  <c r="Q2093" i="3"/>
  <c r="Q2094" i="3"/>
  <c r="Q2095" i="3"/>
  <c r="Q2096" i="3"/>
  <c r="Q2097" i="3"/>
  <c r="Q2098" i="3"/>
  <c r="Q2099" i="3"/>
  <c r="Q2100" i="3"/>
  <c r="Q2101" i="3"/>
  <c r="Q2102" i="3"/>
  <c r="Q2103" i="3"/>
  <c r="Q2104" i="3"/>
  <c r="Q2105" i="3"/>
  <c r="Q2106" i="3"/>
  <c r="Q2107" i="3"/>
  <c r="Q2108" i="3"/>
  <c r="Q2109" i="3"/>
  <c r="Q2110" i="3"/>
  <c r="Q2111" i="3"/>
  <c r="Q2112" i="3"/>
  <c r="Q2113" i="3"/>
  <c r="Q2114" i="3"/>
  <c r="Q2115" i="3"/>
  <c r="Q2116" i="3"/>
  <c r="Q2117" i="3"/>
  <c r="Q2118" i="3"/>
  <c r="Q2119" i="3"/>
  <c r="Q2120" i="3"/>
  <c r="Q2121" i="3"/>
  <c r="Q2122" i="3"/>
  <c r="Q2123" i="3"/>
  <c r="Q2124" i="3"/>
  <c r="Q2125" i="3"/>
  <c r="Q2126" i="3"/>
  <c r="Q2127" i="3"/>
  <c r="Q2128" i="3"/>
  <c r="Q2129" i="3"/>
  <c r="Q2130" i="3"/>
  <c r="Q2131" i="3"/>
  <c r="Q2132" i="3"/>
  <c r="Q2133" i="3"/>
  <c r="Q2134" i="3"/>
  <c r="Q2135" i="3"/>
  <c r="Q2136" i="3"/>
  <c r="Q2137" i="3"/>
  <c r="Q2138" i="3"/>
  <c r="Q2139" i="3"/>
  <c r="Q2140" i="3"/>
  <c r="Q2141" i="3"/>
  <c r="Q2142" i="3"/>
  <c r="Q2143" i="3"/>
  <c r="Q2144" i="3"/>
  <c r="Q2145" i="3"/>
  <c r="Q2146" i="3"/>
  <c r="Q2147" i="3"/>
  <c r="Q2148" i="3"/>
  <c r="Q2149" i="3"/>
  <c r="Q2150" i="3"/>
  <c r="Q2151" i="3"/>
  <c r="Q2152" i="3"/>
  <c r="Q2153" i="3"/>
  <c r="Q2154" i="3"/>
  <c r="Q2155" i="3"/>
  <c r="Q2156" i="3"/>
  <c r="Q2157" i="3"/>
  <c r="Q2158" i="3"/>
  <c r="Q2159" i="3"/>
  <c r="Q2160" i="3"/>
  <c r="Q2161" i="3"/>
  <c r="Q2162" i="3"/>
  <c r="Q2163" i="3"/>
  <c r="Q2164" i="3"/>
  <c r="Q2165" i="3"/>
  <c r="Q2166" i="3"/>
  <c r="Q2167" i="3"/>
  <c r="Q2168" i="3"/>
  <c r="Q2169" i="3"/>
  <c r="Q2170" i="3"/>
  <c r="Q2171" i="3"/>
  <c r="Q2172" i="3"/>
  <c r="Q2173" i="3"/>
  <c r="Q2174" i="3"/>
  <c r="Q2175" i="3"/>
  <c r="Q2176" i="3"/>
  <c r="Q2177" i="3"/>
  <c r="Q2178" i="3"/>
  <c r="Q2179" i="3"/>
  <c r="Q2180" i="3"/>
  <c r="Q2181" i="3"/>
  <c r="Q2182" i="3"/>
  <c r="Q2183" i="3"/>
  <c r="Q2184" i="3"/>
  <c r="Q2185" i="3"/>
  <c r="Q2186" i="3"/>
  <c r="Q2187" i="3"/>
  <c r="Q2188" i="3"/>
  <c r="Q2189" i="3"/>
  <c r="Q2190" i="3"/>
  <c r="Q2191" i="3"/>
  <c r="Q2192" i="3"/>
  <c r="Q2193" i="3"/>
  <c r="Q2194" i="3"/>
  <c r="Q2195" i="3"/>
  <c r="Q2196" i="3"/>
  <c r="Q2197" i="3"/>
  <c r="Q2198" i="3"/>
  <c r="Q2199" i="3"/>
  <c r="Q2200" i="3"/>
  <c r="Q2201" i="3"/>
  <c r="Q2202" i="3"/>
  <c r="Q2203" i="3"/>
  <c r="Q2204" i="3"/>
  <c r="Q2205" i="3"/>
  <c r="Q2206" i="3"/>
  <c r="Q2207" i="3"/>
  <c r="Q2208" i="3"/>
  <c r="Q2209" i="3"/>
  <c r="Q2210" i="3"/>
  <c r="Q2211" i="3"/>
  <c r="Q2212" i="3"/>
  <c r="Q2213" i="3"/>
  <c r="Q2214" i="3"/>
  <c r="Q2215" i="3"/>
  <c r="Q2216" i="3"/>
  <c r="Q2217" i="3"/>
  <c r="Q2218" i="3"/>
  <c r="Q2219" i="3"/>
  <c r="Q2220" i="3"/>
  <c r="Q2221" i="3"/>
  <c r="Q2222" i="3"/>
  <c r="Q2223" i="3"/>
  <c r="Q2224" i="3"/>
  <c r="Q2225" i="3"/>
  <c r="Q2226" i="3"/>
  <c r="Q2227" i="3"/>
  <c r="Q2228" i="3"/>
  <c r="Q2229" i="3"/>
  <c r="Q2230" i="3"/>
  <c r="Q2231" i="3"/>
  <c r="Q2232" i="3"/>
  <c r="Q2233" i="3"/>
  <c r="Q2234" i="3"/>
  <c r="Q2235" i="3"/>
  <c r="Q2236" i="3"/>
  <c r="Q2237" i="3"/>
  <c r="Q2238" i="3"/>
  <c r="Q2239" i="3"/>
  <c r="Q2240" i="3"/>
  <c r="Q2241" i="3"/>
  <c r="Q2242" i="3"/>
  <c r="Q2243" i="3"/>
  <c r="Q2244" i="3"/>
  <c r="Q2245" i="3"/>
  <c r="Q2246" i="3"/>
  <c r="Q2247" i="3"/>
  <c r="Q2248" i="3"/>
  <c r="Q2249" i="3"/>
  <c r="Q2250" i="3"/>
  <c r="Q2251" i="3"/>
  <c r="Q2252" i="3"/>
  <c r="Q2253" i="3"/>
  <c r="Q2254" i="3"/>
  <c r="Q2255" i="3"/>
  <c r="Q2256" i="3"/>
  <c r="Q2257" i="3"/>
  <c r="Q2258" i="3"/>
  <c r="Q2259" i="3"/>
  <c r="Q2260" i="3"/>
  <c r="Q2261" i="3"/>
  <c r="Q2262" i="3"/>
  <c r="Q2263" i="3"/>
  <c r="Q2264" i="3"/>
  <c r="Q2265" i="3"/>
  <c r="Q2266" i="3"/>
  <c r="Q2267" i="3"/>
  <c r="Q2268" i="3"/>
  <c r="Q2269" i="3"/>
  <c r="Q2270" i="3"/>
  <c r="Q2271" i="3"/>
  <c r="Q2272" i="3"/>
  <c r="Q2273" i="3"/>
  <c r="Q2274" i="3"/>
  <c r="Q2275" i="3"/>
  <c r="Q2276" i="3"/>
  <c r="Q2277" i="3"/>
  <c r="Q2278" i="3"/>
  <c r="Q2279" i="3"/>
  <c r="Q2280" i="3"/>
  <c r="Q2281" i="3"/>
  <c r="Q2282" i="3"/>
  <c r="Q2283" i="3"/>
  <c r="Q2284" i="3"/>
  <c r="Q2285" i="3"/>
  <c r="Q2286" i="3"/>
  <c r="Q2287" i="3"/>
  <c r="Q2288" i="3"/>
  <c r="Q2289" i="3"/>
  <c r="Q2290" i="3"/>
  <c r="Q2291" i="3"/>
  <c r="Q2292" i="3"/>
  <c r="Q2293" i="3"/>
  <c r="Q2294" i="3"/>
  <c r="Q2295" i="3"/>
  <c r="Q2296" i="3"/>
  <c r="Q2297" i="3"/>
  <c r="Q2298" i="3"/>
  <c r="Q2299" i="3"/>
  <c r="Q2300" i="3"/>
  <c r="Q2301" i="3"/>
  <c r="Q2302" i="3"/>
  <c r="Q2303" i="3"/>
  <c r="Q2304" i="3"/>
  <c r="Q2305" i="3"/>
  <c r="Q2306" i="3"/>
  <c r="Q2307" i="3"/>
  <c r="Q2308" i="3"/>
  <c r="Q2309" i="3"/>
  <c r="Q2310" i="3"/>
  <c r="Q2311" i="3"/>
  <c r="Q2312" i="3"/>
  <c r="Q2313" i="3"/>
  <c r="Q2314" i="3"/>
  <c r="Q2315" i="3"/>
  <c r="Q2316" i="3"/>
  <c r="Q2317" i="3"/>
  <c r="Q2318" i="3"/>
  <c r="Q2319" i="3"/>
  <c r="Q2320" i="3"/>
  <c r="Q2321" i="3"/>
  <c r="Q2322" i="3"/>
  <c r="Q2323" i="3"/>
  <c r="Q2324" i="3"/>
  <c r="Q2325" i="3"/>
  <c r="Q2326" i="3"/>
  <c r="Q2327" i="3"/>
  <c r="Q2328" i="3"/>
  <c r="Q2329" i="3"/>
  <c r="Q2330" i="3"/>
  <c r="Q2331" i="3"/>
  <c r="Q2332" i="3"/>
  <c r="Q2333" i="3"/>
  <c r="Q2334" i="3"/>
  <c r="Q2335" i="3"/>
  <c r="Q2336" i="3"/>
  <c r="Q2337" i="3"/>
  <c r="Q2338" i="3"/>
  <c r="Q2339" i="3"/>
  <c r="Q2340" i="3"/>
  <c r="Q2341" i="3"/>
  <c r="Q2342" i="3"/>
  <c r="Q2343" i="3"/>
  <c r="Q2344" i="3"/>
  <c r="Q2345" i="3"/>
  <c r="Q2346" i="3"/>
  <c r="Q2347" i="3"/>
  <c r="Q2348" i="3"/>
  <c r="Q2349" i="3"/>
  <c r="Q2350" i="3"/>
  <c r="Q2351" i="3"/>
  <c r="Q2352" i="3"/>
  <c r="Q2353" i="3"/>
  <c r="Q2354" i="3"/>
  <c r="Q2355" i="3"/>
  <c r="Q2356" i="3"/>
  <c r="Q2357" i="3"/>
  <c r="Q2358" i="3"/>
  <c r="Q2359" i="3"/>
  <c r="Q2360" i="3"/>
  <c r="Q2361" i="3"/>
  <c r="Q2362" i="3"/>
  <c r="Q2363" i="3"/>
  <c r="Q2364" i="3"/>
  <c r="Q2365" i="3"/>
  <c r="Q2366" i="3"/>
  <c r="Q2367" i="3"/>
  <c r="Q2368" i="3"/>
  <c r="Q2369" i="3"/>
  <c r="Q2370" i="3"/>
  <c r="Q2371" i="3"/>
  <c r="Q2372" i="3"/>
  <c r="Q2373" i="3"/>
  <c r="Q2374" i="3"/>
  <c r="Q2375" i="3"/>
  <c r="Q2376" i="3"/>
  <c r="Q2377" i="3"/>
  <c r="Q2378" i="3"/>
  <c r="Q2379" i="3"/>
  <c r="Q2380" i="3"/>
  <c r="Q2381" i="3"/>
  <c r="Q2382" i="3"/>
  <c r="Q2383" i="3"/>
  <c r="Q2384" i="3"/>
  <c r="Q2385" i="3"/>
  <c r="Q2386" i="3"/>
  <c r="Q2387" i="3"/>
  <c r="Q2388" i="3"/>
  <c r="Q2389" i="3"/>
  <c r="Q2390" i="3"/>
  <c r="Q2391" i="3"/>
  <c r="Q2392" i="3"/>
  <c r="Q2393" i="3"/>
  <c r="Q2394" i="3"/>
  <c r="Q2395" i="3"/>
  <c r="Q2396" i="3"/>
  <c r="Q2397" i="3"/>
  <c r="Q2398" i="3"/>
  <c r="Q2399" i="3"/>
  <c r="Q2400" i="3"/>
  <c r="Q2401" i="3"/>
  <c r="Q2402" i="3"/>
  <c r="Q2403" i="3"/>
  <c r="Q2404" i="3"/>
  <c r="Q2405" i="3"/>
  <c r="Q2406" i="3"/>
  <c r="Q2407" i="3"/>
  <c r="Q2408" i="3"/>
  <c r="Q2409" i="3"/>
  <c r="Q2410" i="3"/>
  <c r="Q2411" i="3"/>
  <c r="Q2412" i="3"/>
  <c r="Q2413" i="3"/>
  <c r="Q2414" i="3"/>
  <c r="Q2415" i="3"/>
  <c r="Q2416" i="3"/>
  <c r="Q2417" i="3"/>
  <c r="Q2418" i="3"/>
  <c r="Q2419" i="3"/>
  <c r="Q2420" i="3"/>
  <c r="Q2421" i="3"/>
  <c r="Q2422" i="3"/>
  <c r="Q2423" i="3"/>
  <c r="Q2424" i="3"/>
  <c r="Q2425" i="3"/>
  <c r="Q2426" i="3"/>
  <c r="Q2427" i="3"/>
  <c r="Q2428" i="3"/>
  <c r="Q2429" i="3"/>
  <c r="Q2430" i="3"/>
  <c r="Q2431" i="3"/>
  <c r="Q2432" i="3"/>
  <c r="Q2433" i="3"/>
  <c r="Q2434" i="3"/>
  <c r="Q2435" i="3"/>
  <c r="Q2436" i="3"/>
  <c r="Q2437" i="3"/>
  <c r="Q2438" i="3"/>
  <c r="Q2439" i="3"/>
  <c r="Q2440" i="3"/>
  <c r="Q2441" i="3"/>
  <c r="Q2442" i="3"/>
  <c r="Q2443" i="3"/>
  <c r="Q2444" i="3"/>
  <c r="Q2445" i="3"/>
  <c r="Q2446" i="3"/>
  <c r="Q2447" i="3"/>
  <c r="Q2448" i="3"/>
  <c r="Q2449" i="3"/>
  <c r="Q2450" i="3"/>
  <c r="Q2451" i="3"/>
  <c r="Q2452" i="3"/>
  <c r="Q2453" i="3"/>
  <c r="Q2454" i="3"/>
  <c r="Q2455" i="3"/>
  <c r="Q2456" i="3"/>
  <c r="Q2457" i="3"/>
  <c r="Q2458" i="3"/>
  <c r="Q2459" i="3"/>
  <c r="Q2460" i="3"/>
  <c r="Q2461" i="3"/>
  <c r="Q2462" i="3"/>
  <c r="Q2463" i="3"/>
  <c r="Q2464" i="3"/>
  <c r="Q2465" i="3"/>
  <c r="Q2466" i="3"/>
  <c r="Q2467" i="3"/>
  <c r="Q2468" i="3"/>
  <c r="Q2469" i="3"/>
  <c r="Q2470" i="3"/>
  <c r="Q2471" i="3"/>
  <c r="Q2472" i="3"/>
  <c r="Q2473" i="3"/>
  <c r="Q2474" i="3"/>
  <c r="Q2475" i="3"/>
  <c r="Q2476" i="3"/>
  <c r="Q2477" i="3"/>
  <c r="Q2478" i="3"/>
  <c r="Q2479" i="3"/>
  <c r="Q2480" i="3"/>
  <c r="Q2481" i="3"/>
  <c r="Q2482" i="3"/>
  <c r="Q2483" i="3"/>
  <c r="Q2484" i="3"/>
  <c r="Q2485" i="3"/>
  <c r="Q2486" i="3"/>
  <c r="Q2487" i="3"/>
  <c r="Q2488" i="3"/>
  <c r="Q2489" i="3"/>
  <c r="Q2490" i="3"/>
  <c r="Q2491" i="3"/>
  <c r="Q2492" i="3"/>
  <c r="Q2493" i="3"/>
  <c r="Q2494" i="3"/>
  <c r="Q2495" i="3"/>
  <c r="Q2496" i="3"/>
  <c r="Q2497" i="3"/>
  <c r="Q2498" i="3"/>
  <c r="Q2499" i="3"/>
  <c r="Q2500" i="3"/>
  <c r="Q2501" i="3"/>
  <c r="Q2502" i="3"/>
  <c r="Q2503" i="3"/>
  <c r="Q2504" i="3"/>
  <c r="Q2505" i="3"/>
  <c r="Q2506" i="3"/>
  <c r="Q2507" i="3"/>
  <c r="Q2508" i="3"/>
  <c r="Q2509" i="3"/>
  <c r="Q2510" i="3"/>
  <c r="Q2511" i="3"/>
  <c r="Q2512" i="3"/>
  <c r="Q2513" i="3"/>
  <c r="Q2514" i="3"/>
  <c r="Q2515" i="3"/>
  <c r="Q2516" i="3"/>
  <c r="Q2517" i="3"/>
  <c r="Q2518" i="3"/>
  <c r="Q2519" i="3"/>
  <c r="Q2520" i="3"/>
  <c r="Q2521" i="3"/>
  <c r="Q2522" i="3"/>
  <c r="Q2523" i="3"/>
  <c r="Q2524" i="3"/>
  <c r="Q2525" i="3"/>
  <c r="Q2526" i="3"/>
  <c r="Q2527" i="3"/>
  <c r="Q2528" i="3"/>
  <c r="Q2529" i="3"/>
  <c r="Q2530" i="3"/>
  <c r="Q2531" i="3"/>
  <c r="Q2532" i="3"/>
  <c r="Q2533" i="3"/>
  <c r="Q2534" i="3"/>
  <c r="Q2535" i="3"/>
  <c r="Q2536" i="3"/>
  <c r="Q2537" i="3"/>
  <c r="Q2538" i="3"/>
  <c r="Q2539" i="3"/>
  <c r="Q2540" i="3"/>
  <c r="Q2541" i="3"/>
  <c r="Q2542" i="3"/>
  <c r="Q2543" i="3"/>
  <c r="Q2544" i="3"/>
  <c r="Q2545" i="3"/>
  <c r="Q2546" i="3"/>
  <c r="Q2547" i="3"/>
  <c r="Q2548" i="3"/>
  <c r="Q2549" i="3"/>
  <c r="Q2550" i="3"/>
  <c r="Q2551" i="3"/>
  <c r="Q2552" i="3"/>
  <c r="Q2553" i="3"/>
  <c r="Q2554" i="3"/>
  <c r="Q2555" i="3"/>
  <c r="Q2556" i="3"/>
  <c r="Q2557" i="3"/>
  <c r="Q2558" i="3"/>
  <c r="Q2559" i="3"/>
  <c r="Q2560" i="3"/>
  <c r="Q2561" i="3"/>
  <c r="Q2562" i="3"/>
  <c r="Q2563" i="3"/>
  <c r="Q2564" i="3"/>
  <c r="Q2565" i="3"/>
  <c r="Q2566" i="3"/>
  <c r="Q2567" i="3"/>
  <c r="Q2568" i="3"/>
  <c r="Q2569" i="3"/>
  <c r="Q2570" i="3"/>
  <c r="Q2571" i="3"/>
  <c r="Q2572" i="3"/>
  <c r="Q2573" i="3"/>
  <c r="Q2574" i="3"/>
  <c r="Q2575" i="3"/>
  <c r="E248" i="3"/>
  <c r="E249" i="3"/>
  <c r="E250" i="3"/>
  <c r="E251" i="3"/>
  <c r="E252" i="3"/>
  <c r="E253" i="3"/>
  <c r="E254" i="3"/>
  <c r="E255" i="3"/>
  <c r="E256" i="3"/>
  <c r="E257" i="3"/>
  <c r="E258" i="3"/>
  <c r="E259" i="3"/>
  <c r="E260" i="3"/>
  <c r="E261" i="3"/>
  <c r="E262" i="3"/>
  <c r="E263" i="3"/>
  <c r="E264" i="3"/>
  <c r="E265" i="3"/>
  <c r="E266" i="3"/>
  <c r="E267" i="3"/>
  <c r="E268" i="3"/>
  <c r="E269" i="3"/>
  <c r="E270" i="3"/>
  <c r="E271" i="3"/>
  <c r="E272" i="3"/>
  <c r="E273" i="3"/>
  <c r="E274" i="3"/>
  <c r="E275" i="3"/>
  <c r="E276" i="3"/>
  <c r="E277" i="3"/>
  <c r="E278" i="3"/>
  <c r="E279" i="3"/>
  <c r="E280" i="3"/>
  <c r="E281" i="3"/>
  <c r="E282" i="3"/>
  <c r="E283" i="3"/>
  <c r="E284" i="3"/>
  <c r="E285" i="3"/>
  <c r="E286" i="3"/>
  <c r="E287" i="3"/>
  <c r="E288" i="3"/>
  <c r="E289" i="3"/>
  <c r="E290" i="3"/>
  <c r="E291" i="3"/>
  <c r="E292" i="3"/>
  <c r="E293" i="3"/>
  <c r="E294" i="3"/>
  <c r="E295" i="3"/>
  <c r="E296" i="3"/>
  <c r="E297" i="3"/>
  <c r="E298" i="3"/>
  <c r="E299" i="3"/>
  <c r="E300" i="3"/>
  <c r="E301" i="3"/>
  <c r="E302" i="3"/>
  <c r="E303" i="3"/>
  <c r="E304" i="3"/>
  <c r="E305" i="3"/>
  <c r="E306" i="3"/>
  <c r="E307" i="3"/>
  <c r="E308" i="3"/>
  <c r="E309" i="3"/>
  <c r="E310" i="3"/>
  <c r="E311" i="3"/>
  <c r="E312" i="3"/>
  <c r="E313" i="3"/>
  <c r="E314" i="3"/>
  <c r="E315" i="3"/>
  <c r="E316" i="3"/>
  <c r="E317" i="3"/>
  <c r="E318" i="3"/>
  <c r="E319" i="3"/>
  <c r="E320" i="3"/>
  <c r="E321" i="3"/>
  <c r="E322" i="3"/>
  <c r="E323" i="3"/>
  <c r="E324" i="3"/>
  <c r="E325" i="3"/>
  <c r="E326" i="3"/>
  <c r="E327" i="3"/>
  <c r="E328" i="3"/>
  <c r="E329" i="3"/>
  <c r="E330" i="3"/>
  <c r="E331" i="3"/>
  <c r="E332" i="3"/>
  <c r="E333" i="3"/>
  <c r="E334" i="3"/>
  <c r="E335" i="3"/>
  <c r="E336" i="3"/>
  <c r="E337" i="3"/>
  <c r="E338" i="3"/>
  <c r="E339" i="3"/>
  <c r="E340" i="3"/>
  <c r="E341" i="3"/>
  <c r="E342" i="3"/>
  <c r="E343" i="3"/>
  <c r="E344" i="3"/>
  <c r="E345" i="3"/>
  <c r="E346" i="3"/>
  <c r="E347" i="3"/>
  <c r="E348" i="3"/>
  <c r="E349" i="3"/>
  <c r="E350" i="3"/>
  <c r="E351" i="3"/>
  <c r="E352" i="3"/>
  <c r="E353" i="3"/>
  <c r="E354" i="3"/>
  <c r="E355" i="3"/>
  <c r="E356" i="3"/>
  <c r="E357" i="3"/>
  <c r="E358" i="3"/>
  <c r="E359" i="3"/>
  <c r="E360" i="3"/>
  <c r="E361" i="3"/>
  <c r="E362" i="3"/>
  <c r="E363" i="3"/>
  <c r="E364" i="3"/>
  <c r="E365" i="3"/>
  <c r="E366" i="3"/>
  <c r="E367" i="3"/>
  <c r="E368" i="3"/>
  <c r="E369" i="3"/>
  <c r="E370" i="3"/>
  <c r="E371" i="3"/>
  <c r="E372" i="3"/>
  <c r="E373" i="3"/>
  <c r="E374" i="3"/>
  <c r="E375" i="3"/>
  <c r="E376" i="3"/>
  <c r="E377" i="3"/>
  <c r="E378" i="3"/>
  <c r="E379" i="3"/>
  <c r="E380" i="3"/>
  <c r="E381" i="3"/>
  <c r="E382" i="3"/>
  <c r="E383" i="3"/>
  <c r="E384" i="3"/>
  <c r="E385" i="3"/>
  <c r="E386" i="3"/>
  <c r="E387" i="3"/>
  <c r="E388" i="3"/>
  <c r="E389" i="3"/>
  <c r="E390" i="3"/>
  <c r="E391" i="3"/>
  <c r="E392" i="3"/>
  <c r="E393" i="3"/>
  <c r="E394" i="3"/>
  <c r="E395" i="3"/>
  <c r="E396" i="3"/>
  <c r="E397" i="3"/>
  <c r="E398" i="3"/>
  <c r="E399" i="3"/>
  <c r="E400" i="3"/>
  <c r="E401" i="3"/>
  <c r="E402" i="3"/>
  <c r="E403" i="3"/>
  <c r="E404" i="3"/>
  <c r="E405" i="3"/>
  <c r="E406" i="3"/>
  <c r="E407" i="3"/>
  <c r="E408" i="3"/>
  <c r="E409" i="3"/>
  <c r="E410" i="3"/>
  <c r="E411" i="3"/>
  <c r="E412" i="3"/>
  <c r="E413" i="3"/>
  <c r="E414" i="3"/>
  <c r="E415" i="3"/>
  <c r="E416" i="3"/>
  <c r="E417" i="3"/>
  <c r="E418" i="3"/>
  <c r="E419" i="3"/>
  <c r="E420" i="3"/>
  <c r="E421" i="3"/>
  <c r="E422" i="3"/>
  <c r="E423" i="3"/>
  <c r="E424" i="3"/>
  <c r="E425" i="3"/>
  <c r="E426" i="3"/>
  <c r="E427" i="3"/>
  <c r="E428" i="3"/>
  <c r="E429" i="3"/>
  <c r="E430" i="3"/>
  <c r="E431" i="3"/>
  <c r="E432" i="3"/>
  <c r="E433" i="3"/>
  <c r="E434" i="3"/>
  <c r="E435" i="3"/>
  <c r="E436" i="3"/>
  <c r="E437" i="3"/>
  <c r="E438" i="3"/>
  <c r="E439" i="3"/>
  <c r="E440" i="3"/>
  <c r="E441" i="3"/>
  <c r="E442" i="3"/>
  <c r="E443" i="3"/>
  <c r="E444" i="3"/>
  <c r="E445" i="3"/>
  <c r="E446" i="3"/>
  <c r="E447" i="3"/>
  <c r="E448" i="3"/>
  <c r="E449" i="3"/>
  <c r="E450" i="3"/>
  <c r="E451" i="3"/>
  <c r="E452" i="3"/>
  <c r="E453" i="3"/>
  <c r="E454" i="3"/>
  <c r="E455" i="3"/>
  <c r="E456" i="3"/>
  <c r="E457" i="3"/>
  <c r="E458" i="3"/>
  <c r="E459" i="3"/>
  <c r="E460" i="3"/>
  <c r="E461" i="3"/>
  <c r="E462" i="3"/>
  <c r="E463" i="3"/>
  <c r="E464" i="3"/>
  <c r="E465" i="3"/>
  <c r="E466" i="3"/>
  <c r="E467" i="3"/>
  <c r="E468" i="3"/>
  <c r="E469" i="3"/>
  <c r="E470" i="3"/>
  <c r="E471" i="3"/>
  <c r="E472" i="3"/>
  <c r="E473" i="3"/>
  <c r="E474" i="3"/>
  <c r="E475" i="3"/>
  <c r="E476" i="3"/>
  <c r="E477" i="3"/>
  <c r="E478" i="3"/>
  <c r="E479" i="3"/>
  <c r="E480" i="3"/>
  <c r="E481" i="3"/>
  <c r="E482" i="3"/>
  <c r="E483" i="3"/>
  <c r="E484" i="3"/>
  <c r="E485" i="3"/>
  <c r="E486" i="3"/>
  <c r="E487" i="3"/>
  <c r="E488" i="3"/>
  <c r="E489" i="3"/>
  <c r="E490" i="3"/>
  <c r="E491" i="3"/>
  <c r="E492" i="3"/>
  <c r="E493" i="3"/>
  <c r="E494" i="3"/>
  <c r="E495" i="3"/>
  <c r="E496" i="3"/>
  <c r="E497" i="3"/>
  <c r="E498" i="3"/>
  <c r="E499" i="3"/>
  <c r="E500" i="3"/>
  <c r="E501" i="3"/>
  <c r="E502" i="3"/>
  <c r="E503" i="3"/>
  <c r="E504" i="3"/>
  <c r="E505" i="3"/>
  <c r="E506" i="3"/>
  <c r="E507" i="3"/>
  <c r="E508" i="3"/>
  <c r="E509" i="3"/>
  <c r="E510" i="3"/>
  <c r="E511" i="3"/>
  <c r="E512" i="3"/>
  <c r="E513" i="3"/>
  <c r="E514" i="3"/>
  <c r="E515" i="3"/>
  <c r="E516" i="3"/>
  <c r="E517" i="3"/>
  <c r="E518" i="3"/>
  <c r="E519" i="3"/>
  <c r="E520" i="3"/>
  <c r="E521" i="3"/>
  <c r="E522" i="3"/>
  <c r="E523" i="3"/>
  <c r="E524" i="3"/>
  <c r="E525" i="3"/>
  <c r="E526" i="3"/>
  <c r="E527" i="3"/>
  <c r="E528" i="3"/>
  <c r="E529" i="3"/>
  <c r="E530" i="3"/>
  <c r="E531" i="3"/>
  <c r="E532" i="3"/>
  <c r="E533" i="3"/>
  <c r="E534" i="3"/>
  <c r="E535" i="3"/>
  <c r="E536" i="3"/>
  <c r="E537" i="3"/>
  <c r="E538" i="3"/>
  <c r="E539" i="3"/>
  <c r="E540" i="3"/>
  <c r="E541" i="3"/>
  <c r="E542" i="3"/>
  <c r="E543" i="3"/>
  <c r="E544" i="3"/>
  <c r="E545" i="3"/>
  <c r="E546" i="3"/>
  <c r="E547" i="3"/>
  <c r="E548" i="3"/>
  <c r="E549" i="3"/>
  <c r="E550" i="3"/>
  <c r="E551" i="3"/>
  <c r="E552" i="3"/>
  <c r="E553" i="3"/>
  <c r="E554" i="3"/>
  <c r="E555" i="3"/>
  <c r="E556" i="3"/>
  <c r="E557" i="3"/>
  <c r="E558" i="3"/>
  <c r="E559" i="3"/>
  <c r="E560" i="3"/>
  <c r="E561" i="3"/>
  <c r="E562" i="3"/>
  <c r="E563" i="3"/>
  <c r="E564" i="3"/>
  <c r="E565" i="3"/>
  <c r="E566" i="3"/>
  <c r="E567" i="3"/>
  <c r="E568" i="3"/>
  <c r="E569" i="3"/>
  <c r="E570" i="3"/>
  <c r="E571" i="3"/>
  <c r="E572" i="3"/>
  <c r="E573" i="3"/>
  <c r="E574" i="3"/>
  <c r="E575" i="3"/>
  <c r="E576" i="3"/>
  <c r="E577" i="3"/>
  <c r="E578" i="3"/>
  <c r="E579" i="3"/>
  <c r="E580" i="3"/>
  <c r="E581" i="3"/>
  <c r="E582" i="3"/>
  <c r="E583" i="3"/>
  <c r="E584" i="3"/>
  <c r="E585" i="3"/>
  <c r="E586" i="3"/>
  <c r="E587" i="3"/>
  <c r="E588" i="3"/>
  <c r="E589" i="3"/>
  <c r="E590" i="3"/>
  <c r="E591" i="3"/>
  <c r="E592" i="3"/>
  <c r="E593" i="3"/>
  <c r="E594" i="3"/>
  <c r="E595" i="3"/>
  <c r="E596" i="3"/>
  <c r="E597" i="3"/>
  <c r="E598" i="3"/>
  <c r="E599" i="3"/>
  <c r="E600" i="3"/>
  <c r="E601" i="3"/>
  <c r="E602" i="3"/>
  <c r="E603" i="3"/>
  <c r="E604" i="3"/>
  <c r="E605" i="3"/>
  <c r="E606" i="3"/>
  <c r="E607" i="3"/>
  <c r="E608" i="3"/>
  <c r="E609" i="3"/>
  <c r="E610" i="3"/>
  <c r="E611" i="3"/>
  <c r="E612" i="3"/>
  <c r="E613" i="3"/>
  <c r="E614" i="3"/>
  <c r="E615" i="3"/>
  <c r="E616" i="3"/>
  <c r="E617" i="3"/>
  <c r="E618" i="3"/>
  <c r="E619" i="3"/>
  <c r="E620" i="3"/>
  <c r="E621" i="3"/>
  <c r="E622" i="3"/>
  <c r="E623" i="3"/>
  <c r="E624" i="3"/>
  <c r="E625" i="3"/>
  <c r="E626" i="3"/>
  <c r="E627" i="3"/>
  <c r="E628" i="3"/>
  <c r="E629" i="3"/>
  <c r="E630" i="3"/>
  <c r="E631" i="3"/>
  <c r="E632" i="3"/>
  <c r="E633" i="3"/>
  <c r="E634" i="3"/>
  <c r="E635" i="3"/>
  <c r="E636" i="3"/>
  <c r="E637" i="3"/>
  <c r="E638" i="3"/>
  <c r="E639" i="3"/>
  <c r="E640" i="3"/>
  <c r="E641" i="3"/>
  <c r="E642" i="3"/>
  <c r="E643" i="3"/>
  <c r="E644" i="3"/>
  <c r="E645" i="3"/>
  <c r="E646" i="3"/>
  <c r="E647" i="3"/>
  <c r="E648" i="3"/>
  <c r="E649" i="3"/>
  <c r="E650" i="3"/>
  <c r="E651" i="3"/>
  <c r="E652" i="3"/>
  <c r="E653" i="3"/>
  <c r="E654" i="3"/>
  <c r="E655" i="3"/>
  <c r="E656" i="3"/>
  <c r="E657" i="3"/>
  <c r="E658" i="3"/>
  <c r="E659" i="3"/>
  <c r="E660" i="3"/>
  <c r="E661" i="3"/>
  <c r="E662" i="3"/>
  <c r="E663" i="3"/>
  <c r="E664" i="3"/>
  <c r="E665" i="3"/>
  <c r="E666" i="3"/>
  <c r="E667" i="3"/>
  <c r="E668" i="3"/>
  <c r="E669" i="3"/>
  <c r="E670" i="3"/>
  <c r="E671" i="3"/>
  <c r="E672" i="3"/>
  <c r="E673" i="3"/>
  <c r="E674" i="3"/>
  <c r="E675" i="3"/>
  <c r="E676" i="3"/>
  <c r="E677" i="3"/>
  <c r="E678" i="3"/>
  <c r="E679" i="3"/>
  <c r="E680" i="3"/>
  <c r="E681" i="3"/>
  <c r="E682" i="3"/>
  <c r="E683" i="3"/>
  <c r="E684" i="3"/>
  <c r="E685" i="3"/>
  <c r="E686" i="3"/>
  <c r="E687" i="3"/>
  <c r="E688" i="3"/>
  <c r="E689" i="3"/>
  <c r="E690" i="3"/>
  <c r="E691" i="3"/>
  <c r="E692" i="3"/>
  <c r="E693" i="3"/>
  <c r="E694" i="3"/>
  <c r="E695" i="3"/>
  <c r="E696" i="3"/>
  <c r="E697" i="3"/>
  <c r="E698" i="3"/>
  <c r="E699" i="3"/>
  <c r="E700" i="3"/>
  <c r="E701" i="3"/>
  <c r="E702" i="3"/>
  <c r="E703" i="3"/>
  <c r="E704" i="3"/>
  <c r="E705" i="3"/>
  <c r="E706" i="3"/>
  <c r="E707" i="3"/>
  <c r="E708" i="3"/>
  <c r="E709" i="3"/>
  <c r="E710" i="3"/>
  <c r="E711" i="3"/>
  <c r="E712" i="3"/>
  <c r="E713" i="3"/>
  <c r="E714" i="3"/>
  <c r="E715" i="3"/>
  <c r="E716" i="3"/>
  <c r="E717" i="3"/>
  <c r="E718" i="3"/>
  <c r="E719" i="3"/>
  <c r="E720" i="3"/>
  <c r="E721" i="3"/>
  <c r="E722" i="3"/>
  <c r="E723" i="3"/>
  <c r="E724" i="3"/>
  <c r="E725" i="3"/>
  <c r="E726" i="3"/>
  <c r="E727" i="3"/>
  <c r="E728" i="3"/>
  <c r="E729" i="3"/>
  <c r="E730" i="3"/>
  <c r="E731" i="3"/>
  <c r="E732" i="3"/>
  <c r="E733" i="3"/>
  <c r="E734" i="3"/>
  <c r="E735" i="3"/>
  <c r="E736" i="3"/>
  <c r="E737" i="3"/>
  <c r="E738" i="3"/>
  <c r="E739" i="3"/>
  <c r="E740" i="3"/>
  <c r="E741" i="3"/>
  <c r="E742" i="3"/>
  <c r="E743" i="3"/>
  <c r="E744" i="3"/>
  <c r="E745" i="3"/>
  <c r="E746" i="3"/>
  <c r="E747" i="3"/>
  <c r="E748" i="3"/>
  <c r="E749" i="3"/>
  <c r="E750" i="3"/>
  <c r="E751" i="3"/>
  <c r="E752" i="3"/>
  <c r="E753" i="3"/>
  <c r="E754" i="3"/>
  <c r="E755" i="3"/>
  <c r="E756" i="3"/>
  <c r="E757" i="3"/>
  <c r="E758" i="3"/>
  <c r="E759" i="3"/>
  <c r="E760" i="3"/>
  <c r="E761" i="3"/>
  <c r="E762" i="3"/>
  <c r="E763" i="3"/>
  <c r="E764" i="3"/>
  <c r="E765" i="3"/>
  <c r="E766" i="3"/>
  <c r="E767" i="3"/>
  <c r="E768" i="3"/>
  <c r="E769" i="3"/>
  <c r="E770" i="3"/>
  <c r="E771" i="3"/>
  <c r="E772" i="3"/>
  <c r="E773" i="3"/>
  <c r="E774" i="3"/>
  <c r="E775" i="3"/>
  <c r="E776" i="3"/>
  <c r="E777" i="3"/>
  <c r="E778" i="3"/>
  <c r="E779" i="3"/>
  <c r="E780" i="3"/>
  <c r="E781" i="3"/>
  <c r="E782" i="3"/>
  <c r="E783" i="3"/>
  <c r="E784" i="3"/>
  <c r="E785" i="3"/>
  <c r="E786" i="3"/>
  <c r="E787" i="3"/>
  <c r="E788" i="3"/>
  <c r="E789" i="3"/>
  <c r="E790" i="3"/>
  <c r="E791" i="3"/>
  <c r="E792" i="3"/>
  <c r="E793" i="3"/>
  <c r="E794" i="3"/>
  <c r="E795" i="3"/>
  <c r="E796" i="3"/>
  <c r="E797" i="3"/>
  <c r="E798" i="3"/>
  <c r="E799" i="3"/>
  <c r="E800" i="3"/>
  <c r="E801" i="3"/>
  <c r="E802" i="3"/>
  <c r="E803" i="3"/>
  <c r="E804" i="3"/>
  <c r="E805" i="3"/>
  <c r="E806" i="3"/>
  <c r="E807" i="3"/>
  <c r="E808" i="3"/>
  <c r="E809" i="3"/>
  <c r="E810" i="3"/>
  <c r="E811" i="3"/>
  <c r="E812" i="3"/>
  <c r="E813" i="3"/>
  <c r="E814" i="3"/>
  <c r="E815" i="3"/>
  <c r="E816" i="3"/>
  <c r="E817" i="3"/>
  <c r="E818" i="3"/>
  <c r="E819" i="3"/>
  <c r="E820" i="3"/>
  <c r="E821" i="3"/>
  <c r="E822" i="3"/>
  <c r="E823" i="3"/>
  <c r="E824" i="3"/>
  <c r="E825" i="3"/>
  <c r="E826" i="3"/>
  <c r="E827" i="3"/>
  <c r="E828" i="3"/>
  <c r="E829" i="3"/>
  <c r="E830" i="3"/>
  <c r="E831" i="3"/>
  <c r="E832" i="3"/>
  <c r="E833" i="3"/>
  <c r="E834" i="3"/>
  <c r="E835" i="3"/>
  <c r="E836" i="3"/>
  <c r="E837" i="3"/>
  <c r="E838" i="3"/>
  <c r="E839" i="3"/>
  <c r="E840" i="3"/>
  <c r="E841" i="3"/>
  <c r="E842" i="3"/>
  <c r="E843" i="3"/>
  <c r="E844" i="3"/>
  <c r="E845" i="3"/>
  <c r="E846" i="3"/>
  <c r="E847" i="3"/>
  <c r="E848" i="3"/>
  <c r="E849" i="3"/>
  <c r="E850" i="3"/>
  <c r="E851" i="3"/>
  <c r="E852" i="3"/>
  <c r="E853" i="3"/>
  <c r="E854" i="3"/>
  <c r="E855" i="3"/>
  <c r="E856" i="3"/>
  <c r="E857" i="3"/>
  <c r="E858" i="3"/>
  <c r="E859" i="3"/>
  <c r="E860" i="3"/>
  <c r="E861" i="3"/>
  <c r="E862" i="3"/>
  <c r="E863" i="3"/>
  <c r="E864" i="3"/>
  <c r="E865" i="3"/>
  <c r="E866" i="3"/>
  <c r="E867" i="3"/>
  <c r="E868" i="3"/>
  <c r="E869" i="3"/>
  <c r="E870" i="3"/>
  <c r="E871" i="3"/>
  <c r="E872" i="3"/>
  <c r="E873" i="3"/>
  <c r="E874" i="3"/>
  <c r="E875" i="3"/>
  <c r="E876" i="3"/>
  <c r="E877" i="3"/>
  <c r="E878" i="3"/>
  <c r="E879" i="3"/>
  <c r="E880" i="3"/>
  <c r="E881" i="3"/>
  <c r="E882" i="3"/>
  <c r="E883" i="3"/>
  <c r="E884" i="3"/>
  <c r="E885" i="3"/>
  <c r="E886" i="3"/>
  <c r="E887" i="3"/>
  <c r="E888" i="3"/>
  <c r="E889" i="3"/>
  <c r="E890" i="3"/>
  <c r="E891" i="3"/>
  <c r="E892" i="3"/>
  <c r="E893" i="3"/>
  <c r="E894" i="3"/>
  <c r="E895" i="3"/>
  <c r="E896" i="3"/>
  <c r="E897" i="3"/>
  <c r="E898" i="3"/>
  <c r="E899" i="3"/>
  <c r="E900" i="3"/>
  <c r="E901" i="3"/>
  <c r="E902" i="3"/>
  <c r="E903" i="3"/>
  <c r="E904" i="3"/>
  <c r="E905" i="3"/>
  <c r="E906" i="3"/>
  <c r="E907" i="3"/>
  <c r="E908" i="3"/>
  <c r="E909" i="3"/>
  <c r="E910" i="3"/>
  <c r="E911" i="3"/>
  <c r="E912" i="3"/>
  <c r="E913" i="3"/>
  <c r="E914" i="3"/>
  <c r="E915" i="3"/>
  <c r="E916" i="3"/>
  <c r="E917" i="3"/>
  <c r="E918" i="3"/>
  <c r="E919" i="3"/>
  <c r="E920" i="3"/>
  <c r="E921" i="3"/>
  <c r="E922" i="3"/>
  <c r="E923" i="3"/>
  <c r="E924" i="3"/>
  <c r="E925" i="3"/>
  <c r="E926" i="3"/>
  <c r="E927" i="3"/>
  <c r="E928" i="3"/>
  <c r="E929" i="3"/>
  <c r="E930" i="3"/>
  <c r="E931" i="3"/>
  <c r="E932" i="3"/>
  <c r="E933" i="3"/>
  <c r="E934" i="3"/>
  <c r="E935" i="3"/>
  <c r="E936" i="3"/>
  <c r="E937" i="3"/>
  <c r="E938" i="3"/>
  <c r="E939" i="3"/>
  <c r="E940" i="3"/>
  <c r="E941" i="3"/>
  <c r="E942" i="3"/>
  <c r="E943" i="3"/>
  <c r="E944" i="3"/>
  <c r="E945" i="3"/>
  <c r="E946" i="3"/>
  <c r="E947" i="3"/>
  <c r="E948" i="3"/>
  <c r="E949" i="3"/>
  <c r="E950" i="3"/>
  <c r="E951" i="3"/>
  <c r="E952" i="3"/>
  <c r="E953" i="3"/>
  <c r="E954" i="3"/>
  <c r="E955" i="3"/>
  <c r="E956" i="3"/>
  <c r="E957" i="3"/>
  <c r="E958" i="3"/>
  <c r="E959" i="3"/>
  <c r="E960" i="3"/>
  <c r="E961" i="3"/>
  <c r="E962" i="3"/>
  <c r="E963" i="3"/>
  <c r="E964" i="3"/>
  <c r="E965" i="3"/>
  <c r="E966" i="3"/>
  <c r="E967" i="3"/>
  <c r="E968" i="3"/>
  <c r="E969" i="3"/>
  <c r="E970" i="3"/>
  <c r="E971" i="3"/>
  <c r="E972" i="3"/>
  <c r="E973" i="3"/>
  <c r="E974" i="3"/>
  <c r="E975" i="3"/>
  <c r="E976" i="3"/>
  <c r="E977" i="3"/>
  <c r="E978" i="3"/>
  <c r="E979" i="3"/>
  <c r="E980" i="3"/>
  <c r="E981" i="3"/>
  <c r="E982" i="3"/>
  <c r="E983" i="3"/>
  <c r="E984" i="3"/>
  <c r="E985" i="3"/>
  <c r="E986" i="3"/>
  <c r="E987" i="3"/>
  <c r="E988" i="3"/>
  <c r="E989" i="3"/>
  <c r="E990" i="3"/>
  <c r="E991" i="3"/>
  <c r="E992" i="3"/>
  <c r="E993" i="3"/>
  <c r="E994" i="3"/>
  <c r="E995" i="3"/>
  <c r="E996" i="3"/>
  <c r="E997" i="3"/>
  <c r="E998" i="3"/>
  <c r="E999" i="3"/>
  <c r="E1000" i="3"/>
  <c r="E1001" i="3"/>
  <c r="E1002" i="3"/>
  <c r="E1003" i="3"/>
  <c r="E1004" i="3"/>
  <c r="E1005" i="3"/>
  <c r="E1006" i="3"/>
  <c r="E1007" i="3"/>
  <c r="E1008" i="3"/>
  <c r="E1009" i="3"/>
  <c r="E1010" i="3"/>
  <c r="E1011" i="3"/>
  <c r="E1012" i="3"/>
  <c r="E1013" i="3"/>
  <c r="E1014" i="3"/>
  <c r="E1015" i="3"/>
  <c r="E1016" i="3"/>
  <c r="E1017" i="3"/>
  <c r="E1018" i="3"/>
  <c r="E1019" i="3"/>
  <c r="E1020" i="3"/>
  <c r="E1021" i="3"/>
  <c r="E1022" i="3"/>
  <c r="E1023" i="3"/>
  <c r="E1024" i="3"/>
  <c r="E1025" i="3"/>
  <c r="E1026" i="3"/>
  <c r="E1027" i="3"/>
  <c r="E1028" i="3"/>
  <c r="E1029" i="3"/>
  <c r="E1030" i="3"/>
  <c r="E1031" i="3"/>
  <c r="E1032" i="3"/>
  <c r="E1033" i="3"/>
  <c r="E1034" i="3"/>
  <c r="E1035" i="3"/>
  <c r="E1036" i="3"/>
  <c r="E1037" i="3"/>
  <c r="E1038" i="3"/>
  <c r="E1039" i="3"/>
  <c r="E1040" i="3"/>
  <c r="E1041" i="3"/>
  <c r="E1042" i="3"/>
  <c r="E1043" i="3"/>
  <c r="E1044" i="3"/>
  <c r="E1045" i="3"/>
  <c r="E1046" i="3"/>
  <c r="E1047" i="3"/>
  <c r="E1048" i="3"/>
  <c r="E1049" i="3"/>
  <c r="E1050" i="3"/>
  <c r="E1051" i="3"/>
  <c r="E1052" i="3"/>
  <c r="E1053" i="3"/>
  <c r="E1054" i="3"/>
  <c r="E1055" i="3"/>
  <c r="E1056" i="3"/>
  <c r="E1057" i="3"/>
  <c r="E1058" i="3"/>
  <c r="E1059" i="3"/>
  <c r="E1060" i="3"/>
  <c r="E1061" i="3"/>
  <c r="E1062" i="3"/>
  <c r="E1063" i="3"/>
  <c r="E1064" i="3"/>
  <c r="E1065" i="3"/>
  <c r="E1066" i="3"/>
  <c r="E1067" i="3"/>
  <c r="E1068" i="3"/>
  <c r="E1069" i="3"/>
  <c r="E1070" i="3"/>
  <c r="E1071" i="3"/>
  <c r="E1072" i="3"/>
  <c r="E1073" i="3"/>
  <c r="E1074" i="3"/>
  <c r="E1075" i="3"/>
  <c r="E1076" i="3"/>
  <c r="E1077" i="3"/>
  <c r="E1078" i="3"/>
  <c r="E1079" i="3"/>
  <c r="E1080" i="3"/>
  <c r="E1081" i="3"/>
  <c r="E1082" i="3"/>
  <c r="E1083" i="3"/>
  <c r="E1084" i="3"/>
  <c r="E1085" i="3"/>
  <c r="E1086" i="3"/>
  <c r="E1087" i="3"/>
  <c r="E1088" i="3"/>
  <c r="E1089" i="3"/>
  <c r="E1090" i="3"/>
  <c r="E1091" i="3"/>
  <c r="E1092" i="3"/>
  <c r="E1093" i="3"/>
  <c r="E1094" i="3"/>
  <c r="E1095" i="3"/>
  <c r="E1096" i="3"/>
  <c r="E1097" i="3"/>
  <c r="E1098" i="3"/>
  <c r="E1099" i="3"/>
  <c r="E1100" i="3"/>
  <c r="E1101" i="3"/>
  <c r="E1102" i="3"/>
  <c r="E1103" i="3"/>
  <c r="E1104" i="3"/>
  <c r="E1105" i="3"/>
  <c r="E1106" i="3"/>
  <c r="E1107" i="3"/>
  <c r="E1108" i="3"/>
  <c r="E1109" i="3"/>
  <c r="E1110" i="3"/>
  <c r="E1111" i="3"/>
  <c r="E1112" i="3"/>
  <c r="E1113" i="3"/>
  <c r="E1114" i="3"/>
  <c r="E1115" i="3"/>
  <c r="E1116" i="3"/>
  <c r="E1117" i="3"/>
  <c r="E1118" i="3"/>
  <c r="E1119" i="3"/>
  <c r="E1120" i="3"/>
  <c r="E1121" i="3"/>
  <c r="E1122" i="3"/>
  <c r="E1123" i="3"/>
  <c r="E1124" i="3"/>
  <c r="E1125" i="3"/>
  <c r="E1126" i="3"/>
  <c r="E1127" i="3"/>
  <c r="E1128" i="3"/>
  <c r="E1129" i="3"/>
  <c r="E1130" i="3"/>
  <c r="E1131" i="3"/>
  <c r="E1132" i="3"/>
  <c r="E1133" i="3"/>
  <c r="E1134" i="3"/>
  <c r="E1135" i="3"/>
  <c r="E1136" i="3"/>
  <c r="E1137" i="3"/>
  <c r="E1138" i="3"/>
  <c r="E1139" i="3"/>
  <c r="E1140" i="3"/>
  <c r="E1141" i="3"/>
  <c r="E1142" i="3"/>
  <c r="E1143" i="3"/>
  <c r="E1144" i="3"/>
  <c r="E1145" i="3"/>
  <c r="E1146" i="3"/>
  <c r="E1147" i="3"/>
  <c r="E1148" i="3"/>
  <c r="E1149" i="3"/>
  <c r="E1150" i="3"/>
  <c r="E1151" i="3"/>
  <c r="E1152" i="3"/>
  <c r="E1153" i="3"/>
  <c r="E1154" i="3"/>
  <c r="E1155" i="3"/>
  <c r="E1156" i="3"/>
  <c r="E1157" i="3"/>
  <c r="E1158" i="3"/>
  <c r="E1159" i="3"/>
  <c r="E1160" i="3"/>
  <c r="E1161" i="3"/>
  <c r="E1162" i="3"/>
  <c r="E1163" i="3"/>
  <c r="E1164" i="3"/>
  <c r="E1165" i="3"/>
  <c r="E1166" i="3"/>
  <c r="E1167" i="3"/>
  <c r="E1168" i="3"/>
  <c r="E1169" i="3"/>
  <c r="E1170" i="3"/>
  <c r="E1171" i="3"/>
  <c r="E1172" i="3"/>
  <c r="E1173" i="3"/>
  <c r="E1174" i="3"/>
  <c r="E1175" i="3"/>
  <c r="E1176" i="3"/>
  <c r="E1177" i="3"/>
  <c r="E1178" i="3"/>
  <c r="E1179" i="3"/>
  <c r="E1180" i="3"/>
  <c r="E1181" i="3"/>
  <c r="E1182" i="3"/>
  <c r="E1183" i="3"/>
  <c r="E1184" i="3"/>
  <c r="E1185" i="3"/>
  <c r="E1186" i="3"/>
  <c r="E1187" i="3"/>
  <c r="E1188" i="3"/>
  <c r="E1189" i="3"/>
  <c r="E1190" i="3"/>
  <c r="E1191" i="3"/>
  <c r="E1192" i="3"/>
  <c r="E1193" i="3"/>
  <c r="E1194" i="3"/>
  <c r="E1195" i="3"/>
  <c r="E1196" i="3"/>
  <c r="E1197" i="3"/>
  <c r="E1198" i="3"/>
  <c r="E1199" i="3"/>
  <c r="E1200" i="3"/>
  <c r="E1201" i="3"/>
  <c r="E1202" i="3"/>
  <c r="E1203" i="3"/>
  <c r="E1204" i="3"/>
  <c r="E1205" i="3"/>
  <c r="E1206" i="3"/>
  <c r="E1207" i="3"/>
  <c r="E1208" i="3"/>
  <c r="E1209" i="3"/>
  <c r="E1210" i="3"/>
  <c r="E1211" i="3"/>
  <c r="E1212" i="3"/>
  <c r="E1213" i="3"/>
  <c r="E1214" i="3"/>
  <c r="E1215" i="3"/>
  <c r="E1216" i="3"/>
  <c r="E1217" i="3"/>
  <c r="E1218" i="3"/>
  <c r="E1219" i="3"/>
  <c r="E1220" i="3"/>
  <c r="E1221" i="3"/>
  <c r="E1222" i="3"/>
  <c r="E1223" i="3"/>
  <c r="E1224" i="3"/>
  <c r="E1225" i="3"/>
  <c r="E1226" i="3"/>
  <c r="E1227" i="3"/>
  <c r="E1228" i="3"/>
  <c r="E1229" i="3"/>
  <c r="E1230" i="3"/>
  <c r="E1231" i="3"/>
  <c r="E1232" i="3"/>
  <c r="E1233" i="3"/>
  <c r="E1234" i="3"/>
  <c r="E1235" i="3"/>
  <c r="E1236" i="3"/>
  <c r="E1237" i="3"/>
  <c r="E1238" i="3"/>
  <c r="E1239" i="3"/>
  <c r="E1240" i="3"/>
  <c r="E1241" i="3"/>
  <c r="E1242" i="3"/>
  <c r="E1243" i="3"/>
  <c r="E1244" i="3"/>
  <c r="E1245" i="3"/>
  <c r="E1246" i="3"/>
  <c r="E1247" i="3"/>
  <c r="E1248" i="3"/>
  <c r="E1249" i="3"/>
  <c r="E1250" i="3"/>
  <c r="E1251" i="3"/>
  <c r="E1252" i="3"/>
  <c r="E1253" i="3"/>
  <c r="E1254" i="3"/>
  <c r="E1255" i="3"/>
  <c r="E1256" i="3"/>
  <c r="E1257" i="3"/>
  <c r="E1258" i="3"/>
  <c r="E1259" i="3"/>
  <c r="E1260" i="3"/>
  <c r="E1261" i="3"/>
  <c r="E1262" i="3"/>
  <c r="E1263" i="3"/>
  <c r="E1264" i="3"/>
  <c r="E1265" i="3"/>
  <c r="E1266" i="3"/>
  <c r="E1267" i="3"/>
  <c r="E1268" i="3"/>
  <c r="E1269" i="3"/>
  <c r="E1270" i="3"/>
  <c r="E1271" i="3"/>
  <c r="E1272" i="3"/>
  <c r="E1273" i="3"/>
  <c r="E1274" i="3"/>
  <c r="E1275" i="3"/>
  <c r="E1276" i="3"/>
  <c r="E1277" i="3"/>
  <c r="E1278" i="3"/>
  <c r="E1279" i="3"/>
  <c r="E1280" i="3"/>
  <c r="E1281" i="3"/>
  <c r="E1282" i="3"/>
  <c r="E1283" i="3"/>
  <c r="E1284" i="3"/>
  <c r="E1285" i="3"/>
  <c r="E1286" i="3"/>
  <c r="E1287" i="3"/>
  <c r="E1288" i="3"/>
  <c r="E1289" i="3"/>
  <c r="E1290" i="3"/>
  <c r="E1291" i="3"/>
  <c r="E1292" i="3"/>
  <c r="E1293" i="3"/>
  <c r="E1294" i="3"/>
  <c r="E1295" i="3"/>
  <c r="E1296" i="3"/>
  <c r="E1297" i="3"/>
  <c r="E1298" i="3"/>
  <c r="E1299" i="3"/>
  <c r="E1300" i="3"/>
  <c r="E1301" i="3"/>
  <c r="E1302" i="3"/>
  <c r="E1303" i="3"/>
  <c r="E1304" i="3"/>
  <c r="E1305" i="3"/>
  <c r="E1306" i="3"/>
  <c r="E1307" i="3"/>
  <c r="E1308" i="3"/>
  <c r="E1309" i="3"/>
  <c r="E1310" i="3"/>
  <c r="E1311" i="3"/>
  <c r="E1312" i="3"/>
  <c r="E1313" i="3"/>
  <c r="E1314" i="3"/>
  <c r="E1315" i="3"/>
  <c r="E1316" i="3"/>
  <c r="E1317" i="3"/>
  <c r="E1318" i="3"/>
  <c r="E1319" i="3"/>
  <c r="E1320" i="3"/>
  <c r="E1321" i="3"/>
  <c r="E1322" i="3"/>
  <c r="E1323" i="3"/>
  <c r="E1324" i="3"/>
  <c r="E1325" i="3"/>
  <c r="E1326" i="3"/>
  <c r="E1327" i="3"/>
  <c r="E1328" i="3"/>
  <c r="E1329" i="3"/>
  <c r="E1330" i="3"/>
  <c r="E1331" i="3"/>
  <c r="E1332" i="3"/>
  <c r="E1333" i="3"/>
  <c r="E1334" i="3"/>
  <c r="E1335" i="3"/>
  <c r="E1336" i="3"/>
  <c r="E1337" i="3"/>
  <c r="E1338" i="3"/>
  <c r="E1339" i="3"/>
  <c r="E1340" i="3"/>
  <c r="E1341" i="3"/>
  <c r="E1342" i="3"/>
  <c r="E1343" i="3"/>
  <c r="E1344" i="3"/>
  <c r="E1345" i="3"/>
  <c r="E1346" i="3"/>
  <c r="E1347" i="3"/>
  <c r="E1348" i="3"/>
  <c r="E1349" i="3"/>
  <c r="E1350" i="3"/>
  <c r="E1351" i="3"/>
  <c r="E1352" i="3"/>
  <c r="E1353" i="3"/>
  <c r="E1354" i="3"/>
  <c r="E1355" i="3"/>
  <c r="E1356" i="3"/>
  <c r="E1357" i="3"/>
  <c r="E1358" i="3"/>
  <c r="E1359" i="3"/>
  <c r="E1360" i="3"/>
  <c r="E1361" i="3"/>
  <c r="E1362" i="3"/>
  <c r="E1363" i="3"/>
  <c r="E1364" i="3"/>
  <c r="E1365" i="3"/>
  <c r="E1366" i="3"/>
  <c r="E1367" i="3"/>
  <c r="E1368" i="3"/>
  <c r="E1369" i="3"/>
  <c r="E1370" i="3"/>
  <c r="E1371" i="3"/>
  <c r="E1372" i="3"/>
  <c r="E1373" i="3"/>
  <c r="E1374" i="3"/>
  <c r="E1375" i="3"/>
  <c r="E1376" i="3"/>
  <c r="E1377" i="3"/>
  <c r="E1378" i="3"/>
  <c r="E1379" i="3"/>
  <c r="E1380" i="3"/>
  <c r="E1381" i="3"/>
  <c r="E1382" i="3"/>
  <c r="E1383" i="3"/>
  <c r="E1384" i="3"/>
  <c r="E1385" i="3"/>
  <c r="E1386" i="3"/>
  <c r="E1387" i="3"/>
  <c r="E1388" i="3"/>
  <c r="E1389" i="3"/>
  <c r="E1390" i="3"/>
  <c r="E1391" i="3"/>
  <c r="E1392" i="3"/>
  <c r="E1393" i="3"/>
  <c r="E1394" i="3"/>
  <c r="E1395" i="3"/>
  <c r="E1396" i="3"/>
  <c r="E1397" i="3"/>
  <c r="E1398" i="3"/>
  <c r="E1399" i="3"/>
  <c r="E1400" i="3"/>
  <c r="E1401" i="3"/>
  <c r="E1402" i="3"/>
  <c r="E1403" i="3"/>
  <c r="E1404" i="3"/>
  <c r="E1405" i="3"/>
  <c r="E1406" i="3"/>
  <c r="E1407" i="3"/>
  <c r="E1408" i="3"/>
  <c r="E1409" i="3"/>
  <c r="E1410" i="3"/>
  <c r="E1411" i="3"/>
  <c r="E1412" i="3"/>
  <c r="E1413" i="3"/>
  <c r="E1414" i="3"/>
  <c r="E1415" i="3"/>
  <c r="E1416" i="3"/>
  <c r="E1417" i="3"/>
  <c r="E1418" i="3"/>
  <c r="E1419" i="3"/>
  <c r="E1420" i="3"/>
  <c r="E1421" i="3"/>
  <c r="E1422" i="3"/>
  <c r="E1423" i="3"/>
  <c r="E1424" i="3"/>
  <c r="E1425" i="3"/>
  <c r="E1426" i="3"/>
  <c r="E1427" i="3"/>
  <c r="E1428" i="3"/>
  <c r="E1429" i="3"/>
  <c r="E1430" i="3"/>
  <c r="E1431" i="3"/>
  <c r="E1432" i="3"/>
  <c r="E1433" i="3"/>
  <c r="E1434" i="3"/>
  <c r="E1435" i="3"/>
  <c r="E1436" i="3"/>
  <c r="E1437" i="3"/>
  <c r="E1438" i="3"/>
  <c r="E1439" i="3"/>
  <c r="E1440" i="3"/>
  <c r="E1441" i="3"/>
  <c r="E1442" i="3"/>
  <c r="E1443" i="3"/>
  <c r="E1444" i="3"/>
  <c r="E1445" i="3"/>
  <c r="E1446" i="3"/>
  <c r="E1447" i="3"/>
  <c r="E1448" i="3"/>
  <c r="E1449" i="3"/>
  <c r="E1450" i="3"/>
  <c r="E1451" i="3"/>
  <c r="E1452" i="3"/>
  <c r="E1453" i="3"/>
  <c r="E1454" i="3"/>
  <c r="E1455" i="3"/>
  <c r="E1456" i="3"/>
  <c r="E1457" i="3"/>
  <c r="E1458" i="3"/>
  <c r="E1459" i="3"/>
  <c r="E1460" i="3"/>
  <c r="E1461" i="3"/>
  <c r="E1462" i="3"/>
  <c r="E1463" i="3"/>
  <c r="E1464" i="3"/>
  <c r="E1465" i="3"/>
  <c r="E1466" i="3"/>
  <c r="E1467" i="3"/>
  <c r="E1468" i="3"/>
  <c r="E1469" i="3"/>
  <c r="E1470" i="3"/>
  <c r="E1471" i="3"/>
  <c r="E1472" i="3"/>
  <c r="E1473" i="3"/>
  <c r="E1474" i="3"/>
  <c r="E1475" i="3"/>
  <c r="E1476" i="3"/>
  <c r="E1477" i="3"/>
  <c r="E1478" i="3"/>
  <c r="E1479" i="3"/>
  <c r="E1480" i="3"/>
  <c r="E1481" i="3"/>
  <c r="E1482" i="3"/>
  <c r="E1483" i="3"/>
  <c r="E1484" i="3"/>
  <c r="E1485" i="3"/>
  <c r="E1486" i="3"/>
  <c r="E1487" i="3"/>
  <c r="E1488" i="3"/>
  <c r="E1489" i="3"/>
  <c r="E1490" i="3"/>
  <c r="E1491" i="3"/>
  <c r="E1492" i="3"/>
  <c r="E1493" i="3"/>
  <c r="E1494" i="3"/>
  <c r="E1495" i="3"/>
  <c r="E1496" i="3"/>
  <c r="E1497" i="3"/>
  <c r="E1498" i="3"/>
  <c r="E1499" i="3"/>
  <c r="E1500" i="3"/>
  <c r="E1501" i="3"/>
  <c r="E1502" i="3"/>
  <c r="E1503" i="3"/>
  <c r="E1504" i="3"/>
  <c r="E1505" i="3"/>
  <c r="E1506" i="3"/>
  <c r="E1507" i="3"/>
  <c r="E1508" i="3"/>
  <c r="E1509" i="3"/>
  <c r="E1510" i="3"/>
  <c r="E1511" i="3"/>
  <c r="E1512" i="3"/>
  <c r="E1513" i="3"/>
  <c r="E1514" i="3"/>
  <c r="E1515" i="3"/>
  <c r="E1516" i="3"/>
  <c r="E1517" i="3"/>
  <c r="E1518" i="3"/>
  <c r="E1519" i="3"/>
  <c r="E1520" i="3"/>
  <c r="E1521" i="3"/>
  <c r="E1522" i="3"/>
  <c r="E1523" i="3"/>
  <c r="E1524" i="3"/>
  <c r="E1525" i="3"/>
  <c r="E1526" i="3"/>
  <c r="E1527" i="3"/>
  <c r="E1528" i="3"/>
  <c r="E1529" i="3"/>
  <c r="E1530" i="3"/>
  <c r="E1531" i="3"/>
  <c r="E1532" i="3"/>
  <c r="E1533" i="3"/>
  <c r="E1534" i="3"/>
  <c r="E1535" i="3"/>
  <c r="E1536" i="3"/>
  <c r="E1537" i="3"/>
  <c r="E1538" i="3"/>
  <c r="E1539" i="3"/>
  <c r="E1540" i="3"/>
  <c r="E1541" i="3"/>
  <c r="E1542" i="3"/>
  <c r="E1543" i="3"/>
  <c r="E1544" i="3"/>
  <c r="E1545" i="3"/>
  <c r="E1546" i="3"/>
  <c r="E1547" i="3"/>
  <c r="E1548" i="3"/>
  <c r="E1549" i="3"/>
  <c r="E1550" i="3"/>
  <c r="E1551" i="3"/>
  <c r="E1552" i="3"/>
  <c r="E1553" i="3"/>
  <c r="E1554" i="3"/>
  <c r="E1555" i="3"/>
  <c r="E1556" i="3"/>
  <c r="E1557" i="3"/>
  <c r="E1558" i="3"/>
  <c r="E1559" i="3"/>
  <c r="E1560" i="3"/>
  <c r="E1561" i="3"/>
  <c r="E1562" i="3"/>
  <c r="E1563" i="3"/>
  <c r="E1564" i="3"/>
  <c r="E1565" i="3"/>
  <c r="E1566" i="3"/>
  <c r="E1567" i="3"/>
  <c r="E1568" i="3"/>
  <c r="E1569" i="3"/>
  <c r="E1570" i="3"/>
  <c r="E1571" i="3"/>
  <c r="E1572" i="3"/>
  <c r="E1573" i="3"/>
  <c r="E1574" i="3"/>
  <c r="E1575" i="3"/>
  <c r="E1576" i="3"/>
  <c r="E1577" i="3"/>
  <c r="E1578" i="3"/>
  <c r="E1579" i="3"/>
  <c r="E1580" i="3"/>
  <c r="E1581" i="3"/>
  <c r="E1582" i="3"/>
  <c r="E1583" i="3"/>
  <c r="E1584" i="3"/>
  <c r="E1585" i="3"/>
  <c r="E1586" i="3"/>
  <c r="E1587" i="3"/>
  <c r="E1588" i="3"/>
  <c r="E1589" i="3"/>
  <c r="E1590" i="3"/>
  <c r="E1591" i="3"/>
  <c r="E1592" i="3"/>
  <c r="E1593" i="3"/>
  <c r="E1594" i="3"/>
  <c r="E1595" i="3"/>
  <c r="E1596" i="3"/>
  <c r="E1597" i="3"/>
  <c r="E1598" i="3"/>
  <c r="E1599" i="3"/>
  <c r="E1600" i="3"/>
  <c r="E1601" i="3"/>
  <c r="E1602" i="3"/>
  <c r="E1603" i="3"/>
  <c r="E1604" i="3"/>
  <c r="E1605" i="3"/>
  <c r="E1606" i="3"/>
  <c r="E1607" i="3"/>
  <c r="E1608" i="3"/>
  <c r="E1609" i="3"/>
  <c r="E1610" i="3"/>
  <c r="E1611" i="3"/>
  <c r="E1612" i="3"/>
  <c r="E1613" i="3"/>
  <c r="E1614" i="3"/>
  <c r="E1615" i="3"/>
  <c r="E1616" i="3"/>
  <c r="E1617" i="3"/>
  <c r="E1618" i="3"/>
  <c r="E1619" i="3"/>
  <c r="E1620" i="3"/>
  <c r="E1621" i="3"/>
  <c r="E1622" i="3"/>
  <c r="E1623" i="3"/>
  <c r="E1624" i="3"/>
  <c r="E1625" i="3"/>
  <c r="E1626" i="3"/>
  <c r="E1627" i="3"/>
  <c r="E1628" i="3"/>
  <c r="E1629" i="3"/>
  <c r="E1630" i="3"/>
  <c r="E1631" i="3"/>
  <c r="E1632" i="3"/>
  <c r="E1633" i="3"/>
  <c r="E1634" i="3"/>
  <c r="E1635" i="3"/>
  <c r="E1636" i="3"/>
  <c r="E1637" i="3"/>
  <c r="E1638" i="3"/>
  <c r="E1639" i="3"/>
  <c r="E1640" i="3"/>
  <c r="E1641" i="3"/>
  <c r="E1642" i="3"/>
  <c r="E1643" i="3"/>
  <c r="E1644" i="3"/>
  <c r="E1645" i="3"/>
  <c r="E1646" i="3"/>
  <c r="E1647" i="3"/>
  <c r="E1648" i="3"/>
  <c r="E1649" i="3"/>
  <c r="E1650" i="3"/>
  <c r="E1651" i="3"/>
  <c r="E1652" i="3"/>
  <c r="E1653" i="3"/>
  <c r="E1654" i="3"/>
  <c r="E1655" i="3"/>
  <c r="E1656" i="3"/>
  <c r="E1657" i="3"/>
  <c r="E1658" i="3"/>
  <c r="E1659" i="3"/>
  <c r="E1660" i="3"/>
  <c r="E1661" i="3"/>
  <c r="E1662" i="3"/>
  <c r="E1663" i="3"/>
  <c r="E1664" i="3"/>
  <c r="E1665" i="3"/>
  <c r="E1666" i="3"/>
  <c r="E1667" i="3"/>
  <c r="E1668" i="3"/>
  <c r="E1669" i="3"/>
  <c r="E1670" i="3"/>
  <c r="E1671" i="3"/>
  <c r="E1672" i="3"/>
  <c r="E1673" i="3"/>
  <c r="E1674" i="3"/>
  <c r="E1675" i="3"/>
  <c r="E1676" i="3"/>
  <c r="E1677" i="3"/>
  <c r="E1678" i="3"/>
  <c r="E1679" i="3"/>
  <c r="E1680" i="3"/>
  <c r="E1681" i="3"/>
  <c r="E1682" i="3"/>
  <c r="E1683" i="3"/>
  <c r="E1684" i="3"/>
  <c r="E1685" i="3"/>
  <c r="E1686" i="3"/>
  <c r="E1687" i="3"/>
  <c r="E1688" i="3"/>
  <c r="E1689" i="3"/>
  <c r="E1690" i="3"/>
  <c r="E1691" i="3"/>
  <c r="E1692" i="3"/>
  <c r="E1693" i="3"/>
  <c r="E1694" i="3"/>
  <c r="E1695" i="3"/>
  <c r="E1696" i="3"/>
  <c r="E1697" i="3"/>
  <c r="E1698" i="3"/>
  <c r="E1699" i="3"/>
  <c r="E1700" i="3"/>
  <c r="E1701" i="3"/>
  <c r="E1702" i="3"/>
  <c r="E1703" i="3"/>
  <c r="E1704" i="3"/>
  <c r="E1705" i="3"/>
  <c r="E1706" i="3"/>
  <c r="E1707" i="3"/>
  <c r="E1708" i="3"/>
  <c r="E1709" i="3"/>
  <c r="E1710" i="3"/>
  <c r="E1711" i="3"/>
  <c r="E1712" i="3"/>
  <c r="E1713" i="3"/>
  <c r="E1714" i="3"/>
  <c r="E1715" i="3"/>
  <c r="E1716" i="3"/>
  <c r="E1717" i="3"/>
  <c r="E1718" i="3"/>
  <c r="E1719" i="3"/>
  <c r="E1720" i="3"/>
  <c r="E1721" i="3"/>
  <c r="E1722" i="3"/>
  <c r="E1723" i="3"/>
  <c r="E1724" i="3"/>
  <c r="E1725" i="3"/>
  <c r="E1726" i="3"/>
  <c r="E1727" i="3"/>
  <c r="E1728" i="3"/>
  <c r="E1729" i="3"/>
  <c r="E1730" i="3"/>
  <c r="E1731" i="3"/>
  <c r="E1732" i="3"/>
  <c r="E1733" i="3"/>
  <c r="E1734" i="3"/>
  <c r="E1735" i="3"/>
  <c r="E1736" i="3"/>
  <c r="E1737" i="3"/>
  <c r="E1738" i="3"/>
  <c r="E1739" i="3"/>
  <c r="E1740" i="3"/>
  <c r="E1741" i="3"/>
  <c r="E1742" i="3"/>
  <c r="E1743" i="3"/>
  <c r="E1744" i="3"/>
  <c r="E1745" i="3"/>
  <c r="E1746" i="3"/>
  <c r="E1747" i="3"/>
  <c r="E1748" i="3"/>
  <c r="E1749" i="3"/>
  <c r="E1750" i="3"/>
  <c r="E1751" i="3"/>
  <c r="E1752" i="3"/>
  <c r="E1753" i="3"/>
  <c r="E1754" i="3"/>
  <c r="E1755" i="3"/>
  <c r="E1756" i="3"/>
  <c r="E1757" i="3"/>
  <c r="E1758" i="3"/>
  <c r="E1759" i="3"/>
  <c r="E1760" i="3"/>
  <c r="E1761" i="3"/>
  <c r="E1762" i="3"/>
  <c r="E1763" i="3"/>
  <c r="E1764" i="3"/>
  <c r="E1765" i="3"/>
  <c r="E1766" i="3"/>
  <c r="E1767" i="3"/>
  <c r="E1768" i="3"/>
  <c r="E1769" i="3"/>
  <c r="E1770" i="3"/>
  <c r="E1771" i="3"/>
  <c r="E1772" i="3"/>
  <c r="E1773" i="3"/>
  <c r="E1774" i="3"/>
  <c r="E1775" i="3"/>
  <c r="E1776" i="3"/>
  <c r="E1777" i="3"/>
  <c r="E1778" i="3"/>
  <c r="E1779" i="3"/>
  <c r="E1780" i="3"/>
  <c r="E1781" i="3"/>
  <c r="E1782" i="3"/>
  <c r="E1783" i="3"/>
  <c r="E1784" i="3"/>
  <c r="E1785" i="3"/>
  <c r="E1786" i="3"/>
  <c r="E1787" i="3"/>
  <c r="E1788" i="3"/>
  <c r="E1789" i="3"/>
  <c r="E1790" i="3"/>
  <c r="E1791" i="3"/>
  <c r="E1792" i="3"/>
  <c r="E1793" i="3"/>
  <c r="E1794" i="3"/>
  <c r="E1795" i="3"/>
  <c r="E1796" i="3"/>
  <c r="E1797" i="3"/>
  <c r="E1798" i="3"/>
  <c r="E1799" i="3"/>
  <c r="E1800" i="3"/>
  <c r="E1801" i="3"/>
  <c r="E1802" i="3"/>
  <c r="E1803" i="3"/>
  <c r="E1804" i="3"/>
  <c r="E1805" i="3"/>
  <c r="E1806" i="3"/>
  <c r="E1807" i="3"/>
  <c r="E1808" i="3"/>
  <c r="E1809" i="3"/>
  <c r="E1810" i="3"/>
  <c r="E1811" i="3"/>
  <c r="E1812" i="3"/>
  <c r="E1813" i="3"/>
  <c r="E1814" i="3"/>
  <c r="E1815" i="3"/>
  <c r="E1816" i="3"/>
  <c r="E1817" i="3"/>
  <c r="E1818" i="3"/>
  <c r="E1819" i="3"/>
  <c r="E1820" i="3"/>
  <c r="E1821" i="3"/>
  <c r="E1822" i="3"/>
  <c r="E1823" i="3"/>
  <c r="E1824" i="3"/>
  <c r="E1825" i="3"/>
  <c r="E1826" i="3"/>
  <c r="E1827" i="3"/>
  <c r="E1828" i="3"/>
  <c r="E1829" i="3"/>
  <c r="E1830" i="3"/>
  <c r="E1831" i="3"/>
  <c r="E1832" i="3"/>
  <c r="E1833" i="3"/>
  <c r="E1834" i="3"/>
  <c r="E1835" i="3"/>
  <c r="E1836" i="3"/>
  <c r="E1837" i="3"/>
  <c r="E1838" i="3"/>
  <c r="E1839" i="3"/>
  <c r="E1840" i="3"/>
  <c r="E1841" i="3"/>
  <c r="E1842" i="3"/>
  <c r="E1843" i="3"/>
  <c r="E1844" i="3"/>
  <c r="E1845" i="3"/>
  <c r="E1846" i="3"/>
  <c r="E1847" i="3"/>
  <c r="E1848" i="3"/>
  <c r="E1849" i="3"/>
  <c r="E1850" i="3"/>
  <c r="E1851" i="3"/>
  <c r="E1852" i="3"/>
  <c r="E1853" i="3"/>
  <c r="E1854" i="3"/>
  <c r="E1855" i="3"/>
  <c r="E1856" i="3"/>
  <c r="E1857" i="3"/>
  <c r="E1858" i="3"/>
  <c r="E1859" i="3"/>
  <c r="E1860" i="3"/>
  <c r="E1861" i="3"/>
  <c r="E1862" i="3"/>
  <c r="E1863" i="3"/>
  <c r="E1864" i="3"/>
  <c r="E1865" i="3"/>
  <c r="E1866" i="3"/>
  <c r="E1867" i="3"/>
  <c r="E1868" i="3"/>
  <c r="E1869" i="3"/>
  <c r="E1870" i="3"/>
  <c r="E1871" i="3"/>
  <c r="E1872" i="3"/>
  <c r="E1873" i="3"/>
  <c r="E1874" i="3"/>
  <c r="E1875" i="3"/>
  <c r="E1876" i="3"/>
  <c r="E1877" i="3"/>
  <c r="E1878" i="3"/>
  <c r="E1879" i="3"/>
  <c r="E1880" i="3"/>
  <c r="E1881" i="3"/>
  <c r="E1882" i="3"/>
  <c r="E1883" i="3"/>
  <c r="E1884" i="3"/>
  <c r="E1885" i="3"/>
  <c r="E1886" i="3"/>
  <c r="E1887" i="3"/>
  <c r="E1888" i="3"/>
  <c r="E1889" i="3"/>
  <c r="E1890" i="3"/>
  <c r="E1891" i="3"/>
  <c r="E1892" i="3"/>
  <c r="E1893" i="3"/>
  <c r="E1894" i="3"/>
  <c r="E1895" i="3"/>
  <c r="E1896" i="3"/>
  <c r="E1897" i="3"/>
  <c r="E1898" i="3"/>
  <c r="E1899" i="3"/>
  <c r="E1900" i="3"/>
  <c r="E1901" i="3"/>
  <c r="E1902" i="3"/>
  <c r="E1903" i="3"/>
  <c r="E1904" i="3"/>
  <c r="E1905" i="3"/>
  <c r="E1906" i="3"/>
  <c r="E1907" i="3"/>
  <c r="E1908" i="3"/>
  <c r="E1909" i="3"/>
  <c r="E1910" i="3"/>
  <c r="E1911" i="3"/>
  <c r="E1912" i="3"/>
  <c r="E1913" i="3"/>
  <c r="E1914" i="3"/>
  <c r="E1915" i="3"/>
  <c r="E1916" i="3"/>
  <c r="E1917" i="3"/>
  <c r="E1918" i="3"/>
  <c r="E1919" i="3"/>
  <c r="E1920" i="3"/>
  <c r="E1921" i="3"/>
  <c r="E1922" i="3"/>
  <c r="E1923" i="3"/>
  <c r="E1924" i="3"/>
  <c r="E1925" i="3"/>
  <c r="E1926" i="3"/>
  <c r="E1927" i="3"/>
  <c r="E1928" i="3"/>
  <c r="E1929" i="3"/>
  <c r="E1930" i="3"/>
  <c r="E1931" i="3"/>
  <c r="E1932" i="3"/>
  <c r="E1933" i="3"/>
  <c r="E1934" i="3"/>
  <c r="E1935" i="3"/>
  <c r="E1936" i="3"/>
  <c r="E1937" i="3"/>
  <c r="E1938" i="3"/>
  <c r="E1939" i="3"/>
  <c r="E1940" i="3"/>
  <c r="E1941" i="3"/>
  <c r="E1942" i="3"/>
  <c r="E1943" i="3"/>
  <c r="E1944" i="3"/>
  <c r="E1945" i="3"/>
  <c r="E1946" i="3"/>
  <c r="E1947" i="3"/>
  <c r="E1948" i="3"/>
  <c r="E1949" i="3"/>
  <c r="E1950" i="3"/>
  <c r="E1951" i="3"/>
  <c r="E1952" i="3"/>
  <c r="E1953" i="3"/>
  <c r="E1954" i="3"/>
  <c r="E1955" i="3"/>
  <c r="E1956" i="3"/>
  <c r="E1957" i="3"/>
  <c r="E1958" i="3"/>
  <c r="E1959" i="3"/>
  <c r="E1960" i="3"/>
  <c r="E1961" i="3"/>
  <c r="E1962" i="3"/>
  <c r="E1963" i="3"/>
  <c r="E1964" i="3"/>
  <c r="E1965" i="3"/>
  <c r="E1966" i="3"/>
  <c r="E1967" i="3"/>
  <c r="E1968" i="3"/>
  <c r="E1969" i="3"/>
  <c r="E1970" i="3"/>
  <c r="E1971" i="3"/>
  <c r="E1972" i="3"/>
  <c r="E1973" i="3"/>
  <c r="E1974" i="3"/>
  <c r="E1975" i="3"/>
  <c r="E1976" i="3"/>
  <c r="E1977" i="3"/>
  <c r="E1978" i="3"/>
  <c r="E1979" i="3"/>
  <c r="E1980" i="3"/>
  <c r="E1981" i="3"/>
  <c r="E1982" i="3"/>
  <c r="E1983" i="3"/>
  <c r="E1984" i="3"/>
  <c r="E1985" i="3"/>
  <c r="E1986" i="3"/>
  <c r="E1987" i="3"/>
  <c r="E1988" i="3"/>
  <c r="E1989" i="3"/>
  <c r="E1990" i="3"/>
  <c r="E1991" i="3"/>
  <c r="E1992" i="3"/>
  <c r="E1993" i="3"/>
  <c r="E1994" i="3"/>
  <c r="E1995" i="3"/>
  <c r="E1996" i="3"/>
  <c r="E1997" i="3"/>
  <c r="E1998" i="3"/>
  <c r="E1999" i="3"/>
  <c r="E2000" i="3"/>
  <c r="E2001" i="3"/>
  <c r="E2002" i="3"/>
  <c r="E2003" i="3"/>
  <c r="E2004" i="3"/>
  <c r="E2005" i="3"/>
  <c r="E2006" i="3"/>
  <c r="E2007" i="3"/>
  <c r="E2008" i="3"/>
  <c r="E2009" i="3"/>
  <c r="E2010" i="3"/>
  <c r="E2011" i="3"/>
  <c r="E2012" i="3"/>
  <c r="E2013" i="3"/>
  <c r="E2014" i="3"/>
  <c r="E2015" i="3"/>
  <c r="E2016" i="3"/>
  <c r="E2017" i="3"/>
  <c r="E2018" i="3"/>
  <c r="E2019" i="3"/>
  <c r="E2020" i="3"/>
  <c r="E2021" i="3"/>
  <c r="E2022" i="3"/>
  <c r="E2023" i="3"/>
  <c r="E2024" i="3"/>
  <c r="E2025" i="3"/>
  <c r="E2026" i="3"/>
  <c r="E2027" i="3"/>
  <c r="E2028" i="3"/>
  <c r="E2029" i="3"/>
  <c r="E2030" i="3"/>
  <c r="E2031" i="3"/>
  <c r="E2032" i="3"/>
  <c r="E2033" i="3"/>
  <c r="E2034" i="3"/>
  <c r="E2035" i="3"/>
  <c r="E2036" i="3"/>
  <c r="E2037" i="3"/>
  <c r="E2038" i="3"/>
  <c r="E2039" i="3"/>
  <c r="E2040" i="3"/>
  <c r="E2041" i="3"/>
  <c r="E2042" i="3"/>
  <c r="E2043" i="3"/>
  <c r="E2044" i="3"/>
  <c r="E2045" i="3"/>
  <c r="E2046" i="3"/>
  <c r="E2047" i="3"/>
  <c r="E2048" i="3"/>
  <c r="E2049" i="3"/>
  <c r="E2050" i="3"/>
  <c r="E2051" i="3"/>
  <c r="E2052" i="3"/>
  <c r="E2053" i="3"/>
  <c r="E2054" i="3"/>
  <c r="E2055" i="3"/>
  <c r="E2056" i="3"/>
  <c r="E2057" i="3"/>
  <c r="E2058" i="3"/>
  <c r="E2059" i="3"/>
  <c r="E2060" i="3"/>
  <c r="E2061" i="3"/>
  <c r="E2062" i="3"/>
  <c r="E2063" i="3"/>
  <c r="E2064" i="3"/>
  <c r="E2065" i="3"/>
  <c r="E2066" i="3"/>
  <c r="E2067" i="3"/>
  <c r="E2068" i="3"/>
  <c r="E2069" i="3"/>
  <c r="E2070" i="3"/>
  <c r="E2071" i="3"/>
  <c r="E2072" i="3"/>
  <c r="E2073" i="3"/>
  <c r="E2074" i="3"/>
  <c r="E2075" i="3"/>
  <c r="E2076" i="3"/>
  <c r="E2077" i="3"/>
  <c r="E2078" i="3"/>
  <c r="E2079" i="3"/>
  <c r="E2080" i="3"/>
  <c r="E2081" i="3"/>
  <c r="E2082" i="3"/>
  <c r="E2083" i="3"/>
  <c r="E2084" i="3"/>
  <c r="E2085" i="3"/>
  <c r="E2086" i="3"/>
  <c r="E2087" i="3"/>
  <c r="E2088" i="3"/>
  <c r="E2089" i="3"/>
  <c r="E2090" i="3"/>
  <c r="E2091" i="3"/>
  <c r="E2092" i="3"/>
  <c r="E2093" i="3"/>
  <c r="E2094" i="3"/>
  <c r="E2095" i="3"/>
  <c r="E2096" i="3"/>
  <c r="E2097" i="3"/>
  <c r="E2098" i="3"/>
  <c r="E2099" i="3"/>
  <c r="E2100" i="3"/>
  <c r="E2101" i="3"/>
  <c r="E2102" i="3"/>
  <c r="E2103" i="3"/>
  <c r="E2104" i="3"/>
  <c r="E2105" i="3"/>
  <c r="E2106" i="3"/>
  <c r="E2107" i="3"/>
  <c r="E2108" i="3"/>
  <c r="E2109" i="3"/>
  <c r="E2110" i="3"/>
  <c r="E2111" i="3"/>
  <c r="E2112" i="3"/>
  <c r="E2113" i="3"/>
  <c r="E2114" i="3"/>
  <c r="E2115" i="3"/>
  <c r="E2116" i="3"/>
  <c r="E2117" i="3"/>
  <c r="E2118" i="3"/>
  <c r="E2119" i="3"/>
  <c r="E2120" i="3"/>
  <c r="E2121" i="3"/>
  <c r="E2122" i="3"/>
  <c r="E2123" i="3"/>
  <c r="E2124" i="3"/>
  <c r="E2125" i="3"/>
  <c r="E2126" i="3"/>
  <c r="E2127" i="3"/>
  <c r="E2128" i="3"/>
  <c r="E2129" i="3"/>
  <c r="E2130" i="3"/>
  <c r="E2131" i="3"/>
  <c r="E2132" i="3"/>
  <c r="E2133" i="3"/>
  <c r="E2134" i="3"/>
  <c r="E2135" i="3"/>
  <c r="E2136" i="3"/>
  <c r="E2137" i="3"/>
  <c r="E2138" i="3"/>
  <c r="E2139" i="3"/>
  <c r="E2140" i="3"/>
  <c r="E2141" i="3"/>
  <c r="E2142" i="3"/>
  <c r="E2143" i="3"/>
  <c r="E2144" i="3"/>
  <c r="E2145" i="3"/>
  <c r="E2146" i="3"/>
  <c r="E2147" i="3"/>
  <c r="E2148" i="3"/>
  <c r="E2149" i="3"/>
  <c r="E2150" i="3"/>
  <c r="E2151" i="3"/>
  <c r="E2152" i="3"/>
  <c r="E2153" i="3"/>
  <c r="E2154" i="3"/>
  <c r="E2155" i="3"/>
  <c r="E2156" i="3"/>
  <c r="E2157" i="3"/>
  <c r="E2158" i="3"/>
  <c r="E2159" i="3"/>
  <c r="E2160" i="3"/>
  <c r="E2161" i="3"/>
  <c r="E2162" i="3"/>
  <c r="E2163" i="3"/>
  <c r="E2164" i="3"/>
  <c r="E2165" i="3"/>
  <c r="E2166" i="3"/>
  <c r="E2167" i="3"/>
  <c r="E2168" i="3"/>
  <c r="E2169" i="3"/>
  <c r="E2170" i="3"/>
  <c r="E2171" i="3"/>
  <c r="E2172" i="3"/>
  <c r="E2173" i="3"/>
  <c r="E2174" i="3"/>
  <c r="E2175" i="3"/>
  <c r="E2176" i="3"/>
  <c r="E2177" i="3"/>
  <c r="E2178" i="3"/>
  <c r="E2179" i="3"/>
  <c r="E2180" i="3"/>
  <c r="E2181" i="3"/>
  <c r="E2182" i="3"/>
  <c r="E2183" i="3"/>
  <c r="E2184" i="3"/>
  <c r="E2185" i="3"/>
  <c r="E2186" i="3"/>
  <c r="E2187" i="3"/>
  <c r="E2188" i="3"/>
  <c r="E2189" i="3"/>
  <c r="E2190" i="3"/>
  <c r="E2191" i="3"/>
  <c r="E2192" i="3"/>
  <c r="E2193" i="3"/>
  <c r="E2194" i="3"/>
  <c r="E2195" i="3"/>
  <c r="E2196" i="3"/>
  <c r="E2197" i="3"/>
  <c r="E2198" i="3"/>
  <c r="E2199" i="3"/>
  <c r="E2200" i="3"/>
  <c r="E2201" i="3"/>
  <c r="E2202" i="3"/>
  <c r="E2203" i="3"/>
  <c r="E2204" i="3"/>
  <c r="E2205" i="3"/>
  <c r="E2206" i="3"/>
  <c r="E2207" i="3"/>
  <c r="E2208" i="3"/>
  <c r="E2209" i="3"/>
  <c r="E2210" i="3"/>
  <c r="E2211" i="3"/>
  <c r="E2212" i="3"/>
  <c r="E2213" i="3"/>
  <c r="E2214" i="3"/>
  <c r="E2215" i="3"/>
  <c r="E2216" i="3"/>
  <c r="E2217" i="3"/>
  <c r="E2218" i="3"/>
  <c r="E2219" i="3"/>
  <c r="E2220" i="3"/>
  <c r="E2221" i="3"/>
  <c r="E2222" i="3"/>
  <c r="E2223" i="3"/>
  <c r="E2224" i="3"/>
  <c r="E2225" i="3"/>
  <c r="E2226" i="3"/>
  <c r="E2227" i="3"/>
  <c r="E2228" i="3"/>
  <c r="E2229" i="3"/>
  <c r="E2230" i="3"/>
  <c r="E2231" i="3"/>
  <c r="E2232" i="3"/>
  <c r="E2233" i="3"/>
  <c r="E2234" i="3"/>
  <c r="E2235" i="3"/>
  <c r="E2236" i="3"/>
  <c r="E2237" i="3"/>
  <c r="E2238" i="3"/>
  <c r="E2239" i="3"/>
  <c r="E2240" i="3"/>
  <c r="E2241" i="3"/>
  <c r="E2242" i="3"/>
  <c r="E2243" i="3"/>
  <c r="E2244" i="3"/>
  <c r="E2245" i="3"/>
  <c r="E2246" i="3"/>
  <c r="E2247" i="3"/>
  <c r="E2248" i="3"/>
  <c r="E2249" i="3"/>
  <c r="E2250" i="3"/>
  <c r="E2251" i="3"/>
  <c r="E2252" i="3"/>
  <c r="E2253" i="3"/>
  <c r="E2254" i="3"/>
  <c r="E2255" i="3"/>
  <c r="E2256" i="3"/>
  <c r="E2257" i="3"/>
  <c r="E2258" i="3"/>
  <c r="E2259" i="3"/>
  <c r="E2260" i="3"/>
  <c r="E2261" i="3"/>
  <c r="E2262" i="3"/>
  <c r="E2263" i="3"/>
  <c r="E2264" i="3"/>
  <c r="E2265" i="3"/>
  <c r="E2266" i="3"/>
  <c r="E2267" i="3"/>
  <c r="E2268" i="3"/>
  <c r="E2269" i="3"/>
  <c r="E2270" i="3"/>
  <c r="E2271" i="3"/>
  <c r="E2272" i="3"/>
  <c r="E2273" i="3"/>
  <c r="E2274" i="3"/>
  <c r="E2275" i="3"/>
  <c r="E2276" i="3"/>
  <c r="E2277" i="3"/>
  <c r="E2278" i="3"/>
  <c r="E2279" i="3"/>
  <c r="E2280" i="3"/>
  <c r="E2281" i="3"/>
  <c r="E2282" i="3"/>
  <c r="E2283" i="3"/>
  <c r="E2284" i="3"/>
  <c r="E2285" i="3"/>
  <c r="E2286" i="3"/>
  <c r="E2287" i="3"/>
  <c r="E2288" i="3"/>
  <c r="E2289" i="3"/>
  <c r="E2290" i="3"/>
  <c r="E2291" i="3"/>
  <c r="E2292" i="3"/>
  <c r="E2293" i="3"/>
  <c r="E2294" i="3"/>
  <c r="E2295" i="3"/>
  <c r="E2296" i="3"/>
  <c r="E2297" i="3"/>
  <c r="E2298" i="3"/>
  <c r="E2299" i="3"/>
  <c r="E2300" i="3"/>
  <c r="E2301" i="3"/>
  <c r="E2302" i="3"/>
  <c r="E2303" i="3"/>
  <c r="E2304" i="3"/>
  <c r="E2305" i="3"/>
  <c r="E2306" i="3"/>
  <c r="E2307" i="3"/>
  <c r="E2308" i="3"/>
  <c r="E2309" i="3"/>
  <c r="E2310" i="3"/>
  <c r="E2311" i="3"/>
  <c r="E2312" i="3"/>
  <c r="E2313" i="3"/>
  <c r="E2314" i="3"/>
  <c r="E2315" i="3"/>
  <c r="E2316" i="3"/>
  <c r="E2317" i="3"/>
  <c r="E2318" i="3"/>
  <c r="E2319" i="3"/>
  <c r="E2320" i="3"/>
  <c r="E2321" i="3"/>
  <c r="E2322" i="3"/>
  <c r="E2323" i="3"/>
  <c r="E2324" i="3"/>
  <c r="E2325" i="3"/>
  <c r="E2326" i="3"/>
  <c r="E2327" i="3"/>
  <c r="E2328" i="3"/>
  <c r="E2329" i="3"/>
  <c r="E2330" i="3"/>
  <c r="E2331" i="3"/>
  <c r="E2332" i="3"/>
  <c r="E2333" i="3"/>
  <c r="E2334" i="3"/>
  <c r="E2335" i="3"/>
  <c r="E2336" i="3"/>
  <c r="E2337" i="3"/>
  <c r="E2338" i="3"/>
  <c r="E2339" i="3"/>
  <c r="E2340" i="3"/>
  <c r="E2341" i="3"/>
  <c r="E2342" i="3"/>
  <c r="E2343" i="3"/>
  <c r="E2344" i="3"/>
  <c r="E2345" i="3"/>
  <c r="E2346" i="3"/>
  <c r="E2347" i="3"/>
  <c r="E2348" i="3"/>
  <c r="E2349" i="3"/>
  <c r="E2350" i="3"/>
  <c r="E2351" i="3"/>
  <c r="E2352" i="3"/>
  <c r="E2353" i="3"/>
  <c r="E2354" i="3"/>
  <c r="E2355" i="3"/>
  <c r="E2356" i="3"/>
  <c r="E2357" i="3"/>
  <c r="E2358" i="3"/>
  <c r="E2359" i="3"/>
  <c r="E2360" i="3"/>
  <c r="E2361" i="3"/>
  <c r="E2362" i="3"/>
  <c r="E2363" i="3"/>
  <c r="E2364" i="3"/>
  <c r="E2365" i="3"/>
  <c r="E2366" i="3"/>
  <c r="E2367" i="3"/>
  <c r="E2368" i="3"/>
  <c r="E2369" i="3"/>
  <c r="E2370" i="3"/>
  <c r="E2371" i="3"/>
  <c r="E2372" i="3"/>
  <c r="E2373" i="3"/>
  <c r="E2374" i="3"/>
  <c r="E2375" i="3"/>
  <c r="E2376" i="3"/>
  <c r="E2377" i="3"/>
  <c r="E2378" i="3"/>
  <c r="E2379" i="3"/>
  <c r="E2380" i="3"/>
  <c r="E2381" i="3"/>
  <c r="E2382" i="3"/>
  <c r="E2383" i="3"/>
  <c r="E2384" i="3"/>
  <c r="E2385" i="3"/>
  <c r="E2386" i="3"/>
  <c r="E2387" i="3"/>
  <c r="E2388" i="3"/>
  <c r="E2389" i="3"/>
  <c r="E2390" i="3"/>
  <c r="E2391" i="3"/>
  <c r="E2392" i="3"/>
  <c r="E2393" i="3"/>
  <c r="E2394" i="3"/>
  <c r="E2395" i="3"/>
  <c r="E2396" i="3"/>
  <c r="E2397" i="3"/>
  <c r="E2398" i="3"/>
  <c r="E2399" i="3"/>
  <c r="E2400" i="3"/>
  <c r="E2401" i="3"/>
  <c r="E2402" i="3"/>
  <c r="E2403" i="3"/>
  <c r="E2404" i="3"/>
  <c r="E2405" i="3"/>
  <c r="E2406" i="3"/>
  <c r="E2407" i="3"/>
  <c r="E2408" i="3"/>
  <c r="E2409" i="3"/>
  <c r="E2410" i="3"/>
  <c r="E2411" i="3"/>
  <c r="E2412" i="3"/>
  <c r="E2413" i="3"/>
  <c r="E2414" i="3"/>
  <c r="E2415" i="3"/>
  <c r="E2416" i="3"/>
  <c r="E2417" i="3"/>
  <c r="E2418" i="3"/>
  <c r="E2419" i="3"/>
  <c r="E2420" i="3"/>
  <c r="E2421" i="3"/>
  <c r="E2422" i="3"/>
  <c r="E2423" i="3"/>
  <c r="E2424" i="3"/>
  <c r="E2425" i="3"/>
  <c r="E2426" i="3"/>
  <c r="E2427" i="3"/>
  <c r="E2428" i="3"/>
  <c r="E2429" i="3"/>
  <c r="E2430" i="3"/>
  <c r="E2431" i="3"/>
  <c r="E2432" i="3"/>
  <c r="E2433" i="3"/>
  <c r="E2434" i="3"/>
  <c r="E2435" i="3"/>
  <c r="E2436" i="3"/>
  <c r="E2437" i="3"/>
  <c r="E2438" i="3"/>
  <c r="E2439" i="3"/>
  <c r="E2440" i="3"/>
  <c r="E2441" i="3"/>
  <c r="E2442" i="3"/>
  <c r="E2443" i="3"/>
  <c r="E2444" i="3"/>
  <c r="E2445" i="3"/>
  <c r="E2446" i="3"/>
  <c r="E2447" i="3"/>
  <c r="E2448" i="3"/>
  <c r="E2449" i="3"/>
  <c r="E2450" i="3"/>
  <c r="E2451" i="3"/>
  <c r="E2452" i="3"/>
  <c r="E2453" i="3"/>
  <c r="E2454" i="3"/>
  <c r="E2455" i="3"/>
  <c r="E2456" i="3"/>
  <c r="E2457" i="3"/>
  <c r="E2458" i="3"/>
  <c r="E2459" i="3"/>
  <c r="E2460" i="3"/>
  <c r="E2461" i="3"/>
  <c r="E2462" i="3"/>
  <c r="E2463" i="3"/>
  <c r="E2464" i="3"/>
  <c r="E2465" i="3"/>
  <c r="E2466" i="3"/>
  <c r="E2467" i="3"/>
  <c r="E2468" i="3"/>
  <c r="E2469" i="3"/>
  <c r="E2470" i="3"/>
  <c r="E2471" i="3"/>
  <c r="E2472" i="3"/>
  <c r="E2473" i="3"/>
  <c r="E2474" i="3"/>
  <c r="E2475" i="3"/>
  <c r="E2476" i="3"/>
  <c r="E2477" i="3"/>
  <c r="E2478" i="3"/>
  <c r="E2479" i="3"/>
  <c r="E2480" i="3"/>
  <c r="E2481" i="3"/>
  <c r="E2482" i="3"/>
  <c r="E2483" i="3"/>
  <c r="E2484" i="3"/>
  <c r="E2485" i="3"/>
  <c r="E2486" i="3"/>
  <c r="E2487" i="3"/>
  <c r="E2488" i="3"/>
  <c r="E2489" i="3"/>
  <c r="E2490" i="3"/>
  <c r="E2491" i="3"/>
  <c r="E2492" i="3"/>
  <c r="E2493" i="3"/>
  <c r="E2494" i="3"/>
  <c r="E2495" i="3"/>
  <c r="E2496" i="3"/>
  <c r="E2497" i="3"/>
  <c r="E2498" i="3"/>
  <c r="E2499" i="3"/>
  <c r="E2500" i="3"/>
  <c r="E2501" i="3"/>
  <c r="E2502" i="3"/>
  <c r="E2503" i="3"/>
  <c r="E2504" i="3"/>
  <c r="E2505" i="3"/>
  <c r="E2506" i="3"/>
  <c r="E2507" i="3"/>
  <c r="E2508" i="3"/>
  <c r="E2509" i="3"/>
  <c r="E2510" i="3"/>
  <c r="E2511" i="3"/>
  <c r="E2512" i="3"/>
  <c r="E2513" i="3"/>
  <c r="E2514" i="3"/>
  <c r="E2515" i="3"/>
  <c r="E2516" i="3"/>
  <c r="E2517" i="3"/>
  <c r="E2518" i="3"/>
  <c r="E2519" i="3"/>
  <c r="E2520" i="3"/>
  <c r="E2521" i="3"/>
  <c r="E2522" i="3"/>
  <c r="E2523" i="3"/>
  <c r="E2524" i="3"/>
  <c r="E2525" i="3"/>
  <c r="E2526" i="3"/>
  <c r="E2527" i="3"/>
  <c r="E2528" i="3"/>
  <c r="E2529" i="3"/>
  <c r="E2530" i="3"/>
  <c r="E2531" i="3"/>
  <c r="E2532" i="3"/>
  <c r="E2533" i="3"/>
  <c r="E2534" i="3"/>
  <c r="E2535" i="3"/>
  <c r="E2536" i="3"/>
  <c r="E2537" i="3"/>
  <c r="E2538" i="3"/>
  <c r="E2539" i="3"/>
  <c r="E2540" i="3"/>
  <c r="E2541" i="3"/>
  <c r="E2542" i="3"/>
  <c r="E2543" i="3"/>
  <c r="E2544" i="3"/>
  <c r="E2545" i="3"/>
  <c r="E2546" i="3"/>
  <c r="E2547" i="3"/>
  <c r="E2548" i="3"/>
  <c r="E2549" i="3"/>
  <c r="E2550" i="3"/>
  <c r="E2551" i="3"/>
  <c r="E2552" i="3"/>
  <c r="E2553" i="3"/>
  <c r="E2554" i="3"/>
  <c r="E2555" i="3"/>
  <c r="E2556" i="3"/>
  <c r="E2557" i="3"/>
  <c r="E2558" i="3"/>
  <c r="E2559" i="3"/>
  <c r="E2560" i="3"/>
  <c r="E2561" i="3"/>
  <c r="E2562" i="3"/>
  <c r="E2563" i="3"/>
  <c r="E2564" i="3"/>
  <c r="E2565" i="3"/>
  <c r="E2566" i="3"/>
  <c r="E2567" i="3"/>
  <c r="E2568" i="3"/>
  <c r="E2569" i="3"/>
  <c r="E2570" i="3"/>
  <c r="E2571" i="3"/>
  <c r="E2572" i="3"/>
  <c r="E2573" i="3"/>
  <c r="E2574" i="3"/>
  <c r="E2575" i="3"/>
  <c r="Q247" i="3"/>
  <c r="E247" i="3"/>
  <c r="O2502" i="3"/>
  <c r="O2503" i="3"/>
  <c r="O2504" i="3"/>
  <c r="O2505" i="3"/>
  <c r="O2506" i="3"/>
  <c r="O2507" i="3"/>
  <c r="O2508" i="3"/>
  <c r="O2509" i="3"/>
  <c r="O2510" i="3"/>
  <c r="O2511" i="3"/>
  <c r="O2512" i="3"/>
  <c r="O2513" i="3"/>
  <c r="O2514" i="3"/>
  <c r="O2515" i="3"/>
  <c r="O2516" i="3"/>
  <c r="O2517" i="3"/>
  <c r="O2518" i="3"/>
  <c r="O2519" i="3"/>
  <c r="O2520" i="3"/>
  <c r="O2521" i="3"/>
  <c r="O2522" i="3"/>
  <c r="O2523" i="3"/>
  <c r="O2524" i="3"/>
  <c r="O2525" i="3"/>
  <c r="O2526" i="3"/>
  <c r="O2527" i="3"/>
  <c r="O2528" i="3"/>
  <c r="O2529" i="3"/>
  <c r="O2530" i="3"/>
  <c r="O2531" i="3"/>
  <c r="O2532" i="3"/>
  <c r="O2533" i="3"/>
  <c r="O2534" i="3"/>
  <c r="O2535" i="3"/>
  <c r="O2536" i="3"/>
  <c r="O2537" i="3"/>
  <c r="O2538" i="3"/>
  <c r="O2539" i="3"/>
  <c r="O2540" i="3"/>
  <c r="O2541" i="3"/>
  <c r="O2542" i="3"/>
  <c r="O2543" i="3"/>
  <c r="O2544" i="3"/>
  <c r="O2545" i="3"/>
  <c r="O2546" i="3"/>
  <c r="O2547" i="3"/>
  <c r="O2548" i="3"/>
  <c r="O2549" i="3"/>
  <c r="O2550" i="3"/>
  <c r="O2551" i="3"/>
  <c r="O2552" i="3"/>
  <c r="O2553" i="3"/>
  <c r="O2554" i="3"/>
  <c r="O2555" i="3"/>
  <c r="O2556" i="3"/>
  <c r="O2557" i="3"/>
  <c r="O2558" i="3"/>
  <c r="O2559" i="3"/>
  <c r="O2560" i="3"/>
  <c r="O2561" i="3"/>
  <c r="O2562" i="3"/>
  <c r="O2563" i="3"/>
  <c r="O2564" i="3"/>
  <c r="O2565" i="3"/>
  <c r="O2566" i="3"/>
  <c r="O2567" i="3"/>
  <c r="O2568" i="3"/>
  <c r="O2569" i="3"/>
  <c r="O2570" i="3"/>
  <c r="O2571" i="3"/>
  <c r="O2572" i="3"/>
  <c r="O2573" i="3"/>
  <c r="O2574" i="3"/>
  <c r="O2575" i="3"/>
  <c r="C2502" i="3"/>
  <c r="C2503" i="3"/>
  <c r="C2504" i="3"/>
  <c r="C2505" i="3"/>
  <c r="C2506" i="3"/>
  <c r="C2507" i="3"/>
  <c r="C2508" i="3"/>
  <c r="C2509" i="3"/>
  <c r="C2510" i="3"/>
  <c r="C2511" i="3"/>
  <c r="C2512" i="3"/>
  <c r="C2513" i="3"/>
  <c r="C2514" i="3"/>
  <c r="C2515" i="3"/>
  <c r="C2516" i="3"/>
  <c r="C2517" i="3"/>
  <c r="C2518" i="3"/>
  <c r="C2519" i="3"/>
  <c r="C2520" i="3"/>
  <c r="C2521" i="3"/>
  <c r="C2522" i="3"/>
  <c r="C2523" i="3"/>
  <c r="C2524" i="3"/>
  <c r="C2525" i="3"/>
  <c r="C2526" i="3"/>
  <c r="C2527" i="3"/>
  <c r="C2528" i="3"/>
  <c r="C2529" i="3"/>
  <c r="C2530" i="3"/>
  <c r="C2531" i="3"/>
  <c r="C2532" i="3"/>
  <c r="C2533" i="3"/>
  <c r="C2534" i="3"/>
  <c r="C2535" i="3"/>
  <c r="C2536" i="3"/>
  <c r="C2537" i="3"/>
  <c r="C2538" i="3"/>
  <c r="C2539" i="3"/>
  <c r="C2540" i="3"/>
  <c r="C2541" i="3"/>
  <c r="C2542" i="3"/>
  <c r="C2543" i="3"/>
  <c r="C2544" i="3"/>
  <c r="C2545" i="3"/>
  <c r="C2546" i="3"/>
  <c r="C2547" i="3"/>
  <c r="C2548" i="3"/>
  <c r="C2549" i="3"/>
  <c r="C2550" i="3"/>
  <c r="C2551" i="3"/>
  <c r="C2552" i="3"/>
  <c r="C2553" i="3"/>
  <c r="C2554" i="3"/>
  <c r="C2555" i="3"/>
  <c r="C2556" i="3"/>
  <c r="C2557" i="3"/>
  <c r="C2558" i="3"/>
  <c r="C2559" i="3"/>
  <c r="C2560" i="3"/>
  <c r="C2561" i="3"/>
  <c r="C2562" i="3"/>
  <c r="C2563" i="3"/>
  <c r="C2564" i="3"/>
  <c r="C2565" i="3"/>
  <c r="C2566" i="3"/>
  <c r="C2567" i="3"/>
  <c r="C2568" i="3"/>
  <c r="C2569" i="3"/>
  <c r="C2570" i="3"/>
  <c r="C2571" i="3"/>
  <c r="C2572" i="3"/>
  <c r="C2573" i="3"/>
  <c r="C2574" i="3"/>
  <c r="C2575" i="3"/>
  <c r="O2278" i="3"/>
  <c r="O2279" i="3"/>
  <c r="O2280" i="3"/>
  <c r="O2281" i="3"/>
  <c r="O2282" i="3"/>
  <c r="O2283" i="3"/>
  <c r="O2284" i="3"/>
  <c r="O2285" i="3"/>
  <c r="O2286" i="3"/>
  <c r="O2287" i="3"/>
  <c r="O2288" i="3"/>
  <c r="O2289" i="3"/>
  <c r="O2290" i="3"/>
  <c r="O2291" i="3"/>
  <c r="O2292" i="3"/>
  <c r="O2293" i="3"/>
  <c r="O2294" i="3"/>
  <c r="O2295" i="3"/>
  <c r="O2296" i="3"/>
  <c r="O2297" i="3"/>
  <c r="O2298" i="3"/>
  <c r="O2299" i="3"/>
  <c r="O2300" i="3"/>
  <c r="O2301" i="3"/>
  <c r="O2302" i="3"/>
  <c r="O2303" i="3"/>
  <c r="O2304" i="3"/>
  <c r="O2305" i="3"/>
  <c r="O2306" i="3"/>
  <c r="O2307" i="3"/>
  <c r="O2308" i="3"/>
  <c r="O2309" i="3"/>
  <c r="O2310" i="3"/>
  <c r="O2311" i="3"/>
  <c r="O2312" i="3"/>
  <c r="O2313" i="3"/>
  <c r="O2314" i="3"/>
  <c r="O2315" i="3"/>
  <c r="O2316" i="3"/>
  <c r="O2317" i="3"/>
  <c r="O2318" i="3"/>
  <c r="O2319" i="3"/>
  <c r="O2320" i="3"/>
  <c r="O2321" i="3"/>
  <c r="O2322" i="3"/>
  <c r="O2323" i="3"/>
  <c r="O2324" i="3"/>
  <c r="O2325" i="3"/>
  <c r="O2326" i="3"/>
  <c r="O2327" i="3"/>
  <c r="O2328" i="3"/>
  <c r="O2329" i="3"/>
  <c r="O2330" i="3"/>
  <c r="O2331" i="3"/>
  <c r="O2332" i="3"/>
  <c r="O2333" i="3"/>
  <c r="O2334" i="3"/>
  <c r="O2335" i="3"/>
  <c r="O2336" i="3"/>
  <c r="O2337" i="3"/>
  <c r="O2338" i="3"/>
  <c r="O2339" i="3"/>
  <c r="O2340" i="3"/>
  <c r="O2341" i="3"/>
  <c r="O2342" i="3"/>
  <c r="O2343" i="3"/>
  <c r="O2344" i="3"/>
  <c r="O2345" i="3"/>
  <c r="O2346" i="3"/>
  <c r="O2347" i="3"/>
  <c r="O2348" i="3"/>
  <c r="O2349" i="3"/>
  <c r="O2350" i="3"/>
  <c r="O2351" i="3"/>
  <c r="O2352" i="3"/>
  <c r="O2353" i="3"/>
  <c r="O2354" i="3"/>
  <c r="O2355" i="3"/>
  <c r="O2356" i="3"/>
  <c r="O2357" i="3"/>
  <c r="O2358" i="3"/>
  <c r="O2359" i="3"/>
  <c r="O2360" i="3"/>
  <c r="O2361" i="3"/>
  <c r="O2362" i="3"/>
  <c r="O2363" i="3"/>
  <c r="O2364" i="3"/>
  <c r="O2365" i="3"/>
  <c r="O2366" i="3"/>
  <c r="O2367" i="3"/>
  <c r="O2368" i="3"/>
  <c r="O2369" i="3"/>
  <c r="O2370" i="3"/>
  <c r="O2371" i="3"/>
  <c r="O2372" i="3"/>
  <c r="O2373" i="3"/>
  <c r="O2374" i="3"/>
  <c r="O2375" i="3"/>
  <c r="O2376" i="3"/>
  <c r="O2377" i="3"/>
  <c r="O2378" i="3"/>
  <c r="O2379" i="3"/>
  <c r="O2380" i="3"/>
  <c r="O2381" i="3"/>
  <c r="O2382" i="3"/>
  <c r="O2383" i="3"/>
  <c r="O2384" i="3"/>
  <c r="O2385" i="3"/>
  <c r="O2386" i="3"/>
  <c r="O2387" i="3"/>
  <c r="O2388" i="3"/>
  <c r="O2389" i="3"/>
  <c r="O2390" i="3"/>
  <c r="O2391" i="3"/>
  <c r="O2392" i="3"/>
  <c r="O2393" i="3"/>
  <c r="O2394" i="3"/>
  <c r="O2395" i="3"/>
  <c r="O2396" i="3"/>
  <c r="O2397" i="3"/>
  <c r="O2398" i="3"/>
  <c r="O2399" i="3"/>
  <c r="O2400" i="3"/>
  <c r="O2401" i="3"/>
  <c r="O2402" i="3"/>
  <c r="O2403" i="3"/>
  <c r="O2404" i="3"/>
  <c r="O2405" i="3"/>
  <c r="O2406" i="3"/>
  <c r="O2407" i="3"/>
  <c r="O2408" i="3"/>
  <c r="O2409" i="3"/>
  <c r="O2410" i="3"/>
  <c r="O2411" i="3"/>
  <c r="O2412" i="3"/>
  <c r="O2413" i="3"/>
  <c r="O2414" i="3"/>
  <c r="O2415" i="3"/>
  <c r="O2416" i="3"/>
  <c r="O2417" i="3"/>
  <c r="O2418" i="3"/>
  <c r="O2419" i="3"/>
  <c r="O2420" i="3"/>
  <c r="O2421" i="3"/>
  <c r="O2422" i="3"/>
  <c r="O2423" i="3"/>
  <c r="O2424" i="3"/>
  <c r="O2425" i="3"/>
  <c r="O2426" i="3"/>
  <c r="O2427" i="3"/>
  <c r="O2428" i="3"/>
  <c r="O2429" i="3"/>
  <c r="O2430" i="3"/>
  <c r="O2431" i="3"/>
  <c r="O2432" i="3"/>
  <c r="O2433" i="3"/>
  <c r="O2434" i="3"/>
  <c r="O2435" i="3"/>
  <c r="O2436" i="3"/>
  <c r="O2437" i="3"/>
  <c r="O2438" i="3"/>
  <c r="O2439" i="3"/>
  <c r="O2440" i="3"/>
  <c r="O2441" i="3"/>
  <c r="O2442" i="3"/>
  <c r="O2443" i="3"/>
  <c r="O2444" i="3"/>
  <c r="O2445" i="3"/>
  <c r="O2446" i="3"/>
  <c r="O2447" i="3"/>
  <c r="O2448" i="3"/>
  <c r="O2449" i="3"/>
  <c r="O2450" i="3"/>
  <c r="O2451" i="3"/>
  <c r="O2452" i="3"/>
  <c r="O2453" i="3"/>
  <c r="O2454" i="3"/>
  <c r="O2455" i="3"/>
  <c r="O2456" i="3"/>
  <c r="O2457" i="3"/>
  <c r="O2458" i="3"/>
  <c r="O2459" i="3"/>
  <c r="O2460" i="3"/>
  <c r="O2461" i="3"/>
  <c r="O2462" i="3"/>
  <c r="O2463" i="3"/>
  <c r="O2464" i="3"/>
  <c r="O2465" i="3"/>
  <c r="O2466" i="3"/>
  <c r="O2467" i="3"/>
  <c r="O2468" i="3"/>
  <c r="O2469" i="3"/>
  <c r="O2470" i="3"/>
  <c r="O2471" i="3"/>
  <c r="O2472" i="3"/>
  <c r="O2473" i="3"/>
  <c r="O2474" i="3"/>
  <c r="O2475" i="3"/>
  <c r="O2476" i="3"/>
  <c r="O2477" i="3"/>
  <c r="O2478" i="3"/>
  <c r="O2479" i="3"/>
  <c r="O2480" i="3"/>
  <c r="O2481" i="3"/>
  <c r="O2482" i="3"/>
  <c r="O2483" i="3"/>
  <c r="O2484" i="3"/>
  <c r="O2485" i="3"/>
  <c r="O2486" i="3"/>
  <c r="O2487" i="3"/>
  <c r="O2488" i="3"/>
  <c r="O2489" i="3"/>
  <c r="O2490" i="3"/>
  <c r="O2491" i="3"/>
  <c r="O2492" i="3"/>
  <c r="O2493" i="3"/>
  <c r="O2494" i="3"/>
  <c r="O2495" i="3"/>
  <c r="O2496" i="3"/>
  <c r="O2497" i="3"/>
  <c r="O2498" i="3"/>
  <c r="O2499" i="3"/>
  <c r="O2500" i="3"/>
  <c r="O2501" i="3"/>
  <c r="C2278" i="3"/>
  <c r="C2279" i="3"/>
  <c r="C2280" i="3"/>
  <c r="C2281" i="3"/>
  <c r="C2282" i="3"/>
  <c r="C2283" i="3"/>
  <c r="C2284" i="3"/>
  <c r="C2285" i="3"/>
  <c r="C2286" i="3"/>
  <c r="C2287" i="3"/>
  <c r="C2288" i="3"/>
  <c r="C2289" i="3"/>
  <c r="C2290" i="3"/>
  <c r="C2291" i="3"/>
  <c r="C2292" i="3"/>
  <c r="C2293" i="3"/>
  <c r="C2294" i="3"/>
  <c r="C2295" i="3"/>
  <c r="C2296" i="3"/>
  <c r="C2297" i="3"/>
  <c r="C2298" i="3"/>
  <c r="C2299" i="3"/>
  <c r="C2300" i="3"/>
  <c r="C2301" i="3"/>
  <c r="C2302" i="3"/>
  <c r="C2303" i="3"/>
  <c r="C2304" i="3"/>
  <c r="C2305" i="3"/>
  <c r="C2306" i="3"/>
  <c r="C2307" i="3"/>
  <c r="C2308" i="3"/>
  <c r="C2309" i="3"/>
  <c r="C2310" i="3"/>
  <c r="C2311" i="3"/>
  <c r="C2312" i="3"/>
  <c r="C2313" i="3"/>
  <c r="C2314" i="3"/>
  <c r="C2315" i="3"/>
  <c r="C2316" i="3"/>
  <c r="C2317" i="3"/>
  <c r="C2318" i="3"/>
  <c r="C2319" i="3"/>
  <c r="C2320" i="3"/>
  <c r="C2321" i="3"/>
  <c r="C2322" i="3"/>
  <c r="C2323" i="3"/>
  <c r="C2324" i="3"/>
  <c r="C2325" i="3"/>
  <c r="C2326" i="3"/>
  <c r="C2327" i="3"/>
  <c r="C2328" i="3"/>
  <c r="C2329" i="3"/>
  <c r="C2330" i="3"/>
  <c r="C2331" i="3"/>
  <c r="C2332" i="3"/>
  <c r="C2333" i="3"/>
  <c r="C2334" i="3"/>
  <c r="C2335" i="3"/>
  <c r="C2336" i="3"/>
  <c r="C2337" i="3"/>
  <c r="C2338" i="3"/>
  <c r="C2339" i="3"/>
  <c r="C2340" i="3"/>
  <c r="C2341" i="3"/>
  <c r="C2342" i="3"/>
  <c r="C2343" i="3"/>
  <c r="C2344" i="3"/>
  <c r="C2345" i="3"/>
  <c r="C2346" i="3"/>
  <c r="C2347" i="3"/>
  <c r="C2348" i="3"/>
  <c r="C2349" i="3"/>
  <c r="C2350" i="3"/>
  <c r="C2351" i="3"/>
  <c r="C2352" i="3"/>
  <c r="C2353" i="3"/>
  <c r="C2354" i="3"/>
  <c r="C2355" i="3"/>
  <c r="C2356" i="3"/>
  <c r="C2357" i="3"/>
  <c r="C2358" i="3"/>
  <c r="C2359" i="3"/>
  <c r="C2360" i="3"/>
  <c r="C2361" i="3"/>
  <c r="C2362" i="3"/>
  <c r="C2363" i="3"/>
  <c r="C2364" i="3"/>
  <c r="C2365" i="3"/>
  <c r="C2366" i="3"/>
  <c r="C2367" i="3"/>
  <c r="C2368" i="3"/>
  <c r="C2369" i="3"/>
  <c r="C2370" i="3"/>
  <c r="C2371" i="3"/>
  <c r="C2372" i="3"/>
  <c r="C2373" i="3"/>
  <c r="C2374" i="3"/>
  <c r="C2375" i="3"/>
  <c r="C2376" i="3"/>
  <c r="C2377" i="3"/>
  <c r="C2378" i="3"/>
  <c r="C2379" i="3"/>
  <c r="C2380" i="3"/>
  <c r="C2381" i="3"/>
  <c r="C2382" i="3"/>
  <c r="C2383" i="3"/>
  <c r="C2384" i="3"/>
  <c r="C2385" i="3"/>
  <c r="C2386" i="3"/>
  <c r="C2387" i="3"/>
  <c r="C2388" i="3"/>
  <c r="C2389" i="3"/>
  <c r="C2390" i="3"/>
  <c r="C2391" i="3"/>
  <c r="C2392" i="3"/>
  <c r="C2393" i="3"/>
  <c r="C2394" i="3"/>
  <c r="C2395" i="3"/>
  <c r="C2396" i="3"/>
  <c r="C2397" i="3"/>
  <c r="C2398" i="3"/>
  <c r="C2399" i="3"/>
  <c r="C2400" i="3"/>
  <c r="C2401" i="3"/>
  <c r="C2402" i="3"/>
  <c r="C2403" i="3"/>
  <c r="C2404" i="3"/>
  <c r="C2405" i="3"/>
  <c r="C2406" i="3"/>
  <c r="C2407" i="3"/>
  <c r="C2408" i="3"/>
  <c r="C2409" i="3"/>
  <c r="C2410" i="3"/>
  <c r="C2411" i="3"/>
  <c r="C2412" i="3"/>
  <c r="C2413" i="3"/>
  <c r="C2414" i="3"/>
  <c r="C2415" i="3"/>
  <c r="C2416" i="3"/>
  <c r="C2417" i="3"/>
  <c r="C2418" i="3"/>
  <c r="C2419" i="3"/>
  <c r="C2420" i="3"/>
  <c r="C2421" i="3"/>
  <c r="C2422" i="3"/>
  <c r="C2423" i="3"/>
  <c r="C2424" i="3"/>
  <c r="C2425" i="3"/>
  <c r="C2426" i="3"/>
  <c r="C2427" i="3"/>
  <c r="C2428" i="3"/>
  <c r="C2429" i="3"/>
  <c r="C2430" i="3"/>
  <c r="C2431" i="3"/>
  <c r="C2432" i="3"/>
  <c r="C2433" i="3"/>
  <c r="C2434" i="3"/>
  <c r="C2435" i="3"/>
  <c r="C2436" i="3"/>
  <c r="C2437" i="3"/>
  <c r="C2438" i="3"/>
  <c r="C2439" i="3"/>
  <c r="C2440" i="3"/>
  <c r="C2441" i="3"/>
  <c r="C2442" i="3"/>
  <c r="C2443" i="3"/>
  <c r="C2444" i="3"/>
  <c r="C2445" i="3"/>
  <c r="C2446" i="3"/>
  <c r="C2447" i="3"/>
  <c r="C2448" i="3"/>
  <c r="C2449" i="3"/>
  <c r="C2450" i="3"/>
  <c r="C2451" i="3"/>
  <c r="C2452" i="3"/>
  <c r="C2453" i="3"/>
  <c r="C2454" i="3"/>
  <c r="C2455" i="3"/>
  <c r="C2456" i="3"/>
  <c r="C2457" i="3"/>
  <c r="C2458" i="3"/>
  <c r="C2459" i="3"/>
  <c r="C2460" i="3"/>
  <c r="C2461" i="3"/>
  <c r="C2462" i="3"/>
  <c r="C2463" i="3"/>
  <c r="C2464" i="3"/>
  <c r="C2465" i="3"/>
  <c r="C2466" i="3"/>
  <c r="C2467" i="3"/>
  <c r="C2468" i="3"/>
  <c r="C2469" i="3"/>
  <c r="C2470" i="3"/>
  <c r="C2471" i="3"/>
  <c r="C2472" i="3"/>
  <c r="C2473" i="3"/>
  <c r="C2474" i="3"/>
  <c r="C2475" i="3"/>
  <c r="C2476" i="3"/>
  <c r="C2477" i="3"/>
  <c r="C2478" i="3"/>
  <c r="C2479" i="3"/>
  <c r="C2480" i="3"/>
  <c r="C2481" i="3"/>
  <c r="C2482" i="3"/>
  <c r="C2483" i="3"/>
  <c r="C2484" i="3"/>
  <c r="C2485" i="3"/>
  <c r="C2486" i="3"/>
  <c r="C2487" i="3"/>
  <c r="C2488" i="3"/>
  <c r="C2489" i="3"/>
  <c r="C2490" i="3"/>
  <c r="C2491" i="3"/>
  <c r="C2492" i="3"/>
  <c r="C2493" i="3"/>
  <c r="C2494" i="3"/>
  <c r="C2495" i="3"/>
  <c r="C2496" i="3"/>
  <c r="C2497" i="3"/>
  <c r="C2498" i="3"/>
  <c r="C2499" i="3"/>
  <c r="C2500" i="3"/>
  <c r="C2501" i="3"/>
  <c r="C2032" i="3"/>
  <c r="C2033" i="3"/>
  <c r="C2034" i="3"/>
  <c r="C2035" i="3"/>
  <c r="C2036" i="3"/>
  <c r="C2037" i="3"/>
  <c r="C2038" i="3"/>
  <c r="C2039" i="3"/>
  <c r="C2040" i="3"/>
  <c r="C2041" i="3"/>
  <c r="C2042" i="3"/>
  <c r="C2043" i="3"/>
  <c r="C2044" i="3"/>
  <c r="C2045" i="3"/>
  <c r="C2046" i="3"/>
  <c r="C2047" i="3"/>
  <c r="C2048" i="3"/>
  <c r="C2049" i="3"/>
  <c r="C2050" i="3"/>
  <c r="C2051" i="3"/>
  <c r="C2052" i="3"/>
  <c r="C2053" i="3"/>
  <c r="C2054" i="3"/>
  <c r="C2055" i="3"/>
  <c r="C2056" i="3"/>
  <c r="C2057" i="3"/>
  <c r="C2058" i="3"/>
  <c r="C2059" i="3"/>
  <c r="C2060" i="3"/>
  <c r="C2061" i="3"/>
  <c r="C2062" i="3"/>
  <c r="C2063" i="3"/>
  <c r="C2064" i="3"/>
  <c r="C2065" i="3"/>
  <c r="C2066" i="3"/>
  <c r="C2067" i="3"/>
  <c r="C2068" i="3"/>
  <c r="C2069" i="3"/>
  <c r="C2070" i="3"/>
  <c r="C2071" i="3"/>
  <c r="C2072" i="3"/>
  <c r="C2073" i="3"/>
  <c r="C2074" i="3"/>
  <c r="C2075" i="3"/>
  <c r="C2076" i="3"/>
  <c r="C2077" i="3"/>
  <c r="C2078" i="3"/>
  <c r="C2079" i="3"/>
  <c r="C2080" i="3"/>
  <c r="C2081" i="3"/>
  <c r="C2082" i="3"/>
  <c r="C2083" i="3"/>
  <c r="C2084" i="3"/>
  <c r="C2085" i="3"/>
  <c r="C2086" i="3"/>
  <c r="C2087" i="3"/>
  <c r="C2088" i="3"/>
  <c r="C2089" i="3"/>
  <c r="C2090" i="3"/>
  <c r="C2091" i="3"/>
  <c r="C2092" i="3"/>
  <c r="C2093" i="3"/>
  <c r="C2094" i="3"/>
  <c r="C2095" i="3"/>
  <c r="C2096" i="3"/>
  <c r="C2097" i="3"/>
  <c r="C2098" i="3"/>
  <c r="C2099" i="3"/>
  <c r="C2100" i="3"/>
  <c r="C2101" i="3"/>
  <c r="C2102" i="3"/>
  <c r="C2103" i="3"/>
  <c r="C2104" i="3"/>
  <c r="C2105" i="3"/>
  <c r="C2106" i="3"/>
  <c r="C2107" i="3"/>
  <c r="C2108" i="3"/>
  <c r="C2109" i="3"/>
  <c r="C2110" i="3"/>
  <c r="C2111" i="3"/>
  <c r="C2112" i="3"/>
  <c r="C2113" i="3"/>
  <c r="C2114" i="3"/>
  <c r="C2115" i="3"/>
  <c r="C2116" i="3"/>
  <c r="C2117" i="3"/>
  <c r="C2118" i="3"/>
  <c r="C2119" i="3"/>
  <c r="C2120" i="3"/>
  <c r="C2121" i="3"/>
  <c r="C2122" i="3"/>
  <c r="C2123" i="3"/>
  <c r="C2124" i="3"/>
  <c r="C2125" i="3"/>
  <c r="C2126" i="3"/>
  <c r="C2127" i="3"/>
  <c r="C2128" i="3"/>
  <c r="C2129" i="3"/>
  <c r="C2130" i="3"/>
  <c r="C2131" i="3"/>
  <c r="C2132" i="3"/>
  <c r="C2133" i="3"/>
  <c r="C2134" i="3"/>
  <c r="C2135" i="3"/>
  <c r="C2136" i="3"/>
  <c r="C2137" i="3"/>
  <c r="C2138" i="3"/>
  <c r="C2139" i="3"/>
  <c r="C2140" i="3"/>
  <c r="C2141" i="3"/>
  <c r="C2142" i="3"/>
  <c r="C2143" i="3"/>
  <c r="C2144" i="3"/>
  <c r="C2145" i="3"/>
  <c r="C2146" i="3"/>
  <c r="C2147" i="3"/>
  <c r="C2148" i="3"/>
  <c r="C2149" i="3"/>
  <c r="C2150" i="3"/>
  <c r="C2151" i="3"/>
  <c r="C2152" i="3"/>
  <c r="C2153" i="3"/>
  <c r="C2154" i="3"/>
  <c r="C2155" i="3"/>
  <c r="C2156" i="3"/>
  <c r="C2157" i="3"/>
  <c r="C2158" i="3"/>
  <c r="C2159" i="3"/>
  <c r="C2160" i="3"/>
  <c r="C2161" i="3"/>
  <c r="C2162" i="3"/>
  <c r="C2163" i="3"/>
  <c r="C2164" i="3"/>
  <c r="C2165" i="3"/>
  <c r="C2166" i="3"/>
  <c r="C2167" i="3"/>
  <c r="C2168" i="3"/>
  <c r="C2169" i="3"/>
  <c r="C2170" i="3"/>
  <c r="C2171" i="3"/>
  <c r="C2172" i="3"/>
  <c r="C2173" i="3"/>
  <c r="C2174" i="3"/>
  <c r="C2175" i="3"/>
  <c r="C2176" i="3"/>
  <c r="C2177" i="3"/>
  <c r="C2178" i="3"/>
  <c r="C2179" i="3"/>
  <c r="C2180" i="3"/>
  <c r="C2181" i="3"/>
  <c r="C2182" i="3"/>
  <c r="C2183" i="3"/>
  <c r="C2184" i="3"/>
  <c r="C2185" i="3"/>
  <c r="C2186" i="3"/>
  <c r="C2187" i="3"/>
  <c r="C2188" i="3"/>
  <c r="C2189" i="3"/>
  <c r="C2190" i="3"/>
  <c r="C2191" i="3"/>
  <c r="C2192" i="3"/>
  <c r="C2193" i="3"/>
  <c r="C2194" i="3"/>
  <c r="C2195" i="3"/>
  <c r="C2196" i="3"/>
  <c r="C2197" i="3"/>
  <c r="C2198" i="3"/>
  <c r="C2199" i="3"/>
  <c r="C2200" i="3"/>
  <c r="C2201" i="3"/>
  <c r="C2202" i="3"/>
  <c r="C2203" i="3"/>
  <c r="C2204" i="3"/>
  <c r="C2205" i="3"/>
  <c r="C2206" i="3"/>
  <c r="C2207" i="3"/>
  <c r="C2208" i="3"/>
  <c r="C2209" i="3"/>
  <c r="C2210" i="3"/>
  <c r="C2211" i="3"/>
  <c r="C2212" i="3"/>
  <c r="C2213" i="3"/>
  <c r="C2214" i="3"/>
  <c r="C2215" i="3"/>
  <c r="C2216" i="3"/>
  <c r="C2217" i="3"/>
  <c r="C2218" i="3"/>
  <c r="C2219" i="3"/>
  <c r="C2220" i="3"/>
  <c r="C2221" i="3"/>
  <c r="C2222" i="3"/>
  <c r="C2223" i="3"/>
  <c r="C2224" i="3"/>
  <c r="C2225" i="3"/>
  <c r="C2226" i="3"/>
  <c r="C2227" i="3"/>
  <c r="C2228" i="3"/>
  <c r="C2229" i="3"/>
  <c r="C2230" i="3"/>
  <c r="C2231" i="3"/>
  <c r="C2232" i="3"/>
  <c r="C2233" i="3"/>
  <c r="C2234" i="3"/>
  <c r="C2235" i="3"/>
  <c r="C2236" i="3"/>
  <c r="C2237" i="3"/>
  <c r="C2238" i="3"/>
  <c r="C2239" i="3"/>
  <c r="C2240" i="3"/>
  <c r="C2241" i="3"/>
  <c r="C2242" i="3"/>
  <c r="C2243" i="3"/>
  <c r="C2244" i="3"/>
  <c r="C2245" i="3"/>
  <c r="C2246" i="3"/>
  <c r="C2247" i="3"/>
  <c r="C2248" i="3"/>
  <c r="C2249" i="3"/>
  <c r="C2250" i="3"/>
  <c r="C2251" i="3"/>
  <c r="C2252" i="3"/>
  <c r="C2253" i="3"/>
  <c r="C2254" i="3"/>
  <c r="C2255" i="3"/>
  <c r="C2256" i="3"/>
  <c r="C2257" i="3"/>
  <c r="C2258" i="3"/>
  <c r="C2259" i="3"/>
  <c r="C2260" i="3"/>
  <c r="C2261" i="3"/>
  <c r="C2262" i="3"/>
  <c r="C2263" i="3"/>
  <c r="C2264" i="3"/>
  <c r="C2265" i="3"/>
  <c r="C2266" i="3"/>
  <c r="C2267" i="3"/>
  <c r="C2268" i="3"/>
  <c r="C2269" i="3"/>
  <c r="C2270" i="3"/>
  <c r="C2271" i="3"/>
  <c r="C2272" i="3"/>
  <c r="C2273" i="3"/>
  <c r="C2274" i="3"/>
  <c r="C2275" i="3"/>
  <c r="C2276" i="3"/>
  <c r="C2277" i="3"/>
  <c r="O2032" i="3"/>
  <c r="O2033" i="3"/>
  <c r="O2034" i="3"/>
  <c r="O2035" i="3"/>
  <c r="O2036" i="3"/>
  <c r="O2037" i="3"/>
  <c r="O2038" i="3"/>
  <c r="O2039" i="3"/>
  <c r="O2040" i="3"/>
  <c r="O2041" i="3"/>
  <c r="O2042" i="3"/>
  <c r="O2043" i="3"/>
  <c r="O2044" i="3"/>
  <c r="O2045" i="3"/>
  <c r="O2046" i="3"/>
  <c r="O2047" i="3"/>
  <c r="O2048" i="3"/>
  <c r="O2049" i="3"/>
  <c r="O2050" i="3"/>
  <c r="O2051" i="3"/>
  <c r="O2052" i="3"/>
  <c r="O2053" i="3"/>
  <c r="O2054" i="3"/>
  <c r="O2055" i="3"/>
  <c r="O2056" i="3"/>
  <c r="O2057" i="3"/>
  <c r="O2058" i="3"/>
  <c r="O2059" i="3"/>
  <c r="O2060" i="3"/>
  <c r="O2061" i="3"/>
  <c r="O2062" i="3"/>
  <c r="O2063" i="3"/>
  <c r="O2064" i="3"/>
  <c r="O2065" i="3"/>
  <c r="O2066" i="3"/>
  <c r="O2067" i="3"/>
  <c r="O2068" i="3"/>
  <c r="O2069" i="3"/>
  <c r="O2070" i="3"/>
  <c r="O2071" i="3"/>
  <c r="O2072" i="3"/>
  <c r="O2073" i="3"/>
  <c r="O2074" i="3"/>
  <c r="O2075" i="3"/>
  <c r="O2076" i="3"/>
  <c r="O2077" i="3"/>
  <c r="O2078" i="3"/>
  <c r="O2079" i="3"/>
  <c r="O2080" i="3"/>
  <c r="O2081" i="3"/>
  <c r="O2082" i="3"/>
  <c r="O2083" i="3"/>
  <c r="O2084" i="3"/>
  <c r="O2085" i="3"/>
  <c r="O2086" i="3"/>
  <c r="O2087" i="3"/>
  <c r="O2088" i="3"/>
  <c r="O2089" i="3"/>
  <c r="O2090" i="3"/>
  <c r="O2091" i="3"/>
  <c r="O2092" i="3"/>
  <c r="O2093" i="3"/>
  <c r="O2094" i="3"/>
  <c r="O2095" i="3"/>
  <c r="O2096" i="3"/>
  <c r="O2097" i="3"/>
  <c r="O2098" i="3"/>
  <c r="O2099" i="3"/>
  <c r="O2100" i="3"/>
  <c r="O2101" i="3"/>
  <c r="O2102" i="3"/>
  <c r="O2103" i="3"/>
  <c r="O2104" i="3"/>
  <c r="O2105" i="3"/>
  <c r="O2106" i="3"/>
  <c r="O2107" i="3"/>
  <c r="O2108" i="3"/>
  <c r="O2109" i="3"/>
  <c r="O2110" i="3"/>
  <c r="O2111" i="3"/>
  <c r="O2112" i="3"/>
  <c r="O2113" i="3"/>
  <c r="O2114" i="3"/>
  <c r="O2115" i="3"/>
  <c r="O2116" i="3"/>
  <c r="O2117" i="3"/>
  <c r="O2118" i="3"/>
  <c r="O2119" i="3"/>
  <c r="O2120" i="3"/>
  <c r="O2121" i="3"/>
  <c r="O2122" i="3"/>
  <c r="O2123" i="3"/>
  <c r="O2124" i="3"/>
  <c r="O2125" i="3"/>
  <c r="O2126" i="3"/>
  <c r="O2127" i="3"/>
  <c r="O2128" i="3"/>
  <c r="O2129" i="3"/>
  <c r="O2130" i="3"/>
  <c r="O2131" i="3"/>
  <c r="O2132" i="3"/>
  <c r="O2133" i="3"/>
  <c r="O2134" i="3"/>
  <c r="O2135" i="3"/>
  <c r="O2136" i="3"/>
  <c r="O2137" i="3"/>
  <c r="O2138" i="3"/>
  <c r="O2139" i="3"/>
  <c r="O2140" i="3"/>
  <c r="O2141" i="3"/>
  <c r="O2142" i="3"/>
  <c r="O2143" i="3"/>
  <c r="O2144" i="3"/>
  <c r="O2145" i="3"/>
  <c r="O2146" i="3"/>
  <c r="O2147" i="3"/>
  <c r="O2148" i="3"/>
  <c r="O2149" i="3"/>
  <c r="O2150" i="3"/>
  <c r="O2151" i="3"/>
  <c r="O2152" i="3"/>
  <c r="O2153" i="3"/>
  <c r="O2154" i="3"/>
  <c r="O2155" i="3"/>
  <c r="O2156" i="3"/>
  <c r="O2157" i="3"/>
  <c r="O2158" i="3"/>
  <c r="O2159" i="3"/>
  <c r="O2160" i="3"/>
  <c r="O2161" i="3"/>
  <c r="O2162" i="3"/>
  <c r="O2163" i="3"/>
  <c r="O2164" i="3"/>
  <c r="O2165" i="3"/>
  <c r="O2166" i="3"/>
  <c r="O2167" i="3"/>
  <c r="O2168" i="3"/>
  <c r="O2169" i="3"/>
  <c r="O2170" i="3"/>
  <c r="O2171" i="3"/>
  <c r="O2172" i="3"/>
  <c r="O2173" i="3"/>
  <c r="O2174" i="3"/>
  <c r="O2175" i="3"/>
  <c r="O2176" i="3"/>
  <c r="O2177" i="3"/>
  <c r="O2178" i="3"/>
  <c r="O2179" i="3"/>
  <c r="O2180" i="3"/>
  <c r="O2181" i="3"/>
  <c r="O2182" i="3"/>
  <c r="O2183" i="3"/>
  <c r="O2184" i="3"/>
  <c r="O2185" i="3"/>
  <c r="O2186" i="3"/>
  <c r="O2187" i="3"/>
  <c r="O2188" i="3"/>
  <c r="O2189" i="3"/>
  <c r="O2190" i="3"/>
  <c r="O2191" i="3"/>
  <c r="O2192" i="3"/>
  <c r="O2193" i="3"/>
  <c r="O2194" i="3"/>
  <c r="O2195" i="3"/>
  <c r="O2196" i="3"/>
  <c r="O2197" i="3"/>
  <c r="O2198" i="3"/>
  <c r="O2199" i="3"/>
  <c r="O2200" i="3"/>
  <c r="O2201" i="3"/>
  <c r="O2202" i="3"/>
  <c r="O2203" i="3"/>
  <c r="O2204" i="3"/>
  <c r="O2205" i="3"/>
  <c r="O2206" i="3"/>
  <c r="O2207" i="3"/>
  <c r="O2208" i="3"/>
  <c r="O2209" i="3"/>
  <c r="O2210" i="3"/>
  <c r="O2211" i="3"/>
  <c r="O2212" i="3"/>
  <c r="O2213" i="3"/>
  <c r="O2214" i="3"/>
  <c r="O2215" i="3"/>
  <c r="O2216" i="3"/>
  <c r="O2217" i="3"/>
  <c r="O2218" i="3"/>
  <c r="O2219" i="3"/>
  <c r="O2220" i="3"/>
  <c r="O2221" i="3"/>
  <c r="O2222" i="3"/>
  <c r="O2223" i="3"/>
  <c r="O2224" i="3"/>
  <c r="O2225" i="3"/>
  <c r="O2226" i="3"/>
  <c r="O2227" i="3"/>
  <c r="O2228" i="3"/>
  <c r="O2229" i="3"/>
  <c r="O2230" i="3"/>
  <c r="O2231" i="3"/>
  <c r="O2232" i="3"/>
  <c r="O2233" i="3"/>
  <c r="O2234" i="3"/>
  <c r="O2235" i="3"/>
  <c r="O2236" i="3"/>
  <c r="O2237" i="3"/>
  <c r="O2238" i="3"/>
  <c r="O2239" i="3"/>
  <c r="O2240" i="3"/>
  <c r="O2241" i="3"/>
  <c r="O2242" i="3"/>
  <c r="O2243" i="3"/>
  <c r="O2244" i="3"/>
  <c r="O2245" i="3"/>
  <c r="O2246" i="3"/>
  <c r="O2247" i="3"/>
  <c r="O2248" i="3"/>
  <c r="O2249" i="3"/>
  <c r="O2250" i="3"/>
  <c r="O2251" i="3"/>
  <c r="O2252" i="3"/>
  <c r="O2253" i="3"/>
  <c r="O2254" i="3"/>
  <c r="O2255" i="3"/>
  <c r="O2256" i="3"/>
  <c r="O2257" i="3"/>
  <c r="O2258" i="3"/>
  <c r="O2259" i="3"/>
  <c r="O2260" i="3"/>
  <c r="O2261" i="3"/>
  <c r="O2262" i="3"/>
  <c r="O2263" i="3"/>
  <c r="O2264" i="3"/>
  <c r="O2265" i="3"/>
  <c r="O2266" i="3"/>
  <c r="O2267" i="3"/>
  <c r="O2268" i="3"/>
  <c r="O2269" i="3"/>
  <c r="O2270" i="3"/>
  <c r="O2271" i="3"/>
  <c r="O2272" i="3"/>
  <c r="O2273" i="3"/>
  <c r="O2274" i="3"/>
  <c r="O2275" i="3"/>
  <c r="O2276" i="3"/>
  <c r="O2277" i="3"/>
  <c r="M2502" i="3"/>
  <c r="M2503" i="3"/>
  <c r="M2504" i="3"/>
  <c r="M2505" i="3"/>
  <c r="M2506" i="3"/>
  <c r="M2507" i="3"/>
  <c r="M2508" i="3"/>
  <c r="M2509" i="3"/>
  <c r="M2510" i="3"/>
  <c r="M2511" i="3"/>
  <c r="M2512" i="3"/>
  <c r="M2513" i="3"/>
  <c r="M2514" i="3"/>
  <c r="M2515" i="3"/>
  <c r="M2516" i="3"/>
  <c r="M2517" i="3"/>
  <c r="M2518" i="3"/>
  <c r="M2519" i="3"/>
  <c r="M2520" i="3"/>
  <c r="M2521" i="3"/>
  <c r="M2522" i="3"/>
  <c r="M2523" i="3"/>
  <c r="M2524" i="3"/>
  <c r="M2525" i="3"/>
  <c r="M2526" i="3"/>
  <c r="M2527" i="3"/>
  <c r="M2528" i="3"/>
  <c r="M2529" i="3"/>
  <c r="M2530" i="3"/>
  <c r="M2531" i="3"/>
  <c r="M2532" i="3"/>
  <c r="M2533" i="3"/>
  <c r="M2534" i="3"/>
  <c r="M2535" i="3"/>
  <c r="M2536" i="3"/>
  <c r="M2537" i="3"/>
  <c r="M2538" i="3"/>
  <c r="M2539" i="3"/>
  <c r="M2540" i="3"/>
  <c r="M2541" i="3"/>
  <c r="M2542" i="3"/>
  <c r="M2543" i="3"/>
  <c r="M2544" i="3"/>
  <c r="M2545" i="3"/>
  <c r="M2546" i="3"/>
  <c r="M2547" i="3"/>
  <c r="M2548" i="3"/>
  <c r="M2549" i="3"/>
  <c r="M2550" i="3"/>
  <c r="M2551" i="3"/>
  <c r="M2552" i="3"/>
  <c r="M2553" i="3"/>
  <c r="M2554" i="3"/>
  <c r="M2555" i="3"/>
  <c r="M2556" i="3"/>
  <c r="M2557" i="3"/>
  <c r="M2558" i="3"/>
  <c r="M2559" i="3"/>
  <c r="M2560" i="3"/>
  <c r="M2561" i="3"/>
  <c r="M2562" i="3"/>
  <c r="M2563" i="3"/>
  <c r="M2564" i="3"/>
  <c r="M2565" i="3"/>
  <c r="M2566" i="3"/>
  <c r="M2567" i="3"/>
  <c r="M2568" i="3"/>
  <c r="M2569" i="3"/>
  <c r="M2570" i="3"/>
  <c r="M2571" i="3"/>
  <c r="M2572" i="3"/>
  <c r="M2573" i="3"/>
  <c r="M2574" i="3"/>
  <c r="M2575" i="3"/>
  <c r="M2278" i="3"/>
  <c r="M2279" i="3"/>
  <c r="M2280" i="3"/>
  <c r="M2281" i="3"/>
  <c r="M2282" i="3"/>
  <c r="M2283" i="3"/>
  <c r="M2284" i="3"/>
  <c r="M2285" i="3"/>
  <c r="M2286" i="3"/>
  <c r="M2287" i="3"/>
  <c r="M2288" i="3"/>
  <c r="M2289" i="3"/>
  <c r="M2290" i="3"/>
  <c r="M2291" i="3"/>
  <c r="M2292" i="3"/>
  <c r="M2293" i="3"/>
  <c r="M2294" i="3"/>
  <c r="M2295" i="3"/>
  <c r="M2296" i="3"/>
  <c r="M2297" i="3"/>
  <c r="M2298" i="3"/>
  <c r="M2299" i="3"/>
  <c r="M2300" i="3"/>
  <c r="M2301" i="3"/>
  <c r="M2302" i="3"/>
  <c r="M2303" i="3"/>
  <c r="M2304" i="3"/>
  <c r="M2305" i="3"/>
  <c r="M2306" i="3"/>
  <c r="M2307" i="3"/>
  <c r="M2308" i="3"/>
  <c r="M2309" i="3"/>
  <c r="M2310" i="3"/>
  <c r="M2311" i="3"/>
  <c r="M2312" i="3"/>
  <c r="M2313" i="3"/>
  <c r="M2314" i="3"/>
  <c r="M2315" i="3"/>
  <c r="M2316" i="3"/>
  <c r="M2317" i="3"/>
  <c r="M2318" i="3"/>
  <c r="M2319" i="3"/>
  <c r="M2320" i="3"/>
  <c r="M2321" i="3"/>
  <c r="M2322" i="3"/>
  <c r="M2323" i="3"/>
  <c r="M2324" i="3"/>
  <c r="M2325" i="3"/>
  <c r="M2326" i="3"/>
  <c r="M2327" i="3"/>
  <c r="M2328" i="3"/>
  <c r="M2329" i="3"/>
  <c r="M2330" i="3"/>
  <c r="M2331" i="3"/>
  <c r="M2332" i="3"/>
  <c r="M2333" i="3"/>
  <c r="M2334" i="3"/>
  <c r="M2335" i="3"/>
  <c r="M2336" i="3"/>
  <c r="M2337" i="3"/>
  <c r="M2338" i="3"/>
  <c r="M2339" i="3"/>
  <c r="M2340" i="3"/>
  <c r="M2341" i="3"/>
  <c r="M2342" i="3"/>
  <c r="M2343" i="3"/>
  <c r="M2344" i="3"/>
  <c r="M2345" i="3"/>
  <c r="M2346" i="3"/>
  <c r="M2347" i="3"/>
  <c r="M2348" i="3"/>
  <c r="M2349" i="3"/>
  <c r="M2350" i="3"/>
  <c r="M2351" i="3"/>
  <c r="M2352" i="3"/>
  <c r="M2353" i="3"/>
  <c r="M2354" i="3"/>
  <c r="M2355" i="3"/>
  <c r="M2356" i="3"/>
  <c r="M2357" i="3"/>
  <c r="M2358" i="3"/>
  <c r="M2359" i="3"/>
  <c r="M2360" i="3"/>
  <c r="M2361" i="3"/>
  <c r="M2362" i="3"/>
  <c r="M2363" i="3"/>
  <c r="M2364" i="3"/>
  <c r="M2365" i="3"/>
  <c r="M2366" i="3"/>
  <c r="M2367" i="3"/>
  <c r="M2368" i="3"/>
  <c r="M2369" i="3"/>
  <c r="M2370" i="3"/>
  <c r="M2371" i="3"/>
  <c r="M2372" i="3"/>
  <c r="M2373" i="3"/>
  <c r="M2374" i="3"/>
  <c r="M2375" i="3"/>
  <c r="M2376" i="3"/>
  <c r="M2377" i="3"/>
  <c r="M2378" i="3"/>
  <c r="M2379" i="3"/>
  <c r="M2380" i="3"/>
  <c r="M2381" i="3"/>
  <c r="M2382" i="3"/>
  <c r="M2383" i="3"/>
  <c r="M2384" i="3"/>
  <c r="M2385" i="3"/>
  <c r="M2386" i="3"/>
  <c r="M2387" i="3"/>
  <c r="M2388" i="3"/>
  <c r="M2389" i="3"/>
  <c r="M2390" i="3"/>
  <c r="M2391" i="3"/>
  <c r="M2392" i="3"/>
  <c r="M2393" i="3"/>
  <c r="M2394" i="3"/>
  <c r="M2395" i="3"/>
  <c r="M2396" i="3"/>
  <c r="M2397" i="3"/>
  <c r="M2398" i="3"/>
  <c r="M2399" i="3"/>
  <c r="M2400" i="3"/>
  <c r="M2401" i="3"/>
  <c r="M2402" i="3"/>
  <c r="M2403" i="3"/>
  <c r="M2404" i="3"/>
  <c r="M2405" i="3"/>
  <c r="M2406" i="3"/>
  <c r="M2407" i="3"/>
  <c r="M2408" i="3"/>
  <c r="M2409" i="3"/>
  <c r="M2410" i="3"/>
  <c r="M2411" i="3"/>
  <c r="M2412" i="3"/>
  <c r="M2413" i="3"/>
  <c r="M2414" i="3"/>
  <c r="M2415" i="3"/>
  <c r="M2416" i="3"/>
  <c r="M2417" i="3"/>
  <c r="M2418" i="3"/>
  <c r="M2419" i="3"/>
  <c r="M2420" i="3"/>
  <c r="M2421" i="3"/>
  <c r="M2422" i="3"/>
  <c r="M2423" i="3"/>
  <c r="M2424" i="3"/>
  <c r="M2425" i="3"/>
  <c r="M2426" i="3"/>
  <c r="M2427" i="3"/>
  <c r="M2428" i="3"/>
  <c r="M2429" i="3"/>
  <c r="M2430" i="3"/>
  <c r="M2431" i="3"/>
  <c r="M2432" i="3"/>
  <c r="M2433" i="3"/>
  <c r="M2434" i="3"/>
  <c r="M2435" i="3"/>
  <c r="M2436" i="3"/>
  <c r="M2437" i="3"/>
  <c r="M2438" i="3"/>
  <c r="M2439" i="3"/>
  <c r="M2440" i="3"/>
  <c r="M2441" i="3"/>
  <c r="M2442" i="3"/>
  <c r="M2443" i="3"/>
  <c r="M2444" i="3"/>
  <c r="M2445" i="3"/>
  <c r="M2446" i="3"/>
  <c r="M2447" i="3"/>
  <c r="M2448" i="3"/>
  <c r="M2449" i="3"/>
  <c r="M2450" i="3"/>
  <c r="M2451" i="3"/>
  <c r="M2452" i="3"/>
  <c r="M2453" i="3"/>
  <c r="M2454" i="3"/>
  <c r="M2455" i="3"/>
  <c r="M2456" i="3"/>
  <c r="M2457" i="3"/>
  <c r="M2458" i="3"/>
  <c r="M2459" i="3"/>
  <c r="M2460" i="3"/>
  <c r="M2461" i="3"/>
  <c r="M2462" i="3"/>
  <c r="M2463" i="3"/>
  <c r="M2464" i="3"/>
  <c r="M2465" i="3"/>
  <c r="M2466" i="3"/>
  <c r="M2467" i="3"/>
  <c r="M2468" i="3"/>
  <c r="M2469" i="3"/>
  <c r="M2470" i="3"/>
  <c r="M2471" i="3"/>
  <c r="M2472" i="3"/>
  <c r="M2473" i="3"/>
  <c r="M2474" i="3"/>
  <c r="M2475" i="3"/>
  <c r="M2476" i="3"/>
  <c r="M2477" i="3"/>
  <c r="M2478" i="3"/>
  <c r="M2479" i="3"/>
  <c r="M2480" i="3"/>
  <c r="M2481" i="3"/>
  <c r="M2482" i="3"/>
  <c r="M2483" i="3"/>
  <c r="M2484" i="3"/>
  <c r="M2485" i="3"/>
  <c r="M2486" i="3"/>
  <c r="M2487" i="3"/>
  <c r="M2488" i="3"/>
  <c r="M2489" i="3"/>
  <c r="M2490" i="3"/>
  <c r="M2491" i="3"/>
  <c r="M2492" i="3"/>
  <c r="M2493" i="3"/>
  <c r="M2494" i="3"/>
  <c r="M2495" i="3"/>
  <c r="M2496" i="3"/>
  <c r="M2497" i="3"/>
  <c r="M2498" i="3"/>
  <c r="M2499" i="3"/>
  <c r="M2500" i="3"/>
  <c r="M2501" i="3"/>
  <c r="M2032" i="3"/>
  <c r="M2033" i="3"/>
  <c r="M2034" i="3"/>
  <c r="M2035" i="3"/>
  <c r="M2036" i="3"/>
  <c r="M2037" i="3"/>
  <c r="M2038" i="3"/>
  <c r="M2039" i="3"/>
  <c r="M2040" i="3"/>
  <c r="M2041" i="3"/>
  <c r="M2042" i="3"/>
  <c r="M2043" i="3"/>
  <c r="M2044" i="3"/>
  <c r="M2045" i="3"/>
  <c r="M2046" i="3"/>
  <c r="M2047" i="3"/>
  <c r="M2048" i="3"/>
  <c r="M2049" i="3"/>
  <c r="M2050" i="3"/>
  <c r="M2051" i="3"/>
  <c r="M2052" i="3"/>
  <c r="M2053" i="3"/>
  <c r="M2054" i="3"/>
  <c r="M2055" i="3"/>
  <c r="M2056" i="3"/>
  <c r="M2057" i="3"/>
  <c r="M2058" i="3"/>
  <c r="M2059" i="3"/>
  <c r="M2060" i="3"/>
  <c r="M2061" i="3"/>
  <c r="M2062" i="3"/>
  <c r="M2063" i="3"/>
  <c r="M2064" i="3"/>
  <c r="M2065" i="3"/>
  <c r="M2066" i="3"/>
  <c r="M2067" i="3"/>
  <c r="M2068" i="3"/>
  <c r="M2069" i="3"/>
  <c r="M2070" i="3"/>
  <c r="M2071" i="3"/>
  <c r="M2072" i="3"/>
  <c r="M2073" i="3"/>
  <c r="M2074" i="3"/>
  <c r="M2075" i="3"/>
  <c r="M2076" i="3"/>
  <c r="M2077" i="3"/>
  <c r="M2078" i="3"/>
  <c r="M2079" i="3"/>
  <c r="M2080" i="3"/>
  <c r="M2081" i="3"/>
  <c r="M2082" i="3"/>
  <c r="M2083" i="3"/>
  <c r="M2084" i="3"/>
  <c r="M2085" i="3"/>
  <c r="M2086" i="3"/>
  <c r="M2087" i="3"/>
  <c r="M2088" i="3"/>
  <c r="M2089" i="3"/>
  <c r="M2090" i="3"/>
  <c r="M2091" i="3"/>
  <c r="M2092" i="3"/>
  <c r="M2093" i="3"/>
  <c r="M2094" i="3"/>
  <c r="M2095" i="3"/>
  <c r="M2096" i="3"/>
  <c r="M2097" i="3"/>
  <c r="M2098" i="3"/>
  <c r="M2099" i="3"/>
  <c r="M2100" i="3"/>
  <c r="M2101" i="3"/>
  <c r="M2102" i="3"/>
  <c r="M2103" i="3"/>
  <c r="M2104" i="3"/>
  <c r="M2105" i="3"/>
  <c r="M2106" i="3"/>
  <c r="M2107" i="3"/>
  <c r="M2108" i="3"/>
  <c r="M2109" i="3"/>
  <c r="M2110" i="3"/>
  <c r="M2111" i="3"/>
  <c r="M2112" i="3"/>
  <c r="M2113" i="3"/>
  <c r="M2114" i="3"/>
  <c r="M2115" i="3"/>
  <c r="M2116" i="3"/>
  <c r="M2117" i="3"/>
  <c r="M2118" i="3"/>
  <c r="M2119" i="3"/>
  <c r="M2120" i="3"/>
  <c r="M2121" i="3"/>
  <c r="M2122" i="3"/>
  <c r="M2123" i="3"/>
  <c r="M2124" i="3"/>
  <c r="M2125" i="3"/>
  <c r="M2126" i="3"/>
  <c r="M2127" i="3"/>
  <c r="M2128" i="3"/>
  <c r="M2129" i="3"/>
  <c r="M2130" i="3"/>
  <c r="M2131" i="3"/>
  <c r="M2132" i="3"/>
  <c r="M2133" i="3"/>
  <c r="M2134" i="3"/>
  <c r="M2135" i="3"/>
  <c r="M2136" i="3"/>
  <c r="M2137" i="3"/>
  <c r="M2138" i="3"/>
  <c r="M2139" i="3"/>
  <c r="M2140" i="3"/>
  <c r="M2141" i="3"/>
  <c r="M2142" i="3"/>
  <c r="M2143" i="3"/>
  <c r="M2144" i="3"/>
  <c r="M2145" i="3"/>
  <c r="M2146" i="3"/>
  <c r="M2147" i="3"/>
  <c r="M2148" i="3"/>
  <c r="M2149" i="3"/>
  <c r="M2150" i="3"/>
  <c r="M2151" i="3"/>
  <c r="M2152" i="3"/>
  <c r="M2153" i="3"/>
  <c r="M2154" i="3"/>
  <c r="M2155" i="3"/>
  <c r="M2156" i="3"/>
  <c r="M2157" i="3"/>
  <c r="M2158" i="3"/>
  <c r="M2159" i="3"/>
  <c r="M2160" i="3"/>
  <c r="M2161" i="3"/>
  <c r="M2162" i="3"/>
  <c r="M2163" i="3"/>
  <c r="M2164" i="3"/>
  <c r="M2165" i="3"/>
  <c r="M2166" i="3"/>
  <c r="M2167" i="3"/>
  <c r="M2168" i="3"/>
  <c r="M2169" i="3"/>
  <c r="M2170" i="3"/>
  <c r="M2171" i="3"/>
  <c r="M2172" i="3"/>
  <c r="M2173" i="3"/>
  <c r="M2174" i="3"/>
  <c r="M2175" i="3"/>
  <c r="M2176" i="3"/>
  <c r="M2177" i="3"/>
  <c r="M2178" i="3"/>
  <c r="M2179" i="3"/>
  <c r="M2180" i="3"/>
  <c r="M2181" i="3"/>
  <c r="M2182" i="3"/>
  <c r="M2183" i="3"/>
  <c r="M2184" i="3"/>
  <c r="M2185" i="3"/>
  <c r="M2186" i="3"/>
  <c r="M2187" i="3"/>
  <c r="M2188" i="3"/>
  <c r="M2189" i="3"/>
  <c r="M2190" i="3"/>
  <c r="M2191" i="3"/>
  <c r="M2192" i="3"/>
  <c r="M2193" i="3"/>
  <c r="M2194" i="3"/>
  <c r="M2195" i="3"/>
  <c r="M2196" i="3"/>
  <c r="M2197" i="3"/>
  <c r="M2198" i="3"/>
  <c r="M2199" i="3"/>
  <c r="M2200" i="3"/>
  <c r="M2201" i="3"/>
  <c r="M2202" i="3"/>
  <c r="M2203" i="3"/>
  <c r="M2204" i="3"/>
  <c r="M2205" i="3"/>
  <c r="M2206" i="3"/>
  <c r="M2207" i="3"/>
  <c r="M2208" i="3"/>
  <c r="M2209" i="3"/>
  <c r="M2210" i="3"/>
  <c r="M2211" i="3"/>
  <c r="M2212" i="3"/>
  <c r="M2213" i="3"/>
  <c r="M2214" i="3"/>
  <c r="M2215" i="3"/>
  <c r="M2216" i="3"/>
  <c r="M2217" i="3"/>
  <c r="M2218" i="3"/>
  <c r="M2219" i="3"/>
  <c r="M2220" i="3"/>
  <c r="M2221" i="3"/>
  <c r="M2222" i="3"/>
  <c r="M2223" i="3"/>
  <c r="M2224" i="3"/>
  <c r="M2225" i="3"/>
  <c r="M2226" i="3"/>
  <c r="M2227" i="3"/>
  <c r="M2228" i="3"/>
  <c r="M2229" i="3"/>
  <c r="M2230" i="3"/>
  <c r="M2231" i="3"/>
  <c r="M2232" i="3"/>
  <c r="M2233" i="3"/>
  <c r="M2234" i="3"/>
  <c r="M2235" i="3"/>
  <c r="M2236" i="3"/>
  <c r="M2237" i="3"/>
  <c r="M2238" i="3"/>
  <c r="M2239" i="3"/>
  <c r="M2240" i="3"/>
  <c r="M2241" i="3"/>
  <c r="M2242" i="3"/>
  <c r="M2243" i="3"/>
  <c r="M2244" i="3"/>
  <c r="M2245" i="3"/>
  <c r="M2246" i="3"/>
  <c r="M2247" i="3"/>
  <c r="M2248" i="3"/>
  <c r="M2249" i="3"/>
  <c r="M2250" i="3"/>
  <c r="M2251" i="3"/>
  <c r="M2252" i="3"/>
  <c r="M2253" i="3"/>
  <c r="M2254" i="3"/>
  <c r="M2255" i="3"/>
  <c r="M2256" i="3"/>
  <c r="M2257" i="3"/>
  <c r="M2258" i="3"/>
  <c r="M2259" i="3"/>
  <c r="M2260" i="3"/>
  <c r="M2261" i="3"/>
  <c r="M2262" i="3"/>
  <c r="M2263" i="3"/>
  <c r="M2264" i="3"/>
  <c r="M2265" i="3"/>
  <c r="M2266" i="3"/>
  <c r="M2267" i="3"/>
  <c r="M2268" i="3"/>
  <c r="M2269" i="3"/>
  <c r="M2270" i="3"/>
  <c r="M2271" i="3"/>
  <c r="M2272" i="3"/>
  <c r="M2273" i="3"/>
  <c r="M2274" i="3"/>
  <c r="M2275" i="3"/>
  <c r="M2276" i="3"/>
  <c r="M2277" i="3"/>
  <c r="O3" i="3"/>
  <c r="O4" i="3"/>
  <c r="O5" i="3"/>
  <c r="O6" i="3"/>
  <c r="O7" i="3"/>
  <c r="O8" i="3"/>
  <c r="O9" i="3"/>
  <c r="O10" i="3"/>
  <c r="O11" i="3"/>
  <c r="O12" i="3"/>
  <c r="O13" i="3"/>
  <c r="O14" i="3"/>
  <c r="O15" i="3"/>
  <c r="O16" i="3"/>
  <c r="O17" i="3"/>
  <c r="O18" i="3"/>
  <c r="O19" i="3"/>
  <c r="O20" i="3"/>
  <c r="O21" i="3"/>
  <c r="O22" i="3"/>
  <c r="O23" i="3"/>
  <c r="O24" i="3"/>
  <c r="O25" i="3"/>
  <c r="O26" i="3"/>
  <c r="O27" i="3"/>
  <c r="O28" i="3"/>
  <c r="O29" i="3"/>
  <c r="O30" i="3"/>
  <c r="O31" i="3"/>
  <c r="O32" i="3"/>
  <c r="O33" i="3"/>
  <c r="O34" i="3"/>
  <c r="O35" i="3"/>
  <c r="O36" i="3"/>
  <c r="O37" i="3"/>
  <c r="O38" i="3"/>
  <c r="O39" i="3"/>
  <c r="O40" i="3"/>
  <c r="O41" i="3"/>
  <c r="O42" i="3"/>
  <c r="O43" i="3"/>
  <c r="O44" i="3"/>
  <c r="O45" i="3"/>
  <c r="O46" i="3"/>
  <c r="O47" i="3"/>
  <c r="O48" i="3"/>
  <c r="O49" i="3"/>
  <c r="O50" i="3"/>
  <c r="O51" i="3"/>
  <c r="O52" i="3"/>
  <c r="O53" i="3"/>
  <c r="O54" i="3"/>
  <c r="O55" i="3"/>
  <c r="O56" i="3"/>
  <c r="O57" i="3"/>
  <c r="O58" i="3"/>
  <c r="O59" i="3"/>
  <c r="O60" i="3"/>
  <c r="O61" i="3"/>
  <c r="O62" i="3"/>
  <c r="O63" i="3"/>
  <c r="O64" i="3"/>
  <c r="O65" i="3"/>
  <c r="O66" i="3"/>
  <c r="O67" i="3"/>
  <c r="O68" i="3"/>
  <c r="O69" i="3"/>
  <c r="O70" i="3"/>
  <c r="O71" i="3"/>
  <c r="O72" i="3"/>
  <c r="O73" i="3"/>
  <c r="O74" i="3"/>
  <c r="O75" i="3"/>
  <c r="O76" i="3"/>
  <c r="O77" i="3"/>
  <c r="O78" i="3"/>
  <c r="O79" i="3"/>
  <c r="O80" i="3"/>
  <c r="O81" i="3"/>
  <c r="O82" i="3"/>
  <c r="O83" i="3"/>
  <c r="O84" i="3"/>
  <c r="O85" i="3"/>
  <c r="O86" i="3"/>
  <c r="O87" i="3"/>
  <c r="O88" i="3"/>
  <c r="O89" i="3"/>
  <c r="O90" i="3"/>
  <c r="O91" i="3"/>
  <c r="O92" i="3"/>
  <c r="O93" i="3"/>
  <c r="O94" i="3"/>
  <c r="O95" i="3"/>
  <c r="O96" i="3"/>
  <c r="O97" i="3"/>
  <c r="O98" i="3"/>
  <c r="O99" i="3"/>
  <c r="O100" i="3"/>
  <c r="O101" i="3"/>
  <c r="O102" i="3"/>
  <c r="O103" i="3"/>
  <c r="O104" i="3"/>
  <c r="O105" i="3"/>
  <c r="O106" i="3"/>
  <c r="O107" i="3"/>
  <c r="O108" i="3"/>
  <c r="O109" i="3"/>
  <c r="O110" i="3"/>
  <c r="O111" i="3"/>
  <c r="O112" i="3"/>
  <c r="O113" i="3"/>
  <c r="O114" i="3"/>
  <c r="O115" i="3"/>
  <c r="O116" i="3"/>
  <c r="O117" i="3"/>
  <c r="O118" i="3"/>
  <c r="O119" i="3"/>
  <c r="O120" i="3"/>
  <c r="O121" i="3"/>
  <c r="O122" i="3"/>
  <c r="O123" i="3"/>
  <c r="O124" i="3"/>
  <c r="O125" i="3"/>
  <c r="O126" i="3"/>
  <c r="O127" i="3"/>
  <c r="O128" i="3"/>
  <c r="O129" i="3"/>
  <c r="O130" i="3"/>
  <c r="O131" i="3"/>
  <c r="O132" i="3"/>
  <c r="O133" i="3"/>
  <c r="O134" i="3"/>
  <c r="O135" i="3"/>
  <c r="O136" i="3"/>
  <c r="O137" i="3"/>
  <c r="O138" i="3"/>
  <c r="O139" i="3"/>
  <c r="O140" i="3"/>
  <c r="O141" i="3"/>
  <c r="O142" i="3"/>
  <c r="O143" i="3"/>
  <c r="O144" i="3"/>
  <c r="O145" i="3"/>
  <c r="O146" i="3"/>
  <c r="O147" i="3"/>
  <c r="O148" i="3"/>
  <c r="O149" i="3"/>
  <c r="O150" i="3"/>
  <c r="O151" i="3"/>
  <c r="O152" i="3"/>
  <c r="O153" i="3"/>
  <c r="O154" i="3"/>
  <c r="O155" i="3"/>
  <c r="O156" i="3"/>
  <c r="O157" i="3"/>
  <c r="O158" i="3"/>
  <c r="O159" i="3"/>
  <c r="O160" i="3"/>
  <c r="O161" i="3"/>
  <c r="O162" i="3"/>
  <c r="O163" i="3"/>
  <c r="O164" i="3"/>
  <c r="O165" i="3"/>
  <c r="O166" i="3"/>
  <c r="O167" i="3"/>
  <c r="O168" i="3"/>
  <c r="O169" i="3"/>
  <c r="O170" i="3"/>
  <c r="O171" i="3"/>
  <c r="O172" i="3"/>
  <c r="O173" i="3"/>
  <c r="O174" i="3"/>
  <c r="O175" i="3"/>
  <c r="O176" i="3"/>
  <c r="O177" i="3"/>
  <c r="O178" i="3"/>
  <c r="O179" i="3"/>
  <c r="O180" i="3"/>
  <c r="O181" i="3"/>
  <c r="O182" i="3"/>
  <c r="O183" i="3"/>
  <c r="O184" i="3"/>
  <c r="O185" i="3"/>
  <c r="O186" i="3"/>
  <c r="O187" i="3"/>
  <c r="O188" i="3"/>
  <c r="O189" i="3"/>
  <c r="O190" i="3"/>
  <c r="O191" i="3"/>
  <c r="O192" i="3"/>
  <c r="O193" i="3"/>
  <c r="O194" i="3"/>
  <c r="O195" i="3"/>
  <c r="O196" i="3"/>
  <c r="O197" i="3"/>
  <c r="O198" i="3"/>
  <c r="O199" i="3"/>
  <c r="O200" i="3"/>
  <c r="O201" i="3"/>
  <c r="O202" i="3"/>
  <c r="O203" i="3"/>
  <c r="O204" i="3"/>
  <c r="O205" i="3"/>
  <c r="O206" i="3"/>
  <c r="O207" i="3"/>
  <c r="O208" i="3"/>
  <c r="O209" i="3"/>
  <c r="O210" i="3"/>
  <c r="O211" i="3"/>
  <c r="O212" i="3"/>
  <c r="O213" i="3"/>
  <c r="O214" i="3"/>
  <c r="O215" i="3"/>
  <c r="O216" i="3"/>
  <c r="O217" i="3"/>
  <c r="O218" i="3"/>
  <c r="O219" i="3"/>
  <c r="O220" i="3"/>
  <c r="O221" i="3"/>
  <c r="O222" i="3"/>
  <c r="O223" i="3"/>
  <c r="O224" i="3"/>
  <c r="O225" i="3"/>
  <c r="O226" i="3"/>
  <c r="O227" i="3"/>
  <c r="O228" i="3"/>
  <c r="O229" i="3"/>
  <c r="O230" i="3"/>
  <c r="O231" i="3"/>
  <c r="O232" i="3"/>
  <c r="O233" i="3"/>
  <c r="O234" i="3"/>
  <c r="O235" i="3"/>
  <c r="O236" i="3"/>
  <c r="O237" i="3"/>
  <c r="O238" i="3"/>
  <c r="O239" i="3"/>
  <c r="O240" i="3"/>
  <c r="O241" i="3"/>
  <c r="O242" i="3"/>
  <c r="O243" i="3"/>
  <c r="O244" i="3"/>
  <c r="O245" i="3"/>
  <c r="O246" i="3"/>
  <c r="O247" i="3"/>
  <c r="O248" i="3"/>
  <c r="O249" i="3"/>
  <c r="O250" i="3"/>
  <c r="O251" i="3"/>
  <c r="O252" i="3"/>
  <c r="O253" i="3"/>
  <c r="O254" i="3"/>
  <c r="O255" i="3"/>
  <c r="O256" i="3"/>
  <c r="O257" i="3"/>
  <c r="O258" i="3"/>
  <c r="O259" i="3"/>
  <c r="O260" i="3"/>
  <c r="O261" i="3"/>
  <c r="O262" i="3"/>
  <c r="O263" i="3"/>
  <c r="O264" i="3"/>
  <c r="O265" i="3"/>
  <c r="O266" i="3"/>
  <c r="O267" i="3"/>
  <c r="O268" i="3"/>
  <c r="O269" i="3"/>
  <c r="O270" i="3"/>
  <c r="O271" i="3"/>
  <c r="O272" i="3"/>
  <c r="O273" i="3"/>
  <c r="O274" i="3"/>
  <c r="O275" i="3"/>
  <c r="O276" i="3"/>
  <c r="O277" i="3"/>
  <c r="O278" i="3"/>
  <c r="O279" i="3"/>
  <c r="O280" i="3"/>
  <c r="O281" i="3"/>
  <c r="O282" i="3"/>
  <c r="O283" i="3"/>
  <c r="O284" i="3"/>
  <c r="O285" i="3"/>
  <c r="O286" i="3"/>
  <c r="O287" i="3"/>
  <c r="O288" i="3"/>
  <c r="O289" i="3"/>
  <c r="O290" i="3"/>
  <c r="O291" i="3"/>
  <c r="O292" i="3"/>
  <c r="O293" i="3"/>
  <c r="O294" i="3"/>
  <c r="O295" i="3"/>
  <c r="O296" i="3"/>
  <c r="O297" i="3"/>
  <c r="O298" i="3"/>
  <c r="O299" i="3"/>
  <c r="O300" i="3"/>
  <c r="O301" i="3"/>
  <c r="O302" i="3"/>
  <c r="O303" i="3"/>
  <c r="O304" i="3"/>
  <c r="O305" i="3"/>
  <c r="O306" i="3"/>
  <c r="O307" i="3"/>
  <c r="O308" i="3"/>
  <c r="O309" i="3"/>
  <c r="O310" i="3"/>
  <c r="O311" i="3"/>
  <c r="O312" i="3"/>
  <c r="O313" i="3"/>
  <c r="O314" i="3"/>
  <c r="O315" i="3"/>
  <c r="O316" i="3"/>
  <c r="O317" i="3"/>
  <c r="O318" i="3"/>
  <c r="O319" i="3"/>
  <c r="O320" i="3"/>
  <c r="O321" i="3"/>
  <c r="O322" i="3"/>
  <c r="O323" i="3"/>
  <c r="O324" i="3"/>
  <c r="O325" i="3"/>
  <c r="O326" i="3"/>
  <c r="O327" i="3"/>
  <c r="O328" i="3"/>
  <c r="O329" i="3"/>
  <c r="O330" i="3"/>
  <c r="O331" i="3"/>
  <c r="O332" i="3"/>
  <c r="O333" i="3"/>
  <c r="O334" i="3"/>
  <c r="O335" i="3"/>
  <c r="O336" i="3"/>
  <c r="O337" i="3"/>
  <c r="O338" i="3"/>
  <c r="O339" i="3"/>
  <c r="O340" i="3"/>
  <c r="O341" i="3"/>
  <c r="O342" i="3"/>
  <c r="O343" i="3"/>
  <c r="O344" i="3"/>
  <c r="O345" i="3"/>
  <c r="O346" i="3"/>
  <c r="O347" i="3"/>
  <c r="O348" i="3"/>
  <c r="O349" i="3"/>
  <c r="O350" i="3"/>
  <c r="O351" i="3"/>
  <c r="O352" i="3"/>
  <c r="O353" i="3"/>
  <c r="O354" i="3"/>
  <c r="O355" i="3"/>
  <c r="O356" i="3"/>
  <c r="O357" i="3"/>
  <c r="O358" i="3"/>
  <c r="O359" i="3"/>
  <c r="O360" i="3"/>
  <c r="O361" i="3"/>
  <c r="O362" i="3"/>
  <c r="O363" i="3"/>
  <c r="O364" i="3"/>
  <c r="O365" i="3"/>
  <c r="O366" i="3"/>
  <c r="O367" i="3"/>
  <c r="O368" i="3"/>
  <c r="O369" i="3"/>
  <c r="O370" i="3"/>
  <c r="O371" i="3"/>
  <c r="O372" i="3"/>
  <c r="O373" i="3"/>
  <c r="O374" i="3"/>
  <c r="O375" i="3"/>
  <c r="O376" i="3"/>
  <c r="O377" i="3"/>
  <c r="O378" i="3"/>
  <c r="O379" i="3"/>
  <c r="O380" i="3"/>
  <c r="O381" i="3"/>
  <c r="O382" i="3"/>
  <c r="O383" i="3"/>
  <c r="O384" i="3"/>
  <c r="O385" i="3"/>
  <c r="O386" i="3"/>
  <c r="O387" i="3"/>
  <c r="O388" i="3"/>
  <c r="O389" i="3"/>
  <c r="O390" i="3"/>
  <c r="O391" i="3"/>
  <c r="O392" i="3"/>
  <c r="O393" i="3"/>
  <c r="O394" i="3"/>
  <c r="O395" i="3"/>
  <c r="O396" i="3"/>
  <c r="O397" i="3"/>
  <c r="O398" i="3"/>
  <c r="O399" i="3"/>
  <c r="O400" i="3"/>
  <c r="O401" i="3"/>
  <c r="O402" i="3"/>
  <c r="O403" i="3"/>
  <c r="O404" i="3"/>
  <c r="O405" i="3"/>
  <c r="O406" i="3"/>
  <c r="O407" i="3"/>
  <c r="O408" i="3"/>
  <c r="O409" i="3"/>
  <c r="O410" i="3"/>
  <c r="O411" i="3"/>
  <c r="O412" i="3"/>
  <c r="O413" i="3"/>
  <c r="O414" i="3"/>
  <c r="O415" i="3"/>
  <c r="O416" i="3"/>
  <c r="O417" i="3"/>
  <c r="O418" i="3"/>
  <c r="O419" i="3"/>
  <c r="O420" i="3"/>
  <c r="O421" i="3"/>
  <c r="O422" i="3"/>
  <c r="O423" i="3"/>
  <c r="O424" i="3"/>
  <c r="O425" i="3"/>
  <c r="O426" i="3"/>
  <c r="O427" i="3"/>
  <c r="O428" i="3"/>
  <c r="O429" i="3"/>
  <c r="O430" i="3"/>
  <c r="O431" i="3"/>
  <c r="O432" i="3"/>
  <c r="O433" i="3"/>
  <c r="O434" i="3"/>
  <c r="O435" i="3"/>
  <c r="O436" i="3"/>
  <c r="O437" i="3"/>
  <c r="O438" i="3"/>
  <c r="O439" i="3"/>
  <c r="O440" i="3"/>
  <c r="O441" i="3"/>
  <c r="O442" i="3"/>
  <c r="O443" i="3"/>
  <c r="O444" i="3"/>
  <c r="O445" i="3"/>
  <c r="O446" i="3"/>
  <c r="O447" i="3"/>
  <c r="O448" i="3"/>
  <c r="O449" i="3"/>
  <c r="O450" i="3"/>
  <c r="O451" i="3"/>
  <c r="O452" i="3"/>
  <c r="O453" i="3"/>
  <c r="O454" i="3"/>
  <c r="O455" i="3"/>
  <c r="O456" i="3"/>
  <c r="O457" i="3"/>
  <c r="O458" i="3"/>
  <c r="O459" i="3"/>
  <c r="O460" i="3"/>
  <c r="O461" i="3"/>
  <c r="O462" i="3"/>
  <c r="O463" i="3"/>
  <c r="O464" i="3"/>
  <c r="O465" i="3"/>
  <c r="O466" i="3"/>
  <c r="O467" i="3"/>
  <c r="O468" i="3"/>
  <c r="O469" i="3"/>
  <c r="O470" i="3"/>
  <c r="O471" i="3"/>
  <c r="O472" i="3"/>
  <c r="O473" i="3"/>
  <c r="O474" i="3"/>
  <c r="O475" i="3"/>
  <c r="O476" i="3"/>
  <c r="O477" i="3"/>
  <c r="O478" i="3"/>
  <c r="O479" i="3"/>
  <c r="O480" i="3"/>
  <c r="O481" i="3"/>
  <c r="O482" i="3"/>
  <c r="O483" i="3"/>
  <c r="O484" i="3"/>
  <c r="O485" i="3"/>
  <c r="O486" i="3"/>
  <c r="O487" i="3"/>
  <c r="O488" i="3"/>
  <c r="O489" i="3"/>
  <c r="O490" i="3"/>
  <c r="O491" i="3"/>
  <c r="O492" i="3"/>
  <c r="O493" i="3"/>
  <c r="O494" i="3"/>
  <c r="O495" i="3"/>
  <c r="O496" i="3"/>
  <c r="O497" i="3"/>
  <c r="O498" i="3"/>
  <c r="O499" i="3"/>
  <c r="O500" i="3"/>
  <c r="O501" i="3"/>
  <c r="O502" i="3"/>
  <c r="O503" i="3"/>
  <c r="O504" i="3"/>
  <c r="O505" i="3"/>
  <c r="O506" i="3"/>
  <c r="O507" i="3"/>
  <c r="O508" i="3"/>
  <c r="O509" i="3"/>
  <c r="O510" i="3"/>
  <c r="O511" i="3"/>
  <c r="O512" i="3"/>
  <c r="O513" i="3"/>
  <c r="O514" i="3"/>
  <c r="O515" i="3"/>
  <c r="O516" i="3"/>
  <c r="O517" i="3"/>
  <c r="O518" i="3"/>
  <c r="O519" i="3"/>
  <c r="O520" i="3"/>
  <c r="O521" i="3"/>
  <c r="O522" i="3"/>
  <c r="O523" i="3"/>
  <c r="O524" i="3"/>
  <c r="O525" i="3"/>
  <c r="O526" i="3"/>
  <c r="O527" i="3"/>
  <c r="O528" i="3"/>
  <c r="O529" i="3"/>
  <c r="O530" i="3"/>
  <c r="O531" i="3"/>
  <c r="O532" i="3"/>
  <c r="O533" i="3"/>
  <c r="O534" i="3"/>
  <c r="O535" i="3"/>
  <c r="O536" i="3"/>
  <c r="O537" i="3"/>
  <c r="O538" i="3"/>
  <c r="O539" i="3"/>
  <c r="O540" i="3"/>
  <c r="O541" i="3"/>
  <c r="O542" i="3"/>
  <c r="O543" i="3"/>
  <c r="O544" i="3"/>
  <c r="O545" i="3"/>
  <c r="O546" i="3"/>
  <c r="O547" i="3"/>
  <c r="O548" i="3"/>
  <c r="O549" i="3"/>
  <c r="O550" i="3"/>
  <c r="O551" i="3"/>
  <c r="O552" i="3"/>
  <c r="O553" i="3"/>
  <c r="O554" i="3"/>
  <c r="O555" i="3"/>
  <c r="O556" i="3"/>
  <c r="O557" i="3"/>
  <c r="O558" i="3"/>
  <c r="O559" i="3"/>
  <c r="O560" i="3"/>
  <c r="O561" i="3"/>
  <c r="O562" i="3"/>
  <c r="O563" i="3"/>
  <c r="O564" i="3"/>
  <c r="O565" i="3"/>
  <c r="O566" i="3"/>
  <c r="O567" i="3"/>
  <c r="O568" i="3"/>
  <c r="O569" i="3"/>
  <c r="O570" i="3"/>
  <c r="O571" i="3"/>
  <c r="O572" i="3"/>
  <c r="O573" i="3"/>
  <c r="O574" i="3"/>
  <c r="O575" i="3"/>
  <c r="O576" i="3"/>
  <c r="O577" i="3"/>
  <c r="O578" i="3"/>
  <c r="O579" i="3"/>
  <c r="O580" i="3"/>
  <c r="O581" i="3"/>
  <c r="O582" i="3"/>
  <c r="O583" i="3"/>
  <c r="O584" i="3"/>
  <c r="O585" i="3"/>
  <c r="O586" i="3"/>
  <c r="O587" i="3"/>
  <c r="O588" i="3"/>
  <c r="O589" i="3"/>
  <c r="O590" i="3"/>
  <c r="O591" i="3"/>
  <c r="O592" i="3"/>
  <c r="O593" i="3"/>
  <c r="O594" i="3"/>
  <c r="O595" i="3"/>
  <c r="O596" i="3"/>
  <c r="O597" i="3"/>
  <c r="O598" i="3"/>
  <c r="O599" i="3"/>
  <c r="O600" i="3"/>
  <c r="O601" i="3"/>
  <c r="O602" i="3"/>
  <c r="O603" i="3"/>
  <c r="O604" i="3"/>
  <c r="O605" i="3"/>
  <c r="O606" i="3"/>
  <c r="O607" i="3"/>
  <c r="O608" i="3"/>
  <c r="O609" i="3"/>
  <c r="O610" i="3"/>
  <c r="O611" i="3"/>
  <c r="O612" i="3"/>
  <c r="O613" i="3"/>
  <c r="O614" i="3"/>
  <c r="O615" i="3"/>
  <c r="O616" i="3"/>
  <c r="O617" i="3"/>
  <c r="O618" i="3"/>
  <c r="O619" i="3"/>
  <c r="O620" i="3"/>
  <c r="O621" i="3"/>
  <c r="O622" i="3"/>
  <c r="O623" i="3"/>
  <c r="O624" i="3"/>
  <c r="O625" i="3"/>
  <c r="O626" i="3"/>
  <c r="O627" i="3"/>
  <c r="O628" i="3"/>
  <c r="O629" i="3"/>
  <c r="O630" i="3"/>
  <c r="O631" i="3"/>
  <c r="O632" i="3"/>
  <c r="O633" i="3"/>
  <c r="O634" i="3"/>
  <c r="O635" i="3"/>
  <c r="O636" i="3"/>
  <c r="O637" i="3"/>
  <c r="O638" i="3"/>
  <c r="O639" i="3"/>
  <c r="O640" i="3"/>
  <c r="O641" i="3"/>
  <c r="O642" i="3"/>
  <c r="O643" i="3"/>
  <c r="O644" i="3"/>
  <c r="O645" i="3"/>
  <c r="O646" i="3"/>
  <c r="O647" i="3"/>
  <c r="O648" i="3"/>
  <c r="O649" i="3"/>
  <c r="O650" i="3"/>
  <c r="O651" i="3"/>
  <c r="O652" i="3"/>
  <c r="O653" i="3"/>
  <c r="O654" i="3"/>
  <c r="O655" i="3"/>
  <c r="O656" i="3"/>
  <c r="O657" i="3"/>
  <c r="O658" i="3"/>
  <c r="O659" i="3"/>
  <c r="O660" i="3"/>
  <c r="O661" i="3"/>
  <c r="O662" i="3"/>
  <c r="O663" i="3"/>
  <c r="O664" i="3"/>
  <c r="O665" i="3"/>
  <c r="O666" i="3"/>
  <c r="O667" i="3"/>
  <c r="O668" i="3"/>
  <c r="O669" i="3"/>
  <c r="O670" i="3"/>
  <c r="O671" i="3"/>
  <c r="O672" i="3"/>
  <c r="O673" i="3"/>
  <c r="O674" i="3"/>
  <c r="O675" i="3"/>
  <c r="O676" i="3"/>
  <c r="O677" i="3"/>
  <c r="O678" i="3"/>
  <c r="O679" i="3"/>
  <c r="O680" i="3"/>
  <c r="O681" i="3"/>
  <c r="O682" i="3"/>
  <c r="O683" i="3"/>
  <c r="O684" i="3"/>
  <c r="O685" i="3"/>
  <c r="O686" i="3"/>
  <c r="O687" i="3"/>
  <c r="O688" i="3"/>
  <c r="O689" i="3"/>
  <c r="O690" i="3"/>
  <c r="O691" i="3"/>
  <c r="O692" i="3"/>
  <c r="O693" i="3"/>
  <c r="O694" i="3"/>
  <c r="O695" i="3"/>
  <c r="O696" i="3"/>
  <c r="O697" i="3"/>
  <c r="O698" i="3"/>
  <c r="O699" i="3"/>
  <c r="O700" i="3"/>
  <c r="O701" i="3"/>
  <c r="O702" i="3"/>
  <c r="O703" i="3"/>
  <c r="O704" i="3"/>
  <c r="O705" i="3"/>
  <c r="O706" i="3"/>
  <c r="O707" i="3"/>
  <c r="O708" i="3"/>
  <c r="O709" i="3"/>
  <c r="O710" i="3"/>
  <c r="O711" i="3"/>
  <c r="O712" i="3"/>
  <c r="O713" i="3"/>
  <c r="O714" i="3"/>
  <c r="O715" i="3"/>
  <c r="O716" i="3"/>
  <c r="O717" i="3"/>
  <c r="O718" i="3"/>
  <c r="O719" i="3"/>
  <c r="O720" i="3"/>
  <c r="O721" i="3"/>
  <c r="O722" i="3"/>
  <c r="O723" i="3"/>
  <c r="O724" i="3"/>
  <c r="O725" i="3"/>
  <c r="O726" i="3"/>
  <c r="O727" i="3"/>
  <c r="O728" i="3"/>
  <c r="O729" i="3"/>
  <c r="O730" i="3"/>
  <c r="O731" i="3"/>
  <c r="O732" i="3"/>
  <c r="O733" i="3"/>
  <c r="O734" i="3"/>
  <c r="O735" i="3"/>
  <c r="O736" i="3"/>
  <c r="O737" i="3"/>
  <c r="O738" i="3"/>
  <c r="O739" i="3"/>
  <c r="O740" i="3"/>
  <c r="O741" i="3"/>
  <c r="O742" i="3"/>
  <c r="O743" i="3"/>
  <c r="O744" i="3"/>
  <c r="O745" i="3"/>
  <c r="O746" i="3"/>
  <c r="O747" i="3"/>
  <c r="O748" i="3"/>
  <c r="O749" i="3"/>
  <c r="O750" i="3"/>
  <c r="O751" i="3"/>
  <c r="O752" i="3"/>
  <c r="O753" i="3"/>
  <c r="O754" i="3"/>
  <c r="O755" i="3"/>
  <c r="O756" i="3"/>
  <c r="O757" i="3"/>
  <c r="O758" i="3"/>
  <c r="O759" i="3"/>
  <c r="O760" i="3"/>
  <c r="O761" i="3"/>
  <c r="O762" i="3"/>
  <c r="O763" i="3"/>
  <c r="O764" i="3"/>
  <c r="O765" i="3"/>
  <c r="O766" i="3"/>
  <c r="O767" i="3"/>
  <c r="O768" i="3"/>
  <c r="O769" i="3"/>
  <c r="O770" i="3"/>
  <c r="O771" i="3"/>
  <c r="O772" i="3"/>
  <c r="O773" i="3"/>
  <c r="O774" i="3"/>
  <c r="O775" i="3"/>
  <c r="O776" i="3"/>
  <c r="O777" i="3"/>
  <c r="O778" i="3"/>
  <c r="O779" i="3"/>
  <c r="O780" i="3"/>
  <c r="O781" i="3"/>
  <c r="O782" i="3"/>
  <c r="O783" i="3"/>
  <c r="O784" i="3"/>
  <c r="O785" i="3"/>
  <c r="O786" i="3"/>
  <c r="O787" i="3"/>
  <c r="O788" i="3"/>
  <c r="O789" i="3"/>
  <c r="O790" i="3"/>
  <c r="O791" i="3"/>
  <c r="O792" i="3"/>
  <c r="O793" i="3"/>
  <c r="O794" i="3"/>
  <c r="O795" i="3"/>
  <c r="O796" i="3"/>
  <c r="O797" i="3"/>
  <c r="O798" i="3"/>
  <c r="O799" i="3"/>
  <c r="O800" i="3"/>
  <c r="O801" i="3"/>
  <c r="O802" i="3"/>
  <c r="O803" i="3"/>
  <c r="O804" i="3"/>
  <c r="O805" i="3"/>
  <c r="O806" i="3"/>
  <c r="O807" i="3"/>
  <c r="O808" i="3"/>
  <c r="O809" i="3"/>
  <c r="O810" i="3"/>
  <c r="O811" i="3"/>
  <c r="O812" i="3"/>
  <c r="O813" i="3"/>
  <c r="O814" i="3"/>
  <c r="O815" i="3"/>
  <c r="O816" i="3"/>
  <c r="O817" i="3"/>
  <c r="O818" i="3"/>
  <c r="O819" i="3"/>
  <c r="O820" i="3"/>
  <c r="O821" i="3"/>
  <c r="O822" i="3"/>
  <c r="O823" i="3"/>
  <c r="O824" i="3"/>
  <c r="O825" i="3"/>
  <c r="O826" i="3"/>
  <c r="O827" i="3"/>
  <c r="O828" i="3"/>
  <c r="O829" i="3"/>
  <c r="O830" i="3"/>
  <c r="O831" i="3"/>
  <c r="O832" i="3"/>
  <c r="O833" i="3"/>
  <c r="O834" i="3"/>
  <c r="O835" i="3"/>
  <c r="O836" i="3"/>
  <c r="O837" i="3"/>
  <c r="O838" i="3"/>
  <c r="O839" i="3"/>
  <c r="O840" i="3"/>
  <c r="O841" i="3"/>
  <c r="O842" i="3"/>
  <c r="O843" i="3"/>
  <c r="O844" i="3"/>
  <c r="O845" i="3"/>
  <c r="O846" i="3"/>
  <c r="O847" i="3"/>
  <c r="O848" i="3"/>
  <c r="O849" i="3"/>
  <c r="O850" i="3"/>
  <c r="O851" i="3"/>
  <c r="O852" i="3"/>
  <c r="O853" i="3"/>
  <c r="O854" i="3"/>
  <c r="O855" i="3"/>
  <c r="O856" i="3"/>
  <c r="O857" i="3"/>
  <c r="O858" i="3"/>
  <c r="O859" i="3"/>
  <c r="O860" i="3"/>
  <c r="O861" i="3"/>
  <c r="O862" i="3"/>
  <c r="O863" i="3"/>
  <c r="O864" i="3"/>
  <c r="O865" i="3"/>
  <c r="O866" i="3"/>
  <c r="O867" i="3"/>
  <c r="O868" i="3"/>
  <c r="O869" i="3"/>
  <c r="O870" i="3"/>
  <c r="O871" i="3"/>
  <c r="O872" i="3"/>
  <c r="O873" i="3"/>
  <c r="O874" i="3"/>
  <c r="O875" i="3"/>
  <c r="O876" i="3"/>
  <c r="O877" i="3"/>
  <c r="O878" i="3"/>
  <c r="O879" i="3"/>
  <c r="O880" i="3"/>
  <c r="O881" i="3"/>
  <c r="O882" i="3"/>
  <c r="O883" i="3"/>
  <c r="O884" i="3"/>
  <c r="O885" i="3"/>
  <c r="O886" i="3"/>
  <c r="O887" i="3"/>
  <c r="O888" i="3"/>
  <c r="O889" i="3"/>
  <c r="O890" i="3"/>
  <c r="O891" i="3"/>
  <c r="O892" i="3"/>
  <c r="O893" i="3"/>
  <c r="O894" i="3"/>
  <c r="O895" i="3"/>
  <c r="O896" i="3"/>
  <c r="O897" i="3"/>
  <c r="O898" i="3"/>
  <c r="O899" i="3"/>
  <c r="O900" i="3"/>
  <c r="O901" i="3"/>
  <c r="O902" i="3"/>
  <c r="O903" i="3"/>
  <c r="O904" i="3"/>
  <c r="O905" i="3"/>
  <c r="O906" i="3"/>
  <c r="O907" i="3"/>
  <c r="O908" i="3"/>
  <c r="O909" i="3"/>
  <c r="O910" i="3"/>
  <c r="O911" i="3"/>
  <c r="O912" i="3"/>
  <c r="O913" i="3"/>
  <c r="O914" i="3"/>
  <c r="O915" i="3"/>
  <c r="O916" i="3"/>
  <c r="O917" i="3"/>
  <c r="O918" i="3"/>
  <c r="O919" i="3"/>
  <c r="O920" i="3"/>
  <c r="O921" i="3"/>
  <c r="O922" i="3"/>
  <c r="O923" i="3"/>
  <c r="O924" i="3"/>
  <c r="O925" i="3"/>
  <c r="O926" i="3"/>
  <c r="O927" i="3"/>
  <c r="O928" i="3"/>
  <c r="O929" i="3"/>
  <c r="O930" i="3"/>
  <c r="O931" i="3"/>
  <c r="O932" i="3"/>
  <c r="O933" i="3"/>
  <c r="O934" i="3"/>
  <c r="O935" i="3"/>
  <c r="O936" i="3"/>
  <c r="O937" i="3"/>
  <c r="O938" i="3"/>
  <c r="O939" i="3"/>
  <c r="O940" i="3"/>
  <c r="O941" i="3"/>
  <c r="O942" i="3"/>
  <c r="O943" i="3"/>
  <c r="O944" i="3"/>
  <c r="O945" i="3"/>
  <c r="O946" i="3"/>
  <c r="O947" i="3"/>
  <c r="O948" i="3"/>
  <c r="O949" i="3"/>
  <c r="O950" i="3"/>
  <c r="O951" i="3"/>
  <c r="O952" i="3"/>
  <c r="O953" i="3"/>
  <c r="O954" i="3"/>
  <c r="O955" i="3"/>
  <c r="O956" i="3"/>
  <c r="O957" i="3"/>
  <c r="O958" i="3"/>
  <c r="O959" i="3"/>
  <c r="O960" i="3"/>
  <c r="O961" i="3"/>
  <c r="O962" i="3"/>
  <c r="O963" i="3"/>
  <c r="O964" i="3"/>
  <c r="O965" i="3"/>
  <c r="O966" i="3"/>
  <c r="O967" i="3"/>
  <c r="O968" i="3"/>
  <c r="O969" i="3"/>
  <c r="O970" i="3"/>
  <c r="O971" i="3"/>
  <c r="O972" i="3"/>
  <c r="O973" i="3"/>
  <c r="O974" i="3"/>
  <c r="O975" i="3"/>
  <c r="O976" i="3"/>
  <c r="O977" i="3"/>
  <c r="O978" i="3"/>
  <c r="O979" i="3"/>
  <c r="O980" i="3"/>
  <c r="O981" i="3"/>
  <c r="O982" i="3"/>
  <c r="O983" i="3"/>
  <c r="O984" i="3"/>
  <c r="O985" i="3"/>
  <c r="O986" i="3"/>
  <c r="O987" i="3"/>
  <c r="O988" i="3"/>
  <c r="O989" i="3"/>
  <c r="O990" i="3"/>
  <c r="O991" i="3"/>
  <c r="O992" i="3"/>
  <c r="O993" i="3"/>
  <c r="O994" i="3"/>
  <c r="O995" i="3"/>
  <c r="O996" i="3"/>
  <c r="O997" i="3"/>
  <c r="O998" i="3"/>
  <c r="O999" i="3"/>
  <c r="O1000" i="3"/>
  <c r="O1001" i="3"/>
  <c r="O1002" i="3"/>
  <c r="O1003" i="3"/>
  <c r="O1004" i="3"/>
  <c r="O1005" i="3"/>
  <c r="O1006" i="3"/>
  <c r="O1007" i="3"/>
  <c r="O1008" i="3"/>
  <c r="O1009" i="3"/>
  <c r="O1010" i="3"/>
  <c r="O1011" i="3"/>
  <c r="O1012" i="3"/>
  <c r="O1013" i="3"/>
  <c r="O1014" i="3"/>
  <c r="O1015" i="3"/>
  <c r="O1016" i="3"/>
  <c r="O1017" i="3"/>
  <c r="O1018" i="3"/>
  <c r="O1019" i="3"/>
  <c r="O1020" i="3"/>
  <c r="O1021" i="3"/>
  <c r="O1022" i="3"/>
  <c r="O1023" i="3"/>
  <c r="O1024" i="3"/>
  <c r="O1025" i="3"/>
  <c r="O1026" i="3"/>
  <c r="O1027" i="3"/>
  <c r="O1028" i="3"/>
  <c r="O1029" i="3"/>
  <c r="O1030" i="3"/>
  <c r="O1031" i="3"/>
  <c r="O1032" i="3"/>
  <c r="O1033" i="3"/>
  <c r="O1034" i="3"/>
  <c r="O1035" i="3"/>
  <c r="O1036" i="3"/>
  <c r="O1037" i="3"/>
  <c r="O1038" i="3"/>
  <c r="O1039" i="3"/>
  <c r="O1040" i="3"/>
  <c r="O1041" i="3"/>
  <c r="O1042" i="3"/>
  <c r="O1043" i="3"/>
  <c r="O1044" i="3"/>
  <c r="O1045" i="3"/>
  <c r="O1046" i="3"/>
  <c r="O1047" i="3"/>
  <c r="O1048" i="3"/>
  <c r="O1049" i="3"/>
  <c r="O1050" i="3"/>
  <c r="O1051" i="3"/>
  <c r="O1052" i="3"/>
  <c r="O1053" i="3"/>
  <c r="O1054" i="3"/>
  <c r="O1055" i="3"/>
  <c r="O1056" i="3"/>
  <c r="O1057" i="3"/>
  <c r="O1058" i="3"/>
  <c r="O1059" i="3"/>
  <c r="O1060" i="3"/>
  <c r="O1061" i="3"/>
  <c r="O1062" i="3"/>
  <c r="O1063" i="3"/>
  <c r="O1064" i="3"/>
  <c r="O1065" i="3"/>
  <c r="O1066" i="3"/>
  <c r="O1067" i="3"/>
  <c r="O1068" i="3"/>
  <c r="O1069" i="3"/>
  <c r="O1070" i="3"/>
  <c r="O1071" i="3"/>
  <c r="O1072" i="3"/>
  <c r="O1073" i="3"/>
  <c r="O1074" i="3"/>
  <c r="O1075" i="3"/>
  <c r="O1076" i="3"/>
  <c r="O1077" i="3"/>
  <c r="O1078" i="3"/>
  <c r="O1079" i="3"/>
  <c r="O1080" i="3"/>
  <c r="O1081" i="3"/>
  <c r="O1082" i="3"/>
  <c r="O1083" i="3"/>
  <c r="O1084" i="3"/>
  <c r="O1085" i="3"/>
  <c r="O1086" i="3"/>
  <c r="O1087" i="3"/>
  <c r="O1088" i="3"/>
  <c r="O1089" i="3"/>
  <c r="O1090" i="3"/>
  <c r="O1091" i="3"/>
  <c r="O1092" i="3"/>
  <c r="O1093" i="3"/>
  <c r="O1094" i="3"/>
  <c r="O1095" i="3"/>
  <c r="O1096" i="3"/>
  <c r="O1097" i="3"/>
  <c r="O1098" i="3"/>
  <c r="O1099" i="3"/>
  <c r="O1100" i="3"/>
  <c r="O1101" i="3"/>
  <c r="O1102" i="3"/>
  <c r="O1103" i="3"/>
  <c r="O1104" i="3"/>
  <c r="O1105" i="3"/>
  <c r="O1106" i="3"/>
  <c r="O1107" i="3"/>
  <c r="O1108" i="3"/>
  <c r="O1109" i="3"/>
  <c r="O1110" i="3"/>
  <c r="O1111" i="3"/>
  <c r="O1112" i="3"/>
  <c r="O1113" i="3"/>
  <c r="O1114" i="3"/>
  <c r="O1115" i="3"/>
  <c r="O1116" i="3"/>
  <c r="O1117" i="3"/>
  <c r="O1118" i="3"/>
  <c r="O1119" i="3"/>
  <c r="O1120" i="3"/>
  <c r="O1121" i="3"/>
  <c r="O1122" i="3"/>
  <c r="O1123" i="3"/>
  <c r="O1124" i="3"/>
  <c r="O1125" i="3"/>
  <c r="O1126" i="3"/>
  <c r="O1127" i="3"/>
  <c r="O1128" i="3"/>
  <c r="O1129" i="3"/>
  <c r="O1130" i="3"/>
  <c r="O1131" i="3"/>
  <c r="O1132" i="3"/>
  <c r="O1133" i="3"/>
  <c r="O1134" i="3"/>
  <c r="O1135" i="3"/>
  <c r="O1136" i="3"/>
  <c r="O1137" i="3"/>
  <c r="O1138" i="3"/>
  <c r="O1139" i="3"/>
  <c r="O1140" i="3"/>
  <c r="O1141" i="3"/>
  <c r="O1142" i="3"/>
  <c r="O1143" i="3"/>
  <c r="O1144" i="3"/>
  <c r="O1145" i="3"/>
  <c r="O1146" i="3"/>
  <c r="O1147" i="3"/>
  <c r="O1148" i="3"/>
  <c r="O1149" i="3"/>
  <c r="O1150" i="3"/>
  <c r="O1151" i="3"/>
  <c r="O1152" i="3"/>
  <c r="O1153" i="3"/>
  <c r="O1154" i="3"/>
  <c r="O1155" i="3"/>
  <c r="O1156" i="3"/>
  <c r="O1157" i="3"/>
  <c r="O1158" i="3"/>
  <c r="O1159" i="3"/>
  <c r="O1160" i="3"/>
  <c r="O1161" i="3"/>
  <c r="O1162" i="3"/>
  <c r="O1163" i="3"/>
  <c r="O1164" i="3"/>
  <c r="O1165" i="3"/>
  <c r="O1166" i="3"/>
  <c r="O1167" i="3"/>
  <c r="O1168" i="3"/>
  <c r="O1169" i="3"/>
  <c r="O1170" i="3"/>
  <c r="O1171" i="3"/>
  <c r="O1172" i="3"/>
  <c r="O1173" i="3"/>
  <c r="O1174" i="3"/>
  <c r="O1175" i="3"/>
  <c r="O1176" i="3"/>
  <c r="O1177" i="3"/>
  <c r="O1178" i="3"/>
  <c r="O1179" i="3"/>
  <c r="O1180" i="3"/>
  <c r="O1181" i="3"/>
  <c r="O1182" i="3"/>
  <c r="O1183" i="3"/>
  <c r="O1184" i="3"/>
  <c r="O1185" i="3"/>
  <c r="O1186" i="3"/>
  <c r="O1187" i="3"/>
  <c r="O1188" i="3"/>
  <c r="O1189" i="3"/>
  <c r="O1190" i="3"/>
  <c r="O1191" i="3"/>
  <c r="O1192" i="3"/>
  <c r="O1193" i="3"/>
  <c r="O1194" i="3"/>
  <c r="O1195" i="3"/>
  <c r="O1196" i="3"/>
  <c r="O1197" i="3"/>
  <c r="O1198" i="3"/>
  <c r="O1199" i="3"/>
  <c r="O1200" i="3"/>
  <c r="O1201" i="3"/>
  <c r="O1202" i="3"/>
  <c r="O1203" i="3"/>
  <c r="O1204" i="3"/>
  <c r="O1205" i="3"/>
  <c r="O1206" i="3"/>
  <c r="O1207" i="3"/>
  <c r="O1208" i="3"/>
  <c r="O1209" i="3"/>
  <c r="O1210" i="3"/>
  <c r="O1211" i="3"/>
  <c r="O1212" i="3"/>
  <c r="O1213" i="3"/>
  <c r="O1214" i="3"/>
  <c r="O1215" i="3"/>
  <c r="O1216" i="3"/>
  <c r="O1217" i="3"/>
  <c r="O1218" i="3"/>
  <c r="O1219" i="3"/>
  <c r="O1220" i="3"/>
  <c r="O1221" i="3"/>
  <c r="O1222" i="3"/>
  <c r="O1223" i="3"/>
  <c r="O1224" i="3"/>
  <c r="O1225" i="3"/>
  <c r="O1226" i="3"/>
  <c r="O1227" i="3"/>
  <c r="O1228" i="3"/>
  <c r="O1229" i="3"/>
  <c r="O1230" i="3"/>
  <c r="O1231" i="3"/>
  <c r="O1232" i="3"/>
  <c r="O1233" i="3"/>
  <c r="O1234" i="3"/>
  <c r="O1235" i="3"/>
  <c r="O1236" i="3"/>
  <c r="O1237" i="3"/>
  <c r="O1238" i="3"/>
  <c r="O1239" i="3"/>
  <c r="O1240" i="3"/>
  <c r="O1241" i="3"/>
  <c r="O1242" i="3"/>
  <c r="O1243" i="3"/>
  <c r="O1244" i="3"/>
  <c r="O1245" i="3"/>
  <c r="O1246" i="3"/>
  <c r="O1247" i="3"/>
  <c r="O1248" i="3"/>
  <c r="O1249" i="3"/>
  <c r="O1250" i="3"/>
  <c r="O1251" i="3"/>
  <c r="O1252" i="3"/>
  <c r="O1253" i="3"/>
  <c r="O1254" i="3"/>
  <c r="O1255" i="3"/>
  <c r="O1256" i="3"/>
  <c r="O1257" i="3"/>
  <c r="O1258" i="3"/>
  <c r="O1259" i="3"/>
  <c r="O1260" i="3"/>
  <c r="O1261" i="3"/>
  <c r="O1262" i="3"/>
  <c r="O1263" i="3"/>
  <c r="O1264" i="3"/>
  <c r="O1265" i="3"/>
  <c r="O1266" i="3"/>
  <c r="O1267" i="3"/>
  <c r="O1268" i="3"/>
  <c r="O1269" i="3"/>
  <c r="O1270" i="3"/>
  <c r="O1271" i="3"/>
  <c r="O1272" i="3"/>
  <c r="O1273" i="3"/>
  <c r="O1274" i="3"/>
  <c r="O1275" i="3"/>
  <c r="O1276" i="3"/>
  <c r="O1277" i="3"/>
  <c r="O1278" i="3"/>
  <c r="O1279" i="3"/>
  <c r="O1280" i="3"/>
  <c r="O1281" i="3"/>
  <c r="O1282" i="3"/>
  <c r="O1283" i="3"/>
  <c r="O1284" i="3"/>
  <c r="O1285" i="3"/>
  <c r="O1286" i="3"/>
  <c r="O1287" i="3"/>
  <c r="O1288" i="3"/>
  <c r="O1289" i="3"/>
  <c r="O1290" i="3"/>
  <c r="O1291" i="3"/>
  <c r="O1292" i="3"/>
  <c r="O1293" i="3"/>
  <c r="O1294" i="3"/>
  <c r="O1295" i="3"/>
  <c r="O1296" i="3"/>
  <c r="O1297" i="3"/>
  <c r="O1298" i="3"/>
  <c r="O1299" i="3"/>
  <c r="O1300" i="3"/>
  <c r="O1301" i="3"/>
  <c r="O1302" i="3"/>
  <c r="O1303" i="3"/>
  <c r="O1304" i="3"/>
  <c r="O1305" i="3"/>
  <c r="O1306" i="3"/>
  <c r="O1307" i="3"/>
  <c r="O1308" i="3"/>
  <c r="O1309" i="3"/>
  <c r="O1310" i="3"/>
  <c r="O1311" i="3"/>
  <c r="O1312" i="3"/>
  <c r="O1313" i="3"/>
  <c r="O1314" i="3"/>
  <c r="O1315" i="3"/>
  <c r="O1316" i="3"/>
  <c r="O1317" i="3"/>
  <c r="O1318" i="3"/>
  <c r="O1319" i="3"/>
  <c r="O1320" i="3"/>
  <c r="O1321" i="3"/>
  <c r="O1322" i="3"/>
  <c r="O1323" i="3"/>
  <c r="O1324" i="3"/>
  <c r="O1325" i="3"/>
  <c r="O1326" i="3"/>
  <c r="O1327" i="3"/>
  <c r="O1328" i="3"/>
  <c r="O1329" i="3"/>
  <c r="O1330" i="3"/>
  <c r="O1331" i="3"/>
  <c r="O1332" i="3"/>
  <c r="O1333" i="3"/>
  <c r="O1334" i="3"/>
  <c r="O1335" i="3"/>
  <c r="O1336" i="3"/>
  <c r="O1337" i="3"/>
  <c r="O1338" i="3"/>
  <c r="O1339" i="3"/>
  <c r="O1340" i="3"/>
  <c r="O1341" i="3"/>
  <c r="O1342" i="3"/>
  <c r="O1343" i="3"/>
  <c r="O1344" i="3"/>
  <c r="O1345" i="3"/>
  <c r="O1346" i="3"/>
  <c r="O1347" i="3"/>
  <c r="O1348" i="3"/>
  <c r="O1349" i="3"/>
  <c r="O1350" i="3"/>
  <c r="O1351" i="3"/>
  <c r="O1352" i="3"/>
  <c r="O1353" i="3"/>
  <c r="O1354" i="3"/>
  <c r="O1355" i="3"/>
  <c r="O1356" i="3"/>
  <c r="O1357" i="3"/>
  <c r="O1358" i="3"/>
  <c r="O1359" i="3"/>
  <c r="O1360" i="3"/>
  <c r="O1361" i="3"/>
  <c r="O1362" i="3"/>
  <c r="O1363" i="3"/>
  <c r="O1364" i="3"/>
  <c r="O1365" i="3"/>
  <c r="O1366" i="3"/>
  <c r="O1367" i="3"/>
  <c r="O1368" i="3"/>
  <c r="O1369" i="3"/>
  <c r="O1370" i="3"/>
  <c r="O1371" i="3"/>
  <c r="O1372" i="3"/>
  <c r="O1373" i="3"/>
  <c r="O1374" i="3"/>
  <c r="O1375" i="3"/>
  <c r="O1376" i="3"/>
  <c r="O1377" i="3"/>
  <c r="O1378" i="3"/>
  <c r="O1379" i="3"/>
  <c r="O1380" i="3"/>
  <c r="O1381" i="3"/>
  <c r="O1382" i="3"/>
  <c r="O1383" i="3"/>
  <c r="O1384" i="3"/>
  <c r="O1385" i="3"/>
  <c r="O1386" i="3"/>
  <c r="O1387" i="3"/>
  <c r="O1388" i="3"/>
  <c r="O1389" i="3"/>
  <c r="O1390" i="3"/>
  <c r="O1391" i="3"/>
  <c r="O1392" i="3"/>
  <c r="O1393" i="3"/>
  <c r="O1394" i="3"/>
  <c r="O1395" i="3"/>
  <c r="O1396" i="3"/>
  <c r="O1397" i="3"/>
  <c r="O1398" i="3"/>
  <c r="O1399" i="3"/>
  <c r="O1400" i="3"/>
  <c r="O1401" i="3"/>
  <c r="O1402" i="3"/>
  <c r="O1403" i="3"/>
  <c r="O1404" i="3"/>
  <c r="O1405" i="3"/>
  <c r="O1406" i="3"/>
  <c r="O1407" i="3"/>
  <c r="O1408" i="3"/>
  <c r="O1409" i="3"/>
  <c r="O1410" i="3"/>
  <c r="O1411" i="3"/>
  <c r="O1412" i="3"/>
  <c r="O1413" i="3"/>
  <c r="O1414" i="3"/>
  <c r="O1415" i="3"/>
  <c r="O1416" i="3"/>
  <c r="O1417" i="3"/>
  <c r="O1418" i="3"/>
  <c r="O1419" i="3"/>
  <c r="O1420" i="3"/>
  <c r="O1421" i="3"/>
  <c r="O1422" i="3"/>
  <c r="O1423" i="3"/>
  <c r="O1424" i="3"/>
  <c r="O1425" i="3"/>
  <c r="O1426" i="3"/>
  <c r="O1427" i="3"/>
  <c r="O1428" i="3"/>
  <c r="O1429" i="3"/>
  <c r="O1430" i="3"/>
  <c r="O1431" i="3"/>
  <c r="O1432" i="3"/>
  <c r="O1433" i="3"/>
  <c r="O1434" i="3"/>
  <c r="O1435" i="3"/>
  <c r="O1436" i="3"/>
  <c r="O1437" i="3"/>
  <c r="O1438" i="3"/>
  <c r="O1439" i="3"/>
  <c r="O1440" i="3"/>
  <c r="O1441" i="3"/>
  <c r="O1442" i="3"/>
  <c r="O1443" i="3"/>
  <c r="O1444" i="3"/>
  <c r="O1445" i="3"/>
  <c r="O1446" i="3"/>
  <c r="O1447" i="3"/>
  <c r="O1448" i="3"/>
  <c r="O1449" i="3"/>
  <c r="O1450" i="3"/>
  <c r="O1451" i="3"/>
  <c r="O1452" i="3"/>
  <c r="O1453" i="3"/>
  <c r="O1454" i="3"/>
  <c r="O1455" i="3"/>
  <c r="O1456" i="3"/>
  <c r="O1457" i="3"/>
  <c r="O1458" i="3"/>
  <c r="O1459" i="3"/>
  <c r="O1460" i="3"/>
  <c r="O1461" i="3"/>
  <c r="O1462" i="3"/>
  <c r="O1463" i="3"/>
  <c r="O1464" i="3"/>
  <c r="O1465" i="3"/>
  <c r="O1466" i="3"/>
  <c r="O1467" i="3"/>
  <c r="O1468" i="3"/>
  <c r="O1469" i="3"/>
  <c r="O1470" i="3"/>
  <c r="O1471" i="3"/>
  <c r="O1472" i="3"/>
  <c r="O1473" i="3"/>
  <c r="O1474" i="3"/>
  <c r="O1475" i="3"/>
  <c r="O1476" i="3"/>
  <c r="O1477" i="3"/>
  <c r="O1478" i="3"/>
  <c r="O1479" i="3"/>
  <c r="O1480" i="3"/>
  <c r="O1481" i="3"/>
  <c r="O1482" i="3"/>
  <c r="O1483" i="3"/>
  <c r="O1484" i="3"/>
  <c r="O1485" i="3"/>
  <c r="O1486" i="3"/>
  <c r="O1487" i="3"/>
  <c r="O1488" i="3"/>
  <c r="O1489" i="3"/>
  <c r="O1490" i="3"/>
  <c r="O1491" i="3"/>
  <c r="O1492" i="3"/>
  <c r="O1493" i="3"/>
  <c r="O1494" i="3"/>
  <c r="O1495" i="3"/>
  <c r="O1496" i="3"/>
  <c r="O1497" i="3"/>
  <c r="O1498" i="3"/>
  <c r="O1499" i="3"/>
  <c r="O1500" i="3"/>
  <c r="O1501" i="3"/>
  <c r="O1502" i="3"/>
  <c r="O1503" i="3"/>
  <c r="O1504" i="3"/>
  <c r="O1505" i="3"/>
  <c r="O1506" i="3"/>
  <c r="O1507" i="3"/>
  <c r="O1508" i="3"/>
  <c r="O1509" i="3"/>
  <c r="O1510" i="3"/>
  <c r="O1511" i="3"/>
  <c r="O1512" i="3"/>
  <c r="O1513" i="3"/>
  <c r="O1514" i="3"/>
  <c r="O1515" i="3"/>
  <c r="O1516" i="3"/>
  <c r="O1517" i="3"/>
  <c r="O1518" i="3"/>
  <c r="O1519" i="3"/>
  <c r="O1520" i="3"/>
  <c r="O1521" i="3"/>
  <c r="O1522" i="3"/>
  <c r="O1523" i="3"/>
  <c r="O1524" i="3"/>
  <c r="O1525" i="3"/>
  <c r="O1526" i="3"/>
  <c r="O1527" i="3"/>
  <c r="O1528" i="3"/>
  <c r="O1529" i="3"/>
  <c r="O1530" i="3"/>
  <c r="O1531" i="3"/>
  <c r="O1532" i="3"/>
  <c r="O1533" i="3"/>
  <c r="O1534" i="3"/>
  <c r="O1535" i="3"/>
  <c r="O1536" i="3"/>
  <c r="O1537" i="3"/>
  <c r="O1538" i="3"/>
  <c r="O1539" i="3"/>
  <c r="O1540" i="3"/>
  <c r="O1541" i="3"/>
  <c r="O1542" i="3"/>
  <c r="O1543" i="3"/>
  <c r="O1544" i="3"/>
  <c r="O1545" i="3"/>
  <c r="O1546" i="3"/>
  <c r="O1547" i="3"/>
  <c r="O1548" i="3"/>
  <c r="O1549" i="3"/>
  <c r="O1550" i="3"/>
  <c r="O1551" i="3"/>
  <c r="O1552" i="3"/>
  <c r="O1553" i="3"/>
  <c r="O1554" i="3"/>
  <c r="O1555" i="3"/>
  <c r="O1556" i="3"/>
  <c r="O1557" i="3"/>
  <c r="O1558" i="3"/>
  <c r="O1559" i="3"/>
  <c r="O1560" i="3"/>
  <c r="O1561" i="3"/>
  <c r="O1562" i="3"/>
  <c r="O1563" i="3"/>
  <c r="O1564" i="3"/>
  <c r="O1565" i="3"/>
  <c r="O1566" i="3"/>
  <c r="O1567" i="3"/>
  <c r="O1568" i="3"/>
  <c r="O1569" i="3"/>
  <c r="O1570" i="3"/>
  <c r="O1571" i="3"/>
  <c r="O1572" i="3"/>
  <c r="O1573" i="3"/>
  <c r="O1574" i="3"/>
  <c r="O1575" i="3"/>
  <c r="O1576" i="3"/>
  <c r="O1577" i="3"/>
  <c r="O1578" i="3"/>
  <c r="O1579" i="3"/>
  <c r="O1580" i="3"/>
  <c r="O1581" i="3"/>
  <c r="O1582" i="3"/>
  <c r="O1583" i="3"/>
  <c r="O1584" i="3"/>
  <c r="O1585" i="3"/>
  <c r="O1586" i="3"/>
  <c r="O1587" i="3"/>
  <c r="O1588" i="3"/>
  <c r="O1589" i="3"/>
  <c r="O1590" i="3"/>
  <c r="O1591" i="3"/>
  <c r="O1592" i="3"/>
  <c r="O1593" i="3"/>
  <c r="O1594" i="3"/>
  <c r="O1595" i="3"/>
  <c r="O1596" i="3"/>
  <c r="O1597" i="3"/>
  <c r="O1598" i="3"/>
  <c r="O1599" i="3"/>
  <c r="O1600" i="3"/>
  <c r="O1601" i="3"/>
  <c r="O1602" i="3"/>
  <c r="O1603" i="3"/>
  <c r="O1604" i="3"/>
  <c r="O1605" i="3"/>
  <c r="O1606" i="3"/>
  <c r="O1607" i="3"/>
  <c r="O1608" i="3"/>
  <c r="O1609" i="3"/>
  <c r="O1610" i="3"/>
  <c r="O1611" i="3"/>
  <c r="O1612" i="3"/>
  <c r="O1613" i="3"/>
  <c r="O1614" i="3"/>
  <c r="O1615" i="3"/>
  <c r="O1616" i="3"/>
  <c r="O1617" i="3"/>
  <c r="O1618" i="3"/>
  <c r="O1619" i="3"/>
  <c r="O1620" i="3"/>
  <c r="O1621" i="3"/>
  <c r="O1622" i="3"/>
  <c r="O1623" i="3"/>
  <c r="O1624" i="3"/>
  <c r="O1625" i="3"/>
  <c r="O1626" i="3"/>
  <c r="O1627" i="3"/>
  <c r="O1628" i="3"/>
  <c r="O1629" i="3"/>
  <c r="O1630" i="3"/>
  <c r="O1631" i="3"/>
  <c r="O1632" i="3"/>
  <c r="O1633" i="3"/>
  <c r="O1634" i="3"/>
  <c r="O1635" i="3"/>
  <c r="O1636" i="3"/>
  <c r="O1637" i="3"/>
  <c r="O1638" i="3"/>
  <c r="O1639" i="3"/>
  <c r="O1640" i="3"/>
  <c r="O1641" i="3"/>
  <c r="O1642" i="3"/>
  <c r="O1643" i="3"/>
  <c r="O1644" i="3"/>
  <c r="O1645" i="3"/>
  <c r="O1646" i="3"/>
  <c r="O1647" i="3"/>
  <c r="O1648" i="3"/>
  <c r="O1649" i="3"/>
  <c r="O1650" i="3"/>
  <c r="O1651" i="3"/>
  <c r="O1652" i="3"/>
  <c r="O1653" i="3"/>
  <c r="O1654" i="3"/>
  <c r="O1655" i="3"/>
  <c r="O1656" i="3"/>
  <c r="O1657" i="3"/>
  <c r="O1658" i="3"/>
  <c r="O1659" i="3"/>
  <c r="O1660" i="3"/>
  <c r="O1661" i="3"/>
  <c r="O1662" i="3"/>
  <c r="O1663" i="3"/>
  <c r="O1664" i="3"/>
  <c r="O1665" i="3"/>
  <c r="O1666" i="3"/>
  <c r="O1667" i="3"/>
  <c r="O1668" i="3"/>
  <c r="O1669" i="3"/>
  <c r="O1670" i="3"/>
  <c r="O1671" i="3"/>
  <c r="O1672" i="3"/>
  <c r="O1673" i="3"/>
  <c r="O1674" i="3"/>
  <c r="O1675" i="3"/>
  <c r="O1676" i="3"/>
  <c r="O1677" i="3"/>
  <c r="O1678" i="3"/>
  <c r="O1679" i="3"/>
  <c r="O1680" i="3"/>
  <c r="O1681" i="3"/>
  <c r="O1682" i="3"/>
  <c r="O1683" i="3"/>
  <c r="O1684" i="3"/>
  <c r="O1685" i="3"/>
  <c r="O1686" i="3"/>
  <c r="O1687" i="3"/>
  <c r="O1688" i="3"/>
  <c r="O1689" i="3"/>
  <c r="O1690" i="3"/>
  <c r="O1691" i="3"/>
  <c r="O1692" i="3"/>
  <c r="O1693" i="3"/>
  <c r="O1694" i="3"/>
  <c r="O1695" i="3"/>
  <c r="O1696" i="3"/>
  <c r="O1697" i="3"/>
  <c r="O1698" i="3"/>
  <c r="O1699" i="3"/>
  <c r="O1700" i="3"/>
  <c r="O1701" i="3"/>
  <c r="O1702" i="3"/>
  <c r="O1703" i="3"/>
  <c r="O1704" i="3"/>
  <c r="O1705" i="3"/>
  <c r="O1706" i="3"/>
  <c r="O1707" i="3"/>
  <c r="O1708" i="3"/>
  <c r="O1709" i="3"/>
  <c r="O1710" i="3"/>
  <c r="O1711" i="3"/>
  <c r="O1712" i="3"/>
  <c r="O1713" i="3"/>
  <c r="O1714" i="3"/>
  <c r="O1715" i="3"/>
  <c r="O1716" i="3"/>
  <c r="O1717" i="3"/>
  <c r="O1718" i="3"/>
  <c r="O1719" i="3"/>
  <c r="O1720" i="3"/>
  <c r="O1721" i="3"/>
  <c r="O1722" i="3"/>
  <c r="O1723" i="3"/>
  <c r="O1724" i="3"/>
  <c r="O1725" i="3"/>
  <c r="O1726" i="3"/>
  <c r="O1727" i="3"/>
  <c r="O1728" i="3"/>
  <c r="O1729" i="3"/>
  <c r="O1730" i="3"/>
  <c r="O1731" i="3"/>
  <c r="O1732" i="3"/>
  <c r="O1733" i="3"/>
  <c r="O1734" i="3"/>
  <c r="O1735" i="3"/>
  <c r="O1736" i="3"/>
  <c r="O1737" i="3"/>
  <c r="O1738" i="3"/>
  <c r="O1739" i="3"/>
  <c r="O1740" i="3"/>
  <c r="O1741" i="3"/>
  <c r="O1742" i="3"/>
  <c r="O1743" i="3"/>
  <c r="O1744" i="3"/>
  <c r="O1745" i="3"/>
  <c r="O1746" i="3"/>
  <c r="O1747" i="3"/>
  <c r="O1748" i="3"/>
  <c r="O1749" i="3"/>
  <c r="O1750" i="3"/>
  <c r="O1751" i="3"/>
  <c r="O1752" i="3"/>
  <c r="O1753" i="3"/>
  <c r="O1754" i="3"/>
  <c r="O1755" i="3"/>
  <c r="O1756" i="3"/>
  <c r="O1757" i="3"/>
  <c r="O1758" i="3"/>
  <c r="O1759" i="3"/>
  <c r="O1760" i="3"/>
  <c r="O1761" i="3"/>
  <c r="O1762" i="3"/>
  <c r="O1763" i="3"/>
  <c r="O1764" i="3"/>
  <c r="O1765" i="3"/>
  <c r="O1766" i="3"/>
  <c r="O1767" i="3"/>
  <c r="O1768" i="3"/>
  <c r="O1769" i="3"/>
  <c r="O1770" i="3"/>
  <c r="O1771" i="3"/>
  <c r="O1772" i="3"/>
  <c r="O1773" i="3"/>
  <c r="O1774" i="3"/>
  <c r="O1775" i="3"/>
  <c r="O1776" i="3"/>
  <c r="O1777" i="3"/>
  <c r="O1778" i="3"/>
  <c r="O1779" i="3"/>
  <c r="O1780" i="3"/>
  <c r="O1781" i="3"/>
  <c r="O1782" i="3"/>
  <c r="O1783" i="3"/>
  <c r="O1784" i="3"/>
  <c r="O1785" i="3"/>
  <c r="O1786" i="3"/>
  <c r="O1787" i="3"/>
  <c r="O1788" i="3"/>
  <c r="O1789" i="3"/>
  <c r="O1790" i="3"/>
  <c r="O1791" i="3"/>
  <c r="O1792" i="3"/>
  <c r="O1793" i="3"/>
  <c r="O1794" i="3"/>
  <c r="O1795" i="3"/>
  <c r="O1796" i="3"/>
  <c r="O1797" i="3"/>
  <c r="O1798" i="3"/>
  <c r="O1799" i="3"/>
  <c r="O1800" i="3"/>
  <c r="O1801" i="3"/>
  <c r="O1802" i="3"/>
  <c r="O1803" i="3"/>
  <c r="O1804" i="3"/>
  <c r="O1805" i="3"/>
  <c r="O1806" i="3"/>
  <c r="O1807" i="3"/>
  <c r="O1808" i="3"/>
  <c r="O1809" i="3"/>
  <c r="O1810" i="3"/>
  <c r="O1811" i="3"/>
  <c r="O1812" i="3"/>
  <c r="O1813" i="3"/>
  <c r="O1814" i="3"/>
  <c r="O1815" i="3"/>
  <c r="O1816" i="3"/>
  <c r="O1817" i="3"/>
  <c r="O1818" i="3"/>
  <c r="O1819" i="3"/>
  <c r="O1820" i="3"/>
  <c r="O1821" i="3"/>
  <c r="O1822" i="3"/>
  <c r="O1823" i="3"/>
  <c r="O1824" i="3"/>
  <c r="O1825" i="3"/>
  <c r="O1826" i="3"/>
  <c r="O1827" i="3"/>
  <c r="O1828" i="3"/>
  <c r="O1829" i="3"/>
  <c r="O1830" i="3"/>
  <c r="O1831" i="3"/>
  <c r="O1832" i="3"/>
  <c r="O1833" i="3"/>
  <c r="O1834" i="3"/>
  <c r="O1835" i="3"/>
  <c r="O1836" i="3"/>
  <c r="O1837" i="3"/>
  <c r="O1838" i="3"/>
  <c r="O1839" i="3"/>
  <c r="O1840" i="3"/>
  <c r="O1841" i="3"/>
  <c r="O1842" i="3"/>
  <c r="O1843" i="3"/>
  <c r="O1844" i="3"/>
  <c r="O1845" i="3"/>
  <c r="O1846" i="3"/>
  <c r="O1847" i="3"/>
  <c r="O1848" i="3"/>
  <c r="O1849" i="3"/>
  <c r="O1850" i="3"/>
  <c r="O1851" i="3"/>
  <c r="O1852" i="3"/>
  <c r="O1853" i="3"/>
  <c r="O1854" i="3"/>
  <c r="O1855" i="3"/>
  <c r="O1856" i="3"/>
  <c r="O1857" i="3"/>
  <c r="O1858" i="3"/>
  <c r="O1859" i="3"/>
  <c r="O1860" i="3"/>
  <c r="O1861" i="3"/>
  <c r="O1862" i="3"/>
  <c r="O1863" i="3"/>
  <c r="O1864" i="3"/>
  <c r="O1865" i="3"/>
  <c r="O1866" i="3"/>
  <c r="O1867" i="3"/>
  <c r="O1868" i="3"/>
  <c r="O1869" i="3"/>
  <c r="O1870" i="3"/>
  <c r="O1871" i="3"/>
  <c r="O1872" i="3"/>
  <c r="O1873" i="3"/>
  <c r="O1874" i="3"/>
  <c r="O1875" i="3"/>
  <c r="O1876" i="3"/>
  <c r="O1877" i="3"/>
  <c r="O1878" i="3"/>
  <c r="O1879" i="3"/>
  <c r="O1880" i="3"/>
  <c r="O1881" i="3"/>
  <c r="O1882" i="3"/>
  <c r="O1883" i="3"/>
  <c r="O1884" i="3"/>
  <c r="O1885" i="3"/>
  <c r="O1886" i="3"/>
  <c r="O1887" i="3"/>
  <c r="O1888" i="3"/>
  <c r="O1889" i="3"/>
  <c r="O1890" i="3"/>
  <c r="O1891" i="3"/>
  <c r="O1892" i="3"/>
  <c r="O1893" i="3"/>
  <c r="O1894" i="3"/>
  <c r="O1895" i="3"/>
  <c r="O1896" i="3"/>
  <c r="O1897" i="3"/>
  <c r="O1898" i="3"/>
  <c r="O1899" i="3"/>
  <c r="O1900" i="3"/>
  <c r="O1901" i="3"/>
  <c r="O1902" i="3"/>
  <c r="O1903" i="3"/>
  <c r="O1904" i="3"/>
  <c r="O1905" i="3"/>
  <c r="O1906" i="3"/>
  <c r="O1907" i="3"/>
  <c r="O1908" i="3"/>
  <c r="O1909" i="3"/>
  <c r="O1910" i="3"/>
  <c r="O1911" i="3"/>
  <c r="O1912" i="3"/>
  <c r="O1913" i="3"/>
  <c r="O1914" i="3"/>
  <c r="O1915" i="3"/>
  <c r="O1916" i="3"/>
  <c r="O1917" i="3"/>
  <c r="O1918" i="3"/>
  <c r="O1919" i="3"/>
  <c r="O1920" i="3"/>
  <c r="O1921" i="3"/>
  <c r="O1922" i="3"/>
  <c r="O1923" i="3"/>
  <c r="O1924" i="3"/>
  <c r="O1925" i="3"/>
  <c r="O1926" i="3"/>
  <c r="O1927" i="3"/>
  <c r="O1928" i="3"/>
  <c r="O1929" i="3"/>
  <c r="O1930" i="3"/>
  <c r="O1931" i="3"/>
  <c r="O1932" i="3"/>
  <c r="O1933" i="3"/>
  <c r="O1934" i="3"/>
  <c r="O1935" i="3"/>
  <c r="O1936" i="3"/>
  <c r="O1937" i="3"/>
  <c r="O1938" i="3"/>
  <c r="O1939" i="3"/>
  <c r="O1940" i="3"/>
  <c r="O1941" i="3"/>
  <c r="O1942" i="3"/>
  <c r="O1943" i="3"/>
  <c r="O1944" i="3"/>
  <c r="O1945" i="3"/>
  <c r="O1946" i="3"/>
  <c r="O1947" i="3"/>
  <c r="O1948" i="3"/>
  <c r="O1949" i="3"/>
  <c r="O1950" i="3"/>
  <c r="O1951" i="3"/>
  <c r="O1952" i="3"/>
  <c r="O1953" i="3"/>
  <c r="O1954" i="3"/>
  <c r="O1955" i="3"/>
  <c r="O1956" i="3"/>
  <c r="O1957" i="3"/>
  <c r="O1958" i="3"/>
  <c r="O1959" i="3"/>
  <c r="O1960" i="3"/>
  <c r="O1961" i="3"/>
  <c r="O1962" i="3"/>
  <c r="O1963" i="3"/>
  <c r="O1964" i="3"/>
  <c r="O1965" i="3"/>
  <c r="O1966" i="3"/>
  <c r="O1967" i="3"/>
  <c r="O1968" i="3"/>
  <c r="O1969" i="3"/>
  <c r="O1970" i="3"/>
  <c r="O1971" i="3"/>
  <c r="O1972" i="3"/>
  <c r="O1973" i="3"/>
  <c r="O1974" i="3"/>
  <c r="O1975" i="3"/>
  <c r="O1976" i="3"/>
  <c r="O1977" i="3"/>
  <c r="O1978" i="3"/>
  <c r="O1979" i="3"/>
  <c r="O1980" i="3"/>
  <c r="O1981" i="3"/>
  <c r="O1982" i="3"/>
  <c r="O1983" i="3"/>
  <c r="O1984" i="3"/>
  <c r="O1985" i="3"/>
  <c r="O1986" i="3"/>
  <c r="O1987" i="3"/>
  <c r="O1988" i="3"/>
  <c r="O1989" i="3"/>
  <c r="O1990" i="3"/>
  <c r="O1991" i="3"/>
  <c r="O1992" i="3"/>
  <c r="O1993" i="3"/>
  <c r="O1994" i="3"/>
  <c r="O1995" i="3"/>
  <c r="O1996" i="3"/>
  <c r="O1997" i="3"/>
  <c r="O1998" i="3"/>
  <c r="O1999" i="3"/>
  <c r="O2000" i="3"/>
  <c r="O2001" i="3"/>
  <c r="O2002" i="3"/>
  <c r="O2003" i="3"/>
  <c r="O2004" i="3"/>
  <c r="O2005" i="3"/>
  <c r="O2006" i="3"/>
  <c r="O2007" i="3"/>
  <c r="O2008" i="3"/>
  <c r="O2009" i="3"/>
  <c r="O2010" i="3"/>
  <c r="O2011" i="3"/>
  <c r="O2012" i="3"/>
  <c r="O2013" i="3"/>
  <c r="O2014" i="3"/>
  <c r="O2015" i="3"/>
  <c r="O2016" i="3"/>
  <c r="O2017" i="3"/>
  <c r="O2018" i="3"/>
  <c r="O2019" i="3"/>
  <c r="O2020" i="3"/>
  <c r="O2021" i="3"/>
  <c r="O2022" i="3"/>
  <c r="O2023" i="3"/>
  <c r="O2024" i="3"/>
  <c r="O2025" i="3"/>
  <c r="O2026" i="3"/>
  <c r="O2027" i="3"/>
  <c r="O2028" i="3"/>
  <c r="O2029" i="3"/>
  <c r="O2030" i="3"/>
  <c r="O2031" i="3"/>
  <c r="O2" i="3"/>
  <c r="M4" i="3"/>
  <c r="M5" i="3"/>
  <c r="M6" i="3"/>
  <c r="M7" i="3"/>
  <c r="M8" i="3"/>
  <c r="M9" i="3"/>
  <c r="M10" i="3"/>
  <c r="M11" i="3"/>
  <c r="M12" i="3"/>
  <c r="M13" i="3"/>
  <c r="M14" i="3"/>
  <c r="M15" i="3"/>
  <c r="M16" i="3"/>
  <c r="M17" i="3"/>
  <c r="M18" i="3"/>
  <c r="M19" i="3"/>
  <c r="M20" i="3"/>
  <c r="M21" i="3"/>
  <c r="M22" i="3"/>
  <c r="M23" i="3"/>
  <c r="M24" i="3"/>
  <c r="M25" i="3"/>
  <c r="M26" i="3"/>
  <c r="M27" i="3"/>
  <c r="M28" i="3"/>
  <c r="M29" i="3"/>
  <c r="M30" i="3"/>
  <c r="M31" i="3"/>
  <c r="M32" i="3"/>
  <c r="M33" i="3"/>
  <c r="M34" i="3"/>
  <c r="M35" i="3"/>
  <c r="M36" i="3"/>
  <c r="M37" i="3"/>
  <c r="M38" i="3"/>
  <c r="M39" i="3"/>
  <c r="M40" i="3"/>
  <c r="M41" i="3"/>
  <c r="M42" i="3"/>
  <c r="M43" i="3"/>
  <c r="M44" i="3"/>
  <c r="M45" i="3"/>
  <c r="M46" i="3"/>
  <c r="M47" i="3"/>
  <c r="M48" i="3"/>
  <c r="M49" i="3"/>
  <c r="M50" i="3"/>
  <c r="M51" i="3"/>
  <c r="M52" i="3"/>
  <c r="M53" i="3"/>
  <c r="M54" i="3"/>
  <c r="M55" i="3"/>
  <c r="M56" i="3"/>
  <c r="M57" i="3"/>
  <c r="M58" i="3"/>
  <c r="M59" i="3"/>
  <c r="M60" i="3"/>
  <c r="M61" i="3"/>
  <c r="M62" i="3"/>
  <c r="M63" i="3"/>
  <c r="M64" i="3"/>
  <c r="M65" i="3"/>
  <c r="M66" i="3"/>
  <c r="M67" i="3"/>
  <c r="M68" i="3"/>
  <c r="M69" i="3"/>
  <c r="M70" i="3"/>
  <c r="M71" i="3"/>
  <c r="M72" i="3"/>
  <c r="M73" i="3"/>
  <c r="M74" i="3"/>
  <c r="M75" i="3"/>
  <c r="M76" i="3"/>
  <c r="M77" i="3"/>
  <c r="M78" i="3"/>
  <c r="M79" i="3"/>
  <c r="M80" i="3"/>
  <c r="M81" i="3"/>
  <c r="M82" i="3"/>
  <c r="M83" i="3"/>
  <c r="M84" i="3"/>
  <c r="M85" i="3"/>
  <c r="M86" i="3"/>
  <c r="M87" i="3"/>
  <c r="M88" i="3"/>
  <c r="M89" i="3"/>
  <c r="M90" i="3"/>
  <c r="M91" i="3"/>
  <c r="M92" i="3"/>
  <c r="M93" i="3"/>
  <c r="M94" i="3"/>
  <c r="M95" i="3"/>
  <c r="M96" i="3"/>
  <c r="M97" i="3"/>
  <c r="M98" i="3"/>
  <c r="M99" i="3"/>
  <c r="M100" i="3"/>
  <c r="M101" i="3"/>
  <c r="M102" i="3"/>
  <c r="M103" i="3"/>
  <c r="M104" i="3"/>
  <c r="M105" i="3"/>
  <c r="M106" i="3"/>
  <c r="M107" i="3"/>
  <c r="M108" i="3"/>
  <c r="M109" i="3"/>
  <c r="M110" i="3"/>
  <c r="M111" i="3"/>
  <c r="M112" i="3"/>
  <c r="M113" i="3"/>
  <c r="M114" i="3"/>
  <c r="M115" i="3"/>
  <c r="M116" i="3"/>
  <c r="M117" i="3"/>
  <c r="M118" i="3"/>
  <c r="M119" i="3"/>
  <c r="M120" i="3"/>
  <c r="M121" i="3"/>
  <c r="M122" i="3"/>
  <c r="M123" i="3"/>
  <c r="M124" i="3"/>
  <c r="M125" i="3"/>
  <c r="M126" i="3"/>
  <c r="M127" i="3"/>
  <c r="M128" i="3"/>
  <c r="M129" i="3"/>
  <c r="M130" i="3"/>
  <c r="M131" i="3"/>
  <c r="M132" i="3"/>
  <c r="M133" i="3"/>
  <c r="M134" i="3"/>
  <c r="M135" i="3"/>
  <c r="M136" i="3"/>
  <c r="M137" i="3"/>
  <c r="M138" i="3"/>
  <c r="M139" i="3"/>
  <c r="M140" i="3"/>
  <c r="M141" i="3"/>
  <c r="M142" i="3"/>
  <c r="M143" i="3"/>
  <c r="M144" i="3"/>
  <c r="M145" i="3"/>
  <c r="M146" i="3"/>
  <c r="M147" i="3"/>
  <c r="M148" i="3"/>
  <c r="M149" i="3"/>
  <c r="M150" i="3"/>
  <c r="M151" i="3"/>
  <c r="M152" i="3"/>
  <c r="M153" i="3"/>
  <c r="M154" i="3"/>
  <c r="M155" i="3"/>
  <c r="M156" i="3"/>
  <c r="M157" i="3"/>
  <c r="M158" i="3"/>
  <c r="M159" i="3"/>
  <c r="M160" i="3"/>
  <c r="M161" i="3"/>
  <c r="M162" i="3"/>
  <c r="M163" i="3"/>
  <c r="M164" i="3"/>
  <c r="M165" i="3"/>
  <c r="M166" i="3"/>
  <c r="M167" i="3"/>
  <c r="M168" i="3"/>
  <c r="M169" i="3"/>
  <c r="M170" i="3"/>
  <c r="M171" i="3"/>
  <c r="M172" i="3"/>
  <c r="M173" i="3"/>
  <c r="M174" i="3"/>
  <c r="M175" i="3"/>
  <c r="M176" i="3"/>
  <c r="M177" i="3"/>
  <c r="M178" i="3"/>
  <c r="M179" i="3"/>
  <c r="M180" i="3"/>
  <c r="M181" i="3"/>
  <c r="M182" i="3"/>
  <c r="M183" i="3"/>
  <c r="M184" i="3"/>
  <c r="M185" i="3"/>
  <c r="M186" i="3"/>
  <c r="M187" i="3"/>
  <c r="M188" i="3"/>
  <c r="M189" i="3"/>
  <c r="M190" i="3"/>
  <c r="M191" i="3"/>
  <c r="M192" i="3"/>
  <c r="M193" i="3"/>
  <c r="M194" i="3"/>
  <c r="M195" i="3"/>
  <c r="M196" i="3"/>
  <c r="M197" i="3"/>
  <c r="M198" i="3"/>
  <c r="M199" i="3"/>
  <c r="M200" i="3"/>
  <c r="M201" i="3"/>
  <c r="M202" i="3"/>
  <c r="M203" i="3"/>
  <c r="M204" i="3"/>
  <c r="M205" i="3"/>
  <c r="M206" i="3"/>
  <c r="M207" i="3"/>
  <c r="M208" i="3"/>
  <c r="M209" i="3"/>
  <c r="M210" i="3"/>
  <c r="M211" i="3"/>
  <c r="M212" i="3"/>
  <c r="M213" i="3"/>
  <c r="M214" i="3"/>
  <c r="M215" i="3"/>
  <c r="M216" i="3"/>
  <c r="M217" i="3"/>
  <c r="M218" i="3"/>
  <c r="M219" i="3"/>
  <c r="M220" i="3"/>
  <c r="M221" i="3"/>
  <c r="M222" i="3"/>
  <c r="M223" i="3"/>
  <c r="M224" i="3"/>
  <c r="M225" i="3"/>
  <c r="M226" i="3"/>
  <c r="M227" i="3"/>
  <c r="M228" i="3"/>
  <c r="M229" i="3"/>
  <c r="M230" i="3"/>
  <c r="M231" i="3"/>
  <c r="M232" i="3"/>
  <c r="M233" i="3"/>
  <c r="M234" i="3"/>
  <c r="M235" i="3"/>
  <c r="M236" i="3"/>
  <c r="M237" i="3"/>
  <c r="M238" i="3"/>
  <c r="M239" i="3"/>
  <c r="M240" i="3"/>
  <c r="M241" i="3"/>
  <c r="M242" i="3"/>
  <c r="M243" i="3"/>
  <c r="M244" i="3"/>
  <c r="M245" i="3"/>
  <c r="M246" i="3"/>
  <c r="M247" i="3"/>
  <c r="M248" i="3"/>
  <c r="M249" i="3"/>
  <c r="M250" i="3"/>
  <c r="M251" i="3"/>
  <c r="M252" i="3"/>
  <c r="M253" i="3"/>
  <c r="M254" i="3"/>
  <c r="M255" i="3"/>
  <c r="M256" i="3"/>
  <c r="M257" i="3"/>
  <c r="M258" i="3"/>
  <c r="M259" i="3"/>
  <c r="M260" i="3"/>
  <c r="M261" i="3"/>
  <c r="M262" i="3"/>
  <c r="M263" i="3"/>
  <c r="M264" i="3"/>
  <c r="M265" i="3"/>
  <c r="M266" i="3"/>
  <c r="M267" i="3"/>
  <c r="M268" i="3"/>
  <c r="M269" i="3"/>
  <c r="M270" i="3"/>
  <c r="M271" i="3"/>
  <c r="M272" i="3"/>
  <c r="M273" i="3"/>
  <c r="M274" i="3"/>
  <c r="M275" i="3"/>
  <c r="M276" i="3"/>
  <c r="M277" i="3"/>
  <c r="M278" i="3"/>
  <c r="M279" i="3"/>
  <c r="M280" i="3"/>
  <c r="M281" i="3"/>
  <c r="M282" i="3"/>
  <c r="M283" i="3"/>
  <c r="M284" i="3"/>
  <c r="M285" i="3"/>
  <c r="M286" i="3"/>
  <c r="M287" i="3"/>
  <c r="M288" i="3"/>
  <c r="M289" i="3"/>
  <c r="M290" i="3"/>
  <c r="M291" i="3"/>
  <c r="M292" i="3"/>
  <c r="M293" i="3"/>
  <c r="M294" i="3"/>
  <c r="M295" i="3"/>
  <c r="M296" i="3"/>
  <c r="M297" i="3"/>
  <c r="M298" i="3"/>
  <c r="M299" i="3"/>
  <c r="M300" i="3"/>
  <c r="M301" i="3"/>
  <c r="M302" i="3"/>
  <c r="M303" i="3"/>
  <c r="M304" i="3"/>
  <c r="M305" i="3"/>
  <c r="M306" i="3"/>
  <c r="M307" i="3"/>
  <c r="M308" i="3"/>
  <c r="M309" i="3"/>
  <c r="M310" i="3"/>
  <c r="M311" i="3"/>
  <c r="M312" i="3"/>
  <c r="M313" i="3"/>
  <c r="M314" i="3"/>
  <c r="M315" i="3"/>
  <c r="M316" i="3"/>
  <c r="M317" i="3"/>
  <c r="M318" i="3"/>
  <c r="M319" i="3"/>
  <c r="M320" i="3"/>
  <c r="M321" i="3"/>
  <c r="M322" i="3"/>
  <c r="M323" i="3"/>
  <c r="M324" i="3"/>
  <c r="M325" i="3"/>
  <c r="M326" i="3"/>
  <c r="M327" i="3"/>
  <c r="M328" i="3"/>
  <c r="M329" i="3"/>
  <c r="M330" i="3"/>
  <c r="M331" i="3"/>
  <c r="M332" i="3"/>
  <c r="M333" i="3"/>
  <c r="M334" i="3"/>
  <c r="M335" i="3"/>
  <c r="M336" i="3"/>
  <c r="M337" i="3"/>
  <c r="M338" i="3"/>
  <c r="M339" i="3"/>
  <c r="M340" i="3"/>
  <c r="M341" i="3"/>
  <c r="M342" i="3"/>
  <c r="M343" i="3"/>
  <c r="M344" i="3"/>
  <c r="M345" i="3"/>
  <c r="M346" i="3"/>
  <c r="M347" i="3"/>
  <c r="M348" i="3"/>
  <c r="M349" i="3"/>
  <c r="M350" i="3"/>
  <c r="M351" i="3"/>
  <c r="M352" i="3"/>
  <c r="M353" i="3"/>
  <c r="M354" i="3"/>
  <c r="M355" i="3"/>
  <c r="M356" i="3"/>
  <c r="M357" i="3"/>
  <c r="M358" i="3"/>
  <c r="M359" i="3"/>
  <c r="M360" i="3"/>
  <c r="M361" i="3"/>
  <c r="M362" i="3"/>
  <c r="M363" i="3"/>
  <c r="M364" i="3"/>
  <c r="M365" i="3"/>
  <c r="M366" i="3"/>
  <c r="M367" i="3"/>
  <c r="M368" i="3"/>
  <c r="M369" i="3"/>
  <c r="M370" i="3"/>
  <c r="M371" i="3"/>
  <c r="M372" i="3"/>
  <c r="M373" i="3"/>
  <c r="M374" i="3"/>
  <c r="M375" i="3"/>
  <c r="M376" i="3"/>
  <c r="M377" i="3"/>
  <c r="M378" i="3"/>
  <c r="M379" i="3"/>
  <c r="M380" i="3"/>
  <c r="M381" i="3"/>
  <c r="M382" i="3"/>
  <c r="M383" i="3"/>
  <c r="M384" i="3"/>
  <c r="M385" i="3"/>
  <c r="M386" i="3"/>
  <c r="M387" i="3"/>
  <c r="M388" i="3"/>
  <c r="M389" i="3"/>
  <c r="M390" i="3"/>
  <c r="M391" i="3"/>
  <c r="M392" i="3"/>
  <c r="M393" i="3"/>
  <c r="M394" i="3"/>
  <c r="M395" i="3"/>
  <c r="M396" i="3"/>
  <c r="M397" i="3"/>
  <c r="M398" i="3"/>
  <c r="M399" i="3"/>
  <c r="M400" i="3"/>
  <c r="M401" i="3"/>
  <c r="M402" i="3"/>
  <c r="M403" i="3"/>
  <c r="M404" i="3"/>
  <c r="M405" i="3"/>
  <c r="M406" i="3"/>
  <c r="M407" i="3"/>
  <c r="M408" i="3"/>
  <c r="M409" i="3"/>
  <c r="M410" i="3"/>
  <c r="M411" i="3"/>
  <c r="M412" i="3"/>
  <c r="M413" i="3"/>
  <c r="M414" i="3"/>
  <c r="M415" i="3"/>
  <c r="M416" i="3"/>
  <c r="M417" i="3"/>
  <c r="M418" i="3"/>
  <c r="M419" i="3"/>
  <c r="M420" i="3"/>
  <c r="M421" i="3"/>
  <c r="M422" i="3"/>
  <c r="M423" i="3"/>
  <c r="M424" i="3"/>
  <c r="M425" i="3"/>
  <c r="M426" i="3"/>
  <c r="M427" i="3"/>
  <c r="M428" i="3"/>
  <c r="M429" i="3"/>
  <c r="M430" i="3"/>
  <c r="M431" i="3"/>
  <c r="M432" i="3"/>
  <c r="M433" i="3"/>
  <c r="M434" i="3"/>
  <c r="M435" i="3"/>
  <c r="M436" i="3"/>
  <c r="M437" i="3"/>
  <c r="M438" i="3"/>
  <c r="M439" i="3"/>
  <c r="M440" i="3"/>
  <c r="M441" i="3"/>
  <c r="M442" i="3"/>
  <c r="M443" i="3"/>
  <c r="M444" i="3"/>
  <c r="M445" i="3"/>
  <c r="M446" i="3"/>
  <c r="M447" i="3"/>
  <c r="M448" i="3"/>
  <c r="M449" i="3"/>
  <c r="M450" i="3"/>
  <c r="M451" i="3"/>
  <c r="M452" i="3"/>
  <c r="M453" i="3"/>
  <c r="M454" i="3"/>
  <c r="M455" i="3"/>
  <c r="M456" i="3"/>
  <c r="M457" i="3"/>
  <c r="M458" i="3"/>
  <c r="M459" i="3"/>
  <c r="M460" i="3"/>
  <c r="M461" i="3"/>
  <c r="M462" i="3"/>
  <c r="M463" i="3"/>
  <c r="M464" i="3"/>
  <c r="M465" i="3"/>
  <c r="M466" i="3"/>
  <c r="M467" i="3"/>
  <c r="M468" i="3"/>
  <c r="M469" i="3"/>
  <c r="M470" i="3"/>
  <c r="M471" i="3"/>
  <c r="M472" i="3"/>
  <c r="M473" i="3"/>
  <c r="M474" i="3"/>
  <c r="M475" i="3"/>
  <c r="M476" i="3"/>
  <c r="M477" i="3"/>
  <c r="M478" i="3"/>
  <c r="M479" i="3"/>
  <c r="M480" i="3"/>
  <c r="M481" i="3"/>
  <c r="M482" i="3"/>
  <c r="M483" i="3"/>
  <c r="M484" i="3"/>
  <c r="M485" i="3"/>
  <c r="M486" i="3"/>
  <c r="M487" i="3"/>
  <c r="M488" i="3"/>
  <c r="M489" i="3"/>
  <c r="M490" i="3"/>
  <c r="M491" i="3"/>
  <c r="M492" i="3"/>
  <c r="M493" i="3"/>
  <c r="M494" i="3"/>
  <c r="M495" i="3"/>
  <c r="M496" i="3"/>
  <c r="M497" i="3"/>
  <c r="M498" i="3"/>
  <c r="M499" i="3"/>
  <c r="M500" i="3"/>
  <c r="M501" i="3"/>
  <c r="M502" i="3"/>
  <c r="M503" i="3"/>
  <c r="M504" i="3"/>
  <c r="M505" i="3"/>
  <c r="M506" i="3"/>
  <c r="M507" i="3"/>
  <c r="M508" i="3"/>
  <c r="M509" i="3"/>
  <c r="M510" i="3"/>
  <c r="M511" i="3"/>
  <c r="M512" i="3"/>
  <c r="M513" i="3"/>
  <c r="M514" i="3"/>
  <c r="M515" i="3"/>
  <c r="M516" i="3"/>
  <c r="M517" i="3"/>
  <c r="M518" i="3"/>
  <c r="M519" i="3"/>
  <c r="M520" i="3"/>
  <c r="M521" i="3"/>
  <c r="M522" i="3"/>
  <c r="M523" i="3"/>
  <c r="M524" i="3"/>
  <c r="M525" i="3"/>
  <c r="M526" i="3"/>
  <c r="M527" i="3"/>
  <c r="M528" i="3"/>
  <c r="M529" i="3"/>
  <c r="M530" i="3"/>
  <c r="M531" i="3"/>
  <c r="M532" i="3"/>
  <c r="M533" i="3"/>
  <c r="M534" i="3"/>
  <c r="M535" i="3"/>
  <c r="M536" i="3"/>
  <c r="M537" i="3"/>
  <c r="M538" i="3"/>
  <c r="M539" i="3"/>
  <c r="M540" i="3"/>
  <c r="M541" i="3"/>
  <c r="M542" i="3"/>
  <c r="M543" i="3"/>
  <c r="M544" i="3"/>
  <c r="M545" i="3"/>
  <c r="M546" i="3"/>
  <c r="M547" i="3"/>
  <c r="M548" i="3"/>
  <c r="M549" i="3"/>
  <c r="M550" i="3"/>
  <c r="M551" i="3"/>
  <c r="M552" i="3"/>
  <c r="M553" i="3"/>
  <c r="M554" i="3"/>
  <c r="M555" i="3"/>
  <c r="M556" i="3"/>
  <c r="M557" i="3"/>
  <c r="M558" i="3"/>
  <c r="M559" i="3"/>
  <c r="M560" i="3"/>
  <c r="M561" i="3"/>
  <c r="M562" i="3"/>
  <c r="M563" i="3"/>
  <c r="M564" i="3"/>
  <c r="M565" i="3"/>
  <c r="M566" i="3"/>
  <c r="M567" i="3"/>
  <c r="M568" i="3"/>
  <c r="M569" i="3"/>
  <c r="M570" i="3"/>
  <c r="M571" i="3"/>
  <c r="M572" i="3"/>
  <c r="M573" i="3"/>
  <c r="M574" i="3"/>
  <c r="M575" i="3"/>
  <c r="M576" i="3"/>
  <c r="M577" i="3"/>
  <c r="M578" i="3"/>
  <c r="M579" i="3"/>
  <c r="M580" i="3"/>
  <c r="M581" i="3"/>
  <c r="M582" i="3"/>
  <c r="M583" i="3"/>
  <c r="M584" i="3"/>
  <c r="M585" i="3"/>
  <c r="M586" i="3"/>
  <c r="M587" i="3"/>
  <c r="M588" i="3"/>
  <c r="M589" i="3"/>
  <c r="M590" i="3"/>
  <c r="M591" i="3"/>
  <c r="M592" i="3"/>
  <c r="M593" i="3"/>
  <c r="M594" i="3"/>
  <c r="M595" i="3"/>
  <c r="M596" i="3"/>
  <c r="M597" i="3"/>
  <c r="M598" i="3"/>
  <c r="M599" i="3"/>
  <c r="M600" i="3"/>
  <c r="M601" i="3"/>
  <c r="M602" i="3"/>
  <c r="M603" i="3"/>
  <c r="M604" i="3"/>
  <c r="M605" i="3"/>
  <c r="M606" i="3"/>
  <c r="M607" i="3"/>
  <c r="M608" i="3"/>
  <c r="M609" i="3"/>
  <c r="M610" i="3"/>
  <c r="M611" i="3"/>
  <c r="M612" i="3"/>
  <c r="M613" i="3"/>
  <c r="M614" i="3"/>
  <c r="M615" i="3"/>
  <c r="M616" i="3"/>
  <c r="M617" i="3"/>
  <c r="M618" i="3"/>
  <c r="M619" i="3"/>
  <c r="M620" i="3"/>
  <c r="M621" i="3"/>
  <c r="M622" i="3"/>
  <c r="M623" i="3"/>
  <c r="M624" i="3"/>
  <c r="M625" i="3"/>
  <c r="M626" i="3"/>
  <c r="M627" i="3"/>
  <c r="M628" i="3"/>
  <c r="M629" i="3"/>
  <c r="M630" i="3"/>
  <c r="M631" i="3"/>
  <c r="M632" i="3"/>
  <c r="M633" i="3"/>
  <c r="M634" i="3"/>
  <c r="M635" i="3"/>
  <c r="M636" i="3"/>
  <c r="M637" i="3"/>
  <c r="M638" i="3"/>
  <c r="M639" i="3"/>
  <c r="M640" i="3"/>
  <c r="M641" i="3"/>
  <c r="M642" i="3"/>
  <c r="M643" i="3"/>
  <c r="M644" i="3"/>
  <c r="M645" i="3"/>
  <c r="M646" i="3"/>
  <c r="M647" i="3"/>
  <c r="M648" i="3"/>
  <c r="M649" i="3"/>
  <c r="M650" i="3"/>
  <c r="M651" i="3"/>
  <c r="M652" i="3"/>
  <c r="M653" i="3"/>
  <c r="M654" i="3"/>
  <c r="M655" i="3"/>
  <c r="M656" i="3"/>
  <c r="M657" i="3"/>
  <c r="M658" i="3"/>
  <c r="M659" i="3"/>
  <c r="M660" i="3"/>
  <c r="M661" i="3"/>
  <c r="M662" i="3"/>
  <c r="M663" i="3"/>
  <c r="M664" i="3"/>
  <c r="M665" i="3"/>
  <c r="M666" i="3"/>
  <c r="M667" i="3"/>
  <c r="M668" i="3"/>
  <c r="M669" i="3"/>
  <c r="M670" i="3"/>
  <c r="M671" i="3"/>
  <c r="M672" i="3"/>
  <c r="M673" i="3"/>
  <c r="M674" i="3"/>
  <c r="M675" i="3"/>
  <c r="M676" i="3"/>
  <c r="M677" i="3"/>
  <c r="M678" i="3"/>
  <c r="M679" i="3"/>
  <c r="M680" i="3"/>
  <c r="M681" i="3"/>
  <c r="M682" i="3"/>
  <c r="M683" i="3"/>
  <c r="M684" i="3"/>
  <c r="M685" i="3"/>
  <c r="M686" i="3"/>
  <c r="M687" i="3"/>
  <c r="M688" i="3"/>
  <c r="M689" i="3"/>
  <c r="M690" i="3"/>
  <c r="M691" i="3"/>
  <c r="M692" i="3"/>
  <c r="M693" i="3"/>
  <c r="M694" i="3"/>
  <c r="M695" i="3"/>
  <c r="M696" i="3"/>
  <c r="M697" i="3"/>
  <c r="M698" i="3"/>
  <c r="M699" i="3"/>
  <c r="M700" i="3"/>
  <c r="M701" i="3"/>
  <c r="M702" i="3"/>
  <c r="M703" i="3"/>
  <c r="M704" i="3"/>
  <c r="M705" i="3"/>
  <c r="M706" i="3"/>
  <c r="M707" i="3"/>
  <c r="M708" i="3"/>
  <c r="M709" i="3"/>
  <c r="M710" i="3"/>
  <c r="M711" i="3"/>
  <c r="M712" i="3"/>
  <c r="M713" i="3"/>
  <c r="M714" i="3"/>
  <c r="M715" i="3"/>
  <c r="M716" i="3"/>
  <c r="M717" i="3"/>
  <c r="M718" i="3"/>
  <c r="M719" i="3"/>
  <c r="M720" i="3"/>
  <c r="M721" i="3"/>
  <c r="M722" i="3"/>
  <c r="M723" i="3"/>
  <c r="M724" i="3"/>
  <c r="M725" i="3"/>
  <c r="M726" i="3"/>
  <c r="M727" i="3"/>
  <c r="M728" i="3"/>
  <c r="M729" i="3"/>
  <c r="M730" i="3"/>
  <c r="M731" i="3"/>
  <c r="M732" i="3"/>
  <c r="M733" i="3"/>
  <c r="M734" i="3"/>
  <c r="M735" i="3"/>
  <c r="M736" i="3"/>
  <c r="M737" i="3"/>
  <c r="M738" i="3"/>
  <c r="M739" i="3"/>
  <c r="M740" i="3"/>
  <c r="M741" i="3"/>
  <c r="M742" i="3"/>
  <c r="M743" i="3"/>
  <c r="M744" i="3"/>
  <c r="M745" i="3"/>
  <c r="M746" i="3"/>
  <c r="M747" i="3"/>
  <c r="M748" i="3"/>
  <c r="M749" i="3"/>
  <c r="M750" i="3"/>
  <c r="M751" i="3"/>
  <c r="M752" i="3"/>
  <c r="M753" i="3"/>
  <c r="M754" i="3"/>
  <c r="M755" i="3"/>
  <c r="M756" i="3"/>
  <c r="M757" i="3"/>
  <c r="M758" i="3"/>
  <c r="M759" i="3"/>
  <c r="M760" i="3"/>
  <c r="M761" i="3"/>
  <c r="M762" i="3"/>
  <c r="M763" i="3"/>
  <c r="M764" i="3"/>
  <c r="M765" i="3"/>
  <c r="M766" i="3"/>
  <c r="M767" i="3"/>
  <c r="M768" i="3"/>
  <c r="M769" i="3"/>
  <c r="M770" i="3"/>
  <c r="M771" i="3"/>
  <c r="M772" i="3"/>
  <c r="M773" i="3"/>
  <c r="M774" i="3"/>
  <c r="M775" i="3"/>
  <c r="M776" i="3"/>
  <c r="M777" i="3"/>
  <c r="M778" i="3"/>
  <c r="M779" i="3"/>
  <c r="M780" i="3"/>
  <c r="M781" i="3"/>
  <c r="M782" i="3"/>
  <c r="M783" i="3"/>
  <c r="M784" i="3"/>
  <c r="M785" i="3"/>
  <c r="M786" i="3"/>
  <c r="M787" i="3"/>
  <c r="M788" i="3"/>
  <c r="M789" i="3"/>
  <c r="M790" i="3"/>
  <c r="M791" i="3"/>
  <c r="M792" i="3"/>
  <c r="M793" i="3"/>
  <c r="M794" i="3"/>
  <c r="M795" i="3"/>
  <c r="M796" i="3"/>
  <c r="M797" i="3"/>
  <c r="M798" i="3"/>
  <c r="M799" i="3"/>
  <c r="M800" i="3"/>
  <c r="M801" i="3"/>
  <c r="M802" i="3"/>
  <c r="M803" i="3"/>
  <c r="M804" i="3"/>
  <c r="M805" i="3"/>
  <c r="M806" i="3"/>
  <c r="M807" i="3"/>
  <c r="M808" i="3"/>
  <c r="M809" i="3"/>
  <c r="M810" i="3"/>
  <c r="M811" i="3"/>
  <c r="M812" i="3"/>
  <c r="M813" i="3"/>
  <c r="M814" i="3"/>
  <c r="M815" i="3"/>
  <c r="M816" i="3"/>
  <c r="M817" i="3"/>
  <c r="M818" i="3"/>
  <c r="M819" i="3"/>
  <c r="M820" i="3"/>
  <c r="M821" i="3"/>
  <c r="M822" i="3"/>
  <c r="M823" i="3"/>
  <c r="M824" i="3"/>
  <c r="M825" i="3"/>
  <c r="M826" i="3"/>
  <c r="M827" i="3"/>
  <c r="M828" i="3"/>
  <c r="M829" i="3"/>
  <c r="M830" i="3"/>
  <c r="M831" i="3"/>
  <c r="M832" i="3"/>
  <c r="M833" i="3"/>
  <c r="M834" i="3"/>
  <c r="M835" i="3"/>
  <c r="M836" i="3"/>
  <c r="M837" i="3"/>
  <c r="M838" i="3"/>
  <c r="M839" i="3"/>
  <c r="M840" i="3"/>
  <c r="M841" i="3"/>
  <c r="M842" i="3"/>
  <c r="M843" i="3"/>
  <c r="M844" i="3"/>
  <c r="M845" i="3"/>
  <c r="M846" i="3"/>
  <c r="M847" i="3"/>
  <c r="M848" i="3"/>
  <c r="M849" i="3"/>
  <c r="M850" i="3"/>
  <c r="M851" i="3"/>
  <c r="M852" i="3"/>
  <c r="M853" i="3"/>
  <c r="M854" i="3"/>
  <c r="M855" i="3"/>
  <c r="M856" i="3"/>
  <c r="M857" i="3"/>
  <c r="M858" i="3"/>
  <c r="M859" i="3"/>
  <c r="M860" i="3"/>
  <c r="M861" i="3"/>
  <c r="M862" i="3"/>
  <c r="M863" i="3"/>
  <c r="M864" i="3"/>
  <c r="M865" i="3"/>
  <c r="M866" i="3"/>
  <c r="M867" i="3"/>
  <c r="M868" i="3"/>
  <c r="M869" i="3"/>
  <c r="M870" i="3"/>
  <c r="M871" i="3"/>
  <c r="M872" i="3"/>
  <c r="M873" i="3"/>
  <c r="M874" i="3"/>
  <c r="M875" i="3"/>
  <c r="M876" i="3"/>
  <c r="M877" i="3"/>
  <c r="M878" i="3"/>
  <c r="M879" i="3"/>
  <c r="M880" i="3"/>
  <c r="M881" i="3"/>
  <c r="M882" i="3"/>
  <c r="M883" i="3"/>
  <c r="M884" i="3"/>
  <c r="M885" i="3"/>
  <c r="M886" i="3"/>
  <c r="M887" i="3"/>
  <c r="M888" i="3"/>
  <c r="M889" i="3"/>
  <c r="M890" i="3"/>
  <c r="M891" i="3"/>
  <c r="M892" i="3"/>
  <c r="M893" i="3"/>
  <c r="M894" i="3"/>
  <c r="M895" i="3"/>
  <c r="M896" i="3"/>
  <c r="M897" i="3"/>
  <c r="M898" i="3"/>
  <c r="M899" i="3"/>
  <c r="M900" i="3"/>
  <c r="M901" i="3"/>
  <c r="M902" i="3"/>
  <c r="M903" i="3"/>
  <c r="M904" i="3"/>
  <c r="M905" i="3"/>
  <c r="M906" i="3"/>
  <c r="M907" i="3"/>
  <c r="M908" i="3"/>
  <c r="M909" i="3"/>
  <c r="M910" i="3"/>
  <c r="M911" i="3"/>
  <c r="M912" i="3"/>
  <c r="M913" i="3"/>
  <c r="M914" i="3"/>
  <c r="M915" i="3"/>
  <c r="M916" i="3"/>
  <c r="M917" i="3"/>
  <c r="M918" i="3"/>
  <c r="M919" i="3"/>
  <c r="M920" i="3"/>
  <c r="M921" i="3"/>
  <c r="M922" i="3"/>
  <c r="M923" i="3"/>
  <c r="M924" i="3"/>
  <c r="M925" i="3"/>
  <c r="M926" i="3"/>
  <c r="M927" i="3"/>
  <c r="M928" i="3"/>
  <c r="M929" i="3"/>
  <c r="M930" i="3"/>
  <c r="M931" i="3"/>
  <c r="M932" i="3"/>
  <c r="M933" i="3"/>
  <c r="M934" i="3"/>
  <c r="M935" i="3"/>
  <c r="M936" i="3"/>
  <c r="M937" i="3"/>
  <c r="M938" i="3"/>
  <c r="M939" i="3"/>
  <c r="M940" i="3"/>
  <c r="M941" i="3"/>
  <c r="M942" i="3"/>
  <c r="M943" i="3"/>
  <c r="M944" i="3"/>
  <c r="M945" i="3"/>
  <c r="M946" i="3"/>
  <c r="M947" i="3"/>
  <c r="M948" i="3"/>
  <c r="M949" i="3"/>
  <c r="M950" i="3"/>
  <c r="M951" i="3"/>
  <c r="M952" i="3"/>
  <c r="M953" i="3"/>
  <c r="M954" i="3"/>
  <c r="M955" i="3"/>
  <c r="M956" i="3"/>
  <c r="M957" i="3"/>
  <c r="M958" i="3"/>
  <c r="M959" i="3"/>
  <c r="M960" i="3"/>
  <c r="M961" i="3"/>
  <c r="M962" i="3"/>
  <c r="M963" i="3"/>
  <c r="M964" i="3"/>
  <c r="M965" i="3"/>
  <c r="M966" i="3"/>
  <c r="M967" i="3"/>
  <c r="M968" i="3"/>
  <c r="M969" i="3"/>
  <c r="M970" i="3"/>
  <c r="M971" i="3"/>
  <c r="M972" i="3"/>
  <c r="M973" i="3"/>
  <c r="M974" i="3"/>
  <c r="M975" i="3"/>
  <c r="M976" i="3"/>
  <c r="M977" i="3"/>
  <c r="M978" i="3"/>
  <c r="M979" i="3"/>
  <c r="M980" i="3"/>
  <c r="M981" i="3"/>
  <c r="M982" i="3"/>
  <c r="M983" i="3"/>
  <c r="M984" i="3"/>
  <c r="M985" i="3"/>
  <c r="M986" i="3"/>
  <c r="M987" i="3"/>
  <c r="M988" i="3"/>
  <c r="M989" i="3"/>
  <c r="M990" i="3"/>
  <c r="M991" i="3"/>
  <c r="M992" i="3"/>
  <c r="M993" i="3"/>
  <c r="M994" i="3"/>
  <c r="M995" i="3"/>
  <c r="M996" i="3"/>
  <c r="M997" i="3"/>
  <c r="M998" i="3"/>
  <c r="M999" i="3"/>
  <c r="M1000" i="3"/>
  <c r="M1001" i="3"/>
  <c r="M1002" i="3"/>
  <c r="M1003" i="3"/>
  <c r="M1004" i="3"/>
  <c r="M1005" i="3"/>
  <c r="M1006" i="3"/>
  <c r="M1007" i="3"/>
  <c r="M1008" i="3"/>
  <c r="M1009" i="3"/>
  <c r="M1010" i="3"/>
  <c r="M1011" i="3"/>
  <c r="M1012" i="3"/>
  <c r="M1013" i="3"/>
  <c r="M1014" i="3"/>
  <c r="M1015" i="3"/>
  <c r="M1016" i="3"/>
  <c r="M1017" i="3"/>
  <c r="M1018" i="3"/>
  <c r="M1019" i="3"/>
  <c r="M1020" i="3"/>
  <c r="M1021" i="3"/>
  <c r="M1022" i="3"/>
  <c r="M1023" i="3"/>
  <c r="M1024" i="3"/>
  <c r="M1025" i="3"/>
  <c r="M1026" i="3"/>
  <c r="M1027" i="3"/>
  <c r="M1028" i="3"/>
  <c r="M1029" i="3"/>
  <c r="M1030" i="3"/>
  <c r="M1031" i="3"/>
  <c r="M1032" i="3"/>
  <c r="M1033" i="3"/>
  <c r="M1034" i="3"/>
  <c r="M1035" i="3"/>
  <c r="M1036" i="3"/>
  <c r="M1037" i="3"/>
  <c r="M1038" i="3"/>
  <c r="M1039" i="3"/>
  <c r="M1040" i="3"/>
  <c r="M1041" i="3"/>
  <c r="M1042" i="3"/>
  <c r="M1043" i="3"/>
  <c r="M1044" i="3"/>
  <c r="M1045" i="3"/>
  <c r="M1046" i="3"/>
  <c r="M1047" i="3"/>
  <c r="M1048" i="3"/>
  <c r="M1049" i="3"/>
  <c r="M1050" i="3"/>
  <c r="M1051" i="3"/>
  <c r="M1052" i="3"/>
  <c r="M1053" i="3"/>
  <c r="M1054" i="3"/>
  <c r="M1055" i="3"/>
  <c r="M1056" i="3"/>
  <c r="M1057" i="3"/>
  <c r="M1058" i="3"/>
  <c r="M1059" i="3"/>
  <c r="M1060" i="3"/>
  <c r="M1061" i="3"/>
  <c r="M1062" i="3"/>
  <c r="M1063" i="3"/>
  <c r="M1064" i="3"/>
  <c r="M1065" i="3"/>
  <c r="M1066" i="3"/>
  <c r="M1067" i="3"/>
  <c r="M1068" i="3"/>
  <c r="M1069" i="3"/>
  <c r="M1070" i="3"/>
  <c r="M1071" i="3"/>
  <c r="M1072" i="3"/>
  <c r="M1073" i="3"/>
  <c r="M1074" i="3"/>
  <c r="M1075" i="3"/>
  <c r="M1076" i="3"/>
  <c r="M1077" i="3"/>
  <c r="M1078" i="3"/>
  <c r="M1079" i="3"/>
  <c r="M1080" i="3"/>
  <c r="M1081" i="3"/>
  <c r="M1082" i="3"/>
  <c r="M1083" i="3"/>
  <c r="M1084" i="3"/>
  <c r="M1085" i="3"/>
  <c r="M1086" i="3"/>
  <c r="M1087" i="3"/>
  <c r="M1088" i="3"/>
  <c r="M1089" i="3"/>
  <c r="M1090" i="3"/>
  <c r="M1091" i="3"/>
  <c r="M1092" i="3"/>
  <c r="M1093" i="3"/>
  <c r="M1094" i="3"/>
  <c r="M1095" i="3"/>
  <c r="M1096" i="3"/>
  <c r="M1097" i="3"/>
  <c r="M1098" i="3"/>
  <c r="M1099" i="3"/>
  <c r="M1100" i="3"/>
  <c r="M1101" i="3"/>
  <c r="M1102" i="3"/>
  <c r="M1103" i="3"/>
  <c r="M1104" i="3"/>
  <c r="M1105" i="3"/>
  <c r="M1106" i="3"/>
  <c r="M1107" i="3"/>
  <c r="M1108" i="3"/>
  <c r="M1109" i="3"/>
  <c r="M1110" i="3"/>
  <c r="M1111" i="3"/>
  <c r="M1112" i="3"/>
  <c r="M1113" i="3"/>
  <c r="M1114" i="3"/>
  <c r="M1115" i="3"/>
  <c r="M1116" i="3"/>
  <c r="M1117" i="3"/>
  <c r="M1118" i="3"/>
  <c r="M1119" i="3"/>
  <c r="M1120" i="3"/>
  <c r="M1121" i="3"/>
  <c r="M1122" i="3"/>
  <c r="M1123" i="3"/>
  <c r="M1124" i="3"/>
  <c r="M1125" i="3"/>
  <c r="M1126" i="3"/>
  <c r="M1127" i="3"/>
  <c r="M1128" i="3"/>
  <c r="M1129" i="3"/>
  <c r="M1130" i="3"/>
  <c r="M1131" i="3"/>
  <c r="M1132" i="3"/>
  <c r="M1133" i="3"/>
  <c r="M1134" i="3"/>
  <c r="M1135" i="3"/>
  <c r="M1136" i="3"/>
  <c r="M1137" i="3"/>
  <c r="M1138" i="3"/>
  <c r="M1139" i="3"/>
  <c r="M1140" i="3"/>
  <c r="M1141" i="3"/>
  <c r="M1142" i="3"/>
  <c r="M1143" i="3"/>
  <c r="M1144" i="3"/>
  <c r="M1145" i="3"/>
  <c r="M1146" i="3"/>
  <c r="M1147" i="3"/>
  <c r="M1148" i="3"/>
  <c r="M1149" i="3"/>
  <c r="M1150" i="3"/>
  <c r="M1151" i="3"/>
  <c r="M1152" i="3"/>
  <c r="M1153" i="3"/>
  <c r="M1154" i="3"/>
  <c r="M1155" i="3"/>
  <c r="M1156" i="3"/>
  <c r="M1157" i="3"/>
  <c r="M1158" i="3"/>
  <c r="M1159" i="3"/>
  <c r="M1160" i="3"/>
  <c r="M1161" i="3"/>
  <c r="M1162" i="3"/>
  <c r="M1163" i="3"/>
  <c r="M1164" i="3"/>
  <c r="M1165" i="3"/>
  <c r="M1166" i="3"/>
  <c r="M1167" i="3"/>
  <c r="M1168" i="3"/>
  <c r="M1169" i="3"/>
  <c r="M1170" i="3"/>
  <c r="M1171" i="3"/>
  <c r="M1172" i="3"/>
  <c r="M1173" i="3"/>
  <c r="M1174" i="3"/>
  <c r="M1175" i="3"/>
  <c r="M1176" i="3"/>
  <c r="M1177" i="3"/>
  <c r="M1178" i="3"/>
  <c r="M1179" i="3"/>
  <c r="M1180" i="3"/>
  <c r="M1181" i="3"/>
  <c r="M1182" i="3"/>
  <c r="M1183" i="3"/>
  <c r="M1184" i="3"/>
  <c r="M1185" i="3"/>
  <c r="M1186" i="3"/>
  <c r="M1187" i="3"/>
  <c r="M1188" i="3"/>
  <c r="M1189" i="3"/>
  <c r="M1190" i="3"/>
  <c r="M1191" i="3"/>
  <c r="M1192" i="3"/>
  <c r="M1193" i="3"/>
  <c r="M1194" i="3"/>
  <c r="M1195" i="3"/>
  <c r="M1196" i="3"/>
  <c r="M1197" i="3"/>
  <c r="M1198" i="3"/>
  <c r="M1199" i="3"/>
  <c r="M1200" i="3"/>
  <c r="M1201" i="3"/>
  <c r="M1202" i="3"/>
  <c r="M1203" i="3"/>
  <c r="M1204" i="3"/>
  <c r="M1205" i="3"/>
  <c r="M1206" i="3"/>
  <c r="M1207" i="3"/>
  <c r="M1208" i="3"/>
  <c r="M1209" i="3"/>
  <c r="M1210" i="3"/>
  <c r="M1211" i="3"/>
  <c r="M1212" i="3"/>
  <c r="M1213" i="3"/>
  <c r="M1214" i="3"/>
  <c r="M1215" i="3"/>
  <c r="M1216" i="3"/>
  <c r="M1217" i="3"/>
  <c r="M1218" i="3"/>
  <c r="M1219" i="3"/>
  <c r="M1220" i="3"/>
  <c r="M1221" i="3"/>
  <c r="M1222" i="3"/>
  <c r="M1223" i="3"/>
  <c r="M1224" i="3"/>
  <c r="M1225" i="3"/>
  <c r="M1226" i="3"/>
  <c r="M1227" i="3"/>
  <c r="M1228" i="3"/>
  <c r="M1229" i="3"/>
  <c r="M1230" i="3"/>
  <c r="M1231" i="3"/>
  <c r="M1232" i="3"/>
  <c r="M1233" i="3"/>
  <c r="M1234" i="3"/>
  <c r="M1235" i="3"/>
  <c r="M1236" i="3"/>
  <c r="M1237" i="3"/>
  <c r="M1238" i="3"/>
  <c r="M1239" i="3"/>
  <c r="M1240" i="3"/>
  <c r="M1241" i="3"/>
  <c r="M1242" i="3"/>
  <c r="M1243" i="3"/>
  <c r="M1244" i="3"/>
  <c r="M1245" i="3"/>
  <c r="M1246" i="3"/>
  <c r="M1247" i="3"/>
  <c r="M1248" i="3"/>
  <c r="M1249" i="3"/>
  <c r="M1250" i="3"/>
  <c r="M1251" i="3"/>
  <c r="M1252" i="3"/>
  <c r="M1253" i="3"/>
  <c r="M1254" i="3"/>
  <c r="M1255" i="3"/>
  <c r="M1256" i="3"/>
  <c r="M1257" i="3"/>
  <c r="M1258" i="3"/>
  <c r="M1259" i="3"/>
  <c r="M1260" i="3"/>
  <c r="M1261" i="3"/>
  <c r="M1262" i="3"/>
  <c r="M1263" i="3"/>
  <c r="M1264" i="3"/>
  <c r="M1265" i="3"/>
  <c r="M1266" i="3"/>
  <c r="M1267" i="3"/>
  <c r="M1268" i="3"/>
  <c r="M1269" i="3"/>
  <c r="M1270" i="3"/>
  <c r="M1271" i="3"/>
  <c r="M1272" i="3"/>
  <c r="M1273" i="3"/>
  <c r="M1274" i="3"/>
  <c r="M1275" i="3"/>
  <c r="M1276" i="3"/>
  <c r="M1277" i="3"/>
  <c r="M1278" i="3"/>
  <c r="M1279" i="3"/>
  <c r="M1280" i="3"/>
  <c r="M1281" i="3"/>
  <c r="M1282" i="3"/>
  <c r="M1283" i="3"/>
  <c r="M1284" i="3"/>
  <c r="M1285" i="3"/>
  <c r="M1286" i="3"/>
  <c r="M1287" i="3"/>
  <c r="M1288" i="3"/>
  <c r="M1289" i="3"/>
  <c r="M1290" i="3"/>
  <c r="M1291" i="3"/>
  <c r="M1292" i="3"/>
  <c r="M1293" i="3"/>
  <c r="M1294" i="3"/>
  <c r="M1295" i="3"/>
  <c r="M1296" i="3"/>
  <c r="M1297" i="3"/>
  <c r="M1298" i="3"/>
  <c r="M1299" i="3"/>
  <c r="M1300" i="3"/>
  <c r="M1301" i="3"/>
  <c r="M1302" i="3"/>
  <c r="M1303" i="3"/>
  <c r="M1304" i="3"/>
  <c r="M1305" i="3"/>
  <c r="M1306" i="3"/>
  <c r="M1307" i="3"/>
  <c r="M1308" i="3"/>
  <c r="M1309" i="3"/>
  <c r="M1310" i="3"/>
  <c r="M1311" i="3"/>
  <c r="M1312" i="3"/>
  <c r="M1313" i="3"/>
  <c r="M1314" i="3"/>
  <c r="M1315" i="3"/>
  <c r="M1316" i="3"/>
  <c r="M1317" i="3"/>
  <c r="M1318" i="3"/>
  <c r="M1319" i="3"/>
  <c r="M1320" i="3"/>
  <c r="M1321" i="3"/>
  <c r="M1322" i="3"/>
  <c r="M1323" i="3"/>
  <c r="M1324" i="3"/>
  <c r="M1325" i="3"/>
  <c r="M1326" i="3"/>
  <c r="M1327" i="3"/>
  <c r="M1328" i="3"/>
  <c r="M1329" i="3"/>
  <c r="M1330" i="3"/>
  <c r="M1331" i="3"/>
  <c r="M1332" i="3"/>
  <c r="M1333" i="3"/>
  <c r="M1334" i="3"/>
  <c r="M1335" i="3"/>
  <c r="M1336" i="3"/>
  <c r="M1337" i="3"/>
  <c r="M1338" i="3"/>
  <c r="M1339" i="3"/>
  <c r="M1340" i="3"/>
  <c r="M1341" i="3"/>
  <c r="M1342" i="3"/>
  <c r="M1343" i="3"/>
  <c r="M1344" i="3"/>
  <c r="M1345" i="3"/>
  <c r="M1346" i="3"/>
  <c r="M1347" i="3"/>
  <c r="M1348" i="3"/>
  <c r="M1349" i="3"/>
  <c r="M1350" i="3"/>
  <c r="M1351" i="3"/>
  <c r="M1352" i="3"/>
  <c r="M1353" i="3"/>
  <c r="M1354" i="3"/>
  <c r="M1355" i="3"/>
  <c r="M1356" i="3"/>
  <c r="M1357" i="3"/>
  <c r="M1358" i="3"/>
  <c r="M1359" i="3"/>
  <c r="M1360" i="3"/>
  <c r="M1361" i="3"/>
  <c r="M1362" i="3"/>
  <c r="M1363" i="3"/>
  <c r="M1364" i="3"/>
  <c r="M1365" i="3"/>
  <c r="M1366" i="3"/>
  <c r="M1367" i="3"/>
  <c r="M1368" i="3"/>
  <c r="M1369" i="3"/>
  <c r="M1370" i="3"/>
  <c r="M1371" i="3"/>
  <c r="M1372" i="3"/>
  <c r="M1373" i="3"/>
  <c r="M1374" i="3"/>
  <c r="M1375" i="3"/>
  <c r="M1376" i="3"/>
  <c r="M1377" i="3"/>
  <c r="M1378" i="3"/>
  <c r="M1379" i="3"/>
  <c r="M1380" i="3"/>
  <c r="M1381" i="3"/>
  <c r="M1382" i="3"/>
  <c r="M1383" i="3"/>
  <c r="M1384" i="3"/>
  <c r="M1385" i="3"/>
  <c r="M1386" i="3"/>
  <c r="M1387" i="3"/>
  <c r="M1388" i="3"/>
  <c r="M1389" i="3"/>
  <c r="M1390" i="3"/>
  <c r="M1391" i="3"/>
  <c r="M1392" i="3"/>
  <c r="M1393" i="3"/>
  <c r="M1394" i="3"/>
  <c r="M1395" i="3"/>
  <c r="M1396" i="3"/>
  <c r="M1397" i="3"/>
  <c r="M1398" i="3"/>
  <c r="M1399" i="3"/>
  <c r="M1400" i="3"/>
  <c r="M1401" i="3"/>
  <c r="M1402" i="3"/>
  <c r="M1403" i="3"/>
  <c r="M1404" i="3"/>
  <c r="M1405" i="3"/>
  <c r="M1406" i="3"/>
  <c r="M1407" i="3"/>
  <c r="M1408" i="3"/>
  <c r="M1409" i="3"/>
  <c r="M1410" i="3"/>
  <c r="M1411" i="3"/>
  <c r="M1412" i="3"/>
  <c r="M1413" i="3"/>
  <c r="M1414" i="3"/>
  <c r="M1415" i="3"/>
  <c r="M1416" i="3"/>
  <c r="M1417" i="3"/>
  <c r="M1418" i="3"/>
  <c r="M1419" i="3"/>
  <c r="M1420" i="3"/>
  <c r="M1421" i="3"/>
  <c r="M1422" i="3"/>
  <c r="M1423" i="3"/>
  <c r="M1424" i="3"/>
  <c r="M1425" i="3"/>
  <c r="M1426" i="3"/>
  <c r="M1427" i="3"/>
  <c r="M1428" i="3"/>
  <c r="M1429" i="3"/>
  <c r="M1430" i="3"/>
  <c r="M1431" i="3"/>
  <c r="M1432" i="3"/>
  <c r="M1433" i="3"/>
  <c r="M1434" i="3"/>
  <c r="M1435" i="3"/>
  <c r="M1436" i="3"/>
  <c r="M1437" i="3"/>
  <c r="M1438" i="3"/>
  <c r="M1439" i="3"/>
  <c r="M1440" i="3"/>
  <c r="M1441" i="3"/>
  <c r="M1442" i="3"/>
  <c r="M1443" i="3"/>
  <c r="M1444" i="3"/>
  <c r="M1445" i="3"/>
  <c r="M1446" i="3"/>
  <c r="M1447" i="3"/>
  <c r="M1448" i="3"/>
  <c r="M1449" i="3"/>
  <c r="M1450" i="3"/>
  <c r="M1451" i="3"/>
  <c r="M1452" i="3"/>
  <c r="M1453" i="3"/>
  <c r="M1454" i="3"/>
  <c r="M1455" i="3"/>
  <c r="M1456" i="3"/>
  <c r="M1457" i="3"/>
  <c r="M1458" i="3"/>
  <c r="M1459" i="3"/>
  <c r="M1460" i="3"/>
  <c r="M1461" i="3"/>
  <c r="M1462" i="3"/>
  <c r="M1463" i="3"/>
  <c r="M1464" i="3"/>
  <c r="M1465" i="3"/>
  <c r="M1466" i="3"/>
  <c r="M1467" i="3"/>
  <c r="M1468" i="3"/>
  <c r="M1469" i="3"/>
  <c r="M1470" i="3"/>
  <c r="M1471" i="3"/>
  <c r="M1472" i="3"/>
  <c r="M1473" i="3"/>
  <c r="M1474" i="3"/>
  <c r="M1475" i="3"/>
  <c r="M1476" i="3"/>
  <c r="M1477" i="3"/>
  <c r="M1478" i="3"/>
  <c r="M1479" i="3"/>
  <c r="M1480" i="3"/>
  <c r="M1481" i="3"/>
  <c r="M1482" i="3"/>
  <c r="M1483" i="3"/>
  <c r="M1484" i="3"/>
  <c r="M1485" i="3"/>
  <c r="M1486" i="3"/>
  <c r="M1487" i="3"/>
  <c r="M1488" i="3"/>
  <c r="M1489" i="3"/>
  <c r="M1490" i="3"/>
  <c r="M1491" i="3"/>
  <c r="M1492" i="3"/>
  <c r="M1493" i="3"/>
  <c r="M1494" i="3"/>
  <c r="M1495" i="3"/>
  <c r="M1496" i="3"/>
  <c r="M1497" i="3"/>
  <c r="M1498" i="3"/>
  <c r="M1499" i="3"/>
  <c r="M1500" i="3"/>
  <c r="M1501" i="3"/>
  <c r="M1502" i="3"/>
  <c r="M1503" i="3"/>
  <c r="M1504" i="3"/>
  <c r="M1505" i="3"/>
  <c r="M1506" i="3"/>
  <c r="M1507" i="3"/>
  <c r="M1508" i="3"/>
  <c r="M1509" i="3"/>
  <c r="M1510" i="3"/>
  <c r="M1511" i="3"/>
  <c r="M1512" i="3"/>
  <c r="M1513" i="3"/>
  <c r="M1514" i="3"/>
  <c r="M1515" i="3"/>
  <c r="M1516" i="3"/>
  <c r="M1517" i="3"/>
  <c r="M1518" i="3"/>
  <c r="M1519" i="3"/>
  <c r="M1520" i="3"/>
  <c r="M1521" i="3"/>
  <c r="M1522" i="3"/>
  <c r="M1523" i="3"/>
  <c r="M1524" i="3"/>
  <c r="M1525" i="3"/>
  <c r="M1526" i="3"/>
  <c r="M1527" i="3"/>
  <c r="M1528" i="3"/>
  <c r="M1529" i="3"/>
  <c r="M1530" i="3"/>
  <c r="M1531" i="3"/>
  <c r="M1532" i="3"/>
  <c r="M1533" i="3"/>
  <c r="M1534" i="3"/>
  <c r="M1535" i="3"/>
  <c r="M1536" i="3"/>
  <c r="M1537" i="3"/>
  <c r="M1538" i="3"/>
  <c r="M1539" i="3"/>
  <c r="M1540" i="3"/>
  <c r="M1541" i="3"/>
  <c r="M1542" i="3"/>
  <c r="M1543" i="3"/>
  <c r="M1544" i="3"/>
  <c r="M1545" i="3"/>
  <c r="M1546" i="3"/>
  <c r="M1547" i="3"/>
  <c r="M1548" i="3"/>
  <c r="M1549" i="3"/>
  <c r="M1550" i="3"/>
  <c r="M1551" i="3"/>
  <c r="M1552" i="3"/>
  <c r="M1553" i="3"/>
  <c r="M1554" i="3"/>
  <c r="M1555" i="3"/>
  <c r="M1556" i="3"/>
  <c r="M1557" i="3"/>
  <c r="M1558" i="3"/>
  <c r="M1559" i="3"/>
  <c r="M1560" i="3"/>
  <c r="M1561" i="3"/>
  <c r="M1562" i="3"/>
  <c r="M1563" i="3"/>
  <c r="M1564" i="3"/>
  <c r="M1565" i="3"/>
  <c r="M1566" i="3"/>
  <c r="M1567" i="3"/>
  <c r="M1568" i="3"/>
  <c r="M1569" i="3"/>
  <c r="M1570" i="3"/>
  <c r="M1571" i="3"/>
  <c r="M1572" i="3"/>
  <c r="M1573" i="3"/>
  <c r="M1574" i="3"/>
  <c r="M1575" i="3"/>
  <c r="M1576" i="3"/>
  <c r="M1577" i="3"/>
  <c r="M1578" i="3"/>
  <c r="M1579" i="3"/>
  <c r="M1580" i="3"/>
  <c r="M1581" i="3"/>
  <c r="M1582" i="3"/>
  <c r="M1583" i="3"/>
  <c r="M1584" i="3"/>
  <c r="M1585" i="3"/>
  <c r="M1586" i="3"/>
  <c r="M1587" i="3"/>
  <c r="M1588" i="3"/>
  <c r="M1589" i="3"/>
  <c r="M1590" i="3"/>
  <c r="M1591" i="3"/>
  <c r="M1592" i="3"/>
  <c r="M1593" i="3"/>
  <c r="M1594" i="3"/>
  <c r="M1595" i="3"/>
  <c r="M1596" i="3"/>
  <c r="M1597" i="3"/>
  <c r="M1598" i="3"/>
  <c r="M1599" i="3"/>
  <c r="M1600" i="3"/>
  <c r="M1601" i="3"/>
  <c r="M1602" i="3"/>
  <c r="M1603" i="3"/>
  <c r="M1604" i="3"/>
  <c r="M1605" i="3"/>
  <c r="M1606" i="3"/>
  <c r="M1607" i="3"/>
  <c r="M1608" i="3"/>
  <c r="M1609" i="3"/>
  <c r="M1610" i="3"/>
  <c r="M1611" i="3"/>
  <c r="M1612" i="3"/>
  <c r="M1613" i="3"/>
  <c r="M1614" i="3"/>
  <c r="M1615" i="3"/>
  <c r="M1616" i="3"/>
  <c r="M1617" i="3"/>
  <c r="M1618" i="3"/>
  <c r="M1619" i="3"/>
  <c r="M1620" i="3"/>
  <c r="M1621" i="3"/>
  <c r="M1622" i="3"/>
  <c r="M1623" i="3"/>
  <c r="M1624" i="3"/>
  <c r="M1625" i="3"/>
  <c r="M1626" i="3"/>
  <c r="M1627" i="3"/>
  <c r="M1628" i="3"/>
  <c r="M1629" i="3"/>
  <c r="M1630" i="3"/>
  <c r="M1631" i="3"/>
  <c r="M1632" i="3"/>
  <c r="M1633" i="3"/>
  <c r="M1634" i="3"/>
  <c r="M1635" i="3"/>
  <c r="M1636" i="3"/>
  <c r="M1637" i="3"/>
  <c r="M1638" i="3"/>
  <c r="M1639" i="3"/>
  <c r="M1640" i="3"/>
  <c r="M1641" i="3"/>
  <c r="M1642" i="3"/>
  <c r="M1643" i="3"/>
  <c r="M1644" i="3"/>
  <c r="M1645" i="3"/>
  <c r="M1646" i="3"/>
  <c r="M1647" i="3"/>
  <c r="M1648" i="3"/>
  <c r="M1649" i="3"/>
  <c r="M1650" i="3"/>
  <c r="M1651" i="3"/>
  <c r="M1652" i="3"/>
  <c r="M1653" i="3"/>
  <c r="M1654" i="3"/>
  <c r="M1655" i="3"/>
  <c r="M1656" i="3"/>
  <c r="M1657" i="3"/>
  <c r="M1658" i="3"/>
  <c r="M1659" i="3"/>
  <c r="M1660" i="3"/>
  <c r="M1661" i="3"/>
  <c r="M1662" i="3"/>
  <c r="M1663" i="3"/>
  <c r="M1664" i="3"/>
  <c r="M1665" i="3"/>
  <c r="M1666" i="3"/>
  <c r="M1667" i="3"/>
  <c r="M1668" i="3"/>
  <c r="M1669" i="3"/>
  <c r="M1670" i="3"/>
  <c r="M1671" i="3"/>
  <c r="M1672" i="3"/>
  <c r="M1673" i="3"/>
  <c r="M1674" i="3"/>
  <c r="M1675" i="3"/>
  <c r="M1676" i="3"/>
  <c r="M1677" i="3"/>
  <c r="M1678" i="3"/>
  <c r="M1679" i="3"/>
  <c r="M1680" i="3"/>
  <c r="M1681" i="3"/>
  <c r="M1682" i="3"/>
  <c r="M1683" i="3"/>
  <c r="M1684" i="3"/>
  <c r="M1685" i="3"/>
  <c r="M1686" i="3"/>
  <c r="M1687" i="3"/>
  <c r="M1688" i="3"/>
  <c r="M1689" i="3"/>
  <c r="M1690" i="3"/>
  <c r="M1691" i="3"/>
  <c r="M1692" i="3"/>
  <c r="M1693" i="3"/>
  <c r="M1694" i="3"/>
  <c r="M1695" i="3"/>
  <c r="M1696" i="3"/>
  <c r="M1697" i="3"/>
  <c r="M1698" i="3"/>
  <c r="M1699" i="3"/>
  <c r="M1700" i="3"/>
  <c r="M1701" i="3"/>
  <c r="M1702" i="3"/>
  <c r="M1703" i="3"/>
  <c r="M1704" i="3"/>
  <c r="M1705" i="3"/>
  <c r="M1706" i="3"/>
  <c r="M1707" i="3"/>
  <c r="M1708" i="3"/>
  <c r="M1709" i="3"/>
  <c r="M1710" i="3"/>
  <c r="M1711" i="3"/>
  <c r="M1712" i="3"/>
  <c r="M1713" i="3"/>
  <c r="M1714" i="3"/>
  <c r="M1715" i="3"/>
  <c r="M1716" i="3"/>
  <c r="M1717" i="3"/>
  <c r="M1718" i="3"/>
  <c r="M1719" i="3"/>
  <c r="M1720" i="3"/>
  <c r="M1721" i="3"/>
  <c r="M1722" i="3"/>
  <c r="M1723" i="3"/>
  <c r="M1724" i="3"/>
  <c r="M1725" i="3"/>
  <c r="M1726" i="3"/>
  <c r="M1727" i="3"/>
  <c r="M1728" i="3"/>
  <c r="M1729" i="3"/>
  <c r="M1730" i="3"/>
  <c r="M1731" i="3"/>
  <c r="M1732" i="3"/>
  <c r="M1733" i="3"/>
  <c r="M1734" i="3"/>
  <c r="M1735" i="3"/>
  <c r="M1736" i="3"/>
  <c r="M1737" i="3"/>
  <c r="M1738" i="3"/>
  <c r="M1739" i="3"/>
  <c r="M1740" i="3"/>
  <c r="M1741" i="3"/>
  <c r="M1742" i="3"/>
  <c r="M1743" i="3"/>
  <c r="M1744" i="3"/>
  <c r="M1745" i="3"/>
  <c r="M1746" i="3"/>
  <c r="M1747" i="3"/>
  <c r="M1748" i="3"/>
  <c r="M1749" i="3"/>
  <c r="M1750" i="3"/>
  <c r="M1751" i="3"/>
  <c r="M1752" i="3"/>
  <c r="M1753" i="3"/>
  <c r="M1754" i="3"/>
  <c r="M1755" i="3"/>
  <c r="M1756" i="3"/>
  <c r="M1757" i="3"/>
  <c r="M1758" i="3"/>
  <c r="M1759" i="3"/>
  <c r="M1760" i="3"/>
  <c r="M1761" i="3"/>
  <c r="M1762" i="3"/>
  <c r="M1763" i="3"/>
  <c r="M1764" i="3"/>
  <c r="M1765" i="3"/>
  <c r="M1766" i="3"/>
  <c r="M1767" i="3"/>
  <c r="M1768" i="3"/>
  <c r="M1769" i="3"/>
  <c r="M1770" i="3"/>
  <c r="M1771" i="3"/>
  <c r="M1772" i="3"/>
  <c r="M1773" i="3"/>
  <c r="M1774" i="3"/>
  <c r="M1775" i="3"/>
  <c r="M1776" i="3"/>
  <c r="M1777" i="3"/>
  <c r="M1778" i="3"/>
  <c r="M1779" i="3"/>
  <c r="M1780" i="3"/>
  <c r="M1781" i="3"/>
  <c r="M1782" i="3"/>
  <c r="M1783" i="3"/>
  <c r="M1784" i="3"/>
  <c r="M1785" i="3"/>
  <c r="M1786" i="3"/>
  <c r="M1787" i="3"/>
  <c r="M1788" i="3"/>
  <c r="M1789" i="3"/>
  <c r="M1790" i="3"/>
  <c r="M1791" i="3"/>
  <c r="M1792" i="3"/>
  <c r="M1793" i="3"/>
  <c r="M1794" i="3"/>
  <c r="M1795" i="3"/>
  <c r="M1796" i="3"/>
  <c r="M1797" i="3"/>
  <c r="M1798" i="3"/>
  <c r="M1799" i="3"/>
  <c r="M1800" i="3"/>
  <c r="M1801" i="3"/>
  <c r="M1802" i="3"/>
  <c r="M1803" i="3"/>
  <c r="M1804" i="3"/>
  <c r="M1805" i="3"/>
  <c r="M1806" i="3"/>
  <c r="M1807" i="3"/>
  <c r="M1808" i="3"/>
  <c r="M1809" i="3"/>
  <c r="M1810" i="3"/>
  <c r="M1811" i="3"/>
  <c r="M1812" i="3"/>
  <c r="M1813" i="3"/>
  <c r="M1814" i="3"/>
  <c r="M1815" i="3"/>
  <c r="M1816" i="3"/>
  <c r="M1817" i="3"/>
  <c r="M1818" i="3"/>
  <c r="M1819" i="3"/>
  <c r="M1820" i="3"/>
  <c r="M1821" i="3"/>
  <c r="M1822" i="3"/>
  <c r="M1823" i="3"/>
  <c r="M1824" i="3"/>
  <c r="M1825" i="3"/>
  <c r="M1826" i="3"/>
  <c r="M1827" i="3"/>
  <c r="M1828" i="3"/>
  <c r="M1829" i="3"/>
  <c r="M1830" i="3"/>
  <c r="M1831" i="3"/>
  <c r="M1832" i="3"/>
  <c r="M1833" i="3"/>
  <c r="M1834" i="3"/>
  <c r="M1835" i="3"/>
  <c r="M1836" i="3"/>
  <c r="M1837" i="3"/>
  <c r="M1838" i="3"/>
  <c r="M1839" i="3"/>
  <c r="M1840" i="3"/>
  <c r="M1841" i="3"/>
  <c r="M1842" i="3"/>
  <c r="M1843" i="3"/>
  <c r="M1844" i="3"/>
  <c r="M1845" i="3"/>
  <c r="M1846" i="3"/>
  <c r="M1847" i="3"/>
  <c r="M1848" i="3"/>
  <c r="M1849" i="3"/>
  <c r="M1850" i="3"/>
  <c r="M1851" i="3"/>
  <c r="M1852" i="3"/>
  <c r="M1853" i="3"/>
  <c r="M1854" i="3"/>
  <c r="M1855" i="3"/>
  <c r="M1856" i="3"/>
  <c r="M1857" i="3"/>
  <c r="M1858" i="3"/>
  <c r="M1859" i="3"/>
  <c r="M1860" i="3"/>
  <c r="M1861" i="3"/>
  <c r="M1862" i="3"/>
  <c r="M1863" i="3"/>
  <c r="M1864" i="3"/>
  <c r="M1865" i="3"/>
  <c r="M1866" i="3"/>
  <c r="M1867" i="3"/>
  <c r="M1868" i="3"/>
  <c r="M1869" i="3"/>
  <c r="M1870" i="3"/>
  <c r="M1871" i="3"/>
  <c r="M1872" i="3"/>
  <c r="M1873" i="3"/>
  <c r="M1874" i="3"/>
  <c r="M1875" i="3"/>
  <c r="M1876" i="3"/>
  <c r="M1877" i="3"/>
  <c r="M1878" i="3"/>
  <c r="M1879" i="3"/>
  <c r="M1880" i="3"/>
  <c r="M1881" i="3"/>
  <c r="M1882" i="3"/>
  <c r="M1883" i="3"/>
  <c r="M1884" i="3"/>
  <c r="M1885" i="3"/>
  <c r="M1886" i="3"/>
  <c r="M1887" i="3"/>
  <c r="M1888" i="3"/>
  <c r="M1889" i="3"/>
  <c r="M1890" i="3"/>
  <c r="M1891" i="3"/>
  <c r="M1892" i="3"/>
  <c r="M1893" i="3"/>
  <c r="M1894" i="3"/>
  <c r="M1895" i="3"/>
  <c r="M1896" i="3"/>
  <c r="M1897" i="3"/>
  <c r="M1898" i="3"/>
  <c r="M1899" i="3"/>
  <c r="M1900" i="3"/>
  <c r="M1901" i="3"/>
  <c r="M1902" i="3"/>
  <c r="M1903" i="3"/>
  <c r="M1904" i="3"/>
  <c r="M1905" i="3"/>
  <c r="M1906" i="3"/>
  <c r="M1907" i="3"/>
  <c r="M1908" i="3"/>
  <c r="M1909" i="3"/>
  <c r="M1910" i="3"/>
  <c r="M1911" i="3"/>
  <c r="M1912" i="3"/>
  <c r="M1913" i="3"/>
  <c r="M1914" i="3"/>
  <c r="M1915" i="3"/>
  <c r="M1916" i="3"/>
  <c r="M1917" i="3"/>
  <c r="M1918" i="3"/>
  <c r="M1919" i="3"/>
  <c r="M1920" i="3"/>
  <c r="M1921" i="3"/>
  <c r="M1922" i="3"/>
  <c r="M1923" i="3"/>
  <c r="M1924" i="3"/>
  <c r="M1925" i="3"/>
  <c r="M1926" i="3"/>
  <c r="M1927" i="3"/>
  <c r="M1928" i="3"/>
  <c r="M1929" i="3"/>
  <c r="M1930" i="3"/>
  <c r="M1931" i="3"/>
  <c r="M1932" i="3"/>
  <c r="M1933" i="3"/>
  <c r="M1934" i="3"/>
  <c r="M1935" i="3"/>
  <c r="M1936" i="3"/>
  <c r="M1937" i="3"/>
  <c r="M1938" i="3"/>
  <c r="M1939" i="3"/>
  <c r="M1940" i="3"/>
  <c r="M1941" i="3"/>
  <c r="M1942" i="3"/>
  <c r="M1943" i="3"/>
  <c r="M1944" i="3"/>
  <c r="M1945" i="3"/>
  <c r="M1946" i="3"/>
  <c r="M1947" i="3"/>
  <c r="M1948" i="3"/>
  <c r="M1949" i="3"/>
  <c r="M1950" i="3"/>
  <c r="M1951" i="3"/>
  <c r="M1952" i="3"/>
  <c r="M1953" i="3"/>
  <c r="M1954" i="3"/>
  <c r="M1955" i="3"/>
  <c r="M1956" i="3"/>
  <c r="M1957" i="3"/>
  <c r="M1958" i="3"/>
  <c r="M1959" i="3"/>
  <c r="M1960" i="3"/>
  <c r="M1961" i="3"/>
  <c r="M1962" i="3"/>
  <c r="M1963" i="3"/>
  <c r="M1964" i="3"/>
  <c r="M1965" i="3"/>
  <c r="M1966" i="3"/>
  <c r="M1967" i="3"/>
  <c r="M1968" i="3"/>
  <c r="M1969" i="3"/>
  <c r="M1970" i="3"/>
  <c r="M1971" i="3"/>
  <c r="M1972" i="3"/>
  <c r="M1973" i="3"/>
  <c r="M1974" i="3"/>
  <c r="M1975" i="3"/>
  <c r="M1976" i="3"/>
  <c r="M1977" i="3"/>
  <c r="M1978" i="3"/>
  <c r="M1979" i="3"/>
  <c r="M1980" i="3"/>
  <c r="M1981" i="3"/>
  <c r="M1982" i="3"/>
  <c r="M1983" i="3"/>
  <c r="M1984" i="3"/>
  <c r="M1985" i="3"/>
  <c r="M1986" i="3"/>
  <c r="M1987" i="3"/>
  <c r="M1988" i="3"/>
  <c r="M1989" i="3"/>
  <c r="M1990" i="3"/>
  <c r="M1991" i="3"/>
  <c r="M1992" i="3"/>
  <c r="M1993" i="3"/>
  <c r="M1994" i="3"/>
  <c r="M1995" i="3"/>
  <c r="M1996" i="3"/>
  <c r="M1997" i="3"/>
  <c r="M1998" i="3"/>
  <c r="M1999" i="3"/>
  <c r="M2000" i="3"/>
  <c r="M2001" i="3"/>
  <c r="M2002" i="3"/>
  <c r="M2003" i="3"/>
  <c r="M2004" i="3"/>
  <c r="M2005" i="3"/>
  <c r="M2006" i="3"/>
  <c r="M2007" i="3"/>
  <c r="M2008" i="3"/>
  <c r="M2009" i="3"/>
  <c r="M2010" i="3"/>
  <c r="M2011" i="3"/>
  <c r="M2012" i="3"/>
  <c r="M2013" i="3"/>
  <c r="M2014" i="3"/>
  <c r="M2015" i="3"/>
  <c r="M2016" i="3"/>
  <c r="M2017" i="3"/>
  <c r="M2018" i="3"/>
  <c r="M2019" i="3"/>
  <c r="M2020" i="3"/>
  <c r="M2021" i="3"/>
  <c r="M2022" i="3"/>
  <c r="M2023" i="3"/>
  <c r="M2024" i="3"/>
  <c r="M2025" i="3"/>
  <c r="M2026" i="3"/>
  <c r="M2027" i="3"/>
  <c r="M2028" i="3"/>
  <c r="M2029" i="3"/>
  <c r="M2030" i="3"/>
  <c r="M2031" i="3"/>
  <c r="M3" i="3"/>
  <c r="C4" i="3"/>
  <c r="C5" i="3"/>
  <c r="C6" i="3"/>
  <c r="C7" i="3"/>
  <c r="C8" i="3"/>
  <c r="C9" i="3"/>
  <c r="C10" i="3"/>
  <c r="C11" i="3"/>
  <c r="C12" i="3"/>
  <c r="C13" i="3"/>
  <c r="C14" i="3"/>
  <c r="C15" i="3"/>
  <c r="C16" i="3"/>
  <c r="C17" i="3"/>
  <c r="C18" i="3"/>
  <c r="C19" i="3"/>
  <c r="C20" i="3"/>
  <c r="C21" i="3"/>
  <c r="C22" i="3"/>
  <c r="C23" i="3"/>
  <c r="C24" i="3"/>
  <c r="C25" i="3"/>
  <c r="C26" i="3"/>
  <c r="C27" i="3"/>
  <c r="C28" i="3"/>
  <c r="C29" i="3"/>
  <c r="C30" i="3"/>
  <c r="C31" i="3"/>
  <c r="C32" i="3"/>
  <c r="C33" i="3"/>
  <c r="C34" i="3"/>
  <c r="C35" i="3"/>
  <c r="C36" i="3"/>
  <c r="C37" i="3"/>
  <c r="C38" i="3"/>
  <c r="C39" i="3"/>
  <c r="C40" i="3"/>
  <c r="C41" i="3"/>
  <c r="C42" i="3"/>
  <c r="C43" i="3"/>
  <c r="C44" i="3"/>
  <c r="C45" i="3"/>
  <c r="C46" i="3"/>
  <c r="C47" i="3"/>
  <c r="C48" i="3"/>
  <c r="C49" i="3"/>
  <c r="C50" i="3"/>
  <c r="C51" i="3"/>
  <c r="C52" i="3"/>
  <c r="C53" i="3"/>
  <c r="C54" i="3"/>
  <c r="C55" i="3"/>
  <c r="C56" i="3"/>
  <c r="C57" i="3"/>
  <c r="C58" i="3"/>
  <c r="C59" i="3"/>
  <c r="C60" i="3"/>
  <c r="C61" i="3"/>
  <c r="C62" i="3"/>
  <c r="C63" i="3"/>
  <c r="C64" i="3"/>
  <c r="C65" i="3"/>
  <c r="C66" i="3"/>
  <c r="C67" i="3"/>
  <c r="C68" i="3"/>
  <c r="C69" i="3"/>
  <c r="C70" i="3"/>
  <c r="C71" i="3"/>
  <c r="C72" i="3"/>
  <c r="C73" i="3"/>
  <c r="C74" i="3"/>
  <c r="C75" i="3"/>
  <c r="C76" i="3"/>
  <c r="C77" i="3"/>
  <c r="C78" i="3"/>
  <c r="C79" i="3"/>
  <c r="C80" i="3"/>
  <c r="C81" i="3"/>
  <c r="C82" i="3"/>
  <c r="C83" i="3"/>
  <c r="C84" i="3"/>
  <c r="C85" i="3"/>
  <c r="C86" i="3"/>
  <c r="C87" i="3"/>
  <c r="C88" i="3"/>
  <c r="C89" i="3"/>
  <c r="C90" i="3"/>
  <c r="C91" i="3"/>
  <c r="C92" i="3"/>
  <c r="C93" i="3"/>
  <c r="C94" i="3"/>
  <c r="C95" i="3"/>
  <c r="C96" i="3"/>
  <c r="C97" i="3"/>
  <c r="C98" i="3"/>
  <c r="C99" i="3"/>
  <c r="C100" i="3"/>
  <c r="C101" i="3"/>
  <c r="C102" i="3"/>
  <c r="C103" i="3"/>
  <c r="C104" i="3"/>
  <c r="C105" i="3"/>
  <c r="C106" i="3"/>
  <c r="C107" i="3"/>
  <c r="C108" i="3"/>
  <c r="C109" i="3"/>
  <c r="C110" i="3"/>
  <c r="C111" i="3"/>
  <c r="C112" i="3"/>
  <c r="C113" i="3"/>
  <c r="C114" i="3"/>
  <c r="C115" i="3"/>
  <c r="C116" i="3"/>
  <c r="C117" i="3"/>
  <c r="C118" i="3"/>
  <c r="C119" i="3"/>
  <c r="C120" i="3"/>
  <c r="C121" i="3"/>
  <c r="C122" i="3"/>
  <c r="C123" i="3"/>
  <c r="C124" i="3"/>
  <c r="C125" i="3"/>
  <c r="C126" i="3"/>
  <c r="C127" i="3"/>
  <c r="C128" i="3"/>
  <c r="C129" i="3"/>
  <c r="C130" i="3"/>
  <c r="C131" i="3"/>
  <c r="C132" i="3"/>
  <c r="C133" i="3"/>
  <c r="C134" i="3"/>
  <c r="C135" i="3"/>
  <c r="C136" i="3"/>
  <c r="C137" i="3"/>
  <c r="C138" i="3"/>
  <c r="C139" i="3"/>
  <c r="C140" i="3"/>
  <c r="C141" i="3"/>
  <c r="C142" i="3"/>
  <c r="C143" i="3"/>
  <c r="C144" i="3"/>
  <c r="C145" i="3"/>
  <c r="C146" i="3"/>
  <c r="C147" i="3"/>
  <c r="C148" i="3"/>
  <c r="C149" i="3"/>
  <c r="C150" i="3"/>
  <c r="C151" i="3"/>
  <c r="C152" i="3"/>
  <c r="C153" i="3"/>
  <c r="C154" i="3"/>
  <c r="C155" i="3"/>
  <c r="C156" i="3"/>
  <c r="C157" i="3"/>
  <c r="C158" i="3"/>
  <c r="C159" i="3"/>
  <c r="C160" i="3"/>
  <c r="C161" i="3"/>
  <c r="C162" i="3"/>
  <c r="C163" i="3"/>
  <c r="C164" i="3"/>
  <c r="C165" i="3"/>
  <c r="C166" i="3"/>
  <c r="C167" i="3"/>
  <c r="C168" i="3"/>
  <c r="C169" i="3"/>
  <c r="C170" i="3"/>
  <c r="C171" i="3"/>
  <c r="C172" i="3"/>
  <c r="C173" i="3"/>
  <c r="C174" i="3"/>
  <c r="C175" i="3"/>
  <c r="C176" i="3"/>
  <c r="C177" i="3"/>
  <c r="C178" i="3"/>
  <c r="C179" i="3"/>
  <c r="C180" i="3"/>
  <c r="C181" i="3"/>
  <c r="C182" i="3"/>
  <c r="C183" i="3"/>
  <c r="C184" i="3"/>
  <c r="C185" i="3"/>
  <c r="C186" i="3"/>
  <c r="C187" i="3"/>
  <c r="C188" i="3"/>
  <c r="C189" i="3"/>
  <c r="C190" i="3"/>
  <c r="C191" i="3"/>
  <c r="C192" i="3"/>
  <c r="C193" i="3"/>
  <c r="C194" i="3"/>
  <c r="C195" i="3"/>
  <c r="C196" i="3"/>
  <c r="C197" i="3"/>
  <c r="C198" i="3"/>
  <c r="C199" i="3"/>
  <c r="C200" i="3"/>
  <c r="C201" i="3"/>
  <c r="C202" i="3"/>
  <c r="C203" i="3"/>
  <c r="C204" i="3"/>
  <c r="C205" i="3"/>
  <c r="C206" i="3"/>
  <c r="C207" i="3"/>
  <c r="C208" i="3"/>
  <c r="C209" i="3"/>
  <c r="C210" i="3"/>
  <c r="C211" i="3"/>
  <c r="C212" i="3"/>
  <c r="C213" i="3"/>
  <c r="C214" i="3"/>
  <c r="C215" i="3"/>
  <c r="C216" i="3"/>
  <c r="C217" i="3"/>
  <c r="C218" i="3"/>
  <c r="C219" i="3"/>
  <c r="C220" i="3"/>
  <c r="C221" i="3"/>
  <c r="C222" i="3"/>
  <c r="C223" i="3"/>
  <c r="C224" i="3"/>
  <c r="C225" i="3"/>
  <c r="C226" i="3"/>
  <c r="C227" i="3"/>
  <c r="C228" i="3"/>
  <c r="C229" i="3"/>
  <c r="C230" i="3"/>
  <c r="C231" i="3"/>
  <c r="C232" i="3"/>
  <c r="C233" i="3"/>
  <c r="C234" i="3"/>
  <c r="C235" i="3"/>
  <c r="C236" i="3"/>
  <c r="C237" i="3"/>
  <c r="C238" i="3"/>
  <c r="C239" i="3"/>
  <c r="C240" i="3"/>
  <c r="C241" i="3"/>
  <c r="C242" i="3"/>
  <c r="C243" i="3"/>
  <c r="C244" i="3"/>
  <c r="C245" i="3"/>
  <c r="C246" i="3"/>
  <c r="C247" i="3"/>
  <c r="C248" i="3"/>
  <c r="C249" i="3"/>
  <c r="C250" i="3"/>
  <c r="C251" i="3"/>
  <c r="C252" i="3"/>
  <c r="C253" i="3"/>
  <c r="C254" i="3"/>
  <c r="C255" i="3"/>
  <c r="C256" i="3"/>
  <c r="C257" i="3"/>
  <c r="C258" i="3"/>
  <c r="C259" i="3"/>
  <c r="C260" i="3"/>
  <c r="C261" i="3"/>
  <c r="C262" i="3"/>
  <c r="C263" i="3"/>
  <c r="C264" i="3"/>
  <c r="C265" i="3"/>
  <c r="C266" i="3"/>
  <c r="C267" i="3"/>
  <c r="C268" i="3"/>
  <c r="C269" i="3"/>
  <c r="C270" i="3"/>
  <c r="C271" i="3"/>
  <c r="C272" i="3"/>
  <c r="C273" i="3"/>
  <c r="C274" i="3"/>
  <c r="C275" i="3"/>
  <c r="C276" i="3"/>
  <c r="C277" i="3"/>
  <c r="C278" i="3"/>
  <c r="C279" i="3"/>
  <c r="C280" i="3"/>
  <c r="C281" i="3"/>
  <c r="C282" i="3"/>
  <c r="C283" i="3"/>
  <c r="C284" i="3"/>
  <c r="C285" i="3"/>
  <c r="C286" i="3"/>
  <c r="C287" i="3"/>
  <c r="C288" i="3"/>
  <c r="C289" i="3"/>
  <c r="C290" i="3"/>
  <c r="C291" i="3"/>
  <c r="C292" i="3"/>
  <c r="C293" i="3"/>
  <c r="C294" i="3"/>
  <c r="C295" i="3"/>
  <c r="C296" i="3"/>
  <c r="C297" i="3"/>
  <c r="C298" i="3"/>
  <c r="C299" i="3"/>
  <c r="C300" i="3"/>
  <c r="C301" i="3"/>
  <c r="C302" i="3"/>
  <c r="C303" i="3"/>
  <c r="C304" i="3"/>
  <c r="C305" i="3"/>
  <c r="C306" i="3"/>
  <c r="C307" i="3"/>
  <c r="C308" i="3"/>
  <c r="C309" i="3"/>
  <c r="C310" i="3"/>
  <c r="C311" i="3"/>
  <c r="C312" i="3"/>
  <c r="C313" i="3"/>
  <c r="C314" i="3"/>
  <c r="C315" i="3"/>
  <c r="C316" i="3"/>
  <c r="C317" i="3"/>
  <c r="C318" i="3"/>
  <c r="C319" i="3"/>
  <c r="C320" i="3"/>
  <c r="C321" i="3"/>
  <c r="C322" i="3"/>
  <c r="C323" i="3"/>
  <c r="C324" i="3"/>
  <c r="C325" i="3"/>
  <c r="C326" i="3"/>
  <c r="C327" i="3"/>
  <c r="C328" i="3"/>
  <c r="C329" i="3"/>
  <c r="C330" i="3"/>
  <c r="C331" i="3"/>
  <c r="C332" i="3"/>
  <c r="C333" i="3"/>
  <c r="C334" i="3"/>
  <c r="C335" i="3"/>
  <c r="C336" i="3"/>
  <c r="C337" i="3"/>
  <c r="C338" i="3"/>
  <c r="C339" i="3"/>
  <c r="C340" i="3"/>
  <c r="C341" i="3"/>
  <c r="C342" i="3"/>
  <c r="C343" i="3"/>
  <c r="C344" i="3"/>
  <c r="C345" i="3"/>
  <c r="C346" i="3"/>
  <c r="C347" i="3"/>
  <c r="C348" i="3"/>
  <c r="C349" i="3"/>
  <c r="C350" i="3"/>
  <c r="C351" i="3"/>
  <c r="C352" i="3"/>
  <c r="C353" i="3"/>
  <c r="C354" i="3"/>
  <c r="C355" i="3"/>
  <c r="C356" i="3"/>
  <c r="C357" i="3"/>
  <c r="C358" i="3"/>
  <c r="C359" i="3"/>
  <c r="C360" i="3"/>
  <c r="C361" i="3"/>
  <c r="C362" i="3"/>
  <c r="C363" i="3"/>
  <c r="C364" i="3"/>
  <c r="C365" i="3"/>
  <c r="C366" i="3"/>
  <c r="C367" i="3"/>
  <c r="C368" i="3"/>
  <c r="C369" i="3"/>
  <c r="C370" i="3"/>
  <c r="C371" i="3"/>
  <c r="C372" i="3"/>
  <c r="C373" i="3"/>
  <c r="C374" i="3"/>
  <c r="C375" i="3"/>
  <c r="C376" i="3"/>
  <c r="C377" i="3"/>
  <c r="C378" i="3"/>
  <c r="C379" i="3"/>
  <c r="C380" i="3"/>
  <c r="C381" i="3"/>
  <c r="C382" i="3"/>
  <c r="C383" i="3"/>
  <c r="C384" i="3"/>
  <c r="C385" i="3"/>
  <c r="C386" i="3"/>
  <c r="C387" i="3"/>
  <c r="C388" i="3"/>
  <c r="C389" i="3"/>
  <c r="C390" i="3"/>
  <c r="C391" i="3"/>
  <c r="C392" i="3"/>
  <c r="C393" i="3"/>
  <c r="C394" i="3"/>
  <c r="C395" i="3"/>
  <c r="C396" i="3"/>
  <c r="C397" i="3"/>
  <c r="C398" i="3"/>
  <c r="C399" i="3"/>
  <c r="C400" i="3"/>
  <c r="C401" i="3"/>
  <c r="C402" i="3"/>
  <c r="C403" i="3"/>
  <c r="C404" i="3"/>
  <c r="C405" i="3"/>
  <c r="C406" i="3"/>
  <c r="C407" i="3"/>
  <c r="C408" i="3"/>
  <c r="C409" i="3"/>
  <c r="C410" i="3"/>
  <c r="C411" i="3"/>
  <c r="C412" i="3"/>
  <c r="C413" i="3"/>
  <c r="C414" i="3"/>
  <c r="C415" i="3"/>
  <c r="C416" i="3"/>
  <c r="C417" i="3"/>
  <c r="C418" i="3"/>
  <c r="C419" i="3"/>
  <c r="C420" i="3"/>
  <c r="C421" i="3"/>
  <c r="C422" i="3"/>
  <c r="C423" i="3"/>
  <c r="C424" i="3"/>
  <c r="C425" i="3"/>
  <c r="C426" i="3"/>
  <c r="C427" i="3"/>
  <c r="C428" i="3"/>
  <c r="C429" i="3"/>
  <c r="C430" i="3"/>
  <c r="C431" i="3"/>
  <c r="C432" i="3"/>
  <c r="C433" i="3"/>
  <c r="C434" i="3"/>
  <c r="C435" i="3"/>
  <c r="C436" i="3"/>
  <c r="C437" i="3"/>
  <c r="C438" i="3"/>
  <c r="C439" i="3"/>
  <c r="C440" i="3"/>
  <c r="C441" i="3"/>
  <c r="C442" i="3"/>
  <c r="C443" i="3"/>
  <c r="C444" i="3"/>
  <c r="C445" i="3"/>
  <c r="C446" i="3"/>
  <c r="C447" i="3"/>
  <c r="C448" i="3"/>
  <c r="C449" i="3"/>
  <c r="C450" i="3"/>
  <c r="C451" i="3"/>
  <c r="C452" i="3"/>
  <c r="C453" i="3"/>
  <c r="C454" i="3"/>
  <c r="C455" i="3"/>
  <c r="C456" i="3"/>
  <c r="C457" i="3"/>
  <c r="C458" i="3"/>
  <c r="C459" i="3"/>
  <c r="C460" i="3"/>
  <c r="C461" i="3"/>
  <c r="C462" i="3"/>
  <c r="C463" i="3"/>
  <c r="C464" i="3"/>
  <c r="C465" i="3"/>
  <c r="C466" i="3"/>
  <c r="C467" i="3"/>
  <c r="C468" i="3"/>
  <c r="C469" i="3"/>
  <c r="C470" i="3"/>
  <c r="C471" i="3"/>
  <c r="C472" i="3"/>
  <c r="C473" i="3"/>
  <c r="C474" i="3"/>
  <c r="C475" i="3"/>
  <c r="C476" i="3"/>
  <c r="C477" i="3"/>
  <c r="C478" i="3"/>
  <c r="C479" i="3"/>
  <c r="C480" i="3"/>
  <c r="C481" i="3"/>
  <c r="C482" i="3"/>
  <c r="C483" i="3"/>
  <c r="C484" i="3"/>
  <c r="C485" i="3"/>
  <c r="C486" i="3"/>
  <c r="C487" i="3"/>
  <c r="C488" i="3"/>
  <c r="C489" i="3"/>
  <c r="C490" i="3"/>
  <c r="C491" i="3"/>
  <c r="C492" i="3"/>
  <c r="C493" i="3"/>
  <c r="C494" i="3"/>
  <c r="C495" i="3"/>
  <c r="C496" i="3"/>
  <c r="C497" i="3"/>
  <c r="C498" i="3"/>
  <c r="C499" i="3"/>
  <c r="C500" i="3"/>
  <c r="C501" i="3"/>
  <c r="C502" i="3"/>
  <c r="C503" i="3"/>
  <c r="C504" i="3"/>
  <c r="C505" i="3"/>
  <c r="C506" i="3"/>
  <c r="C507" i="3"/>
  <c r="C508" i="3"/>
  <c r="C509" i="3"/>
  <c r="C510" i="3"/>
  <c r="C511" i="3"/>
  <c r="C512" i="3"/>
  <c r="C513" i="3"/>
  <c r="C514" i="3"/>
  <c r="C515" i="3"/>
  <c r="C516" i="3"/>
  <c r="C517" i="3"/>
  <c r="C518" i="3"/>
  <c r="C519" i="3"/>
  <c r="C520" i="3"/>
  <c r="C521" i="3"/>
  <c r="C522" i="3"/>
  <c r="C523" i="3"/>
  <c r="C524" i="3"/>
  <c r="C525" i="3"/>
  <c r="C526" i="3"/>
  <c r="C527" i="3"/>
  <c r="C528" i="3"/>
  <c r="C529" i="3"/>
  <c r="C530" i="3"/>
  <c r="C531" i="3"/>
  <c r="C532" i="3"/>
  <c r="C533" i="3"/>
  <c r="C534" i="3"/>
  <c r="C535" i="3"/>
  <c r="C536" i="3"/>
  <c r="C537" i="3"/>
  <c r="C538" i="3"/>
  <c r="C539" i="3"/>
  <c r="C540" i="3"/>
  <c r="C541" i="3"/>
  <c r="C542" i="3"/>
  <c r="C543" i="3"/>
  <c r="C544" i="3"/>
  <c r="C545" i="3"/>
  <c r="C546" i="3"/>
  <c r="C547" i="3"/>
  <c r="C548" i="3"/>
  <c r="C549" i="3"/>
  <c r="C550" i="3"/>
  <c r="C551" i="3"/>
  <c r="C552" i="3"/>
  <c r="C553" i="3"/>
  <c r="C554" i="3"/>
  <c r="C555" i="3"/>
  <c r="C556" i="3"/>
  <c r="C557" i="3"/>
  <c r="C558" i="3"/>
  <c r="C559" i="3"/>
  <c r="C560" i="3"/>
  <c r="C561" i="3"/>
  <c r="C562" i="3"/>
  <c r="C563" i="3"/>
  <c r="C564" i="3"/>
  <c r="C565" i="3"/>
  <c r="C566" i="3"/>
  <c r="C567" i="3"/>
  <c r="C568" i="3"/>
  <c r="C569" i="3"/>
  <c r="C570" i="3"/>
  <c r="C571" i="3"/>
  <c r="C572" i="3"/>
  <c r="C573" i="3"/>
  <c r="C574" i="3"/>
  <c r="C575" i="3"/>
  <c r="C576" i="3"/>
  <c r="C577" i="3"/>
  <c r="C578" i="3"/>
  <c r="C579" i="3"/>
  <c r="C580" i="3"/>
  <c r="C581" i="3"/>
  <c r="C582" i="3"/>
  <c r="C583" i="3"/>
  <c r="C584" i="3"/>
  <c r="C585" i="3"/>
  <c r="C586" i="3"/>
  <c r="C587" i="3"/>
  <c r="C588" i="3"/>
  <c r="C589" i="3"/>
  <c r="C590" i="3"/>
  <c r="C591" i="3"/>
  <c r="C592" i="3"/>
  <c r="C593" i="3"/>
  <c r="C594" i="3"/>
  <c r="C595" i="3"/>
  <c r="C596" i="3"/>
  <c r="C597" i="3"/>
  <c r="C598" i="3"/>
  <c r="C599" i="3"/>
  <c r="C600" i="3"/>
  <c r="C601" i="3"/>
  <c r="C602" i="3"/>
  <c r="C603" i="3"/>
  <c r="C604" i="3"/>
  <c r="C605" i="3"/>
  <c r="C606" i="3"/>
  <c r="C607" i="3"/>
  <c r="C608" i="3"/>
  <c r="C609" i="3"/>
  <c r="C610" i="3"/>
  <c r="C611" i="3"/>
  <c r="C612" i="3"/>
  <c r="C613" i="3"/>
  <c r="C614" i="3"/>
  <c r="C615" i="3"/>
  <c r="C616" i="3"/>
  <c r="C617" i="3"/>
  <c r="C618" i="3"/>
  <c r="C619" i="3"/>
  <c r="C620" i="3"/>
  <c r="C621" i="3"/>
  <c r="C622" i="3"/>
  <c r="C623" i="3"/>
  <c r="C624" i="3"/>
  <c r="C625" i="3"/>
  <c r="C626" i="3"/>
  <c r="C627" i="3"/>
  <c r="C628" i="3"/>
  <c r="C629" i="3"/>
  <c r="C630" i="3"/>
  <c r="C631" i="3"/>
  <c r="C632" i="3"/>
  <c r="C633" i="3"/>
  <c r="C634" i="3"/>
  <c r="C635" i="3"/>
  <c r="C636" i="3"/>
  <c r="C637" i="3"/>
  <c r="C638" i="3"/>
  <c r="C639" i="3"/>
  <c r="C640" i="3"/>
  <c r="C641" i="3"/>
  <c r="C642" i="3"/>
  <c r="C643" i="3"/>
  <c r="C644" i="3"/>
  <c r="C645" i="3"/>
  <c r="C646" i="3"/>
  <c r="C647" i="3"/>
  <c r="C648" i="3"/>
  <c r="C649" i="3"/>
  <c r="C650" i="3"/>
  <c r="C651" i="3"/>
  <c r="C652" i="3"/>
  <c r="C653" i="3"/>
  <c r="C654" i="3"/>
  <c r="C655" i="3"/>
  <c r="C656" i="3"/>
  <c r="C657" i="3"/>
  <c r="C658" i="3"/>
  <c r="C659" i="3"/>
  <c r="C660" i="3"/>
  <c r="C661" i="3"/>
  <c r="C662" i="3"/>
  <c r="C663" i="3"/>
  <c r="C664" i="3"/>
  <c r="C665" i="3"/>
  <c r="C666" i="3"/>
  <c r="C667" i="3"/>
  <c r="C668" i="3"/>
  <c r="C669" i="3"/>
  <c r="C670" i="3"/>
  <c r="C671" i="3"/>
  <c r="C672" i="3"/>
  <c r="C673" i="3"/>
  <c r="C674" i="3"/>
  <c r="C675" i="3"/>
  <c r="C676" i="3"/>
  <c r="C677" i="3"/>
  <c r="C678" i="3"/>
  <c r="C679" i="3"/>
  <c r="C680" i="3"/>
  <c r="C681" i="3"/>
  <c r="C682" i="3"/>
  <c r="C683" i="3"/>
  <c r="C684" i="3"/>
  <c r="C685" i="3"/>
  <c r="C686" i="3"/>
  <c r="C687" i="3"/>
  <c r="C688" i="3"/>
  <c r="C689" i="3"/>
  <c r="C690" i="3"/>
  <c r="C691" i="3"/>
  <c r="C692" i="3"/>
  <c r="C693" i="3"/>
  <c r="C694" i="3"/>
  <c r="C695" i="3"/>
  <c r="C696" i="3"/>
  <c r="C697" i="3"/>
  <c r="C698" i="3"/>
  <c r="C699" i="3"/>
  <c r="C700" i="3"/>
  <c r="C701" i="3"/>
  <c r="C702" i="3"/>
  <c r="C703" i="3"/>
  <c r="C704" i="3"/>
  <c r="C705" i="3"/>
  <c r="C706" i="3"/>
  <c r="C707" i="3"/>
  <c r="C708" i="3"/>
  <c r="C709" i="3"/>
  <c r="C710" i="3"/>
  <c r="C711" i="3"/>
  <c r="C712" i="3"/>
  <c r="C713" i="3"/>
  <c r="C714" i="3"/>
  <c r="C715" i="3"/>
  <c r="C716" i="3"/>
  <c r="C717" i="3"/>
  <c r="C718" i="3"/>
  <c r="C719" i="3"/>
  <c r="C720" i="3"/>
  <c r="C721" i="3"/>
  <c r="C722" i="3"/>
  <c r="C723" i="3"/>
  <c r="C724" i="3"/>
  <c r="C725" i="3"/>
  <c r="C726" i="3"/>
  <c r="C727" i="3"/>
  <c r="C728" i="3"/>
  <c r="C729" i="3"/>
  <c r="C730" i="3"/>
  <c r="C731" i="3"/>
  <c r="C732" i="3"/>
  <c r="C733" i="3"/>
  <c r="C734" i="3"/>
  <c r="C735" i="3"/>
  <c r="C736" i="3"/>
  <c r="C737" i="3"/>
  <c r="C738" i="3"/>
  <c r="C739" i="3"/>
  <c r="C740" i="3"/>
  <c r="C741" i="3"/>
  <c r="C742" i="3"/>
  <c r="C743" i="3"/>
  <c r="C744" i="3"/>
  <c r="C745" i="3"/>
  <c r="C746" i="3"/>
  <c r="C747" i="3"/>
  <c r="C748" i="3"/>
  <c r="C749" i="3"/>
  <c r="C750" i="3"/>
  <c r="C751" i="3"/>
  <c r="C752" i="3"/>
  <c r="C753" i="3"/>
  <c r="C754" i="3"/>
  <c r="C755" i="3"/>
  <c r="C756" i="3"/>
  <c r="C757" i="3"/>
  <c r="C758" i="3"/>
  <c r="C759" i="3"/>
  <c r="C760" i="3"/>
  <c r="C761" i="3"/>
  <c r="C762" i="3"/>
  <c r="C763" i="3"/>
  <c r="C764" i="3"/>
  <c r="C765" i="3"/>
  <c r="C766" i="3"/>
  <c r="C767" i="3"/>
  <c r="C768" i="3"/>
  <c r="C769" i="3"/>
  <c r="C770" i="3"/>
  <c r="C771" i="3"/>
  <c r="C772" i="3"/>
  <c r="C773" i="3"/>
  <c r="C774" i="3"/>
  <c r="C775" i="3"/>
  <c r="C776" i="3"/>
  <c r="C777" i="3"/>
  <c r="C778" i="3"/>
  <c r="C779" i="3"/>
  <c r="C780" i="3"/>
  <c r="C781" i="3"/>
  <c r="C782" i="3"/>
  <c r="C783" i="3"/>
  <c r="C784" i="3"/>
  <c r="C785" i="3"/>
  <c r="C786" i="3"/>
  <c r="C787" i="3"/>
  <c r="C788" i="3"/>
  <c r="C789" i="3"/>
  <c r="C790" i="3"/>
  <c r="C791" i="3"/>
  <c r="C792" i="3"/>
  <c r="C793" i="3"/>
  <c r="C794" i="3"/>
  <c r="C795" i="3"/>
  <c r="C796" i="3"/>
  <c r="C797" i="3"/>
  <c r="C798" i="3"/>
  <c r="C799" i="3"/>
  <c r="C800" i="3"/>
  <c r="C801" i="3"/>
  <c r="C802" i="3"/>
  <c r="C803" i="3"/>
  <c r="C804" i="3"/>
  <c r="C805" i="3"/>
  <c r="C806" i="3"/>
  <c r="C807" i="3"/>
  <c r="C808" i="3"/>
  <c r="C809" i="3"/>
  <c r="C810" i="3"/>
  <c r="C811" i="3"/>
  <c r="C812" i="3"/>
  <c r="C813" i="3"/>
  <c r="C814" i="3"/>
  <c r="C815" i="3"/>
  <c r="C816" i="3"/>
  <c r="C817" i="3"/>
  <c r="C818" i="3"/>
  <c r="C819" i="3"/>
  <c r="C820" i="3"/>
  <c r="C821" i="3"/>
  <c r="C822" i="3"/>
  <c r="C823" i="3"/>
  <c r="C824" i="3"/>
  <c r="C825" i="3"/>
  <c r="C826" i="3"/>
  <c r="C827" i="3"/>
  <c r="C828" i="3"/>
  <c r="C829" i="3"/>
  <c r="C830" i="3"/>
  <c r="C831" i="3"/>
  <c r="C832" i="3"/>
  <c r="C833" i="3"/>
  <c r="C834" i="3"/>
  <c r="C835" i="3"/>
  <c r="C836" i="3"/>
  <c r="C837" i="3"/>
  <c r="C838" i="3"/>
  <c r="C839" i="3"/>
  <c r="C840" i="3"/>
  <c r="C841" i="3"/>
  <c r="C842" i="3"/>
  <c r="C843" i="3"/>
  <c r="C844" i="3"/>
  <c r="C845" i="3"/>
  <c r="C846" i="3"/>
  <c r="C847" i="3"/>
  <c r="C848" i="3"/>
  <c r="C849" i="3"/>
  <c r="C850" i="3"/>
  <c r="C851" i="3"/>
  <c r="C852" i="3"/>
  <c r="C853" i="3"/>
  <c r="C854" i="3"/>
  <c r="C855" i="3"/>
  <c r="C856" i="3"/>
  <c r="C857" i="3"/>
  <c r="C858" i="3"/>
  <c r="C859" i="3"/>
  <c r="C860" i="3"/>
  <c r="C861" i="3"/>
  <c r="C862" i="3"/>
  <c r="C863" i="3"/>
  <c r="C864" i="3"/>
  <c r="C865" i="3"/>
  <c r="C866" i="3"/>
  <c r="C867" i="3"/>
  <c r="C868" i="3"/>
  <c r="C869" i="3"/>
  <c r="C870" i="3"/>
  <c r="C871" i="3"/>
  <c r="C872" i="3"/>
  <c r="C873" i="3"/>
  <c r="C874" i="3"/>
  <c r="C875" i="3"/>
  <c r="C876" i="3"/>
  <c r="C877" i="3"/>
  <c r="C878" i="3"/>
  <c r="C879" i="3"/>
  <c r="C880" i="3"/>
  <c r="C881" i="3"/>
  <c r="C882" i="3"/>
  <c r="C883" i="3"/>
  <c r="C884" i="3"/>
  <c r="C885" i="3"/>
  <c r="C886" i="3"/>
  <c r="C887" i="3"/>
  <c r="C888" i="3"/>
  <c r="C889" i="3"/>
  <c r="C890" i="3"/>
  <c r="C891" i="3"/>
  <c r="C892" i="3"/>
  <c r="C893" i="3"/>
  <c r="C894" i="3"/>
  <c r="C895" i="3"/>
  <c r="C896" i="3"/>
  <c r="C897" i="3"/>
  <c r="C898" i="3"/>
  <c r="C899" i="3"/>
  <c r="C900" i="3"/>
  <c r="C901" i="3"/>
  <c r="C902" i="3"/>
  <c r="C903" i="3"/>
  <c r="C904" i="3"/>
  <c r="C905" i="3"/>
  <c r="C906" i="3"/>
  <c r="C907" i="3"/>
  <c r="C908" i="3"/>
  <c r="C909" i="3"/>
  <c r="C910" i="3"/>
  <c r="C911" i="3"/>
  <c r="C912" i="3"/>
  <c r="C913" i="3"/>
  <c r="C914" i="3"/>
  <c r="C915" i="3"/>
  <c r="C916" i="3"/>
  <c r="C917" i="3"/>
  <c r="C918" i="3"/>
  <c r="C919" i="3"/>
  <c r="C920" i="3"/>
  <c r="C921" i="3"/>
  <c r="C922" i="3"/>
  <c r="C923" i="3"/>
  <c r="C924" i="3"/>
  <c r="C925" i="3"/>
  <c r="C926" i="3"/>
  <c r="C927" i="3"/>
  <c r="C928" i="3"/>
  <c r="C929" i="3"/>
  <c r="C930" i="3"/>
  <c r="C931" i="3"/>
  <c r="C932" i="3"/>
  <c r="C933" i="3"/>
  <c r="C934" i="3"/>
  <c r="C935" i="3"/>
  <c r="C936" i="3"/>
  <c r="C937" i="3"/>
  <c r="C938" i="3"/>
  <c r="C939" i="3"/>
  <c r="C940" i="3"/>
  <c r="C941" i="3"/>
  <c r="C942" i="3"/>
  <c r="C943" i="3"/>
  <c r="C944" i="3"/>
  <c r="C945" i="3"/>
  <c r="C946" i="3"/>
  <c r="C947" i="3"/>
  <c r="C948" i="3"/>
  <c r="C949" i="3"/>
  <c r="C950" i="3"/>
  <c r="C951" i="3"/>
  <c r="C952" i="3"/>
  <c r="C953" i="3"/>
  <c r="C954" i="3"/>
  <c r="C955" i="3"/>
  <c r="C956" i="3"/>
  <c r="C957" i="3"/>
  <c r="C958" i="3"/>
  <c r="C959" i="3"/>
  <c r="C960" i="3"/>
  <c r="C961" i="3"/>
  <c r="C962" i="3"/>
  <c r="C963" i="3"/>
  <c r="C964" i="3"/>
  <c r="C965" i="3"/>
  <c r="C966" i="3"/>
  <c r="C967" i="3"/>
  <c r="C968" i="3"/>
  <c r="C969" i="3"/>
  <c r="C970" i="3"/>
  <c r="C971" i="3"/>
  <c r="C972" i="3"/>
  <c r="C973" i="3"/>
  <c r="C974" i="3"/>
  <c r="C975" i="3"/>
  <c r="C976" i="3"/>
  <c r="C977" i="3"/>
  <c r="C978" i="3"/>
  <c r="C979" i="3"/>
  <c r="C980" i="3"/>
  <c r="C981" i="3"/>
  <c r="C982" i="3"/>
  <c r="C983" i="3"/>
  <c r="C984" i="3"/>
  <c r="C985" i="3"/>
  <c r="C986" i="3"/>
  <c r="C987" i="3"/>
  <c r="C988" i="3"/>
  <c r="C989" i="3"/>
  <c r="C990" i="3"/>
  <c r="C991" i="3"/>
  <c r="C992" i="3"/>
  <c r="C993" i="3"/>
  <c r="C994" i="3"/>
  <c r="C995" i="3"/>
  <c r="C996" i="3"/>
  <c r="C997" i="3"/>
  <c r="C998" i="3"/>
  <c r="C999" i="3"/>
  <c r="C1000" i="3"/>
  <c r="C1001" i="3"/>
  <c r="C1002" i="3"/>
  <c r="C1003" i="3"/>
  <c r="C1004" i="3"/>
  <c r="C1005" i="3"/>
  <c r="C1006" i="3"/>
  <c r="C1007" i="3"/>
  <c r="C1008" i="3"/>
  <c r="C1009" i="3"/>
  <c r="C1010" i="3"/>
  <c r="C1011" i="3"/>
  <c r="C1012" i="3"/>
  <c r="C1013" i="3"/>
  <c r="C1014" i="3"/>
  <c r="C1015" i="3"/>
  <c r="C1016" i="3"/>
  <c r="C1017" i="3"/>
  <c r="C1018" i="3"/>
  <c r="C1019" i="3"/>
  <c r="C1020" i="3"/>
  <c r="C1021" i="3"/>
  <c r="C1022" i="3"/>
  <c r="C1023" i="3"/>
  <c r="C1024" i="3"/>
  <c r="C1025" i="3"/>
  <c r="C1026" i="3"/>
  <c r="C1027" i="3"/>
  <c r="C1028" i="3"/>
  <c r="C1029" i="3"/>
  <c r="C1030" i="3"/>
  <c r="C1031" i="3"/>
  <c r="C1032" i="3"/>
  <c r="C1033" i="3"/>
  <c r="C1034" i="3"/>
  <c r="C1035" i="3"/>
  <c r="C1036" i="3"/>
  <c r="C1037" i="3"/>
  <c r="C1038" i="3"/>
  <c r="C1039" i="3"/>
  <c r="C1040" i="3"/>
  <c r="C1041" i="3"/>
  <c r="C1042" i="3"/>
  <c r="C1043" i="3"/>
  <c r="C1044" i="3"/>
  <c r="C1045" i="3"/>
  <c r="C1046" i="3"/>
  <c r="C1047" i="3"/>
  <c r="C1048" i="3"/>
  <c r="C1049" i="3"/>
  <c r="C1050" i="3"/>
  <c r="C1051" i="3"/>
  <c r="C1052" i="3"/>
  <c r="C1053" i="3"/>
  <c r="C1054" i="3"/>
  <c r="C1055" i="3"/>
  <c r="C1056" i="3"/>
  <c r="C1057" i="3"/>
  <c r="C1058" i="3"/>
  <c r="C1059" i="3"/>
  <c r="C1060" i="3"/>
  <c r="C1061" i="3"/>
  <c r="C1062" i="3"/>
  <c r="C1063" i="3"/>
  <c r="C1064" i="3"/>
  <c r="C1065" i="3"/>
  <c r="C1066" i="3"/>
  <c r="C1067" i="3"/>
  <c r="C1068" i="3"/>
  <c r="C1069" i="3"/>
  <c r="C1070" i="3"/>
  <c r="C1071" i="3"/>
  <c r="C1072" i="3"/>
  <c r="C1073" i="3"/>
  <c r="C1074" i="3"/>
  <c r="C1075" i="3"/>
  <c r="C1076" i="3"/>
  <c r="C1077" i="3"/>
  <c r="C1078" i="3"/>
  <c r="C1079" i="3"/>
  <c r="C1080" i="3"/>
  <c r="C1081" i="3"/>
  <c r="C1082" i="3"/>
  <c r="C1083" i="3"/>
  <c r="C1084" i="3"/>
  <c r="C1085" i="3"/>
  <c r="C1086" i="3"/>
  <c r="C1087" i="3"/>
  <c r="C1088" i="3"/>
  <c r="C1089" i="3"/>
  <c r="C1090" i="3"/>
  <c r="C1091" i="3"/>
  <c r="C1092" i="3"/>
  <c r="C1093" i="3"/>
  <c r="C1094" i="3"/>
  <c r="C1095" i="3"/>
  <c r="C1096" i="3"/>
  <c r="C1097" i="3"/>
  <c r="C1098" i="3"/>
  <c r="C1099" i="3"/>
  <c r="C1100" i="3"/>
  <c r="C1101" i="3"/>
  <c r="C1102" i="3"/>
  <c r="C1103" i="3"/>
  <c r="C1104" i="3"/>
  <c r="C1105" i="3"/>
  <c r="C1106" i="3"/>
  <c r="C1107" i="3"/>
  <c r="C1108" i="3"/>
  <c r="C1109" i="3"/>
  <c r="C1110" i="3"/>
  <c r="C1111" i="3"/>
  <c r="C1112" i="3"/>
  <c r="C1113" i="3"/>
  <c r="C1114" i="3"/>
  <c r="C1115" i="3"/>
  <c r="C1116" i="3"/>
  <c r="C1117" i="3"/>
  <c r="C1118" i="3"/>
  <c r="C1119" i="3"/>
  <c r="C1120" i="3"/>
  <c r="C1121" i="3"/>
  <c r="C1122" i="3"/>
  <c r="C1123" i="3"/>
  <c r="C1124" i="3"/>
  <c r="C1125" i="3"/>
  <c r="C1126" i="3"/>
  <c r="C1127" i="3"/>
  <c r="C1128" i="3"/>
  <c r="C1129" i="3"/>
  <c r="C1130" i="3"/>
  <c r="C1131" i="3"/>
  <c r="C1132" i="3"/>
  <c r="C1133" i="3"/>
  <c r="C1134" i="3"/>
  <c r="C1135" i="3"/>
  <c r="C1136" i="3"/>
  <c r="C1137" i="3"/>
  <c r="C1138" i="3"/>
  <c r="C1139" i="3"/>
  <c r="C1140" i="3"/>
  <c r="C1141" i="3"/>
  <c r="C1142" i="3"/>
  <c r="C1143" i="3"/>
  <c r="C1144" i="3"/>
  <c r="C1145" i="3"/>
  <c r="C1146" i="3"/>
  <c r="C1147" i="3"/>
  <c r="C1148" i="3"/>
  <c r="C1149" i="3"/>
  <c r="C1150" i="3"/>
  <c r="C1151" i="3"/>
  <c r="C1152" i="3"/>
  <c r="C1153" i="3"/>
  <c r="C1154" i="3"/>
  <c r="C1155" i="3"/>
  <c r="C1156" i="3"/>
  <c r="C1157" i="3"/>
  <c r="C1158" i="3"/>
  <c r="C1159" i="3"/>
  <c r="C1160" i="3"/>
  <c r="C1161" i="3"/>
  <c r="C1162" i="3"/>
  <c r="C1163" i="3"/>
  <c r="C1164" i="3"/>
  <c r="C1165" i="3"/>
  <c r="C1166" i="3"/>
  <c r="C1167" i="3"/>
  <c r="C1168" i="3"/>
  <c r="C1169" i="3"/>
  <c r="C1170" i="3"/>
  <c r="C1171" i="3"/>
  <c r="C1172" i="3"/>
  <c r="C1173" i="3"/>
  <c r="C1174" i="3"/>
  <c r="C1175" i="3"/>
  <c r="C1176" i="3"/>
  <c r="C1177" i="3"/>
  <c r="C1178" i="3"/>
  <c r="C1179" i="3"/>
  <c r="C1180" i="3"/>
  <c r="C1181" i="3"/>
  <c r="C1182" i="3"/>
  <c r="C1183" i="3"/>
  <c r="C1184" i="3"/>
  <c r="C1185" i="3"/>
  <c r="C1186" i="3"/>
  <c r="C1187" i="3"/>
  <c r="C1188" i="3"/>
  <c r="C1189" i="3"/>
  <c r="C1190" i="3"/>
  <c r="C1191" i="3"/>
  <c r="C1192" i="3"/>
  <c r="C1193" i="3"/>
  <c r="C1194" i="3"/>
  <c r="C1195" i="3"/>
  <c r="C1196" i="3"/>
  <c r="C1197" i="3"/>
  <c r="C1198" i="3"/>
  <c r="C1199" i="3"/>
  <c r="C1200" i="3"/>
  <c r="C1201" i="3"/>
  <c r="C1202" i="3"/>
  <c r="C1203" i="3"/>
  <c r="C1204" i="3"/>
  <c r="C1205" i="3"/>
  <c r="C1206" i="3"/>
  <c r="C1207" i="3"/>
  <c r="C1208" i="3"/>
  <c r="C1209" i="3"/>
  <c r="C1210" i="3"/>
  <c r="C1211" i="3"/>
  <c r="C1212" i="3"/>
  <c r="C1213" i="3"/>
  <c r="C1214" i="3"/>
  <c r="C1215" i="3"/>
  <c r="C1216" i="3"/>
  <c r="C1217" i="3"/>
  <c r="C1218" i="3"/>
  <c r="C1219" i="3"/>
  <c r="C1220" i="3"/>
  <c r="C1221" i="3"/>
  <c r="C1222" i="3"/>
  <c r="C1223" i="3"/>
  <c r="C1224" i="3"/>
  <c r="C1225" i="3"/>
  <c r="C1226" i="3"/>
  <c r="C1227" i="3"/>
  <c r="C1228" i="3"/>
  <c r="C1229" i="3"/>
  <c r="C1230" i="3"/>
  <c r="C1231" i="3"/>
  <c r="C1232" i="3"/>
  <c r="C1233" i="3"/>
  <c r="C1234" i="3"/>
  <c r="C1235" i="3"/>
  <c r="C1236" i="3"/>
  <c r="C1237" i="3"/>
  <c r="C1238" i="3"/>
  <c r="C1239" i="3"/>
  <c r="C1240" i="3"/>
  <c r="C1241" i="3"/>
  <c r="C1242" i="3"/>
  <c r="C1243" i="3"/>
  <c r="C1244" i="3"/>
  <c r="C1245" i="3"/>
  <c r="C1246" i="3"/>
  <c r="C1247" i="3"/>
  <c r="C1248" i="3"/>
  <c r="C1249" i="3"/>
  <c r="C1250" i="3"/>
  <c r="C1251" i="3"/>
  <c r="C1252" i="3"/>
  <c r="C1253" i="3"/>
  <c r="C1254" i="3"/>
  <c r="C1255" i="3"/>
  <c r="C1256" i="3"/>
  <c r="C1257" i="3"/>
  <c r="C1258" i="3"/>
  <c r="C1259" i="3"/>
  <c r="C1260" i="3"/>
  <c r="C1261" i="3"/>
  <c r="C1262" i="3"/>
  <c r="C1263" i="3"/>
  <c r="C1264" i="3"/>
  <c r="C1265" i="3"/>
  <c r="C1266" i="3"/>
  <c r="C1267" i="3"/>
  <c r="C1268" i="3"/>
  <c r="C1269" i="3"/>
  <c r="C1270" i="3"/>
  <c r="C1271" i="3"/>
  <c r="C1272" i="3"/>
  <c r="C1273" i="3"/>
  <c r="C1274" i="3"/>
  <c r="C1275" i="3"/>
  <c r="C1276" i="3"/>
  <c r="C1277" i="3"/>
  <c r="C1278" i="3"/>
  <c r="C1279" i="3"/>
  <c r="C1280" i="3"/>
  <c r="C1281" i="3"/>
  <c r="C1282" i="3"/>
  <c r="C1283" i="3"/>
  <c r="C1284" i="3"/>
  <c r="C1285" i="3"/>
  <c r="C1286" i="3"/>
  <c r="C1287" i="3"/>
  <c r="C1288" i="3"/>
  <c r="C1289" i="3"/>
  <c r="C1290" i="3"/>
  <c r="C1291" i="3"/>
  <c r="C1292" i="3"/>
  <c r="C1293" i="3"/>
  <c r="C1294" i="3"/>
  <c r="C1295" i="3"/>
  <c r="C1296" i="3"/>
  <c r="C1297" i="3"/>
  <c r="C1298" i="3"/>
  <c r="C1299" i="3"/>
  <c r="C1300" i="3"/>
  <c r="C1301" i="3"/>
  <c r="C1302" i="3"/>
  <c r="C1303" i="3"/>
  <c r="C1304" i="3"/>
  <c r="C1305" i="3"/>
  <c r="C1306" i="3"/>
  <c r="C1307" i="3"/>
  <c r="C1308" i="3"/>
  <c r="C1309" i="3"/>
  <c r="C1310" i="3"/>
  <c r="C1311" i="3"/>
  <c r="C1312" i="3"/>
  <c r="C1313" i="3"/>
  <c r="C1314" i="3"/>
  <c r="C1315" i="3"/>
  <c r="C1316" i="3"/>
  <c r="C1317" i="3"/>
  <c r="C1318" i="3"/>
  <c r="C1319" i="3"/>
  <c r="C1320" i="3"/>
  <c r="C1321" i="3"/>
  <c r="C1322" i="3"/>
  <c r="C1323" i="3"/>
  <c r="C1324" i="3"/>
  <c r="C1325" i="3"/>
  <c r="C1326" i="3"/>
  <c r="C1327" i="3"/>
  <c r="C1328" i="3"/>
  <c r="C1329" i="3"/>
  <c r="C1330" i="3"/>
  <c r="C1331" i="3"/>
  <c r="C1332" i="3"/>
  <c r="C1333" i="3"/>
  <c r="C1334" i="3"/>
  <c r="C1335" i="3"/>
  <c r="C1336" i="3"/>
  <c r="C1337" i="3"/>
  <c r="C1338" i="3"/>
  <c r="C1339" i="3"/>
  <c r="C1340" i="3"/>
  <c r="C1341" i="3"/>
  <c r="C1342" i="3"/>
  <c r="C1343" i="3"/>
  <c r="C1344" i="3"/>
  <c r="C1345" i="3"/>
  <c r="C1346" i="3"/>
  <c r="C1347" i="3"/>
  <c r="C1348" i="3"/>
  <c r="C1349" i="3"/>
  <c r="C1350" i="3"/>
  <c r="C1351" i="3"/>
  <c r="C1352" i="3"/>
  <c r="C1353" i="3"/>
  <c r="C1354" i="3"/>
  <c r="C1355" i="3"/>
  <c r="C1356" i="3"/>
  <c r="C1357" i="3"/>
  <c r="C1358" i="3"/>
  <c r="C1359" i="3"/>
  <c r="C1360" i="3"/>
  <c r="C1361" i="3"/>
  <c r="C1362" i="3"/>
  <c r="C1363" i="3"/>
  <c r="C1364" i="3"/>
  <c r="C1365" i="3"/>
  <c r="C1366" i="3"/>
  <c r="C1367" i="3"/>
  <c r="C1368" i="3"/>
  <c r="C1369" i="3"/>
  <c r="C1370" i="3"/>
  <c r="C1371" i="3"/>
  <c r="C1372" i="3"/>
  <c r="C1373" i="3"/>
  <c r="C1374" i="3"/>
  <c r="C1375" i="3"/>
  <c r="C1376" i="3"/>
  <c r="C1377" i="3"/>
  <c r="C1378" i="3"/>
  <c r="C1379" i="3"/>
  <c r="C1380" i="3"/>
  <c r="C1381" i="3"/>
  <c r="C1382" i="3"/>
  <c r="C1383" i="3"/>
  <c r="C1384" i="3"/>
  <c r="C1385" i="3"/>
  <c r="C1386" i="3"/>
  <c r="C1387" i="3"/>
  <c r="C1388" i="3"/>
  <c r="C1389" i="3"/>
  <c r="C1390" i="3"/>
  <c r="C1391" i="3"/>
  <c r="C1392" i="3"/>
  <c r="C1393" i="3"/>
  <c r="C1394" i="3"/>
  <c r="C1395" i="3"/>
  <c r="C1396" i="3"/>
  <c r="C1397" i="3"/>
  <c r="C1398" i="3"/>
  <c r="C1399" i="3"/>
  <c r="C1400" i="3"/>
  <c r="C1401" i="3"/>
  <c r="C1402" i="3"/>
  <c r="C1403" i="3"/>
  <c r="C1404" i="3"/>
  <c r="C1405" i="3"/>
  <c r="C1406" i="3"/>
  <c r="C1407" i="3"/>
  <c r="C1408" i="3"/>
  <c r="C1409" i="3"/>
  <c r="C1410" i="3"/>
  <c r="C1411" i="3"/>
  <c r="C1412" i="3"/>
  <c r="C1413" i="3"/>
  <c r="C1414" i="3"/>
  <c r="C1415" i="3"/>
  <c r="C1416" i="3"/>
  <c r="C1417" i="3"/>
  <c r="C1418" i="3"/>
  <c r="C1419" i="3"/>
  <c r="C1420" i="3"/>
  <c r="C1421" i="3"/>
  <c r="C1422" i="3"/>
  <c r="C1423" i="3"/>
  <c r="C1424" i="3"/>
  <c r="C1425" i="3"/>
  <c r="C1426" i="3"/>
  <c r="C1427" i="3"/>
  <c r="C1428" i="3"/>
  <c r="C1429" i="3"/>
  <c r="C1430" i="3"/>
  <c r="C1431" i="3"/>
  <c r="C1432" i="3"/>
  <c r="C1433" i="3"/>
  <c r="C1434" i="3"/>
  <c r="C1435" i="3"/>
  <c r="C1436" i="3"/>
  <c r="C1437" i="3"/>
  <c r="C1438" i="3"/>
  <c r="C1439" i="3"/>
  <c r="C1440" i="3"/>
  <c r="C1441" i="3"/>
  <c r="C1442" i="3"/>
  <c r="C1443" i="3"/>
  <c r="C1444" i="3"/>
  <c r="C1445" i="3"/>
  <c r="C1446" i="3"/>
  <c r="C1447" i="3"/>
  <c r="C1448" i="3"/>
  <c r="C1449" i="3"/>
  <c r="C1450" i="3"/>
  <c r="C1451" i="3"/>
  <c r="C1452" i="3"/>
  <c r="C1453" i="3"/>
  <c r="C1454" i="3"/>
  <c r="C1455" i="3"/>
  <c r="C1456" i="3"/>
  <c r="C1457" i="3"/>
  <c r="C1458" i="3"/>
  <c r="C1459" i="3"/>
  <c r="C1460" i="3"/>
  <c r="C1461" i="3"/>
  <c r="C1462" i="3"/>
  <c r="C1463" i="3"/>
  <c r="C1464" i="3"/>
  <c r="C1465" i="3"/>
  <c r="C1466" i="3"/>
  <c r="C1467" i="3"/>
  <c r="C1468" i="3"/>
  <c r="C1469" i="3"/>
  <c r="C1470" i="3"/>
  <c r="C1471" i="3"/>
  <c r="C1472" i="3"/>
  <c r="C1473" i="3"/>
  <c r="C1474" i="3"/>
  <c r="C1475" i="3"/>
  <c r="C1476" i="3"/>
  <c r="C1477" i="3"/>
  <c r="C1478" i="3"/>
  <c r="C1479" i="3"/>
  <c r="C1480" i="3"/>
  <c r="C1481" i="3"/>
  <c r="C1482" i="3"/>
  <c r="C1483" i="3"/>
  <c r="C1484" i="3"/>
  <c r="C1485" i="3"/>
  <c r="C1486" i="3"/>
  <c r="C1487" i="3"/>
  <c r="C1488" i="3"/>
  <c r="C1489" i="3"/>
  <c r="C1490" i="3"/>
  <c r="C1491" i="3"/>
  <c r="C1492" i="3"/>
  <c r="C1493" i="3"/>
  <c r="C1494" i="3"/>
  <c r="C1495" i="3"/>
  <c r="C1496" i="3"/>
  <c r="C1497" i="3"/>
  <c r="C1498" i="3"/>
  <c r="C1499" i="3"/>
  <c r="C1500" i="3"/>
  <c r="C1501" i="3"/>
  <c r="C1502" i="3"/>
  <c r="C1503" i="3"/>
  <c r="C1504" i="3"/>
  <c r="C1505" i="3"/>
  <c r="C1506" i="3"/>
  <c r="C1507" i="3"/>
  <c r="C1508" i="3"/>
  <c r="C1509" i="3"/>
  <c r="C1510" i="3"/>
  <c r="C1511" i="3"/>
  <c r="C1512" i="3"/>
  <c r="C1513" i="3"/>
  <c r="C1514" i="3"/>
  <c r="C1515" i="3"/>
  <c r="C1516" i="3"/>
  <c r="C1517" i="3"/>
  <c r="C1518" i="3"/>
  <c r="C1519" i="3"/>
  <c r="C1520" i="3"/>
  <c r="C1521" i="3"/>
  <c r="C1522" i="3"/>
  <c r="C1523" i="3"/>
  <c r="C1524" i="3"/>
  <c r="C1525" i="3"/>
  <c r="C1526" i="3"/>
  <c r="C1527" i="3"/>
  <c r="C1528" i="3"/>
  <c r="C1529" i="3"/>
  <c r="C1530" i="3"/>
  <c r="C1531" i="3"/>
  <c r="C1532" i="3"/>
  <c r="C1533" i="3"/>
  <c r="C1534" i="3"/>
  <c r="C1535" i="3"/>
  <c r="C1536" i="3"/>
  <c r="C1537" i="3"/>
  <c r="C1538" i="3"/>
  <c r="C1539" i="3"/>
  <c r="C1540" i="3"/>
  <c r="C1541" i="3"/>
  <c r="C1542" i="3"/>
  <c r="C1543" i="3"/>
  <c r="C1544" i="3"/>
  <c r="C1545" i="3"/>
  <c r="C1546" i="3"/>
  <c r="C1547" i="3"/>
  <c r="C1548" i="3"/>
  <c r="C1549" i="3"/>
  <c r="C1550" i="3"/>
  <c r="C1551" i="3"/>
  <c r="C1552" i="3"/>
  <c r="C1553" i="3"/>
  <c r="C1554" i="3"/>
  <c r="C1555" i="3"/>
  <c r="C1556" i="3"/>
  <c r="C1557" i="3"/>
  <c r="C1558" i="3"/>
  <c r="C1559" i="3"/>
  <c r="C1560" i="3"/>
  <c r="C1561" i="3"/>
  <c r="C1562" i="3"/>
  <c r="C1563" i="3"/>
  <c r="C1564" i="3"/>
  <c r="C1565" i="3"/>
  <c r="C1566" i="3"/>
  <c r="C1567" i="3"/>
  <c r="C1568" i="3"/>
  <c r="C1569" i="3"/>
  <c r="C1570" i="3"/>
  <c r="C1571" i="3"/>
  <c r="C1572" i="3"/>
  <c r="C1573" i="3"/>
  <c r="C1574" i="3"/>
  <c r="C1575" i="3"/>
  <c r="C1576" i="3"/>
  <c r="C1577" i="3"/>
  <c r="C1578" i="3"/>
  <c r="C1579" i="3"/>
  <c r="C1580" i="3"/>
  <c r="C1581" i="3"/>
  <c r="C1582" i="3"/>
  <c r="C1583" i="3"/>
  <c r="C1584" i="3"/>
  <c r="C1585" i="3"/>
  <c r="C1586" i="3"/>
  <c r="C1587" i="3"/>
  <c r="C1588" i="3"/>
  <c r="C1589" i="3"/>
  <c r="C1590" i="3"/>
  <c r="C1591" i="3"/>
  <c r="C1592" i="3"/>
  <c r="C1593" i="3"/>
  <c r="C1594" i="3"/>
  <c r="C1595" i="3"/>
  <c r="C1596" i="3"/>
  <c r="C1597" i="3"/>
  <c r="C1598" i="3"/>
  <c r="C1599" i="3"/>
  <c r="C1600" i="3"/>
  <c r="C1601" i="3"/>
  <c r="C1602" i="3"/>
  <c r="C1603" i="3"/>
  <c r="C1604" i="3"/>
  <c r="C1605" i="3"/>
  <c r="C1606" i="3"/>
  <c r="C1607" i="3"/>
  <c r="C1608" i="3"/>
  <c r="C1609" i="3"/>
  <c r="C1610" i="3"/>
  <c r="C1611" i="3"/>
  <c r="C1612" i="3"/>
  <c r="C1613" i="3"/>
  <c r="C1614" i="3"/>
  <c r="C1615" i="3"/>
  <c r="C1616" i="3"/>
  <c r="C1617" i="3"/>
  <c r="C1618" i="3"/>
  <c r="C1619" i="3"/>
  <c r="C1620" i="3"/>
  <c r="C1621" i="3"/>
  <c r="C1622" i="3"/>
  <c r="C1623" i="3"/>
  <c r="C1624" i="3"/>
  <c r="C1625" i="3"/>
  <c r="C1626" i="3"/>
  <c r="C1627" i="3"/>
  <c r="C1628" i="3"/>
  <c r="C1629" i="3"/>
  <c r="C1630" i="3"/>
  <c r="C1631" i="3"/>
  <c r="C1632" i="3"/>
  <c r="C1633" i="3"/>
  <c r="C1634" i="3"/>
  <c r="C1635" i="3"/>
  <c r="C1636" i="3"/>
  <c r="C1637" i="3"/>
  <c r="C1638" i="3"/>
  <c r="C1639" i="3"/>
  <c r="C1640" i="3"/>
  <c r="C1641" i="3"/>
  <c r="C1642" i="3"/>
  <c r="C1643" i="3"/>
  <c r="C1644" i="3"/>
  <c r="C1645" i="3"/>
  <c r="C1646" i="3"/>
  <c r="C1647" i="3"/>
  <c r="C1648" i="3"/>
  <c r="C1649" i="3"/>
  <c r="C1650" i="3"/>
  <c r="C1651" i="3"/>
  <c r="C1652" i="3"/>
  <c r="C1653" i="3"/>
  <c r="C1654" i="3"/>
  <c r="C1655" i="3"/>
  <c r="C1656" i="3"/>
  <c r="C1657" i="3"/>
  <c r="C1658" i="3"/>
  <c r="C1659" i="3"/>
  <c r="C1660" i="3"/>
  <c r="C1661" i="3"/>
  <c r="C1662" i="3"/>
  <c r="C1663" i="3"/>
  <c r="C1664" i="3"/>
  <c r="C1665" i="3"/>
  <c r="C1666" i="3"/>
  <c r="C1667" i="3"/>
  <c r="C1668" i="3"/>
  <c r="C1669" i="3"/>
  <c r="C1670" i="3"/>
  <c r="C1671" i="3"/>
  <c r="C1672" i="3"/>
  <c r="C1673" i="3"/>
  <c r="C1674" i="3"/>
  <c r="C1675" i="3"/>
  <c r="C1676" i="3"/>
  <c r="C1677" i="3"/>
  <c r="C1678" i="3"/>
  <c r="C1679" i="3"/>
  <c r="C1680" i="3"/>
  <c r="C1681" i="3"/>
  <c r="C1682" i="3"/>
  <c r="C1683" i="3"/>
  <c r="C1684" i="3"/>
  <c r="C1685" i="3"/>
  <c r="C1686" i="3"/>
  <c r="C1687" i="3"/>
  <c r="C1688" i="3"/>
  <c r="C1689" i="3"/>
  <c r="C1690" i="3"/>
  <c r="C1691" i="3"/>
  <c r="C1692" i="3"/>
  <c r="C1693" i="3"/>
  <c r="C1694" i="3"/>
  <c r="C1695" i="3"/>
  <c r="C1696" i="3"/>
  <c r="C1697" i="3"/>
  <c r="C1698" i="3"/>
  <c r="C1699" i="3"/>
  <c r="C1700" i="3"/>
  <c r="C1701" i="3"/>
  <c r="C1702" i="3"/>
  <c r="C1703" i="3"/>
  <c r="C1704" i="3"/>
  <c r="C1705" i="3"/>
  <c r="C1706" i="3"/>
  <c r="C1707" i="3"/>
  <c r="C1708" i="3"/>
  <c r="C1709" i="3"/>
  <c r="C1710" i="3"/>
  <c r="C1711" i="3"/>
  <c r="C1712" i="3"/>
  <c r="C1713" i="3"/>
  <c r="C1714" i="3"/>
  <c r="C1715" i="3"/>
  <c r="C1716" i="3"/>
  <c r="C1717" i="3"/>
  <c r="C1718" i="3"/>
  <c r="C1719" i="3"/>
  <c r="C1720" i="3"/>
  <c r="C1721" i="3"/>
  <c r="C1722" i="3"/>
  <c r="C1723" i="3"/>
  <c r="C1724" i="3"/>
  <c r="C1725" i="3"/>
  <c r="C1726" i="3"/>
  <c r="C1727" i="3"/>
  <c r="C1728" i="3"/>
  <c r="C1729" i="3"/>
  <c r="C1730" i="3"/>
  <c r="C1731" i="3"/>
  <c r="C1732" i="3"/>
  <c r="C1733" i="3"/>
  <c r="C1734" i="3"/>
  <c r="C1735" i="3"/>
  <c r="C1736" i="3"/>
  <c r="C1737" i="3"/>
  <c r="C1738" i="3"/>
  <c r="C1739" i="3"/>
  <c r="C1740" i="3"/>
  <c r="C1741" i="3"/>
  <c r="C1742" i="3"/>
  <c r="C1743" i="3"/>
  <c r="C1744" i="3"/>
  <c r="C1745" i="3"/>
  <c r="C1746" i="3"/>
  <c r="C1747" i="3"/>
  <c r="C1748" i="3"/>
  <c r="C1749" i="3"/>
  <c r="C1750" i="3"/>
  <c r="C1751" i="3"/>
  <c r="C1752" i="3"/>
  <c r="C1753" i="3"/>
  <c r="C1754" i="3"/>
  <c r="C1755" i="3"/>
  <c r="C1756" i="3"/>
  <c r="C1757" i="3"/>
  <c r="C1758" i="3"/>
  <c r="C1759" i="3"/>
  <c r="C1760" i="3"/>
  <c r="C1761" i="3"/>
  <c r="C1762" i="3"/>
  <c r="C1763" i="3"/>
  <c r="C1764" i="3"/>
  <c r="C1765" i="3"/>
  <c r="C1766" i="3"/>
  <c r="C1767" i="3"/>
  <c r="C1768" i="3"/>
  <c r="C1769" i="3"/>
  <c r="C1770" i="3"/>
  <c r="C1771" i="3"/>
  <c r="C1772" i="3"/>
  <c r="C1773" i="3"/>
  <c r="C1774" i="3"/>
  <c r="C1775" i="3"/>
  <c r="C1776" i="3"/>
  <c r="C1777" i="3"/>
  <c r="C1778" i="3"/>
  <c r="C1779" i="3"/>
  <c r="C1780" i="3"/>
  <c r="C1781" i="3"/>
  <c r="C1782" i="3"/>
  <c r="C1783" i="3"/>
  <c r="C1784" i="3"/>
  <c r="C1785" i="3"/>
  <c r="C1786" i="3"/>
  <c r="C1787" i="3"/>
  <c r="C1788" i="3"/>
  <c r="C1789" i="3"/>
  <c r="C1790" i="3"/>
  <c r="C1791" i="3"/>
  <c r="C1792" i="3"/>
  <c r="C1793" i="3"/>
  <c r="C1794" i="3"/>
  <c r="C1795" i="3"/>
  <c r="C1796" i="3"/>
  <c r="C1797" i="3"/>
  <c r="C1798" i="3"/>
  <c r="C1799" i="3"/>
  <c r="C1800" i="3"/>
  <c r="C1801" i="3"/>
  <c r="C1802" i="3"/>
  <c r="C1803" i="3"/>
  <c r="C1804" i="3"/>
  <c r="C1805" i="3"/>
  <c r="C1806" i="3"/>
  <c r="C1807" i="3"/>
  <c r="C1808" i="3"/>
  <c r="C1809" i="3"/>
  <c r="C1810" i="3"/>
  <c r="C1811" i="3"/>
  <c r="C1812" i="3"/>
  <c r="C1813" i="3"/>
  <c r="C1814" i="3"/>
  <c r="C1815" i="3"/>
  <c r="C1816" i="3"/>
  <c r="C1817" i="3"/>
  <c r="C1818" i="3"/>
  <c r="C1819" i="3"/>
  <c r="C1820" i="3"/>
  <c r="C1821" i="3"/>
  <c r="C1822" i="3"/>
  <c r="C1823" i="3"/>
  <c r="C1824" i="3"/>
  <c r="C1825" i="3"/>
  <c r="C1826" i="3"/>
  <c r="C1827" i="3"/>
  <c r="C1828" i="3"/>
  <c r="C1829" i="3"/>
  <c r="C1830" i="3"/>
  <c r="C1831" i="3"/>
  <c r="C1832" i="3"/>
  <c r="C1833" i="3"/>
  <c r="C1834" i="3"/>
  <c r="C1835" i="3"/>
  <c r="C1836" i="3"/>
  <c r="C1837" i="3"/>
  <c r="C1838" i="3"/>
  <c r="C1839" i="3"/>
  <c r="C1840" i="3"/>
  <c r="C1841" i="3"/>
  <c r="C1842" i="3"/>
  <c r="C1843" i="3"/>
  <c r="C1844" i="3"/>
  <c r="C1845" i="3"/>
  <c r="C1846" i="3"/>
  <c r="C1847" i="3"/>
  <c r="C1848" i="3"/>
  <c r="C1849" i="3"/>
  <c r="C1850" i="3"/>
  <c r="C1851" i="3"/>
  <c r="C1852" i="3"/>
  <c r="C1853" i="3"/>
  <c r="C1854" i="3"/>
  <c r="C1855" i="3"/>
  <c r="C1856" i="3"/>
  <c r="C1857" i="3"/>
  <c r="C1858" i="3"/>
  <c r="C1859" i="3"/>
  <c r="C1860" i="3"/>
  <c r="C1861" i="3"/>
  <c r="C1862" i="3"/>
  <c r="C1863" i="3"/>
  <c r="C1864" i="3"/>
  <c r="C1865" i="3"/>
  <c r="C1866" i="3"/>
  <c r="C1867" i="3"/>
  <c r="C1868" i="3"/>
  <c r="C1869" i="3"/>
  <c r="C1870" i="3"/>
  <c r="C1871" i="3"/>
  <c r="C1872" i="3"/>
  <c r="C1873" i="3"/>
  <c r="C1874" i="3"/>
  <c r="C1875" i="3"/>
  <c r="C1876" i="3"/>
  <c r="C1877" i="3"/>
  <c r="C1878" i="3"/>
  <c r="C1879" i="3"/>
  <c r="C1880" i="3"/>
  <c r="C1881" i="3"/>
  <c r="C1882" i="3"/>
  <c r="C1883" i="3"/>
  <c r="C1884" i="3"/>
  <c r="C1885" i="3"/>
  <c r="C1886" i="3"/>
  <c r="C1887" i="3"/>
  <c r="C1888" i="3"/>
  <c r="C1889" i="3"/>
  <c r="C1890" i="3"/>
  <c r="C1891" i="3"/>
  <c r="C1892" i="3"/>
  <c r="C1893" i="3"/>
  <c r="C1894" i="3"/>
  <c r="C1895" i="3"/>
  <c r="C1896" i="3"/>
  <c r="C1897" i="3"/>
  <c r="C1898" i="3"/>
  <c r="C1899" i="3"/>
  <c r="C1900" i="3"/>
  <c r="C1901" i="3"/>
  <c r="C1902" i="3"/>
  <c r="C1903" i="3"/>
  <c r="C1904" i="3"/>
  <c r="C1905" i="3"/>
  <c r="C1906" i="3"/>
  <c r="C1907" i="3"/>
  <c r="C1908" i="3"/>
  <c r="C1909" i="3"/>
  <c r="C1910" i="3"/>
  <c r="C1911" i="3"/>
  <c r="C1912" i="3"/>
  <c r="C1913" i="3"/>
  <c r="C1914" i="3"/>
  <c r="C1915" i="3"/>
  <c r="C1916" i="3"/>
  <c r="C1917" i="3"/>
  <c r="C1918" i="3"/>
  <c r="C1919" i="3"/>
  <c r="C1920" i="3"/>
  <c r="C1921" i="3"/>
  <c r="C1922" i="3"/>
  <c r="C1923" i="3"/>
  <c r="C1924" i="3"/>
  <c r="C1925" i="3"/>
  <c r="C1926" i="3"/>
  <c r="C1927" i="3"/>
  <c r="C1928" i="3"/>
  <c r="C1929" i="3"/>
  <c r="C1930" i="3"/>
  <c r="C1931" i="3"/>
  <c r="C1932" i="3"/>
  <c r="C1933" i="3"/>
  <c r="C1934" i="3"/>
  <c r="C1935" i="3"/>
  <c r="C1936" i="3"/>
  <c r="C1937" i="3"/>
  <c r="C1938" i="3"/>
  <c r="C1939" i="3"/>
  <c r="C1940" i="3"/>
  <c r="C1941" i="3"/>
  <c r="C1942" i="3"/>
  <c r="C1943" i="3"/>
  <c r="C1944" i="3"/>
  <c r="C1945" i="3"/>
  <c r="C1946" i="3"/>
  <c r="C1947" i="3"/>
  <c r="C1948" i="3"/>
  <c r="C1949" i="3"/>
  <c r="C1950" i="3"/>
  <c r="C1951" i="3"/>
  <c r="C1952" i="3"/>
  <c r="C1953" i="3"/>
  <c r="C1954" i="3"/>
  <c r="C1955" i="3"/>
  <c r="C1956" i="3"/>
  <c r="C1957" i="3"/>
  <c r="C1958" i="3"/>
  <c r="C1959" i="3"/>
  <c r="C1960" i="3"/>
  <c r="C1961" i="3"/>
  <c r="C1962" i="3"/>
  <c r="C1963" i="3"/>
  <c r="C1964" i="3"/>
  <c r="C1965" i="3"/>
  <c r="C1966" i="3"/>
  <c r="C1967" i="3"/>
  <c r="C1968" i="3"/>
  <c r="C1969" i="3"/>
  <c r="C1970" i="3"/>
  <c r="C1971" i="3"/>
  <c r="C1972" i="3"/>
  <c r="C1973" i="3"/>
  <c r="C1974" i="3"/>
  <c r="C1975" i="3"/>
  <c r="C1976" i="3"/>
  <c r="C1977" i="3"/>
  <c r="C1978" i="3"/>
  <c r="C1979" i="3"/>
  <c r="C1980" i="3"/>
  <c r="C1981" i="3"/>
  <c r="C1982" i="3"/>
  <c r="C1983" i="3"/>
  <c r="C1984" i="3"/>
  <c r="C1985" i="3"/>
  <c r="C1986" i="3"/>
  <c r="C1987" i="3"/>
  <c r="C1988" i="3"/>
  <c r="C1989" i="3"/>
  <c r="C1990" i="3"/>
  <c r="C1991" i="3"/>
  <c r="C1992" i="3"/>
  <c r="C1993" i="3"/>
  <c r="C1994" i="3"/>
  <c r="C1995" i="3"/>
  <c r="C1996" i="3"/>
  <c r="C1997" i="3"/>
  <c r="C1998" i="3"/>
  <c r="C1999" i="3"/>
  <c r="C2000" i="3"/>
  <c r="C2001" i="3"/>
  <c r="C2002" i="3"/>
  <c r="C2003" i="3"/>
  <c r="C2004" i="3"/>
  <c r="C2005" i="3"/>
  <c r="C2006" i="3"/>
  <c r="C2007" i="3"/>
  <c r="C2008" i="3"/>
  <c r="C2009" i="3"/>
  <c r="C2010" i="3"/>
  <c r="C2011" i="3"/>
  <c r="C2012" i="3"/>
  <c r="C2013" i="3"/>
  <c r="C2014" i="3"/>
  <c r="C2015" i="3"/>
  <c r="C2016" i="3"/>
  <c r="C2017" i="3"/>
  <c r="C2018" i="3"/>
  <c r="C2019" i="3"/>
  <c r="C2020" i="3"/>
  <c r="C2021" i="3"/>
  <c r="C2022" i="3"/>
  <c r="C2023" i="3"/>
  <c r="C2024" i="3"/>
  <c r="C2025" i="3"/>
  <c r="C2026" i="3"/>
  <c r="C2027" i="3"/>
  <c r="C2028" i="3"/>
  <c r="C2029" i="3"/>
  <c r="C2030" i="3"/>
  <c r="C2031" i="3"/>
  <c r="C3" i="3"/>
</calcChain>
</file>

<file path=xl/sharedStrings.xml><?xml version="1.0" encoding="utf-8"?>
<sst xmlns="http://schemas.openxmlformats.org/spreadsheetml/2006/main" count="2630" uniqueCount="43">
  <si>
    <t>Daily NAV &amp; Benchmark TRI</t>
  </si>
  <si>
    <t>Fund</t>
  </si>
  <si>
    <t>Aditya Birla Sun Life Flexi Cap Fund - Growth - Direct Plan</t>
  </si>
  <si>
    <t>AMC</t>
  </si>
  <si>
    <t>Aditya Birla Sun Life Mutual Fund</t>
  </si>
  <si>
    <t>Category</t>
  </si>
  <si>
    <t>Equity Scheme - Flexi Cap Fund</t>
  </si>
  <si>
    <t>Benchmark</t>
  </si>
  <si>
    <t>NIFTY 500</t>
  </si>
  <si>
    <t>Fund NAV period</t>
  </si>
  <si>
    <t>2016-01-01 to 2026-07-20</t>
  </si>
  <si>
    <t>Daily rows</t>
  </si>
  <si>
    <t>Benchmark TRI exact-date matches</t>
  </si>
  <si>
    <t>How to use this workbook</t>
  </si>
  <si>
    <t>The Daily NAV &amp; TRI sheet contains raw source observations only. Fund NAV is the published daily NAV. Benchmark TRI is the NIFTY 500 Total Return Index value available on the same date; blanks mean NIFTY did not publish a value on that exact fund-NAV date. Add your own Excel analysis in new columns or sheets and share the workbook back for us to reproduce it in the app.</t>
  </si>
  <si>
    <t>Source</t>
  </si>
  <si>
    <t>URL</t>
  </si>
  <si>
    <t>Fund NAV</t>
  </si>
  <si>
    <t>https://www.amfiindia.com/spages/NAVAll.txt</t>
  </si>
  <si>
    <t>Benchmark TRI</t>
  </si>
  <si>
    <t>https://niftyindices.com/reports/historical-data</t>
  </si>
  <si>
    <t>Date</t>
  </si>
  <si>
    <t>NIFTY 500 TRI</t>
  </si>
  <si>
    <t>Benchmark TRI Date</t>
  </si>
  <si>
    <t>Match Status</t>
  </si>
  <si>
    <t>Matched</t>
  </si>
  <si>
    <t>No exact-date TRI</t>
  </si>
  <si>
    <t>Nav change in %</t>
  </si>
  <si>
    <t>Rolling 1</t>
  </si>
  <si>
    <t>Rolling 2</t>
  </si>
  <si>
    <t>Rolling 3</t>
  </si>
  <si>
    <t>Rolling 4</t>
  </si>
  <si>
    <t>Rolling 5</t>
  </si>
  <si>
    <t>Date Match</t>
  </si>
  <si>
    <t>Change in %</t>
  </si>
  <si>
    <t>Consistency</t>
  </si>
  <si>
    <t>Alpha 1</t>
  </si>
  <si>
    <t>Alpha 2</t>
  </si>
  <si>
    <t>Alpha 3</t>
  </si>
  <si>
    <t>Alpha 4</t>
  </si>
  <si>
    <t>Alpha 5</t>
  </si>
  <si>
    <t>Avg</t>
  </si>
  <si>
    <t>Alpha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</si>
</sst>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yyyy\-mm\-dd"/>
    <numFmt numFmtId="165" formatCode="0.0000"/>
  </numFmts>
  <fonts count="7">
    <font>
      <sz val="11"/>
      <name val="Carlito"/>
    </font>
    <font>
      <b/>
      <sz val="18"/>
      <color rgb="FFFFFFFF"/>
      <name val="Carlito"/>
    </font>
    <font>
      <b/>
      <sz val="11"/>
      <color rgb="FF294438"/>
      <name val="Carlito"/>
    </font>
    <font>
      <sz val="11"/>
      <color rgb="FF5D675F"/>
      <name val="Carlito"/>
    </font>
    <font>
      <b/>
      <sz val="11"/>
      <color rgb="FFFFFFFF"/>
      <name val="Carlito"/>
    </font>
    <font>
      <b/>
      <sz val="11"/>
      <color theme="0"/>
      <name val="Carlito"/>
    </font>
    <font>
      <sz val="11"/>
      <color theme="1"/>
      <name val="Carlito"/>
    </font>
  </fonts>
  <fills count="8">
    <fill>
      <patternFill patternType="none"/>
    </fill>
    <fill>
      <patternFill patternType="gray125"/>
    </fill>
    <fill>
      <patternFill patternType="solid">
        <fgColor rgb="FF3D6252"/>
      </patternFill>
    </fill>
    <fill>
      <patternFill patternType="solid">
        <fgColor rgb="FFEEF3EE"/>
      </patternFill>
    </fill>
    <fill>
      <patternFill patternType="solid">
        <fgColor rgb="FFF1F1EA"/>
      </patternFill>
    </fill>
    <fill>
      <patternFill patternType="solid">
        <fgColor theme="4"/>
        <bgColor theme="4"/>
      </patternFill>
    </fill>
    <fill>
      <patternFill patternType="solid">
        <fgColor theme="4" tint="0.79998168889431442"/>
        <bgColor theme="4" tint="0.79998168889431442"/>
      </patternFill>
    </fill>
    <fill>
      <patternFill patternType="solid">
        <fgColor rgb="FFFFFF00"/>
        <bgColor indexed="64"/>
      </patternFill>
    </fill>
  </fills>
  <borders count="10">
    <border>
      <left/>
      <right/>
      <top/>
      <bottom/>
      <diagonal/>
    </border>
    <border>
      <left/>
      <right style="thin">
        <color rgb="FFD9DED8"/>
      </right>
      <top/>
      <bottom style="thin">
        <color rgb="FFD9DED8"/>
      </bottom>
      <diagonal/>
    </border>
    <border>
      <left style="thin">
        <color rgb="FFD9DED8"/>
      </left>
      <right/>
      <top/>
      <bottom style="thin">
        <color rgb="FFD9DED8"/>
      </bottom>
      <diagonal/>
    </border>
    <border>
      <left/>
      <right style="thin">
        <color rgb="FFD9DED8"/>
      </right>
      <top style="thin">
        <color rgb="FFD9DED8"/>
      </top>
      <bottom style="thin">
        <color rgb="FFD9DED8"/>
      </bottom>
      <diagonal/>
    </border>
    <border>
      <left style="thin">
        <color rgb="FFD9DED8"/>
      </left>
      <right/>
      <top style="thin">
        <color rgb="FFD9DED8"/>
      </top>
      <bottom style="thin">
        <color rgb="FFD9DED8"/>
      </bottom>
      <diagonal/>
    </border>
    <border>
      <left/>
      <right style="thin">
        <color rgb="FFD9DED8"/>
      </right>
      <top style="thin">
        <color rgb="FFD9DED8"/>
      </top>
      <bottom/>
      <diagonal/>
    </border>
    <border>
      <left style="thin">
        <color rgb="FFD9DED8"/>
      </left>
      <right/>
      <top style="thin">
        <color rgb="FFD9DED8"/>
      </top>
      <bottom/>
      <diagonal/>
    </border>
    <border>
      <left style="thin">
        <color theme="4" tint="0.39997558519241921"/>
      </left>
      <right/>
      <top style="thin">
        <color theme="4" tint="0.39997558519241921"/>
      </top>
      <bottom style="thin">
        <color theme="4" tint="0.39997558519241921"/>
      </bottom>
      <diagonal/>
    </border>
    <border>
      <left/>
      <right/>
      <top style="thin">
        <color theme="4" tint="0.39997558519241921"/>
      </top>
      <bottom style="thin">
        <color theme="4" tint="0.3999755851924192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34">
    <xf numFmtId="0" fontId="0" fillId="0" borderId="0" xfId="0"/>
    <xf numFmtId="0" fontId="2" fillId="3" borderId="1" xfId="0" applyFont="1" applyFill="1" applyBorder="1"/>
    <xf numFmtId="0" fontId="2" fillId="3" borderId="3" xfId="0" applyFont="1" applyFill="1" applyBorder="1"/>
    <xf numFmtId="0" fontId="0" fillId="0" borderId="4" xfId="0" applyBorder="1"/>
    <xf numFmtId="0" fontId="2" fillId="3" borderId="5" xfId="0" applyFont="1" applyFill="1" applyBorder="1"/>
    <xf numFmtId="0" fontId="0" fillId="0" borderId="6" xfId="0" applyBorder="1"/>
    <xf numFmtId="0" fontId="0" fillId="0" borderId="2" xfId="0" applyBorder="1" applyAlignment="1">
      <alignment horizontal="left"/>
    </xf>
    <xf numFmtId="0" fontId="0" fillId="0" borderId="4" xfId="0" applyBorder="1" applyAlignment="1">
      <alignment horizontal="left"/>
    </xf>
    <xf numFmtId="0" fontId="0" fillId="0" borderId="6" xfId="0" applyBorder="1" applyAlignment="1">
      <alignment horizontal="left"/>
    </xf>
    <xf numFmtId="0" fontId="4" fillId="2" borderId="1" xfId="0" applyFont="1" applyFill="1" applyBorder="1"/>
    <xf numFmtId="0" fontId="4" fillId="2" borderId="2" xfId="0" applyFont="1" applyFill="1" applyBorder="1"/>
    <xf numFmtId="0" fontId="0" fillId="0" borderId="3" xfId="0" applyBorder="1"/>
    <xf numFmtId="0" fontId="0" fillId="0" borderId="5" xfId="0" applyBorder="1"/>
    <xf numFmtId="164" fontId="0" fillId="0" borderId="0" xfId="0" applyNumberFormat="1"/>
    <xf numFmtId="165" fontId="0" fillId="0" borderId="0" xfId="0" applyNumberFormat="1"/>
    <xf numFmtId="165" fontId="0" fillId="0" borderId="0" xfId="0" applyNumberFormat="1" applyAlignment="1">
      <alignment horizontal="right"/>
    </xf>
    <xf numFmtId="164" fontId="0" fillId="0" borderId="0" xfId="0" applyNumberFormat="1" applyAlignment="1">
      <alignment horizontal="right"/>
    </xf>
    <xf numFmtId="0" fontId="0" fillId="0" borderId="0" xfId="0" applyAlignment="1">
      <alignment horizontal="left"/>
    </xf>
    <xf numFmtId="0" fontId="1" fillId="2" borderId="0" xfId="0" applyFont="1" applyFill="1" applyAlignment="1">
      <alignment horizontal="left" vertical="center"/>
    </xf>
    <xf numFmtId="0" fontId="2" fillId="4" borderId="0" xfId="0" applyFont="1" applyFill="1"/>
    <xf numFmtId="0" fontId="3" fillId="0" borderId="0" xfId="0" applyFont="1" applyAlignment="1">
      <alignment vertical="top" wrapText="1"/>
    </xf>
    <xf numFmtId="0" fontId="5" fillId="5" borderId="7" xfId="0" applyFont="1" applyFill="1" applyBorder="1"/>
    <xf numFmtId="0" fontId="5" fillId="5" borderId="8" xfId="0" applyFont="1" applyFill="1" applyBorder="1"/>
    <xf numFmtId="165" fontId="6" fillId="6" borderId="8" xfId="0" applyNumberFormat="1" applyFont="1" applyFill="1" applyBorder="1" applyAlignment="1">
      <alignment horizontal="right"/>
    </xf>
    <xf numFmtId="165" fontId="6" fillId="0" borderId="8" xfId="0" applyNumberFormat="1" applyFont="1" applyBorder="1" applyAlignment="1">
      <alignment horizontal="right"/>
    </xf>
    <xf numFmtId="10" fontId="0" fillId="0" borderId="0" xfId="0" applyNumberFormat="1"/>
    <xf numFmtId="164" fontId="6" fillId="6" borderId="7" xfId="0" applyNumberFormat="1" applyFont="1" applyFill="1" applyBorder="1"/>
    <xf numFmtId="164" fontId="6" fillId="0" borderId="7" xfId="0" applyNumberFormat="1" applyFont="1" applyBorder="1"/>
    <xf numFmtId="164" fontId="6" fillId="6" borderId="8" xfId="0" applyNumberFormat="1" applyFont="1" applyFill="1" applyBorder="1" applyAlignment="1">
      <alignment horizontal="right"/>
    </xf>
    <xf numFmtId="164" fontId="6" fillId="0" borderId="8" xfId="0" applyNumberFormat="1" applyFont="1" applyBorder="1" applyAlignment="1">
      <alignment horizontal="right"/>
    </xf>
    <xf numFmtId="0" fontId="0" fillId="7" borderId="0" xfId="0" applyFill="1"/>
    <xf numFmtId="0" fontId="5" fillId="5" borderId="0" xfId="0" applyFont="1" applyFill="1" applyBorder="1"/>
    <xf numFmtId="0" fontId="0" fillId="0" borderId="9" xfId="0" applyBorder="1"/>
    <xf numFmtId="10" fontId="0" fillId="0" borderId="9" xfId="0" applyNumberFormat="1" applyBorder="1"/>
  </cellXfs>
  <cellStyles count="1">
    <cellStyle name="Normal" xfId="0" builtinId="0"/>
  </cellStyles>
  <dxfs count="1">
    <dxf>
      <numFmt numFmtId="165" formatCode="0.0000"/>
      <alignment horizontal="right" vertical="bottom" textRotation="0" wrapText="0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DailyNavTriTable" displayName="DailyNavTriTable" ref="A1:F2578" totalsRowShown="0">
  <tableColumns count="6">
    <tableColumn id="1" xr3:uid="{00000000-0010-0000-0000-000001000000}" name="Date"/>
    <tableColumn id="2" xr3:uid="{00000000-0010-0000-0000-000002000000}" name="Fund NAV"/>
    <tableColumn id="6" xr3:uid="{88DC5429-69F7-4A85-BE10-53C93A0150BC}" name="Nav change in %" dataDxfId="0"/>
    <tableColumn id="3" xr3:uid="{00000000-0010-0000-0000-000003000000}" name="NIFTY 500 TRI"/>
    <tableColumn id="4" xr3:uid="{00000000-0010-0000-0000-000004000000}" name="Benchmark TRI Date"/>
    <tableColumn id="5" xr3:uid="{00000000-0010-0000-0000-000005000000}" name="Match Status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18"/>
  <sheetViews>
    <sheetView showGridLines="0" tabSelected="1" workbookViewId="0">
      <selection sqref="A1:F1"/>
    </sheetView>
  </sheetViews>
  <sheetFormatPr defaultRowHeight="14.25"/>
  <cols>
    <col min="1" max="1" width="24" customWidth="1"/>
    <col min="2" max="2" width="70" customWidth="1"/>
    <col min="3" max="6" width="14" customWidth="1"/>
  </cols>
  <sheetData>
    <row r="1" spans="1:6" ht="30" customHeight="1">
      <c r="A1" s="18" t="s">
        <v>0</v>
      </c>
      <c r="B1" s="18"/>
      <c r="C1" s="18"/>
      <c r="D1" s="18"/>
      <c r="E1" s="18"/>
      <c r="F1" s="18"/>
    </row>
    <row r="3" spans="1:6" ht="15">
      <c r="A3" s="1" t="s">
        <v>1</v>
      </c>
      <c r="B3" s="6" t="s">
        <v>2</v>
      </c>
    </row>
    <row r="4" spans="1:6" ht="15">
      <c r="A4" s="2" t="s">
        <v>3</v>
      </c>
      <c r="B4" s="7" t="s">
        <v>4</v>
      </c>
    </row>
    <row r="5" spans="1:6" ht="15">
      <c r="A5" s="2" t="s">
        <v>5</v>
      </c>
      <c r="B5" s="7" t="s">
        <v>6</v>
      </c>
    </row>
    <row r="6" spans="1:6" ht="15">
      <c r="A6" s="2" t="s">
        <v>7</v>
      </c>
      <c r="B6" s="7" t="s">
        <v>8</v>
      </c>
    </row>
    <row r="7" spans="1:6" ht="15">
      <c r="A7" s="2" t="s">
        <v>9</v>
      </c>
      <c r="B7" s="7" t="s">
        <v>10</v>
      </c>
    </row>
    <row r="8" spans="1:6" ht="15">
      <c r="A8" s="2" t="s">
        <v>11</v>
      </c>
      <c r="B8" s="7">
        <v>2577</v>
      </c>
    </row>
    <row r="9" spans="1:6" ht="15">
      <c r="A9" s="4" t="s">
        <v>12</v>
      </c>
      <c r="B9" s="8">
        <v>2574</v>
      </c>
    </row>
    <row r="11" spans="1:6" ht="15">
      <c r="A11" s="19" t="s">
        <v>13</v>
      </c>
      <c r="B11" s="19"/>
      <c r="C11" s="19"/>
      <c r="D11" s="19"/>
      <c r="E11" s="19"/>
      <c r="F11" s="19"/>
    </row>
    <row r="12" spans="1:6">
      <c r="A12" s="20" t="s">
        <v>14</v>
      </c>
      <c r="B12" s="20"/>
      <c r="C12" s="20"/>
      <c r="D12" s="20"/>
      <c r="E12" s="20"/>
      <c r="F12" s="20"/>
    </row>
    <row r="13" spans="1:6">
      <c r="A13" s="20"/>
      <c r="B13" s="20"/>
      <c r="C13" s="20"/>
      <c r="D13" s="20"/>
      <c r="E13" s="20"/>
      <c r="F13" s="20"/>
    </row>
    <row r="14" spans="1:6">
      <c r="A14" s="20"/>
      <c r="B14" s="20"/>
      <c r="C14" s="20"/>
      <c r="D14" s="20"/>
      <c r="E14" s="20"/>
      <c r="F14" s="20"/>
    </row>
    <row r="16" spans="1:6" ht="15">
      <c r="A16" s="9" t="s">
        <v>15</v>
      </c>
      <c r="B16" s="10" t="s">
        <v>16</v>
      </c>
    </row>
    <row r="17" spans="1:2">
      <c r="A17" s="11" t="s">
        <v>17</v>
      </c>
      <c r="B17" s="3" t="s">
        <v>18</v>
      </c>
    </row>
    <row r="18" spans="1:2">
      <c r="A18" s="12" t="s">
        <v>19</v>
      </c>
      <c r="B18" s="5" t="s">
        <v>20</v>
      </c>
    </row>
  </sheetData>
  <mergeCells count="3">
    <mergeCell ref="A1:F1"/>
    <mergeCell ref="A11:F11"/>
    <mergeCell ref="A12:F14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F2578"/>
  <sheetViews>
    <sheetView showGridLines="0" topLeftCell="A2505" zoomScaleNormal="100" workbookViewId="0">
      <selection activeCell="B2505" sqref="B2505"/>
    </sheetView>
  </sheetViews>
  <sheetFormatPr defaultRowHeight="14.25"/>
  <cols>
    <col min="1" max="1" width="14" customWidth="1"/>
    <col min="2" max="4" width="18" customWidth="1"/>
    <col min="5" max="5" width="19" customWidth="1"/>
    <col min="6" max="6" width="20" customWidth="1"/>
  </cols>
  <sheetData>
    <row r="1" spans="1:6">
      <c r="A1" t="s">
        <v>21</v>
      </c>
      <c r="B1" t="s">
        <v>17</v>
      </c>
      <c r="C1" t="s">
        <v>27</v>
      </c>
      <c r="D1" t="s">
        <v>22</v>
      </c>
      <c r="E1" t="s">
        <v>23</v>
      </c>
      <c r="F1" t="s">
        <v>24</v>
      </c>
    </row>
    <row r="2" spans="1:6">
      <c r="A2" s="13">
        <v>42370</v>
      </c>
      <c r="B2" s="15">
        <v>489.12</v>
      </c>
      <c r="C2" s="15"/>
      <c r="D2" s="15">
        <v>9643.99</v>
      </c>
      <c r="E2" s="16">
        <v>42370</v>
      </c>
      <c r="F2" s="17" t="s">
        <v>25</v>
      </c>
    </row>
    <row r="3" spans="1:6">
      <c r="A3" s="13">
        <v>42373</v>
      </c>
      <c r="B3" s="15">
        <v>481.4</v>
      </c>
      <c r="C3" s="15"/>
      <c r="D3" s="15">
        <v>9468.58</v>
      </c>
      <c r="E3" s="16">
        <v>42373</v>
      </c>
      <c r="F3" s="17" t="s">
        <v>25</v>
      </c>
    </row>
    <row r="4" spans="1:6">
      <c r="A4" s="13">
        <v>42374</v>
      </c>
      <c r="B4" s="15">
        <v>482.69</v>
      </c>
      <c r="C4" s="15"/>
      <c r="D4" s="15">
        <v>9481.0300000000007</v>
      </c>
      <c r="E4" s="16">
        <v>42374</v>
      </c>
      <c r="F4" s="17" t="s">
        <v>25</v>
      </c>
    </row>
    <row r="5" spans="1:6">
      <c r="A5" s="13">
        <v>42375</v>
      </c>
      <c r="B5" s="15">
        <v>481.35</v>
      </c>
      <c r="C5" s="15"/>
      <c r="D5" s="15">
        <v>9435.52</v>
      </c>
      <c r="E5" s="16">
        <v>42375</v>
      </c>
      <c r="F5" s="17" t="s">
        <v>25</v>
      </c>
    </row>
    <row r="6" spans="1:6">
      <c r="A6" s="13">
        <v>42376</v>
      </c>
      <c r="B6" s="15">
        <v>469.05</v>
      </c>
      <c r="C6" s="15"/>
      <c r="D6" s="15">
        <v>9205.9</v>
      </c>
      <c r="E6" s="16">
        <v>42376</v>
      </c>
      <c r="F6" s="17" t="s">
        <v>25</v>
      </c>
    </row>
    <row r="7" spans="1:6">
      <c r="A7" s="13">
        <v>42377</v>
      </c>
      <c r="B7" s="15">
        <v>473.51</v>
      </c>
      <c r="C7" s="15"/>
      <c r="D7" s="15">
        <v>9268.7199999999993</v>
      </c>
      <c r="E7" s="16">
        <v>42377</v>
      </c>
      <c r="F7" s="17" t="s">
        <v>25</v>
      </c>
    </row>
    <row r="8" spans="1:6">
      <c r="A8" s="13">
        <v>42380</v>
      </c>
      <c r="B8" s="15">
        <v>470.77</v>
      </c>
      <c r="C8" s="15"/>
      <c r="D8" s="15">
        <v>9213.09</v>
      </c>
      <c r="E8" s="16">
        <v>42380</v>
      </c>
      <c r="F8" s="17" t="s">
        <v>25</v>
      </c>
    </row>
    <row r="9" spans="1:6">
      <c r="A9" s="13">
        <v>42381</v>
      </c>
      <c r="B9" s="15">
        <v>466.51</v>
      </c>
      <c r="C9" s="15"/>
      <c r="D9" s="15">
        <v>9146.77</v>
      </c>
      <c r="E9" s="16">
        <v>42381</v>
      </c>
      <c r="F9" s="17" t="s">
        <v>25</v>
      </c>
    </row>
    <row r="10" spans="1:6">
      <c r="A10" s="13">
        <v>42382</v>
      </c>
      <c r="B10" s="15">
        <v>465.99</v>
      </c>
      <c r="C10" s="15"/>
      <c r="D10" s="15">
        <v>9161.7900000000009</v>
      </c>
      <c r="E10" s="16">
        <v>42382</v>
      </c>
      <c r="F10" s="17" t="s">
        <v>25</v>
      </c>
    </row>
    <row r="11" spans="1:6">
      <c r="A11" s="13">
        <v>42383</v>
      </c>
      <c r="B11" s="15">
        <v>462.55</v>
      </c>
      <c r="C11" s="15"/>
      <c r="D11" s="15">
        <v>9107.86</v>
      </c>
      <c r="E11" s="16">
        <v>42383</v>
      </c>
      <c r="F11" s="17" t="s">
        <v>25</v>
      </c>
    </row>
    <row r="12" spans="1:6">
      <c r="A12" s="13">
        <v>42384</v>
      </c>
      <c r="B12" s="15">
        <v>454.66</v>
      </c>
      <c r="C12" s="15"/>
      <c r="D12" s="15">
        <v>8942.51</v>
      </c>
      <c r="E12" s="16">
        <v>42384</v>
      </c>
      <c r="F12" s="17" t="s">
        <v>25</v>
      </c>
    </row>
    <row r="13" spans="1:6">
      <c r="A13" s="13">
        <v>42387</v>
      </c>
      <c r="B13" s="15">
        <v>446.02</v>
      </c>
      <c r="C13" s="15"/>
      <c r="D13" s="15">
        <v>8780.81</v>
      </c>
      <c r="E13" s="16">
        <v>42387</v>
      </c>
      <c r="F13" s="17" t="s">
        <v>25</v>
      </c>
    </row>
    <row r="14" spans="1:6">
      <c r="A14" s="13">
        <v>42388</v>
      </c>
      <c r="B14" s="15">
        <v>450.76</v>
      </c>
      <c r="C14" s="15"/>
      <c r="D14" s="15">
        <v>8889.65</v>
      </c>
      <c r="E14" s="16">
        <v>42388</v>
      </c>
      <c r="F14" s="17" t="s">
        <v>25</v>
      </c>
    </row>
    <row r="15" spans="1:6">
      <c r="A15" s="13">
        <v>42389</v>
      </c>
      <c r="B15" s="15">
        <v>442.88</v>
      </c>
      <c r="C15" s="15"/>
      <c r="D15" s="15">
        <v>8733.39</v>
      </c>
      <c r="E15" s="16">
        <v>42389</v>
      </c>
      <c r="F15" s="17" t="s">
        <v>25</v>
      </c>
    </row>
    <row r="16" spans="1:6">
      <c r="A16" s="13">
        <v>42390</v>
      </c>
      <c r="B16" s="15">
        <v>442.34</v>
      </c>
      <c r="C16" s="15"/>
      <c r="D16" s="15">
        <v>8700.17</v>
      </c>
      <c r="E16" s="16">
        <v>42390</v>
      </c>
      <c r="F16" s="17" t="s">
        <v>25</v>
      </c>
    </row>
    <row r="17" spans="1:6">
      <c r="A17" s="13">
        <v>42391</v>
      </c>
      <c r="B17" s="15">
        <v>452.51</v>
      </c>
      <c r="C17" s="15"/>
      <c r="D17" s="15">
        <v>8878.15</v>
      </c>
      <c r="E17" s="16">
        <v>42391</v>
      </c>
      <c r="F17" s="17" t="s">
        <v>25</v>
      </c>
    </row>
    <row r="18" spans="1:6">
      <c r="A18" s="13">
        <v>42394</v>
      </c>
      <c r="B18" s="15">
        <v>453.79</v>
      </c>
      <c r="C18" s="15"/>
      <c r="D18" s="15">
        <v>8904.06</v>
      </c>
      <c r="E18" s="16">
        <v>42394</v>
      </c>
      <c r="F18" s="17" t="s">
        <v>25</v>
      </c>
    </row>
    <row r="19" spans="1:6">
      <c r="A19" s="13">
        <v>42396</v>
      </c>
      <c r="B19" s="15">
        <v>454.6</v>
      </c>
      <c r="C19" s="15"/>
      <c r="D19" s="15">
        <v>8915.9500000000007</v>
      </c>
      <c r="E19" s="16">
        <v>42396</v>
      </c>
      <c r="F19" s="17" t="s">
        <v>25</v>
      </c>
    </row>
    <row r="20" spans="1:6">
      <c r="A20" s="13">
        <v>42397</v>
      </c>
      <c r="B20" s="15">
        <v>453.63</v>
      </c>
      <c r="C20" s="15"/>
      <c r="D20" s="15">
        <v>8898.25</v>
      </c>
      <c r="E20" s="16">
        <v>42397</v>
      </c>
      <c r="F20" s="17" t="s">
        <v>25</v>
      </c>
    </row>
    <row r="21" spans="1:6">
      <c r="A21" s="13">
        <v>42398</v>
      </c>
      <c r="B21" s="15">
        <v>460.6</v>
      </c>
      <c r="C21" s="15"/>
      <c r="D21" s="15">
        <v>9054.56</v>
      </c>
      <c r="E21" s="16">
        <v>42398</v>
      </c>
      <c r="F21" s="17" t="s">
        <v>25</v>
      </c>
    </row>
    <row r="22" spans="1:6">
      <c r="A22" s="13">
        <v>42401</v>
      </c>
      <c r="B22" s="15">
        <v>461.92</v>
      </c>
      <c r="C22" s="15"/>
      <c r="D22" s="15">
        <v>9058.07</v>
      </c>
      <c r="E22" s="16">
        <v>42401</v>
      </c>
      <c r="F22" s="17" t="s">
        <v>25</v>
      </c>
    </row>
    <row r="23" spans="1:6">
      <c r="A23" s="13">
        <v>42402</v>
      </c>
      <c r="B23" s="15">
        <v>454.73</v>
      </c>
      <c r="C23" s="15"/>
      <c r="D23" s="15">
        <v>8931.0499999999993</v>
      </c>
      <c r="E23" s="16">
        <v>42402</v>
      </c>
      <c r="F23" s="17" t="s">
        <v>25</v>
      </c>
    </row>
    <row r="24" spans="1:6">
      <c r="A24" s="13">
        <v>42403</v>
      </c>
      <c r="B24" s="15">
        <v>449.39</v>
      </c>
      <c r="C24" s="15"/>
      <c r="D24" s="15">
        <v>8808.5400000000009</v>
      </c>
      <c r="E24" s="16">
        <v>42403</v>
      </c>
      <c r="F24" s="17" t="s">
        <v>25</v>
      </c>
    </row>
    <row r="25" spans="1:6">
      <c r="A25" s="13">
        <v>42404</v>
      </c>
      <c r="B25" s="15">
        <v>450.7</v>
      </c>
      <c r="C25" s="15"/>
      <c r="D25" s="15">
        <v>8837.24</v>
      </c>
      <c r="E25" s="16">
        <v>42404</v>
      </c>
      <c r="F25" s="17" t="s">
        <v>25</v>
      </c>
    </row>
    <row r="26" spans="1:6">
      <c r="A26" s="13">
        <v>42405</v>
      </c>
      <c r="B26" s="15">
        <v>459.14</v>
      </c>
      <c r="C26" s="15"/>
      <c r="D26" s="15">
        <v>8958.5499999999993</v>
      </c>
      <c r="E26" s="16">
        <v>42405</v>
      </c>
      <c r="F26" s="17" t="s">
        <v>25</v>
      </c>
    </row>
    <row r="27" spans="1:6">
      <c r="A27" s="13">
        <v>42408</v>
      </c>
      <c r="B27" s="15">
        <v>455.43</v>
      </c>
      <c r="C27" s="15"/>
      <c r="D27" s="15">
        <v>8871.81</v>
      </c>
      <c r="E27" s="16">
        <v>42408</v>
      </c>
      <c r="F27" s="17" t="s">
        <v>25</v>
      </c>
    </row>
    <row r="28" spans="1:6">
      <c r="A28" s="13">
        <v>42409</v>
      </c>
      <c r="B28" s="15">
        <v>447.87</v>
      </c>
      <c r="C28" s="15"/>
      <c r="D28" s="15">
        <v>8751.58</v>
      </c>
      <c r="E28" s="16">
        <v>42409</v>
      </c>
      <c r="F28" s="17" t="s">
        <v>25</v>
      </c>
    </row>
    <row r="29" spans="1:6">
      <c r="A29" s="13">
        <v>42410</v>
      </c>
      <c r="B29" s="15">
        <v>441.67</v>
      </c>
      <c r="C29" s="15"/>
      <c r="D29" s="15">
        <v>8646.6</v>
      </c>
      <c r="E29" s="16">
        <v>42410</v>
      </c>
      <c r="F29" s="17" t="s">
        <v>25</v>
      </c>
    </row>
    <row r="30" spans="1:6">
      <c r="A30" s="13">
        <v>42411</v>
      </c>
      <c r="B30" s="15">
        <v>427.68</v>
      </c>
      <c r="C30" s="15"/>
      <c r="D30" s="15">
        <v>8349.07</v>
      </c>
      <c r="E30" s="16">
        <v>42411</v>
      </c>
      <c r="F30" s="17" t="s">
        <v>25</v>
      </c>
    </row>
    <row r="31" spans="1:6">
      <c r="A31" s="13">
        <v>42412</v>
      </c>
      <c r="B31" s="15">
        <v>427.88</v>
      </c>
      <c r="C31" s="15"/>
      <c r="D31" s="15">
        <v>8335.1200000000008</v>
      </c>
      <c r="E31" s="16">
        <v>42412</v>
      </c>
      <c r="F31" s="17" t="s">
        <v>25</v>
      </c>
    </row>
    <row r="32" spans="1:6">
      <c r="A32" s="13">
        <v>42415</v>
      </c>
      <c r="B32" s="15">
        <v>440.4</v>
      </c>
      <c r="C32" s="15"/>
      <c r="D32" s="15">
        <v>8571.9</v>
      </c>
      <c r="E32" s="16">
        <v>42415</v>
      </c>
      <c r="F32" s="17" t="s">
        <v>25</v>
      </c>
    </row>
    <row r="33" spans="1:6">
      <c r="A33" s="13">
        <v>42416</v>
      </c>
      <c r="B33" s="15">
        <v>431.51</v>
      </c>
      <c r="C33" s="15"/>
      <c r="D33" s="15">
        <v>8415.34</v>
      </c>
      <c r="E33" s="16">
        <v>42416</v>
      </c>
      <c r="F33" s="17" t="s">
        <v>25</v>
      </c>
    </row>
    <row r="34" spans="1:6">
      <c r="A34" s="13">
        <v>42417</v>
      </c>
      <c r="B34" s="15">
        <v>434.91</v>
      </c>
      <c r="C34" s="15"/>
      <c r="D34" s="15">
        <v>8475.06</v>
      </c>
      <c r="E34" s="16">
        <v>42417</v>
      </c>
      <c r="F34" s="17" t="s">
        <v>25</v>
      </c>
    </row>
    <row r="35" spans="1:6">
      <c r="A35" s="13">
        <v>42418</v>
      </c>
      <c r="B35" s="15">
        <v>438.03</v>
      </c>
      <c r="C35" s="15"/>
      <c r="D35" s="15">
        <v>8559.1</v>
      </c>
      <c r="E35" s="16">
        <v>42418</v>
      </c>
      <c r="F35" s="17" t="s">
        <v>25</v>
      </c>
    </row>
    <row r="36" spans="1:6">
      <c r="A36" s="13">
        <v>42419</v>
      </c>
      <c r="B36" s="15">
        <v>437.6</v>
      </c>
      <c r="C36" s="15"/>
      <c r="D36" s="15">
        <v>8575.69</v>
      </c>
      <c r="E36" s="16">
        <v>42419</v>
      </c>
      <c r="F36" s="17" t="s">
        <v>25</v>
      </c>
    </row>
    <row r="37" spans="1:6">
      <c r="A37" s="13">
        <v>42422</v>
      </c>
      <c r="B37" s="15">
        <v>438.99</v>
      </c>
      <c r="C37" s="15"/>
      <c r="D37" s="15">
        <v>8609.89</v>
      </c>
      <c r="E37" s="16">
        <v>42422</v>
      </c>
      <c r="F37" s="17" t="s">
        <v>25</v>
      </c>
    </row>
    <row r="38" spans="1:6">
      <c r="A38" s="13">
        <v>42423</v>
      </c>
      <c r="B38" s="15">
        <v>432.26</v>
      </c>
      <c r="C38" s="15"/>
      <c r="D38" s="15">
        <v>8477.0300000000007</v>
      </c>
      <c r="E38" s="16">
        <v>42423</v>
      </c>
      <c r="F38" s="17" t="s">
        <v>25</v>
      </c>
    </row>
    <row r="39" spans="1:6">
      <c r="A39" s="13">
        <v>42424</v>
      </c>
      <c r="B39" s="15">
        <v>427.24</v>
      </c>
      <c r="C39" s="15"/>
      <c r="D39" s="15">
        <v>8375.3799999999992</v>
      </c>
      <c r="E39" s="16">
        <v>42424</v>
      </c>
      <c r="F39" s="17" t="s">
        <v>25</v>
      </c>
    </row>
    <row r="40" spans="1:6">
      <c r="A40" s="13">
        <v>42425</v>
      </c>
      <c r="B40" s="15">
        <v>422.46</v>
      </c>
      <c r="C40" s="15"/>
      <c r="D40" s="15">
        <v>8313.56</v>
      </c>
      <c r="E40" s="16">
        <v>42425</v>
      </c>
      <c r="F40" s="17" t="s">
        <v>25</v>
      </c>
    </row>
    <row r="41" spans="1:6">
      <c r="A41" s="13">
        <v>42426</v>
      </c>
      <c r="B41" s="15">
        <v>425.05</v>
      </c>
      <c r="C41" s="15"/>
      <c r="D41" s="15">
        <v>8365.56</v>
      </c>
      <c r="E41" s="16">
        <v>42426</v>
      </c>
      <c r="F41" s="17" t="s">
        <v>25</v>
      </c>
    </row>
    <row r="42" spans="1:6">
      <c r="A42" s="13">
        <v>42429</v>
      </c>
      <c r="B42" s="15">
        <v>423.65</v>
      </c>
      <c r="C42" s="15"/>
      <c r="D42" s="15">
        <v>8332.74</v>
      </c>
      <c r="E42" s="16">
        <v>42429</v>
      </c>
      <c r="F42" s="17" t="s">
        <v>25</v>
      </c>
    </row>
    <row r="43" spans="1:6">
      <c r="A43" s="13">
        <v>42430</v>
      </c>
      <c r="B43" s="15">
        <v>438.12</v>
      </c>
      <c r="C43" s="15"/>
      <c r="D43" s="15">
        <v>8604.5</v>
      </c>
      <c r="E43" s="16">
        <v>42430</v>
      </c>
      <c r="F43" s="17" t="s">
        <v>25</v>
      </c>
    </row>
    <row r="44" spans="1:6">
      <c r="A44" s="13">
        <v>42431</v>
      </c>
      <c r="B44" s="15">
        <v>447.58</v>
      </c>
      <c r="C44" s="15"/>
      <c r="D44" s="15">
        <v>8771.84</v>
      </c>
      <c r="E44" s="16">
        <v>42431</v>
      </c>
      <c r="F44" s="17" t="s">
        <v>25</v>
      </c>
    </row>
    <row r="45" spans="1:6">
      <c r="A45" s="13">
        <v>42432</v>
      </c>
      <c r="B45" s="15">
        <v>454.61</v>
      </c>
      <c r="C45" s="15"/>
      <c r="D45" s="15">
        <v>8888.1299999999992</v>
      </c>
      <c r="E45" s="16">
        <v>42432</v>
      </c>
      <c r="F45" s="17" t="s">
        <v>25</v>
      </c>
    </row>
    <row r="46" spans="1:6">
      <c r="A46" s="13">
        <v>42433</v>
      </c>
      <c r="B46" s="15">
        <v>456.35</v>
      </c>
      <c r="C46" s="15"/>
      <c r="D46" s="15">
        <v>8918.06</v>
      </c>
      <c r="E46" s="16">
        <v>42433</v>
      </c>
      <c r="F46" s="17" t="s">
        <v>25</v>
      </c>
    </row>
    <row r="47" spans="1:6">
      <c r="A47" s="13">
        <v>42437</v>
      </c>
      <c r="B47" s="15">
        <v>454.86</v>
      </c>
      <c r="C47" s="15"/>
      <c r="D47" s="15">
        <v>8924.33</v>
      </c>
      <c r="E47" s="16">
        <v>42437</v>
      </c>
      <c r="F47" s="17" t="s">
        <v>25</v>
      </c>
    </row>
    <row r="48" spans="1:6">
      <c r="A48" s="13">
        <v>42438</v>
      </c>
      <c r="B48" s="15">
        <v>459.5</v>
      </c>
      <c r="C48" s="15"/>
      <c r="D48" s="15">
        <v>8969.23</v>
      </c>
      <c r="E48" s="16">
        <v>42438</v>
      </c>
      <c r="F48" s="17" t="s">
        <v>25</v>
      </c>
    </row>
    <row r="49" spans="1:6">
      <c r="A49" s="13">
        <v>42439</v>
      </c>
      <c r="B49" s="15">
        <v>457.83</v>
      </c>
      <c r="C49" s="15"/>
      <c r="D49" s="15">
        <v>8923.32</v>
      </c>
      <c r="E49" s="16">
        <v>42439</v>
      </c>
      <c r="F49" s="17" t="s">
        <v>25</v>
      </c>
    </row>
    <row r="50" spans="1:6">
      <c r="A50" s="13">
        <v>42440</v>
      </c>
      <c r="B50" s="15">
        <v>459.53</v>
      </c>
      <c r="C50" s="15"/>
      <c r="D50" s="15">
        <v>8945.4500000000007</v>
      </c>
      <c r="E50" s="16">
        <v>42440</v>
      </c>
      <c r="F50" s="17" t="s">
        <v>25</v>
      </c>
    </row>
    <row r="51" spans="1:6">
      <c r="A51" s="13">
        <v>42443</v>
      </c>
      <c r="B51" s="15">
        <v>461.62</v>
      </c>
      <c r="C51" s="15"/>
      <c r="D51" s="15">
        <v>8985.75</v>
      </c>
      <c r="E51" s="16">
        <v>42443</v>
      </c>
      <c r="F51" s="17" t="s">
        <v>25</v>
      </c>
    </row>
    <row r="52" spans="1:6">
      <c r="A52" s="13">
        <v>42444</v>
      </c>
      <c r="B52" s="15">
        <v>458.14</v>
      </c>
      <c r="C52" s="15"/>
      <c r="D52" s="15">
        <v>8899.93</v>
      </c>
      <c r="E52" s="16">
        <v>42444</v>
      </c>
      <c r="F52" s="17" t="s">
        <v>25</v>
      </c>
    </row>
    <row r="53" spans="1:6">
      <c r="A53" s="13">
        <v>42445</v>
      </c>
      <c r="B53" s="15">
        <v>458.66</v>
      </c>
      <c r="C53" s="15"/>
      <c r="D53" s="15">
        <v>8924.52</v>
      </c>
      <c r="E53" s="16">
        <v>42445</v>
      </c>
      <c r="F53" s="17" t="s">
        <v>25</v>
      </c>
    </row>
    <row r="54" spans="1:6">
      <c r="A54" s="13">
        <v>42446</v>
      </c>
      <c r="B54" s="15">
        <v>460.49</v>
      </c>
      <c r="C54" s="15"/>
      <c r="D54" s="15">
        <v>8954.2000000000007</v>
      </c>
      <c r="E54" s="16">
        <v>42446</v>
      </c>
      <c r="F54" s="17" t="s">
        <v>25</v>
      </c>
    </row>
    <row r="55" spans="1:6">
      <c r="A55" s="13">
        <v>42447</v>
      </c>
      <c r="B55" s="15">
        <v>465.29</v>
      </c>
      <c r="C55" s="15"/>
      <c r="D55" s="15">
        <v>9050.81</v>
      </c>
      <c r="E55" s="16">
        <v>42447</v>
      </c>
      <c r="F55" s="17" t="s">
        <v>25</v>
      </c>
    </row>
    <row r="56" spans="1:6">
      <c r="A56" s="13">
        <v>42450</v>
      </c>
      <c r="B56" s="15">
        <v>470.95</v>
      </c>
      <c r="C56" s="15"/>
      <c r="D56" s="15">
        <v>9172.2999999999993</v>
      </c>
      <c r="E56" s="16">
        <v>42450</v>
      </c>
      <c r="F56" s="17" t="s">
        <v>25</v>
      </c>
    </row>
    <row r="57" spans="1:6">
      <c r="A57" s="13">
        <v>42451</v>
      </c>
      <c r="B57" s="15">
        <v>471.89</v>
      </c>
      <c r="C57" s="15"/>
      <c r="D57" s="15">
        <v>9190.1</v>
      </c>
      <c r="E57" s="16">
        <v>42451</v>
      </c>
      <c r="F57" s="17" t="s">
        <v>25</v>
      </c>
    </row>
    <row r="58" spans="1:6">
      <c r="A58" s="13">
        <v>42452</v>
      </c>
      <c r="B58" s="15">
        <v>472.97</v>
      </c>
      <c r="C58" s="15"/>
      <c r="D58" s="15">
        <v>9197.92</v>
      </c>
      <c r="E58" s="16">
        <v>42452</v>
      </c>
      <c r="F58" s="17" t="s">
        <v>25</v>
      </c>
    </row>
    <row r="59" spans="1:6">
      <c r="A59" s="13">
        <v>42457</v>
      </c>
      <c r="B59" s="15">
        <v>467.59</v>
      </c>
      <c r="C59" s="15"/>
      <c r="D59" s="15">
        <v>9070.68</v>
      </c>
      <c r="E59" s="16">
        <v>42457</v>
      </c>
      <c r="F59" s="17" t="s">
        <v>25</v>
      </c>
    </row>
    <row r="60" spans="1:6">
      <c r="A60" s="13">
        <v>42458</v>
      </c>
      <c r="B60" s="15">
        <v>467.58</v>
      </c>
      <c r="C60" s="15"/>
      <c r="D60" s="15">
        <v>9053.98</v>
      </c>
      <c r="E60" s="16">
        <v>42458</v>
      </c>
      <c r="F60" s="17" t="s">
        <v>25</v>
      </c>
    </row>
    <row r="61" spans="1:6">
      <c r="A61" s="13">
        <v>42459</v>
      </c>
      <c r="B61" s="15">
        <v>475.03</v>
      </c>
      <c r="C61" s="15"/>
      <c r="D61" s="15">
        <v>9217.7800000000007</v>
      </c>
      <c r="E61" s="16">
        <v>42459</v>
      </c>
      <c r="F61" s="17" t="s">
        <v>25</v>
      </c>
    </row>
    <row r="62" spans="1:6">
      <c r="A62" s="13">
        <v>42460</v>
      </c>
      <c r="B62" s="15">
        <v>476.28</v>
      </c>
      <c r="C62" s="15"/>
      <c r="D62" s="15">
        <v>9239.92</v>
      </c>
      <c r="E62" s="16">
        <v>42460</v>
      </c>
      <c r="F62" s="17" t="s">
        <v>25</v>
      </c>
    </row>
    <row r="63" spans="1:6">
      <c r="A63" s="13">
        <v>42461</v>
      </c>
      <c r="B63" s="15">
        <v>476.17</v>
      </c>
      <c r="C63" s="15"/>
      <c r="D63" s="15">
        <v>9230.34</v>
      </c>
      <c r="E63" s="16">
        <v>42461</v>
      </c>
      <c r="F63" s="17" t="s">
        <v>25</v>
      </c>
    </row>
    <row r="64" spans="1:6">
      <c r="A64" s="13">
        <v>42464</v>
      </c>
      <c r="B64" s="15">
        <v>478.99</v>
      </c>
      <c r="C64" s="15"/>
      <c r="D64" s="15">
        <v>9279.23</v>
      </c>
      <c r="E64" s="16">
        <v>42464</v>
      </c>
      <c r="F64" s="17" t="s">
        <v>25</v>
      </c>
    </row>
    <row r="65" spans="1:6">
      <c r="A65" s="13">
        <v>42465</v>
      </c>
      <c r="B65" s="15">
        <v>471.14</v>
      </c>
      <c r="C65" s="15"/>
      <c r="D65" s="15">
        <v>9105.56</v>
      </c>
      <c r="E65" s="16">
        <v>42465</v>
      </c>
      <c r="F65" s="17" t="s">
        <v>25</v>
      </c>
    </row>
    <row r="66" spans="1:6">
      <c r="A66" s="13">
        <v>42466</v>
      </c>
      <c r="B66" s="15">
        <v>472.6</v>
      </c>
      <c r="C66" s="15"/>
      <c r="D66" s="15">
        <v>9133.81</v>
      </c>
      <c r="E66" s="16">
        <v>42466</v>
      </c>
      <c r="F66" s="17" t="s">
        <v>25</v>
      </c>
    </row>
    <row r="67" spans="1:6">
      <c r="A67" s="13">
        <v>42467</v>
      </c>
      <c r="B67" s="15">
        <v>470.53</v>
      </c>
      <c r="C67" s="15"/>
      <c r="D67" s="15">
        <v>9064.7900000000009</v>
      </c>
      <c r="E67" s="16">
        <v>42467</v>
      </c>
      <c r="F67" s="17" t="s">
        <v>25</v>
      </c>
    </row>
    <row r="68" spans="1:6">
      <c r="A68" s="13">
        <v>42468</v>
      </c>
      <c r="B68" s="15">
        <v>473</v>
      </c>
      <c r="C68" s="15"/>
      <c r="D68" s="15">
        <v>9088.92</v>
      </c>
      <c r="E68" s="16">
        <v>42468</v>
      </c>
      <c r="F68" s="17" t="s">
        <v>25</v>
      </c>
    </row>
    <row r="69" spans="1:6">
      <c r="A69" s="13">
        <v>42471</v>
      </c>
      <c r="B69" s="15">
        <v>477.58</v>
      </c>
      <c r="C69" s="15"/>
      <c r="D69" s="15">
        <v>9209.2099999999991</v>
      </c>
      <c r="E69" s="16">
        <v>42471</v>
      </c>
      <c r="F69" s="17" t="s">
        <v>25</v>
      </c>
    </row>
    <row r="70" spans="1:6">
      <c r="A70" s="13">
        <v>42472</v>
      </c>
      <c r="B70" s="15">
        <v>481.94</v>
      </c>
      <c r="C70" s="15"/>
      <c r="D70" s="15">
        <v>9265.75</v>
      </c>
      <c r="E70" s="16">
        <v>42472</v>
      </c>
      <c r="F70" s="17" t="s">
        <v>25</v>
      </c>
    </row>
    <row r="71" spans="1:6">
      <c r="A71" s="13">
        <v>42473</v>
      </c>
      <c r="B71" s="15">
        <v>489.46</v>
      </c>
      <c r="C71" s="15"/>
      <c r="D71" s="15">
        <v>9416.66</v>
      </c>
      <c r="E71" s="16">
        <v>42473</v>
      </c>
      <c r="F71" s="17" t="s">
        <v>25</v>
      </c>
    </row>
    <row r="72" spans="1:6">
      <c r="A72" s="13">
        <v>42478</v>
      </c>
      <c r="B72" s="15">
        <v>492.06</v>
      </c>
      <c r="C72" s="15"/>
      <c r="D72" s="15">
        <v>9502.1299999999992</v>
      </c>
      <c r="E72" s="16">
        <v>42478</v>
      </c>
      <c r="F72" s="17" t="s">
        <v>25</v>
      </c>
    </row>
    <row r="73" spans="1:6">
      <c r="A73" s="13">
        <v>42480</v>
      </c>
      <c r="B73" s="15">
        <v>492.21</v>
      </c>
      <c r="C73" s="15"/>
      <c r="D73" s="15">
        <v>9513.99</v>
      </c>
      <c r="E73" s="16">
        <v>42480</v>
      </c>
      <c r="F73" s="17" t="s">
        <v>25</v>
      </c>
    </row>
    <row r="74" spans="1:6">
      <c r="A74" s="13">
        <v>42481</v>
      </c>
      <c r="B74" s="15">
        <v>491.9</v>
      </c>
      <c r="C74" s="15"/>
      <c r="D74" s="15">
        <v>9501.07</v>
      </c>
      <c r="E74" s="16">
        <v>42481</v>
      </c>
      <c r="F74" s="17" t="s">
        <v>25</v>
      </c>
    </row>
    <row r="75" spans="1:6">
      <c r="A75" s="13">
        <v>42482</v>
      </c>
      <c r="B75" s="15">
        <v>493.09</v>
      </c>
      <c r="C75" s="15"/>
      <c r="D75" s="15">
        <v>9491.99</v>
      </c>
      <c r="E75" s="16">
        <v>42482</v>
      </c>
      <c r="F75" s="17" t="s">
        <v>25</v>
      </c>
    </row>
    <row r="76" spans="1:6">
      <c r="A76" s="13">
        <v>42485</v>
      </c>
      <c r="B76" s="15">
        <v>491.23</v>
      </c>
      <c r="C76" s="15"/>
      <c r="D76" s="15">
        <v>9442.6</v>
      </c>
      <c r="E76" s="16">
        <v>42485</v>
      </c>
      <c r="F76" s="17" t="s">
        <v>25</v>
      </c>
    </row>
    <row r="77" spans="1:6">
      <c r="A77" s="13">
        <v>42486</v>
      </c>
      <c r="B77" s="15">
        <v>497.34</v>
      </c>
      <c r="C77" s="15"/>
      <c r="D77" s="15">
        <v>9551.5400000000009</v>
      </c>
      <c r="E77" s="16">
        <v>42486</v>
      </c>
      <c r="F77" s="17" t="s">
        <v>25</v>
      </c>
    </row>
    <row r="78" spans="1:6">
      <c r="A78" s="13">
        <v>42487</v>
      </c>
      <c r="B78" s="15">
        <v>497.83</v>
      </c>
      <c r="C78" s="15"/>
      <c r="D78" s="15">
        <v>9572.8799999999992</v>
      </c>
      <c r="E78" s="16">
        <v>42487</v>
      </c>
      <c r="F78" s="17" t="s">
        <v>25</v>
      </c>
    </row>
    <row r="79" spans="1:6">
      <c r="A79" s="13">
        <v>42488</v>
      </c>
      <c r="B79" s="15">
        <v>492.05</v>
      </c>
      <c r="C79" s="15"/>
      <c r="D79" s="15">
        <v>9428.01</v>
      </c>
      <c r="E79" s="16">
        <v>42488</v>
      </c>
      <c r="F79" s="17" t="s">
        <v>25</v>
      </c>
    </row>
    <row r="80" spans="1:6">
      <c r="A80" s="13">
        <v>42489</v>
      </c>
      <c r="B80" s="15">
        <v>493.73</v>
      </c>
      <c r="C80" s="15"/>
      <c r="D80" s="15">
        <v>9435.77</v>
      </c>
      <c r="E80" s="16">
        <v>42489</v>
      </c>
      <c r="F80" s="17" t="s">
        <v>25</v>
      </c>
    </row>
    <row r="81" spans="1:6">
      <c r="A81" s="13">
        <v>42492</v>
      </c>
      <c r="B81" s="15">
        <v>494.2</v>
      </c>
      <c r="C81" s="15"/>
      <c r="D81" s="15">
        <v>9423.7199999999993</v>
      </c>
      <c r="E81" s="16">
        <v>42492</v>
      </c>
      <c r="F81" s="17" t="s">
        <v>25</v>
      </c>
    </row>
    <row r="82" spans="1:6">
      <c r="A82" s="13">
        <v>42493</v>
      </c>
      <c r="B82" s="15">
        <v>490.74</v>
      </c>
      <c r="C82" s="15"/>
      <c r="D82" s="15">
        <v>9356.9699999999993</v>
      </c>
      <c r="E82" s="16">
        <v>42493</v>
      </c>
      <c r="F82" s="17" t="s">
        <v>25</v>
      </c>
    </row>
    <row r="83" spans="1:6">
      <c r="A83" s="13">
        <v>42494</v>
      </c>
      <c r="B83" s="15">
        <v>487.11</v>
      </c>
      <c r="C83" s="15"/>
      <c r="D83" s="15">
        <v>9286.59</v>
      </c>
      <c r="E83" s="16">
        <v>42494</v>
      </c>
      <c r="F83" s="17" t="s">
        <v>25</v>
      </c>
    </row>
    <row r="84" spans="1:6">
      <c r="A84" s="13">
        <v>42495</v>
      </c>
      <c r="B84" s="15">
        <v>488.31</v>
      </c>
      <c r="C84" s="15"/>
      <c r="D84" s="15">
        <v>9309.92</v>
      </c>
      <c r="E84" s="16">
        <v>42495</v>
      </c>
      <c r="F84" s="17" t="s">
        <v>25</v>
      </c>
    </row>
    <row r="85" spans="1:6">
      <c r="A85" s="13">
        <v>42496</v>
      </c>
      <c r="B85" s="15">
        <v>486.98</v>
      </c>
      <c r="C85" s="15"/>
      <c r="D85" s="15">
        <v>9316.3799999999992</v>
      </c>
      <c r="E85" s="16">
        <v>42496</v>
      </c>
      <c r="F85" s="17" t="s">
        <v>25</v>
      </c>
    </row>
    <row r="86" spans="1:6">
      <c r="A86" s="13">
        <v>42499</v>
      </c>
      <c r="B86" s="15">
        <v>493.31</v>
      </c>
      <c r="C86" s="15"/>
      <c r="D86" s="15">
        <v>9457.7199999999993</v>
      </c>
      <c r="E86" s="16">
        <v>42499</v>
      </c>
      <c r="F86" s="17" t="s">
        <v>25</v>
      </c>
    </row>
    <row r="87" spans="1:6">
      <c r="A87" s="13">
        <v>42500</v>
      </c>
      <c r="B87" s="15">
        <v>494.97</v>
      </c>
      <c r="C87" s="15"/>
      <c r="D87" s="15">
        <v>9477.86</v>
      </c>
      <c r="E87" s="16">
        <v>42500</v>
      </c>
      <c r="F87" s="17" t="s">
        <v>25</v>
      </c>
    </row>
    <row r="88" spans="1:6">
      <c r="A88" s="13">
        <v>42501</v>
      </c>
      <c r="B88" s="15">
        <v>494.18</v>
      </c>
      <c r="C88" s="15"/>
      <c r="D88" s="15">
        <v>9443.08</v>
      </c>
      <c r="E88" s="16">
        <v>42501</v>
      </c>
      <c r="F88" s="17" t="s">
        <v>25</v>
      </c>
    </row>
    <row r="89" spans="1:6">
      <c r="A89" s="13">
        <v>42502</v>
      </c>
      <c r="B89" s="15">
        <v>497.35</v>
      </c>
      <c r="C89" s="15"/>
      <c r="D89" s="15">
        <v>9511.69</v>
      </c>
      <c r="E89" s="16">
        <v>42502</v>
      </c>
      <c r="F89" s="17" t="s">
        <v>25</v>
      </c>
    </row>
    <row r="90" spans="1:6">
      <c r="A90" s="13">
        <v>42503</v>
      </c>
      <c r="B90" s="15">
        <v>494.84</v>
      </c>
      <c r="C90" s="15"/>
      <c r="D90" s="15">
        <v>9427.84</v>
      </c>
      <c r="E90" s="16">
        <v>42503</v>
      </c>
      <c r="F90" s="17" t="s">
        <v>25</v>
      </c>
    </row>
    <row r="91" spans="1:6">
      <c r="A91" s="13">
        <v>42506</v>
      </c>
      <c r="B91" s="15">
        <v>497.26</v>
      </c>
      <c r="C91" s="15"/>
      <c r="D91" s="15">
        <v>9465.02</v>
      </c>
      <c r="E91" s="16">
        <v>42506</v>
      </c>
      <c r="F91" s="17" t="s">
        <v>25</v>
      </c>
    </row>
    <row r="92" spans="1:6">
      <c r="A92" s="13">
        <v>42507</v>
      </c>
      <c r="B92" s="15">
        <v>497.84</v>
      </c>
      <c r="C92" s="15"/>
      <c r="D92" s="15">
        <v>9495.73</v>
      </c>
      <c r="E92" s="16">
        <v>42507</v>
      </c>
      <c r="F92" s="17" t="s">
        <v>25</v>
      </c>
    </row>
    <row r="93" spans="1:6">
      <c r="A93" s="13">
        <v>42508</v>
      </c>
      <c r="B93" s="15">
        <v>497.68</v>
      </c>
      <c r="C93" s="15"/>
      <c r="D93" s="15">
        <v>9484.0499999999993</v>
      </c>
      <c r="E93" s="16">
        <v>42508</v>
      </c>
      <c r="F93" s="17" t="s">
        <v>25</v>
      </c>
    </row>
    <row r="94" spans="1:6">
      <c r="A94" s="13">
        <v>42509</v>
      </c>
      <c r="B94" s="15">
        <v>493.74</v>
      </c>
      <c r="C94" s="15"/>
      <c r="D94" s="15">
        <v>9376.5499999999993</v>
      </c>
      <c r="E94" s="16">
        <v>42509</v>
      </c>
      <c r="F94" s="17" t="s">
        <v>25</v>
      </c>
    </row>
    <row r="95" spans="1:6">
      <c r="A95" s="13">
        <v>42510</v>
      </c>
      <c r="B95" s="15">
        <v>491.81</v>
      </c>
      <c r="C95" s="15"/>
      <c r="D95" s="15">
        <v>9328.7099999999991</v>
      </c>
      <c r="E95" s="16">
        <v>42510</v>
      </c>
      <c r="F95" s="17" t="s">
        <v>25</v>
      </c>
    </row>
    <row r="96" spans="1:6">
      <c r="A96" s="13">
        <v>42513</v>
      </c>
      <c r="B96" s="15">
        <v>489.75</v>
      </c>
      <c r="C96" s="15"/>
      <c r="D96" s="15">
        <v>9303.2099999999991</v>
      </c>
      <c r="E96" s="16">
        <v>42513</v>
      </c>
      <c r="F96" s="17" t="s">
        <v>25</v>
      </c>
    </row>
    <row r="97" spans="1:6">
      <c r="A97" s="13">
        <v>42514</v>
      </c>
      <c r="B97" s="15">
        <v>489.49</v>
      </c>
      <c r="C97" s="15"/>
      <c r="D97" s="15">
        <v>9307.99</v>
      </c>
      <c r="E97" s="16">
        <v>42514</v>
      </c>
      <c r="F97" s="17" t="s">
        <v>25</v>
      </c>
    </row>
    <row r="98" spans="1:6">
      <c r="A98" s="13">
        <v>42515</v>
      </c>
      <c r="B98" s="15">
        <v>497.39</v>
      </c>
      <c r="C98" s="15"/>
      <c r="D98" s="15">
        <v>9491.69</v>
      </c>
      <c r="E98" s="16">
        <v>42515</v>
      </c>
      <c r="F98" s="17" t="s">
        <v>25</v>
      </c>
    </row>
    <row r="99" spans="1:6">
      <c r="A99" s="13">
        <v>42516</v>
      </c>
      <c r="B99" s="15">
        <v>501.46</v>
      </c>
      <c r="C99" s="15"/>
      <c r="D99" s="15">
        <v>9632.59</v>
      </c>
      <c r="E99" s="16">
        <v>42516</v>
      </c>
      <c r="F99" s="17" t="s">
        <v>25</v>
      </c>
    </row>
    <row r="100" spans="1:6">
      <c r="A100" s="13">
        <v>42517</v>
      </c>
      <c r="B100" s="15">
        <v>505.56</v>
      </c>
      <c r="C100" s="15"/>
      <c r="D100" s="15">
        <v>9735.44</v>
      </c>
      <c r="E100" s="16">
        <v>42517</v>
      </c>
      <c r="F100" s="17" t="s">
        <v>25</v>
      </c>
    </row>
    <row r="101" spans="1:6">
      <c r="A101" s="13">
        <v>42520</v>
      </c>
      <c r="B101" s="15">
        <v>506.77</v>
      </c>
      <c r="C101" s="15"/>
      <c r="D101" s="15">
        <v>9780.4</v>
      </c>
      <c r="E101" s="16">
        <v>42520</v>
      </c>
      <c r="F101" s="17" t="s">
        <v>25</v>
      </c>
    </row>
    <row r="102" spans="1:6">
      <c r="A102" s="13">
        <v>42521</v>
      </c>
      <c r="B102" s="15">
        <v>507.11</v>
      </c>
      <c r="C102" s="15"/>
      <c r="D102" s="15">
        <v>9757.09</v>
      </c>
      <c r="E102" s="16">
        <v>42521</v>
      </c>
      <c r="F102" s="17" t="s">
        <v>25</v>
      </c>
    </row>
    <row r="103" spans="1:6">
      <c r="A103" s="13">
        <v>42522</v>
      </c>
      <c r="B103" s="15">
        <v>506.59</v>
      </c>
      <c r="C103" s="15"/>
      <c r="D103" s="15">
        <v>9773.4699999999993</v>
      </c>
      <c r="E103" s="16">
        <v>42522</v>
      </c>
      <c r="F103" s="17" t="s">
        <v>25</v>
      </c>
    </row>
    <row r="104" spans="1:6">
      <c r="A104" s="13">
        <v>42523</v>
      </c>
      <c r="B104" s="15">
        <v>509.02</v>
      </c>
      <c r="C104" s="15"/>
      <c r="D104" s="15">
        <v>9822.02</v>
      </c>
      <c r="E104" s="16">
        <v>42523</v>
      </c>
      <c r="F104" s="17" t="s">
        <v>25</v>
      </c>
    </row>
    <row r="105" spans="1:6">
      <c r="A105" s="13">
        <v>42524</v>
      </c>
      <c r="B105" s="15">
        <v>508.9</v>
      </c>
      <c r="C105" s="15"/>
      <c r="D105" s="15">
        <v>9817.43</v>
      </c>
      <c r="E105" s="16">
        <v>42524</v>
      </c>
      <c r="F105" s="17" t="s">
        <v>25</v>
      </c>
    </row>
    <row r="106" spans="1:6">
      <c r="A106" s="13">
        <v>42527</v>
      </c>
      <c r="B106" s="15">
        <v>508.06</v>
      </c>
      <c r="C106" s="15"/>
      <c r="D106" s="15">
        <v>9803.7199999999993</v>
      </c>
      <c r="E106" s="16">
        <v>42527</v>
      </c>
      <c r="F106" s="17" t="s">
        <v>25</v>
      </c>
    </row>
    <row r="107" spans="1:6">
      <c r="A107" s="13">
        <v>42528</v>
      </c>
      <c r="B107" s="15">
        <v>511.56</v>
      </c>
      <c r="C107" s="15"/>
      <c r="D107" s="15">
        <v>9878.1299999999992</v>
      </c>
      <c r="E107" s="16">
        <v>42528</v>
      </c>
      <c r="F107" s="17" t="s">
        <v>25</v>
      </c>
    </row>
    <row r="108" spans="1:6">
      <c r="A108" s="13">
        <v>42529</v>
      </c>
      <c r="B108" s="15">
        <v>512.71</v>
      </c>
      <c r="C108" s="15"/>
      <c r="D108" s="15">
        <v>9903.43</v>
      </c>
      <c r="E108" s="16">
        <v>42529</v>
      </c>
      <c r="F108" s="17" t="s">
        <v>25</v>
      </c>
    </row>
    <row r="109" spans="1:6">
      <c r="A109" s="13">
        <v>42530</v>
      </c>
      <c r="B109" s="15">
        <v>511.41</v>
      </c>
      <c r="C109" s="15"/>
      <c r="D109" s="15">
        <v>9846.98</v>
      </c>
      <c r="E109" s="16">
        <v>42530</v>
      </c>
      <c r="F109" s="17" t="s">
        <v>25</v>
      </c>
    </row>
    <row r="110" spans="1:6">
      <c r="A110" s="13">
        <v>42531</v>
      </c>
      <c r="B110" s="15">
        <v>509.2</v>
      </c>
      <c r="C110" s="15"/>
      <c r="D110" s="15">
        <v>9810.17</v>
      </c>
      <c r="E110" s="16">
        <v>42531</v>
      </c>
      <c r="F110" s="17" t="s">
        <v>25</v>
      </c>
    </row>
    <row r="111" spans="1:6">
      <c r="A111" s="13">
        <v>42534</v>
      </c>
      <c r="B111" s="15">
        <v>506.41</v>
      </c>
      <c r="C111" s="15"/>
      <c r="D111" s="15">
        <v>9742.85</v>
      </c>
      <c r="E111" s="16">
        <v>42534</v>
      </c>
      <c r="F111" s="17" t="s">
        <v>25</v>
      </c>
    </row>
    <row r="112" spans="1:6">
      <c r="A112" s="13">
        <v>42535</v>
      </c>
      <c r="B112" s="15">
        <v>506.71</v>
      </c>
      <c r="C112" s="15"/>
      <c r="D112" s="15">
        <v>9755.44</v>
      </c>
      <c r="E112" s="16">
        <v>42535</v>
      </c>
      <c r="F112" s="17" t="s">
        <v>25</v>
      </c>
    </row>
    <row r="113" spans="1:6">
      <c r="A113" s="13">
        <v>42536</v>
      </c>
      <c r="B113" s="15">
        <v>511</v>
      </c>
      <c r="C113" s="15"/>
      <c r="D113" s="15">
        <v>9857.69</v>
      </c>
      <c r="E113" s="16">
        <v>42536</v>
      </c>
      <c r="F113" s="17" t="s">
        <v>25</v>
      </c>
    </row>
    <row r="114" spans="1:6">
      <c r="A114" s="13">
        <v>42537</v>
      </c>
      <c r="B114" s="15">
        <v>507.11</v>
      </c>
      <c r="C114" s="15"/>
      <c r="D114" s="15">
        <v>9800.32</v>
      </c>
      <c r="E114" s="16">
        <v>42537</v>
      </c>
      <c r="F114" s="17" t="s">
        <v>25</v>
      </c>
    </row>
    <row r="115" spans="1:6">
      <c r="A115" s="13">
        <v>42538</v>
      </c>
      <c r="B115" s="15">
        <v>508.05</v>
      </c>
      <c r="C115" s="15"/>
      <c r="D115" s="15">
        <v>9832.76</v>
      </c>
      <c r="E115" s="16">
        <v>42538</v>
      </c>
      <c r="F115" s="17" t="s">
        <v>25</v>
      </c>
    </row>
    <row r="116" spans="1:6">
      <c r="A116" s="13">
        <v>42541</v>
      </c>
      <c r="B116" s="15">
        <v>511.35</v>
      </c>
      <c r="C116" s="15"/>
      <c r="D116" s="15">
        <v>9903.0499999999993</v>
      </c>
      <c r="E116" s="16">
        <v>42541</v>
      </c>
      <c r="F116" s="17" t="s">
        <v>25</v>
      </c>
    </row>
    <row r="117" spans="1:6">
      <c r="A117" s="13">
        <v>42542</v>
      </c>
      <c r="B117" s="15">
        <v>511.21</v>
      </c>
      <c r="C117" s="15"/>
      <c r="D117" s="15">
        <v>9895.69</v>
      </c>
      <c r="E117" s="16">
        <v>42542</v>
      </c>
      <c r="F117" s="17" t="s">
        <v>25</v>
      </c>
    </row>
    <row r="118" spans="1:6">
      <c r="A118" s="13">
        <v>42543</v>
      </c>
      <c r="B118" s="15">
        <v>510.93</v>
      </c>
      <c r="C118" s="15"/>
      <c r="D118" s="15">
        <v>9875.4599999999991</v>
      </c>
      <c r="E118" s="16">
        <v>42543</v>
      </c>
      <c r="F118" s="17" t="s">
        <v>25</v>
      </c>
    </row>
    <row r="119" spans="1:6">
      <c r="A119" s="13">
        <v>42544</v>
      </c>
      <c r="B119" s="15">
        <v>514.65</v>
      </c>
      <c r="C119" s="15"/>
      <c r="D119" s="15">
        <v>9932.84</v>
      </c>
      <c r="E119" s="16">
        <v>42544</v>
      </c>
      <c r="F119" s="17" t="s">
        <v>25</v>
      </c>
    </row>
    <row r="120" spans="1:6">
      <c r="A120" s="13">
        <v>42545</v>
      </c>
      <c r="B120" s="15">
        <v>504.71</v>
      </c>
      <c r="C120" s="15"/>
      <c r="D120" s="15">
        <v>9738.77</v>
      </c>
      <c r="E120" s="16">
        <v>42545</v>
      </c>
      <c r="F120" s="17" t="s">
        <v>25</v>
      </c>
    </row>
    <row r="121" spans="1:6">
      <c r="A121" s="13">
        <v>42548</v>
      </c>
      <c r="B121" s="15">
        <v>507.19</v>
      </c>
      <c r="C121" s="15"/>
      <c r="D121" s="15">
        <v>9779.32</v>
      </c>
      <c r="E121" s="16">
        <v>42548</v>
      </c>
      <c r="F121" s="17" t="s">
        <v>25</v>
      </c>
    </row>
    <row r="122" spans="1:6">
      <c r="A122" s="13">
        <v>42549</v>
      </c>
      <c r="B122" s="15">
        <v>509.68</v>
      </c>
      <c r="C122" s="15"/>
      <c r="D122" s="15">
        <v>9828.27</v>
      </c>
      <c r="E122" s="16">
        <v>42549</v>
      </c>
      <c r="F122" s="17" t="s">
        <v>25</v>
      </c>
    </row>
    <row r="123" spans="1:6">
      <c r="A123" s="13">
        <v>42550</v>
      </c>
      <c r="B123" s="15">
        <v>515.16999999999996</v>
      </c>
      <c r="C123" s="15"/>
      <c r="D123" s="15">
        <v>9932.52</v>
      </c>
      <c r="E123" s="16">
        <v>42550</v>
      </c>
      <c r="F123" s="17" t="s">
        <v>25</v>
      </c>
    </row>
    <row r="124" spans="1:6">
      <c r="A124" s="13">
        <v>42551</v>
      </c>
      <c r="B124" s="15">
        <v>520.79</v>
      </c>
      <c r="C124" s="15"/>
      <c r="D124" s="15">
        <v>10038.73</v>
      </c>
      <c r="E124" s="16">
        <v>42551</v>
      </c>
      <c r="F124" s="17" t="s">
        <v>25</v>
      </c>
    </row>
    <row r="125" spans="1:6">
      <c r="A125" s="13">
        <v>42552</v>
      </c>
      <c r="B125" s="15">
        <v>526.16999999999996</v>
      </c>
      <c r="C125" s="15"/>
      <c r="D125" s="15">
        <v>10106.39</v>
      </c>
      <c r="E125" s="16">
        <v>42552</v>
      </c>
      <c r="F125" s="17" t="s">
        <v>25</v>
      </c>
    </row>
    <row r="126" spans="1:6">
      <c r="A126" s="13">
        <v>42555</v>
      </c>
      <c r="B126" s="15">
        <v>528.97</v>
      </c>
      <c r="C126" s="15"/>
      <c r="D126" s="15">
        <v>10170.09</v>
      </c>
      <c r="E126" s="16">
        <v>42555</v>
      </c>
      <c r="F126" s="17" t="s">
        <v>25</v>
      </c>
    </row>
    <row r="127" spans="1:6">
      <c r="A127" s="13">
        <v>42556</v>
      </c>
      <c r="B127" s="15">
        <v>528.03</v>
      </c>
      <c r="C127" s="15"/>
      <c r="D127" s="15">
        <v>10140.15</v>
      </c>
      <c r="E127" s="16">
        <v>42556</v>
      </c>
      <c r="F127" s="17" t="s">
        <v>25</v>
      </c>
    </row>
    <row r="128" spans="1:6">
      <c r="A128" s="13">
        <v>42558</v>
      </c>
      <c r="B128" s="15">
        <v>526.5</v>
      </c>
      <c r="C128" s="15"/>
      <c r="D128" s="15">
        <v>10140.75</v>
      </c>
      <c r="E128" s="16">
        <v>42558</v>
      </c>
      <c r="F128" s="17" t="s">
        <v>25</v>
      </c>
    </row>
    <row r="129" spans="1:6">
      <c r="A129" s="13">
        <v>42559</v>
      </c>
      <c r="B129" s="15">
        <v>526.39</v>
      </c>
      <c r="C129" s="15"/>
      <c r="D129" s="15">
        <v>10126</v>
      </c>
      <c r="E129" s="16">
        <v>42559</v>
      </c>
      <c r="F129" s="17" t="s">
        <v>25</v>
      </c>
    </row>
    <row r="130" spans="1:6">
      <c r="A130" s="13">
        <v>42562</v>
      </c>
      <c r="B130" s="15">
        <v>534.26</v>
      </c>
      <c r="C130" s="15"/>
      <c r="D130" s="15">
        <v>10287.57</v>
      </c>
      <c r="E130" s="16">
        <v>42562</v>
      </c>
      <c r="F130" s="17" t="s">
        <v>25</v>
      </c>
    </row>
    <row r="131" spans="1:6">
      <c r="A131" s="13">
        <v>42563</v>
      </c>
      <c r="B131" s="15">
        <v>537.1</v>
      </c>
      <c r="C131" s="15"/>
      <c r="D131" s="15">
        <v>10346.5</v>
      </c>
      <c r="E131" s="16">
        <v>42563</v>
      </c>
      <c r="F131" s="17" t="s">
        <v>25</v>
      </c>
    </row>
    <row r="132" spans="1:6">
      <c r="A132" s="13">
        <v>42564</v>
      </c>
      <c r="B132" s="15">
        <v>535.24</v>
      </c>
      <c r="C132" s="15"/>
      <c r="D132" s="15">
        <v>10324.9</v>
      </c>
      <c r="E132" s="16">
        <v>42564</v>
      </c>
      <c r="F132" s="17" t="s">
        <v>25</v>
      </c>
    </row>
    <row r="133" spans="1:6">
      <c r="A133" s="13">
        <v>42565</v>
      </c>
      <c r="B133" s="15">
        <v>539.23</v>
      </c>
      <c r="C133" s="15"/>
      <c r="D133" s="15">
        <v>10380.92</v>
      </c>
      <c r="E133" s="16">
        <v>42565</v>
      </c>
      <c r="F133" s="17" t="s">
        <v>25</v>
      </c>
    </row>
    <row r="134" spans="1:6">
      <c r="A134" s="13">
        <v>42566</v>
      </c>
      <c r="B134" s="15">
        <v>539.51</v>
      </c>
      <c r="C134" s="15"/>
      <c r="D134" s="15">
        <v>10356.16</v>
      </c>
      <c r="E134" s="16">
        <v>42566</v>
      </c>
      <c r="F134" s="17" t="s">
        <v>25</v>
      </c>
    </row>
    <row r="135" spans="1:6">
      <c r="A135" s="13">
        <v>42569</v>
      </c>
      <c r="B135" s="15">
        <v>538.1</v>
      </c>
      <c r="C135" s="15"/>
      <c r="D135" s="15">
        <v>10310.870000000001</v>
      </c>
      <c r="E135" s="16">
        <v>42569</v>
      </c>
      <c r="F135" s="17" t="s">
        <v>25</v>
      </c>
    </row>
    <row r="136" spans="1:6">
      <c r="A136" s="13">
        <v>42570</v>
      </c>
      <c r="B136" s="15">
        <v>538.71</v>
      </c>
      <c r="C136" s="15"/>
      <c r="D136" s="15">
        <v>10334.209999999999</v>
      </c>
      <c r="E136" s="16">
        <v>42570</v>
      </c>
      <c r="F136" s="17" t="s">
        <v>25</v>
      </c>
    </row>
    <row r="137" spans="1:6">
      <c r="A137" s="13">
        <v>42571</v>
      </c>
      <c r="B137" s="15">
        <v>543.52</v>
      </c>
      <c r="C137" s="15"/>
      <c r="D137" s="15">
        <v>10396.66</v>
      </c>
      <c r="E137" s="16">
        <v>42571</v>
      </c>
      <c r="F137" s="17" t="s">
        <v>25</v>
      </c>
    </row>
    <row r="138" spans="1:6">
      <c r="A138" s="13">
        <v>42572</v>
      </c>
      <c r="B138" s="15">
        <v>542.20000000000005</v>
      </c>
      <c r="C138" s="15"/>
      <c r="D138" s="15">
        <v>10348.6</v>
      </c>
      <c r="E138" s="16">
        <v>42572</v>
      </c>
      <c r="F138" s="17" t="s">
        <v>25</v>
      </c>
    </row>
    <row r="139" spans="1:6">
      <c r="A139" s="13">
        <v>42573</v>
      </c>
      <c r="B139" s="15">
        <v>547.5</v>
      </c>
      <c r="C139" s="15"/>
      <c r="D139" s="15">
        <v>10407.44</v>
      </c>
      <c r="E139" s="16">
        <v>42573</v>
      </c>
      <c r="F139" s="17" t="s">
        <v>25</v>
      </c>
    </row>
    <row r="140" spans="1:6">
      <c r="A140" s="13">
        <v>42576</v>
      </c>
      <c r="B140" s="15">
        <v>553.42999999999995</v>
      </c>
      <c r="C140" s="15"/>
      <c r="D140" s="15">
        <v>10521.16</v>
      </c>
      <c r="E140" s="16">
        <v>42576</v>
      </c>
      <c r="F140" s="17" t="s">
        <v>25</v>
      </c>
    </row>
    <row r="141" spans="1:6">
      <c r="A141" s="13">
        <v>42577</v>
      </c>
      <c r="B141" s="15">
        <v>552.11</v>
      </c>
      <c r="C141" s="15"/>
      <c r="D141" s="15">
        <v>10470.31</v>
      </c>
      <c r="E141" s="16">
        <v>42577</v>
      </c>
      <c r="F141" s="17" t="s">
        <v>25</v>
      </c>
    </row>
    <row r="142" spans="1:6">
      <c r="A142" s="13">
        <v>42578</v>
      </c>
      <c r="B142" s="15">
        <v>553.07000000000005</v>
      </c>
      <c r="C142" s="15"/>
      <c r="D142" s="15">
        <v>10510.64</v>
      </c>
      <c r="E142" s="16">
        <v>42578</v>
      </c>
      <c r="F142" s="17" t="s">
        <v>25</v>
      </c>
    </row>
    <row r="143" spans="1:6">
      <c r="A143" s="13">
        <v>42579</v>
      </c>
      <c r="B143" s="15">
        <v>557.95000000000005</v>
      </c>
      <c r="C143" s="15"/>
      <c r="D143" s="15">
        <v>10573.42</v>
      </c>
      <c r="E143" s="16">
        <v>42579</v>
      </c>
      <c r="F143" s="17" t="s">
        <v>25</v>
      </c>
    </row>
    <row r="144" spans="1:6">
      <c r="A144" s="13">
        <v>42580</v>
      </c>
      <c r="B144" s="15">
        <v>558.91999999999996</v>
      </c>
      <c r="C144" s="15"/>
      <c r="D144" s="15">
        <v>10561.53</v>
      </c>
      <c r="E144" s="16">
        <v>42580</v>
      </c>
      <c r="F144" s="17" t="s">
        <v>25</v>
      </c>
    </row>
    <row r="145" spans="1:6">
      <c r="A145" s="13">
        <v>42583</v>
      </c>
      <c r="B145" s="15">
        <v>562.21</v>
      </c>
      <c r="C145" s="15"/>
      <c r="D145" s="15">
        <v>10568.95</v>
      </c>
      <c r="E145" s="16">
        <v>42583</v>
      </c>
      <c r="F145" s="17" t="s">
        <v>25</v>
      </c>
    </row>
    <row r="146" spans="1:6">
      <c r="A146" s="13">
        <v>42584</v>
      </c>
      <c r="B146" s="15">
        <v>561.73</v>
      </c>
      <c r="C146" s="15"/>
      <c r="D146" s="15">
        <v>10535.23</v>
      </c>
      <c r="E146" s="16">
        <v>42584</v>
      </c>
      <c r="F146" s="17" t="s">
        <v>25</v>
      </c>
    </row>
    <row r="147" spans="1:6">
      <c r="A147" s="13">
        <v>42585</v>
      </c>
      <c r="B147" s="15">
        <v>557.32000000000005</v>
      </c>
      <c r="C147" s="15"/>
      <c r="D147" s="15">
        <v>10422.99</v>
      </c>
      <c r="E147" s="16">
        <v>42585</v>
      </c>
      <c r="F147" s="17" t="s">
        <v>25</v>
      </c>
    </row>
    <row r="148" spans="1:6">
      <c r="A148" s="13">
        <v>42586</v>
      </c>
      <c r="B148" s="15">
        <v>559.54999999999995</v>
      </c>
      <c r="C148" s="15"/>
      <c r="D148" s="15">
        <v>10445.76</v>
      </c>
      <c r="E148" s="16">
        <v>42586</v>
      </c>
      <c r="F148" s="17" t="s">
        <v>25</v>
      </c>
    </row>
    <row r="149" spans="1:6">
      <c r="A149" s="13">
        <v>42587</v>
      </c>
      <c r="B149" s="15">
        <v>568.24</v>
      </c>
      <c r="C149" s="15"/>
      <c r="D149" s="15">
        <v>10613.15</v>
      </c>
      <c r="E149" s="16">
        <v>42587</v>
      </c>
      <c r="F149" s="17" t="s">
        <v>25</v>
      </c>
    </row>
    <row r="150" spans="1:6">
      <c r="A150" s="13">
        <v>42590</v>
      </c>
      <c r="B150" s="15">
        <v>569.57000000000005</v>
      </c>
      <c r="C150" s="15"/>
      <c r="D150" s="15">
        <v>10662.79</v>
      </c>
      <c r="E150" s="16">
        <v>42590</v>
      </c>
      <c r="F150" s="17" t="s">
        <v>25</v>
      </c>
    </row>
    <row r="151" spans="1:6">
      <c r="A151" s="13">
        <v>42591</v>
      </c>
      <c r="B151" s="15">
        <v>567.32000000000005</v>
      </c>
      <c r="C151" s="15"/>
      <c r="D151" s="15">
        <v>10620.56</v>
      </c>
      <c r="E151" s="16">
        <v>42591</v>
      </c>
      <c r="F151" s="17" t="s">
        <v>25</v>
      </c>
    </row>
    <row r="152" spans="1:6">
      <c r="A152" s="13">
        <v>42592</v>
      </c>
      <c r="B152" s="15">
        <v>563.79999999999995</v>
      </c>
      <c r="C152" s="15"/>
      <c r="D152" s="15">
        <v>10489.54</v>
      </c>
      <c r="E152" s="16">
        <v>42592</v>
      </c>
      <c r="F152" s="17" t="s">
        <v>25</v>
      </c>
    </row>
    <row r="153" spans="1:6">
      <c r="A153" s="13">
        <v>42593</v>
      </c>
      <c r="B153" s="15">
        <v>563.23</v>
      </c>
      <c r="C153" s="15"/>
      <c r="D153" s="15">
        <v>10508.13</v>
      </c>
      <c r="E153" s="16">
        <v>42593</v>
      </c>
      <c r="F153" s="17" t="s">
        <v>25</v>
      </c>
    </row>
    <row r="154" spans="1:6">
      <c r="A154" s="13">
        <v>42594</v>
      </c>
      <c r="B154" s="15">
        <v>566.49</v>
      </c>
      <c r="C154" s="15"/>
      <c r="D154" s="15">
        <v>10592.39</v>
      </c>
      <c r="E154" s="16">
        <v>42594</v>
      </c>
      <c r="F154" s="17" t="s">
        <v>25</v>
      </c>
    </row>
    <row r="155" spans="1:6">
      <c r="A155" s="13">
        <v>42598</v>
      </c>
      <c r="B155" s="15">
        <v>568.61</v>
      </c>
      <c r="C155" s="15"/>
      <c r="D155" s="15">
        <v>10580.59</v>
      </c>
      <c r="E155" s="16">
        <v>42598</v>
      </c>
      <c r="F155" s="17" t="s">
        <v>25</v>
      </c>
    </row>
    <row r="156" spans="1:6">
      <c r="A156" s="13">
        <v>42599</v>
      </c>
      <c r="B156" s="15">
        <v>570.14</v>
      </c>
      <c r="C156" s="15"/>
      <c r="D156" s="15">
        <v>10587.03</v>
      </c>
      <c r="E156" s="16">
        <v>42599</v>
      </c>
      <c r="F156" s="17" t="s">
        <v>25</v>
      </c>
    </row>
    <row r="157" spans="1:6">
      <c r="A157" s="13">
        <v>42600</v>
      </c>
      <c r="B157" s="15">
        <v>575.53</v>
      </c>
      <c r="C157" s="15"/>
      <c r="D157" s="15">
        <v>10657.76</v>
      </c>
      <c r="E157" s="16">
        <v>42600</v>
      </c>
      <c r="F157" s="17" t="s">
        <v>25</v>
      </c>
    </row>
    <row r="158" spans="1:6">
      <c r="A158" s="13">
        <v>42601</v>
      </c>
      <c r="B158" s="15">
        <v>578.53</v>
      </c>
      <c r="C158" s="15"/>
      <c r="D158" s="15">
        <v>10668.86</v>
      </c>
      <c r="E158" s="16">
        <v>42601</v>
      </c>
      <c r="F158" s="17" t="s">
        <v>25</v>
      </c>
    </row>
    <row r="159" spans="1:6">
      <c r="A159" s="13">
        <v>42604</v>
      </c>
      <c r="B159" s="15">
        <v>575.25</v>
      </c>
      <c r="C159" s="15"/>
      <c r="D159" s="15">
        <v>10620.31</v>
      </c>
      <c r="E159" s="16">
        <v>42604</v>
      </c>
      <c r="F159" s="17" t="s">
        <v>25</v>
      </c>
    </row>
    <row r="160" spans="1:6">
      <c r="A160" s="13">
        <v>42605</v>
      </c>
      <c r="B160" s="15">
        <v>576.52</v>
      </c>
      <c r="C160" s="15"/>
      <c r="D160" s="15">
        <v>10614.66</v>
      </c>
      <c r="E160" s="16">
        <v>42605</v>
      </c>
      <c r="F160" s="17" t="s">
        <v>25</v>
      </c>
    </row>
    <row r="161" spans="1:6">
      <c r="A161" s="13">
        <v>42606</v>
      </c>
      <c r="B161" s="15">
        <v>578.70000000000005</v>
      </c>
      <c r="C161" s="15"/>
      <c r="D161" s="15">
        <v>10652.63</v>
      </c>
      <c r="E161" s="16">
        <v>42606</v>
      </c>
      <c r="F161" s="17" t="s">
        <v>25</v>
      </c>
    </row>
    <row r="162" spans="1:6">
      <c r="A162" s="13">
        <v>42607</v>
      </c>
      <c r="B162" s="15">
        <v>576.66</v>
      </c>
      <c r="C162" s="15"/>
      <c r="D162" s="15">
        <v>10591.34</v>
      </c>
      <c r="E162" s="16">
        <v>42607</v>
      </c>
      <c r="F162" s="17" t="s">
        <v>25</v>
      </c>
    </row>
    <row r="163" spans="1:6">
      <c r="A163" s="13">
        <v>42608</v>
      </c>
      <c r="B163" s="15">
        <v>578.69000000000005</v>
      </c>
      <c r="C163" s="15"/>
      <c r="D163" s="15">
        <v>10578.81</v>
      </c>
      <c r="E163" s="16">
        <v>42608</v>
      </c>
      <c r="F163" s="17" t="s">
        <v>25</v>
      </c>
    </row>
    <row r="164" spans="1:6">
      <c r="A164" s="13">
        <v>42611</v>
      </c>
      <c r="B164" s="15">
        <v>579.36</v>
      </c>
      <c r="C164" s="15"/>
      <c r="D164" s="15">
        <v>10616.61</v>
      </c>
      <c r="E164" s="16">
        <v>42611</v>
      </c>
      <c r="F164" s="17" t="s">
        <v>25</v>
      </c>
    </row>
    <row r="165" spans="1:6">
      <c r="A165" s="13">
        <v>42612</v>
      </c>
      <c r="B165" s="15">
        <v>585.85</v>
      </c>
      <c r="C165" s="15"/>
      <c r="D165" s="15">
        <v>10762.82</v>
      </c>
      <c r="E165" s="16">
        <v>42612</v>
      </c>
      <c r="F165" s="17" t="s">
        <v>25</v>
      </c>
    </row>
    <row r="166" spans="1:6">
      <c r="A166" s="13">
        <v>42613</v>
      </c>
      <c r="B166" s="15">
        <v>588.95000000000005</v>
      </c>
      <c r="C166" s="15"/>
      <c r="D166" s="15">
        <v>10806.58</v>
      </c>
      <c r="E166" s="16">
        <v>42613</v>
      </c>
      <c r="F166" s="17" t="s">
        <v>25</v>
      </c>
    </row>
    <row r="167" spans="1:6">
      <c r="A167" s="13">
        <v>42614</v>
      </c>
      <c r="B167" s="15">
        <v>587.52</v>
      </c>
      <c r="C167" s="15"/>
      <c r="D167" s="15">
        <v>10783.22</v>
      </c>
      <c r="E167" s="16">
        <v>42614</v>
      </c>
      <c r="F167" s="17" t="s">
        <v>25</v>
      </c>
    </row>
    <row r="168" spans="1:6">
      <c r="A168" s="13">
        <v>42615</v>
      </c>
      <c r="B168" s="15">
        <v>590.89</v>
      </c>
      <c r="C168" s="15"/>
      <c r="D168" s="15">
        <v>10828.04</v>
      </c>
      <c r="E168" s="16">
        <v>42615</v>
      </c>
      <c r="F168" s="17" t="s">
        <v>25</v>
      </c>
    </row>
    <row r="169" spans="1:6">
      <c r="A169" s="13">
        <v>42619</v>
      </c>
      <c r="B169" s="15">
        <v>598.67999999999995</v>
      </c>
      <c r="C169" s="15"/>
      <c r="D169" s="15">
        <v>10987.6</v>
      </c>
      <c r="E169" s="16">
        <v>42619</v>
      </c>
      <c r="F169" s="17" t="s">
        <v>25</v>
      </c>
    </row>
    <row r="170" spans="1:6">
      <c r="A170" s="13">
        <v>42620</v>
      </c>
      <c r="B170" s="15">
        <v>598.22</v>
      </c>
      <c r="C170" s="15"/>
      <c r="D170" s="15">
        <v>10977.36</v>
      </c>
      <c r="E170" s="16">
        <v>42620</v>
      </c>
      <c r="F170" s="17" t="s">
        <v>25</v>
      </c>
    </row>
    <row r="171" spans="1:6">
      <c r="A171" s="13">
        <v>42621</v>
      </c>
      <c r="B171" s="15">
        <v>601.41</v>
      </c>
      <c r="C171" s="15"/>
      <c r="D171" s="15">
        <v>11031.32</v>
      </c>
      <c r="E171" s="16">
        <v>42621</v>
      </c>
      <c r="F171" s="17" t="s">
        <v>25</v>
      </c>
    </row>
    <row r="172" spans="1:6">
      <c r="A172" s="13">
        <v>42622</v>
      </c>
      <c r="B172" s="15">
        <v>597.98</v>
      </c>
      <c r="C172" s="15"/>
      <c r="D172" s="15">
        <v>10934.44</v>
      </c>
      <c r="E172" s="16">
        <v>42622</v>
      </c>
      <c r="F172" s="17" t="s">
        <v>25</v>
      </c>
    </row>
    <row r="173" spans="1:6">
      <c r="A173" s="13">
        <v>42625</v>
      </c>
      <c r="B173" s="15">
        <v>584.1</v>
      </c>
      <c r="C173" s="15"/>
      <c r="D173" s="15">
        <v>10711.08</v>
      </c>
      <c r="E173" s="16">
        <v>42625</v>
      </c>
      <c r="F173" s="17" t="s">
        <v>25</v>
      </c>
    </row>
    <row r="174" spans="1:6">
      <c r="A174" s="13">
        <v>42627</v>
      </c>
      <c r="B174" s="15">
        <v>589.95000000000005</v>
      </c>
      <c r="C174" s="15"/>
      <c r="D174" s="15">
        <v>10761.82</v>
      </c>
      <c r="E174" s="16">
        <v>42627</v>
      </c>
      <c r="F174" s="17" t="s">
        <v>25</v>
      </c>
    </row>
    <row r="175" spans="1:6">
      <c r="A175" s="13">
        <v>42628</v>
      </c>
      <c r="B175" s="15">
        <v>590.79999999999995</v>
      </c>
      <c r="C175" s="15"/>
      <c r="D175" s="15">
        <v>10774.29</v>
      </c>
      <c r="E175" s="16">
        <v>42628</v>
      </c>
      <c r="F175" s="17" t="s">
        <v>25</v>
      </c>
    </row>
    <row r="176" spans="1:6">
      <c r="A176" s="13">
        <v>42629</v>
      </c>
      <c r="B176" s="15">
        <v>591.37</v>
      </c>
      <c r="C176" s="15"/>
      <c r="D176" s="15">
        <v>10809.89</v>
      </c>
      <c r="E176" s="16">
        <v>42629</v>
      </c>
      <c r="F176" s="17" t="s">
        <v>25</v>
      </c>
    </row>
    <row r="177" spans="1:6">
      <c r="A177" s="13">
        <v>42632</v>
      </c>
      <c r="B177" s="15">
        <v>594.21</v>
      </c>
      <c r="C177" s="15"/>
      <c r="D177" s="15">
        <v>10848.37</v>
      </c>
      <c r="E177" s="16">
        <v>42632</v>
      </c>
      <c r="F177" s="17" t="s">
        <v>25</v>
      </c>
    </row>
    <row r="178" spans="1:6">
      <c r="A178" s="13">
        <v>42633</v>
      </c>
      <c r="B178" s="15">
        <v>593.29</v>
      </c>
      <c r="C178" s="15"/>
      <c r="D178" s="15">
        <v>10814.58</v>
      </c>
      <c r="E178" s="16">
        <v>42633</v>
      </c>
      <c r="F178" s="17" t="s">
        <v>25</v>
      </c>
    </row>
    <row r="179" spans="1:6">
      <c r="A179" s="13">
        <v>42634</v>
      </c>
      <c r="B179" s="15">
        <v>594.12</v>
      </c>
      <c r="C179" s="15"/>
      <c r="D179" s="15">
        <v>10816.64</v>
      </c>
      <c r="E179" s="16">
        <v>42634</v>
      </c>
      <c r="F179" s="17" t="s">
        <v>25</v>
      </c>
    </row>
    <row r="180" spans="1:6">
      <c r="A180" s="13">
        <v>42635</v>
      </c>
      <c r="B180" s="15">
        <v>602.01</v>
      </c>
      <c r="C180" s="15"/>
      <c r="D180" s="15">
        <v>10934.35</v>
      </c>
      <c r="E180" s="16">
        <v>42635</v>
      </c>
      <c r="F180" s="17" t="s">
        <v>25</v>
      </c>
    </row>
    <row r="181" spans="1:6">
      <c r="A181" s="13">
        <v>42636</v>
      </c>
      <c r="B181" s="15">
        <v>601.74</v>
      </c>
      <c r="C181" s="15"/>
      <c r="D181" s="15">
        <v>10908.21</v>
      </c>
      <c r="E181" s="16">
        <v>42636</v>
      </c>
      <c r="F181" s="17" t="s">
        <v>25</v>
      </c>
    </row>
    <row r="182" spans="1:6">
      <c r="A182" s="13">
        <v>42639</v>
      </c>
      <c r="B182" s="15">
        <v>597.96</v>
      </c>
      <c r="C182" s="15"/>
      <c r="D182" s="15">
        <v>10799.69</v>
      </c>
      <c r="E182" s="16">
        <v>42639</v>
      </c>
      <c r="F182" s="17" t="s">
        <v>25</v>
      </c>
    </row>
    <row r="183" spans="1:6">
      <c r="A183" s="13">
        <v>42640</v>
      </c>
      <c r="B183" s="15">
        <v>598.85</v>
      </c>
      <c r="C183" s="15"/>
      <c r="D183" s="15">
        <v>10785.63</v>
      </c>
      <c r="E183" s="16">
        <v>42640</v>
      </c>
      <c r="F183" s="17" t="s">
        <v>25</v>
      </c>
    </row>
    <row r="184" spans="1:6">
      <c r="A184" s="13">
        <v>42641</v>
      </c>
      <c r="B184" s="15">
        <v>605.79999999999995</v>
      </c>
      <c r="C184" s="15"/>
      <c r="D184" s="15">
        <v>10850.59</v>
      </c>
      <c r="E184" s="16">
        <v>42641</v>
      </c>
      <c r="F184" s="17" t="s">
        <v>25</v>
      </c>
    </row>
    <row r="185" spans="1:6">
      <c r="A185" s="13">
        <v>42642</v>
      </c>
      <c r="B185" s="15">
        <v>590.34</v>
      </c>
      <c r="C185" s="15"/>
      <c r="D185" s="15">
        <v>10593.48</v>
      </c>
      <c r="E185" s="16">
        <v>42642</v>
      </c>
      <c r="F185" s="17" t="s">
        <v>25</v>
      </c>
    </row>
    <row r="186" spans="1:6">
      <c r="A186" s="13">
        <v>42643</v>
      </c>
      <c r="B186" s="15">
        <v>601.19000000000005</v>
      </c>
      <c r="C186" s="15"/>
      <c r="D186" s="15">
        <v>10677.17</v>
      </c>
      <c r="E186" s="16">
        <v>42643</v>
      </c>
      <c r="F186" s="17" t="s">
        <v>25</v>
      </c>
    </row>
    <row r="187" spans="1:6">
      <c r="A187" s="13">
        <v>42646</v>
      </c>
      <c r="B187" s="15">
        <v>613.86</v>
      </c>
      <c r="C187" s="15"/>
      <c r="D187" s="15">
        <v>10875.55</v>
      </c>
      <c r="E187" s="16">
        <v>42646</v>
      </c>
      <c r="F187" s="17" t="s">
        <v>25</v>
      </c>
    </row>
    <row r="188" spans="1:6">
      <c r="A188" s="13">
        <v>42647</v>
      </c>
      <c r="B188" s="15">
        <v>617.76</v>
      </c>
      <c r="C188" s="15"/>
      <c r="D188" s="15">
        <v>10926.74</v>
      </c>
      <c r="E188" s="16">
        <v>42647</v>
      </c>
      <c r="F188" s="17" t="s">
        <v>25</v>
      </c>
    </row>
    <row r="189" spans="1:6">
      <c r="A189" s="13">
        <v>42648</v>
      </c>
      <c r="B189" s="15">
        <v>620.9</v>
      </c>
      <c r="C189" s="15"/>
      <c r="D189" s="15">
        <v>10923.62</v>
      </c>
      <c r="E189" s="16">
        <v>42648</v>
      </c>
      <c r="F189" s="17" t="s">
        <v>25</v>
      </c>
    </row>
    <row r="190" spans="1:6">
      <c r="A190" s="13">
        <v>42649</v>
      </c>
      <c r="B190" s="15">
        <v>618.54</v>
      </c>
      <c r="C190" s="15"/>
      <c r="D190" s="15">
        <v>10882.82</v>
      </c>
      <c r="E190" s="16">
        <v>42649</v>
      </c>
      <c r="F190" s="17" t="s">
        <v>25</v>
      </c>
    </row>
    <row r="191" spans="1:6">
      <c r="A191" s="13">
        <v>42650</v>
      </c>
      <c r="B191" s="15">
        <v>617.75</v>
      </c>
      <c r="C191" s="15"/>
      <c r="D191" s="15">
        <v>10868.26</v>
      </c>
      <c r="E191" s="16">
        <v>42650</v>
      </c>
      <c r="F191" s="17" t="s">
        <v>25</v>
      </c>
    </row>
    <row r="192" spans="1:6">
      <c r="A192" s="13">
        <v>42653</v>
      </c>
      <c r="B192" s="15">
        <v>620.91</v>
      </c>
      <c r="C192" s="15"/>
      <c r="D192" s="15">
        <v>10876.25</v>
      </c>
      <c r="E192" s="16">
        <v>42653</v>
      </c>
      <c r="F192" s="17" t="s">
        <v>25</v>
      </c>
    </row>
    <row r="193" spans="1:6">
      <c r="A193" s="13">
        <v>42656</v>
      </c>
      <c r="B193" s="15">
        <v>612.16999999999996</v>
      </c>
      <c r="C193" s="15"/>
      <c r="D193" s="15">
        <v>10711.11</v>
      </c>
      <c r="E193" s="16">
        <v>42656</v>
      </c>
      <c r="F193" s="17" t="s">
        <v>25</v>
      </c>
    </row>
    <row r="194" spans="1:6">
      <c r="A194" s="13">
        <v>42657</v>
      </c>
      <c r="B194" s="15">
        <v>613.72</v>
      </c>
      <c r="C194" s="15"/>
      <c r="D194" s="15">
        <v>10742.18</v>
      </c>
      <c r="E194" s="16">
        <v>42657</v>
      </c>
      <c r="F194" s="17" t="s">
        <v>25</v>
      </c>
    </row>
    <row r="195" spans="1:6">
      <c r="A195" s="13">
        <v>42660</v>
      </c>
      <c r="B195" s="15">
        <v>607.63</v>
      </c>
      <c r="C195" s="15"/>
      <c r="D195" s="15">
        <v>10662.28</v>
      </c>
      <c r="E195" s="16">
        <v>42660</v>
      </c>
      <c r="F195" s="17" t="s">
        <v>25</v>
      </c>
    </row>
    <row r="196" spans="1:6">
      <c r="A196" s="13">
        <v>42661</v>
      </c>
      <c r="B196" s="15">
        <v>616.04999999999995</v>
      </c>
      <c r="C196" s="15"/>
      <c r="D196" s="15">
        <v>10846.76</v>
      </c>
      <c r="E196" s="16">
        <v>42661</v>
      </c>
      <c r="F196" s="17" t="s">
        <v>25</v>
      </c>
    </row>
    <row r="197" spans="1:6">
      <c r="A197" s="13">
        <v>42662</v>
      </c>
      <c r="B197" s="15">
        <v>617.52</v>
      </c>
      <c r="C197" s="15"/>
      <c r="D197" s="15">
        <v>10840.51</v>
      </c>
      <c r="E197" s="16">
        <v>42662</v>
      </c>
      <c r="F197" s="17" t="s">
        <v>25</v>
      </c>
    </row>
    <row r="198" spans="1:6">
      <c r="A198" s="13">
        <v>42663</v>
      </c>
      <c r="B198" s="15">
        <v>618.67999999999995</v>
      </c>
      <c r="C198" s="15"/>
      <c r="D198" s="15">
        <v>10885.45</v>
      </c>
      <c r="E198" s="16">
        <v>42663</v>
      </c>
      <c r="F198" s="17" t="s">
        <v>25</v>
      </c>
    </row>
    <row r="199" spans="1:6">
      <c r="A199" s="13">
        <v>42664</v>
      </c>
      <c r="B199" s="15">
        <v>621.25</v>
      </c>
      <c r="C199" s="15"/>
      <c r="D199" s="15">
        <v>10894.59</v>
      </c>
      <c r="E199" s="16">
        <v>42664</v>
      </c>
      <c r="F199" s="17" t="s">
        <v>25</v>
      </c>
    </row>
    <row r="200" spans="1:6">
      <c r="A200" s="13">
        <v>42667</v>
      </c>
      <c r="B200" s="15">
        <v>619.59</v>
      </c>
      <c r="C200" s="15"/>
      <c r="D200" s="15">
        <v>10909.63</v>
      </c>
      <c r="E200" s="16">
        <v>42667</v>
      </c>
      <c r="F200" s="17" t="s">
        <v>25</v>
      </c>
    </row>
    <row r="201" spans="1:6">
      <c r="A201" s="13">
        <v>42668</v>
      </c>
      <c r="B201" s="15">
        <v>618.23</v>
      </c>
      <c r="C201" s="15"/>
      <c r="D201" s="15">
        <v>10895.14</v>
      </c>
      <c r="E201" s="16">
        <v>42668</v>
      </c>
      <c r="F201" s="17" t="s">
        <v>25</v>
      </c>
    </row>
    <row r="202" spans="1:6">
      <c r="A202" s="13">
        <v>42669</v>
      </c>
      <c r="B202" s="15">
        <v>613.01</v>
      </c>
      <c r="C202" s="15"/>
      <c r="D202" s="15">
        <v>10801.6</v>
      </c>
      <c r="E202" s="16">
        <v>42669</v>
      </c>
      <c r="F202" s="17" t="s">
        <v>25</v>
      </c>
    </row>
    <row r="203" spans="1:6">
      <c r="A203" s="13">
        <v>42670</v>
      </c>
      <c r="B203" s="15">
        <v>608.54999999999995</v>
      </c>
      <c r="C203" s="15"/>
      <c r="D203" s="15">
        <v>10766.87</v>
      </c>
      <c r="E203" s="16">
        <v>42670</v>
      </c>
      <c r="F203" s="17" t="s">
        <v>25</v>
      </c>
    </row>
    <row r="204" spans="1:6">
      <c r="A204" s="13">
        <v>42671</v>
      </c>
      <c r="B204" s="15">
        <v>613.9</v>
      </c>
      <c r="C204" s="15"/>
      <c r="D204" s="15">
        <v>10827.51</v>
      </c>
      <c r="E204" s="16">
        <v>42671</v>
      </c>
      <c r="F204" s="17" t="s">
        <v>25</v>
      </c>
    </row>
    <row r="205" spans="1:6">
      <c r="A205" s="13">
        <v>42675</v>
      </c>
      <c r="B205" s="15">
        <v>619.08000000000004</v>
      </c>
      <c r="C205" s="15"/>
      <c r="D205" s="15">
        <v>10840.64</v>
      </c>
      <c r="E205" s="16">
        <v>42675</v>
      </c>
      <c r="F205" s="17" t="s">
        <v>25</v>
      </c>
    </row>
    <row r="206" spans="1:6">
      <c r="A206" s="13">
        <v>42676</v>
      </c>
      <c r="B206" s="15">
        <v>609.23</v>
      </c>
      <c r="C206" s="15"/>
      <c r="D206" s="15">
        <v>10681.16</v>
      </c>
      <c r="E206" s="16">
        <v>42676</v>
      </c>
      <c r="F206" s="17" t="s">
        <v>25</v>
      </c>
    </row>
    <row r="207" spans="1:6">
      <c r="A207" s="13">
        <v>42677</v>
      </c>
      <c r="B207" s="15">
        <v>604.34</v>
      </c>
      <c r="C207" s="15"/>
      <c r="D207" s="15">
        <v>10615.11</v>
      </c>
      <c r="E207" s="16">
        <v>42677</v>
      </c>
      <c r="F207" s="17" t="s">
        <v>25</v>
      </c>
    </row>
    <row r="208" spans="1:6">
      <c r="A208" s="13">
        <v>42678</v>
      </c>
      <c r="B208" s="15">
        <v>596.25</v>
      </c>
      <c r="C208" s="15"/>
      <c r="D208" s="15">
        <v>10514.14</v>
      </c>
      <c r="E208" s="16">
        <v>42678</v>
      </c>
      <c r="F208" s="17" t="s">
        <v>25</v>
      </c>
    </row>
    <row r="209" spans="1:6">
      <c r="A209" s="13">
        <v>42681</v>
      </c>
      <c r="B209" s="15">
        <v>601.91</v>
      </c>
      <c r="C209" s="15"/>
      <c r="D209" s="15">
        <v>10596.79</v>
      </c>
      <c r="E209" s="16">
        <v>42681</v>
      </c>
      <c r="F209" s="17" t="s">
        <v>25</v>
      </c>
    </row>
    <row r="210" spans="1:6">
      <c r="A210" s="13">
        <v>42682</v>
      </c>
      <c r="B210" s="15">
        <v>603.69000000000005</v>
      </c>
      <c r="C210" s="15"/>
      <c r="D210" s="15">
        <v>10647.68</v>
      </c>
      <c r="E210" s="16">
        <v>42682</v>
      </c>
      <c r="F210" s="17" t="s">
        <v>25</v>
      </c>
    </row>
    <row r="211" spans="1:6">
      <c r="A211" s="13">
        <v>42683</v>
      </c>
      <c r="B211" s="15">
        <v>594.44000000000005</v>
      </c>
      <c r="C211" s="15"/>
      <c r="D211" s="15">
        <v>10476.32</v>
      </c>
      <c r="E211" s="16">
        <v>42683</v>
      </c>
      <c r="F211" s="17" t="s">
        <v>25</v>
      </c>
    </row>
    <row r="212" spans="1:6">
      <c r="A212" s="13">
        <v>42684</v>
      </c>
      <c r="B212" s="15">
        <v>602.6</v>
      </c>
      <c r="C212" s="15"/>
      <c r="D212" s="15">
        <v>10613.46</v>
      </c>
      <c r="E212" s="16">
        <v>42684</v>
      </c>
      <c r="F212" s="17" t="s">
        <v>25</v>
      </c>
    </row>
    <row r="213" spans="1:6">
      <c r="A213" s="13">
        <v>42685</v>
      </c>
      <c r="B213" s="15">
        <v>585.69000000000005</v>
      </c>
      <c r="C213" s="15"/>
      <c r="D213" s="15">
        <v>10301.51</v>
      </c>
      <c r="E213" s="16">
        <v>42685</v>
      </c>
      <c r="F213" s="17" t="s">
        <v>25</v>
      </c>
    </row>
    <row r="214" spans="1:6">
      <c r="A214" s="13">
        <v>42689</v>
      </c>
      <c r="B214" s="15">
        <v>562.91999999999996</v>
      </c>
      <c r="C214" s="15"/>
      <c r="D214" s="15">
        <v>9997.98</v>
      </c>
      <c r="E214" s="16">
        <v>42689</v>
      </c>
      <c r="F214" s="17" t="s">
        <v>25</v>
      </c>
    </row>
    <row r="215" spans="1:6">
      <c r="A215" s="13">
        <v>42690</v>
      </c>
      <c r="B215" s="15">
        <v>564.69000000000005</v>
      </c>
      <c r="C215" s="15"/>
      <c r="D215" s="15">
        <v>10015.14</v>
      </c>
      <c r="E215" s="16">
        <v>42690</v>
      </c>
      <c r="F215" s="17" t="s">
        <v>25</v>
      </c>
    </row>
    <row r="216" spans="1:6">
      <c r="A216" s="13">
        <v>42691</v>
      </c>
      <c r="B216" s="15">
        <v>564.21</v>
      </c>
      <c r="C216" s="15"/>
      <c r="D216" s="15">
        <v>9979.7000000000007</v>
      </c>
      <c r="E216" s="16">
        <v>42691</v>
      </c>
      <c r="F216" s="17" t="s">
        <v>25</v>
      </c>
    </row>
    <row r="217" spans="1:6">
      <c r="A217" s="13">
        <v>42692</v>
      </c>
      <c r="B217" s="15">
        <v>562.92999999999995</v>
      </c>
      <c r="C217" s="15"/>
      <c r="D217" s="15">
        <v>9987.01</v>
      </c>
      <c r="E217" s="16">
        <v>42692</v>
      </c>
      <c r="F217" s="17" t="s">
        <v>25</v>
      </c>
    </row>
    <row r="218" spans="1:6">
      <c r="A218" s="13">
        <v>42695</v>
      </c>
      <c r="B218" s="15">
        <v>549.78</v>
      </c>
      <c r="C218" s="15"/>
      <c r="D218" s="15">
        <v>9774.6</v>
      </c>
      <c r="E218" s="16">
        <v>42695</v>
      </c>
      <c r="F218" s="17" t="s">
        <v>25</v>
      </c>
    </row>
    <row r="219" spans="1:6">
      <c r="A219" s="13">
        <v>42696</v>
      </c>
      <c r="B219" s="15">
        <v>557.82000000000005</v>
      </c>
      <c r="C219" s="15"/>
      <c r="D219" s="15">
        <v>9881.2900000000009</v>
      </c>
      <c r="E219" s="16">
        <v>42696</v>
      </c>
      <c r="F219" s="17" t="s">
        <v>25</v>
      </c>
    </row>
    <row r="220" spans="1:6">
      <c r="A220" s="13">
        <v>42697</v>
      </c>
      <c r="B220" s="15">
        <v>563.28</v>
      </c>
      <c r="C220" s="15"/>
      <c r="D220" s="15">
        <v>9949.77</v>
      </c>
      <c r="E220" s="16">
        <v>42697</v>
      </c>
      <c r="F220" s="17" t="s">
        <v>25</v>
      </c>
    </row>
    <row r="221" spans="1:6">
      <c r="A221" s="13">
        <v>42698</v>
      </c>
      <c r="B221" s="15">
        <v>559.34</v>
      </c>
      <c r="C221" s="15"/>
      <c r="D221" s="15">
        <v>9884.6</v>
      </c>
      <c r="E221" s="16">
        <v>42698</v>
      </c>
      <c r="F221" s="17" t="s">
        <v>25</v>
      </c>
    </row>
    <row r="222" spans="1:6">
      <c r="A222" s="13">
        <v>42699</v>
      </c>
      <c r="B222" s="15">
        <v>569.98</v>
      </c>
      <c r="C222" s="15"/>
      <c r="D222" s="15">
        <v>10062.81</v>
      </c>
      <c r="E222" s="16">
        <v>42699</v>
      </c>
      <c r="F222" s="17" t="s">
        <v>25</v>
      </c>
    </row>
    <row r="223" spans="1:6">
      <c r="A223" s="13">
        <v>42702</v>
      </c>
      <c r="B223" s="15">
        <v>572.62</v>
      </c>
      <c r="C223" s="15"/>
      <c r="D223" s="15">
        <v>10095.549999999999</v>
      </c>
      <c r="E223" s="16">
        <v>42702</v>
      </c>
      <c r="F223" s="17" t="s">
        <v>25</v>
      </c>
    </row>
    <row r="224" spans="1:6">
      <c r="A224" s="13">
        <v>42703</v>
      </c>
      <c r="B224" s="15">
        <v>574.16999999999996</v>
      </c>
      <c r="C224" s="15"/>
      <c r="D224" s="15">
        <v>10124.81</v>
      </c>
      <c r="E224" s="16">
        <v>42703</v>
      </c>
      <c r="F224" s="17" t="s">
        <v>25</v>
      </c>
    </row>
    <row r="225" spans="1:6">
      <c r="A225" s="13">
        <v>42704</v>
      </c>
      <c r="B225" s="15">
        <v>580.04999999999995</v>
      </c>
      <c r="C225" s="15"/>
      <c r="D225" s="15">
        <v>10234.36</v>
      </c>
      <c r="E225" s="16">
        <v>42704</v>
      </c>
      <c r="F225" s="17" t="s">
        <v>25</v>
      </c>
    </row>
    <row r="226" spans="1:6">
      <c r="A226" s="13">
        <v>42705</v>
      </c>
      <c r="B226" s="15">
        <v>577.16</v>
      </c>
      <c r="C226" s="15"/>
      <c r="D226" s="15">
        <v>10177.83</v>
      </c>
      <c r="E226" s="16">
        <v>42705</v>
      </c>
      <c r="F226" s="17" t="s">
        <v>25</v>
      </c>
    </row>
    <row r="227" spans="1:6">
      <c r="A227" s="13">
        <v>42706</v>
      </c>
      <c r="B227" s="15">
        <v>567.85</v>
      </c>
      <c r="C227" s="15"/>
      <c r="D227" s="15">
        <v>10043.450000000001</v>
      </c>
      <c r="E227" s="16">
        <v>42706</v>
      </c>
      <c r="F227" s="17" t="s">
        <v>25</v>
      </c>
    </row>
    <row r="228" spans="1:6">
      <c r="A228" s="13">
        <v>42709</v>
      </c>
      <c r="B228" s="15">
        <v>572.04</v>
      </c>
      <c r="C228" s="15"/>
      <c r="D228" s="15">
        <v>10096.81</v>
      </c>
      <c r="E228" s="16">
        <v>42709</v>
      </c>
      <c r="F228" s="17" t="s">
        <v>25</v>
      </c>
    </row>
    <row r="229" spans="1:6">
      <c r="A229" s="13">
        <v>42710</v>
      </c>
      <c r="B229" s="15">
        <v>572.79</v>
      </c>
      <c r="C229" s="15"/>
      <c r="D229" s="15">
        <v>10121.91</v>
      </c>
      <c r="E229" s="16">
        <v>42710</v>
      </c>
      <c r="F229" s="17" t="s">
        <v>25</v>
      </c>
    </row>
    <row r="230" spans="1:6">
      <c r="A230" s="13">
        <v>42711</v>
      </c>
      <c r="B230" s="15">
        <v>569.54999999999995</v>
      </c>
      <c r="C230" s="15"/>
      <c r="D230" s="15">
        <v>10077.98</v>
      </c>
      <c r="E230" s="16">
        <v>42711</v>
      </c>
      <c r="F230" s="17" t="s">
        <v>25</v>
      </c>
    </row>
    <row r="231" spans="1:6">
      <c r="A231" s="13">
        <v>42712</v>
      </c>
      <c r="B231" s="15">
        <v>579.03</v>
      </c>
      <c r="C231" s="15"/>
      <c r="D231" s="15">
        <v>10248.68</v>
      </c>
      <c r="E231" s="16">
        <v>42712</v>
      </c>
      <c r="F231" s="17" t="s">
        <v>25</v>
      </c>
    </row>
    <row r="232" spans="1:6">
      <c r="A232" s="13">
        <v>42713</v>
      </c>
      <c r="B232" s="15">
        <v>580.63</v>
      </c>
      <c r="C232" s="15"/>
      <c r="D232" s="15">
        <v>10265.870000000001</v>
      </c>
      <c r="E232" s="16">
        <v>42713</v>
      </c>
      <c r="F232" s="17" t="s">
        <v>25</v>
      </c>
    </row>
    <row r="233" spans="1:6">
      <c r="A233" s="13">
        <v>42716</v>
      </c>
      <c r="B233" s="15">
        <v>572.37</v>
      </c>
      <c r="C233" s="15"/>
      <c r="D233" s="15">
        <v>10153.18</v>
      </c>
      <c r="E233" s="16">
        <v>42716</v>
      </c>
      <c r="F233" s="17" t="s">
        <v>25</v>
      </c>
    </row>
    <row r="234" spans="1:6">
      <c r="A234" s="13">
        <v>42717</v>
      </c>
      <c r="B234" s="15">
        <v>571.92999999999995</v>
      </c>
      <c r="C234" s="15"/>
      <c r="D234" s="15">
        <v>10185.200000000001</v>
      </c>
      <c r="E234" s="16">
        <v>42717</v>
      </c>
      <c r="F234" s="17" t="s">
        <v>25</v>
      </c>
    </row>
    <row r="235" spans="1:6">
      <c r="A235" s="13">
        <v>42718</v>
      </c>
      <c r="B235" s="15">
        <v>568.33000000000004</v>
      </c>
      <c r="C235" s="15"/>
      <c r="D235" s="15">
        <v>10126.370000000001</v>
      </c>
      <c r="E235" s="16">
        <v>42718</v>
      </c>
      <c r="F235" s="17" t="s">
        <v>25</v>
      </c>
    </row>
    <row r="236" spans="1:6">
      <c r="A236" s="13">
        <v>42719</v>
      </c>
      <c r="B236" s="15">
        <v>568.24</v>
      </c>
      <c r="C236" s="15"/>
      <c r="D236" s="15">
        <v>10104.18</v>
      </c>
      <c r="E236" s="16">
        <v>42719</v>
      </c>
      <c r="F236" s="17" t="s">
        <v>25</v>
      </c>
    </row>
    <row r="237" spans="1:6">
      <c r="A237" s="13">
        <v>42720</v>
      </c>
      <c r="B237" s="15">
        <v>566.9</v>
      </c>
      <c r="C237" s="15"/>
      <c r="D237" s="15">
        <v>10085.73</v>
      </c>
      <c r="E237" s="16">
        <v>42720</v>
      </c>
      <c r="F237" s="17" t="s">
        <v>25</v>
      </c>
    </row>
    <row r="238" spans="1:6">
      <c r="A238" s="13">
        <v>42723</v>
      </c>
      <c r="B238" s="15">
        <v>564.55999999999995</v>
      </c>
      <c r="C238" s="15"/>
      <c r="D238" s="15">
        <v>10037.84</v>
      </c>
      <c r="E238" s="16">
        <v>42723</v>
      </c>
      <c r="F238" s="17" t="s">
        <v>25</v>
      </c>
    </row>
    <row r="239" spans="1:6">
      <c r="A239" s="13">
        <v>42724</v>
      </c>
      <c r="B239" s="15">
        <v>561.39</v>
      </c>
      <c r="C239" s="15"/>
      <c r="D239" s="15">
        <v>9986.85</v>
      </c>
      <c r="E239" s="16">
        <v>42724</v>
      </c>
      <c r="F239" s="17" t="s">
        <v>25</v>
      </c>
    </row>
    <row r="240" spans="1:6">
      <c r="A240" s="13">
        <v>42725</v>
      </c>
      <c r="B240" s="15">
        <v>560.84</v>
      </c>
      <c r="C240" s="15"/>
      <c r="D240" s="15">
        <v>9969.41</v>
      </c>
      <c r="E240" s="16">
        <v>42725</v>
      </c>
      <c r="F240" s="17" t="s">
        <v>25</v>
      </c>
    </row>
    <row r="241" spans="1:6">
      <c r="A241" s="13">
        <v>42726</v>
      </c>
      <c r="B241" s="15">
        <v>554.98</v>
      </c>
      <c r="C241" s="15"/>
      <c r="D241" s="15">
        <v>9854.23</v>
      </c>
      <c r="E241" s="16">
        <v>42726</v>
      </c>
      <c r="F241" s="17" t="s">
        <v>25</v>
      </c>
    </row>
    <row r="242" spans="1:6">
      <c r="A242" s="13">
        <v>42727</v>
      </c>
      <c r="B242" s="15">
        <v>554.70000000000005</v>
      </c>
      <c r="C242" s="15"/>
      <c r="D242" s="15">
        <v>9852.15</v>
      </c>
      <c r="E242" s="16">
        <v>42727</v>
      </c>
      <c r="F242" s="17" t="s">
        <v>25</v>
      </c>
    </row>
    <row r="243" spans="1:6">
      <c r="A243" s="13">
        <v>42730</v>
      </c>
      <c r="B243" s="15">
        <v>546.70000000000005</v>
      </c>
      <c r="C243" s="15"/>
      <c r="D243" s="15">
        <v>9721.39</v>
      </c>
      <c r="E243" s="16">
        <v>42730</v>
      </c>
      <c r="F243" s="17" t="s">
        <v>25</v>
      </c>
    </row>
    <row r="244" spans="1:6">
      <c r="A244" s="13">
        <v>42731</v>
      </c>
      <c r="B244" s="15">
        <v>555.55999999999995</v>
      </c>
      <c r="C244" s="15"/>
      <c r="D244" s="15">
        <v>9876.89</v>
      </c>
      <c r="E244" s="16">
        <v>42731</v>
      </c>
      <c r="F244" s="17" t="s">
        <v>25</v>
      </c>
    </row>
    <row r="245" spans="1:6">
      <c r="A245" s="13">
        <v>42732</v>
      </c>
      <c r="B245" s="15">
        <v>557.14</v>
      </c>
      <c r="C245" s="15"/>
      <c r="D245" s="15">
        <v>9899.09</v>
      </c>
      <c r="E245" s="16">
        <v>42732</v>
      </c>
      <c r="F245" s="17" t="s">
        <v>25</v>
      </c>
    </row>
    <row r="246" spans="1:6">
      <c r="A246" s="13">
        <v>42733</v>
      </c>
      <c r="B246" s="15">
        <v>563.23</v>
      </c>
      <c r="C246" s="15"/>
      <c r="D246" s="15">
        <v>9997.4699999999993</v>
      </c>
      <c r="E246" s="16">
        <v>42733</v>
      </c>
      <c r="F246" s="17" t="s">
        <v>25</v>
      </c>
    </row>
    <row r="247" spans="1:6">
      <c r="A247" s="13">
        <v>42734</v>
      </c>
      <c r="B247" s="15">
        <v>567.17999999999995</v>
      </c>
      <c r="C247" s="15"/>
      <c r="D247" s="15">
        <v>10094.85</v>
      </c>
      <c r="E247" s="16">
        <v>42734</v>
      </c>
      <c r="F247" s="17" t="s">
        <v>25</v>
      </c>
    </row>
    <row r="248" spans="1:6">
      <c r="A248" s="13">
        <v>42737</v>
      </c>
      <c r="B248" s="15">
        <v>570.53</v>
      </c>
      <c r="C248" s="15"/>
      <c r="D248" s="15">
        <v>10123.35</v>
      </c>
      <c r="E248" s="16">
        <v>42737</v>
      </c>
      <c r="F248" s="17" t="s">
        <v>25</v>
      </c>
    </row>
    <row r="249" spans="1:6">
      <c r="A249" s="13">
        <v>42738</v>
      </c>
      <c r="B249" s="15">
        <v>573.71</v>
      </c>
      <c r="C249" s="15"/>
      <c r="D249" s="15">
        <v>10161.31</v>
      </c>
      <c r="E249" s="16">
        <v>42738</v>
      </c>
      <c r="F249" s="17" t="s">
        <v>25</v>
      </c>
    </row>
    <row r="250" spans="1:6">
      <c r="A250" s="13">
        <v>42739</v>
      </c>
      <c r="B250" s="15">
        <v>573.66999999999996</v>
      </c>
      <c r="C250" s="15"/>
      <c r="D250" s="15">
        <v>10164.19</v>
      </c>
      <c r="E250" s="16">
        <v>42739</v>
      </c>
      <c r="F250" s="17" t="s">
        <v>25</v>
      </c>
    </row>
    <row r="251" spans="1:6">
      <c r="A251" s="13">
        <v>42740</v>
      </c>
      <c r="B251" s="15">
        <v>580.33000000000004</v>
      </c>
      <c r="C251" s="15"/>
      <c r="D251" s="15">
        <v>10274.280000000001</v>
      </c>
      <c r="E251" s="16">
        <v>42740</v>
      </c>
      <c r="F251" s="17" t="s">
        <v>25</v>
      </c>
    </row>
    <row r="252" spans="1:6">
      <c r="A252" s="13">
        <v>42741</v>
      </c>
      <c r="B252" s="15">
        <v>579.66999999999996</v>
      </c>
      <c r="C252" s="15"/>
      <c r="D252" s="15">
        <v>10239.870000000001</v>
      </c>
      <c r="E252" s="16">
        <v>42741</v>
      </c>
      <c r="F252" s="17" t="s">
        <v>25</v>
      </c>
    </row>
    <row r="253" spans="1:6">
      <c r="A253" s="13">
        <v>42744</v>
      </c>
      <c r="B253" s="15">
        <v>581.12</v>
      </c>
      <c r="C253" s="15"/>
      <c r="D253" s="15">
        <v>10242.799999999999</v>
      </c>
      <c r="E253" s="16">
        <v>42744</v>
      </c>
      <c r="F253" s="17" t="s">
        <v>25</v>
      </c>
    </row>
    <row r="254" spans="1:6">
      <c r="A254" s="13">
        <v>42745</v>
      </c>
      <c r="B254" s="15">
        <v>583.84</v>
      </c>
      <c r="C254" s="15"/>
      <c r="D254" s="15">
        <v>10310.82</v>
      </c>
      <c r="E254" s="16">
        <v>42745</v>
      </c>
      <c r="F254" s="17" t="s">
        <v>25</v>
      </c>
    </row>
    <row r="255" spans="1:6">
      <c r="A255" s="13">
        <v>42746</v>
      </c>
      <c r="B255" s="15">
        <v>592.17999999999995</v>
      </c>
      <c r="C255" s="15"/>
      <c r="D255" s="15">
        <v>10429.31</v>
      </c>
      <c r="E255" s="16">
        <v>42746</v>
      </c>
      <c r="F255" s="17" t="s">
        <v>25</v>
      </c>
    </row>
    <row r="256" spans="1:6">
      <c r="A256" s="13">
        <v>42747</v>
      </c>
      <c r="B256" s="15">
        <v>593.59</v>
      </c>
      <c r="C256" s="15"/>
      <c r="D256" s="15">
        <v>10454.93</v>
      </c>
      <c r="E256" s="16">
        <v>42747</v>
      </c>
      <c r="F256" s="17" t="s">
        <v>25</v>
      </c>
    </row>
    <row r="257" spans="1:6">
      <c r="A257" s="13">
        <v>42748</v>
      </c>
      <c r="B257" s="15">
        <v>592.61</v>
      </c>
      <c r="C257" s="15"/>
      <c r="D257" s="15">
        <v>10449.780000000001</v>
      </c>
      <c r="E257" s="16">
        <v>42748</v>
      </c>
      <c r="F257" s="17" t="s">
        <v>25</v>
      </c>
    </row>
    <row r="258" spans="1:6">
      <c r="A258" s="13">
        <v>42751</v>
      </c>
      <c r="B258" s="15">
        <v>595.22</v>
      </c>
      <c r="C258" s="15"/>
      <c r="D258" s="15">
        <v>10478.19</v>
      </c>
      <c r="E258" s="16">
        <v>42751</v>
      </c>
      <c r="F258" s="17" t="s">
        <v>25</v>
      </c>
    </row>
    <row r="259" spans="1:6">
      <c r="A259" s="13">
        <v>42752</v>
      </c>
      <c r="B259" s="15">
        <v>594.48</v>
      </c>
      <c r="C259" s="15"/>
      <c r="D259" s="15">
        <v>10471.94</v>
      </c>
      <c r="E259" s="16">
        <v>42752</v>
      </c>
      <c r="F259" s="17" t="s">
        <v>25</v>
      </c>
    </row>
    <row r="260" spans="1:6">
      <c r="A260" s="13">
        <v>42753</v>
      </c>
      <c r="B260" s="15">
        <v>598.62</v>
      </c>
      <c r="C260" s="15"/>
      <c r="D260" s="15">
        <v>10508.63</v>
      </c>
      <c r="E260" s="16">
        <v>42753</v>
      </c>
      <c r="F260" s="17" t="s">
        <v>25</v>
      </c>
    </row>
    <row r="261" spans="1:6">
      <c r="A261" s="13">
        <v>42754</v>
      </c>
      <c r="B261" s="15">
        <v>599.92999999999995</v>
      </c>
      <c r="C261" s="15"/>
      <c r="D261" s="15">
        <v>10536.59</v>
      </c>
      <c r="E261" s="16">
        <v>42754</v>
      </c>
      <c r="F261" s="17" t="s">
        <v>25</v>
      </c>
    </row>
    <row r="262" spans="1:6">
      <c r="A262" s="13">
        <v>42755</v>
      </c>
      <c r="B262" s="15">
        <v>593.54999999999995</v>
      </c>
      <c r="C262" s="15"/>
      <c r="D262" s="15">
        <v>10413.709999999999</v>
      </c>
      <c r="E262" s="16">
        <v>42755</v>
      </c>
      <c r="F262" s="17" t="s">
        <v>25</v>
      </c>
    </row>
    <row r="263" spans="1:6">
      <c r="A263" s="13">
        <v>42758</v>
      </c>
      <c r="B263" s="15">
        <v>597.65</v>
      </c>
      <c r="C263" s="15"/>
      <c r="D263" s="15">
        <v>10472.14</v>
      </c>
      <c r="E263" s="16">
        <v>42758</v>
      </c>
      <c r="F263" s="17" t="s">
        <v>25</v>
      </c>
    </row>
    <row r="264" spans="1:6">
      <c r="A264" s="13">
        <v>42759</v>
      </c>
      <c r="B264" s="15">
        <v>603.76</v>
      </c>
      <c r="C264" s="15"/>
      <c r="D264" s="15">
        <v>10577.27</v>
      </c>
      <c r="E264" s="16">
        <v>42759</v>
      </c>
      <c r="F264" s="17" t="s">
        <v>25</v>
      </c>
    </row>
    <row r="265" spans="1:6">
      <c r="A265" s="13">
        <v>42760</v>
      </c>
      <c r="B265" s="15">
        <v>612.39</v>
      </c>
      <c r="C265" s="15"/>
      <c r="D265" s="15">
        <v>10725.46</v>
      </c>
      <c r="E265" s="16">
        <v>42760</v>
      </c>
      <c r="F265" s="17" t="s">
        <v>25</v>
      </c>
    </row>
    <row r="266" spans="1:6">
      <c r="A266" s="13">
        <v>42762</v>
      </c>
      <c r="B266" s="15">
        <v>614.91</v>
      </c>
      <c r="C266" s="15"/>
      <c r="D266" s="15">
        <v>10779.67</v>
      </c>
      <c r="E266" s="16">
        <v>42762</v>
      </c>
      <c r="F266" s="17" t="s">
        <v>25</v>
      </c>
    </row>
    <row r="267" spans="1:6">
      <c r="A267" s="13">
        <v>42765</v>
      </c>
      <c r="B267" s="15">
        <v>614.1</v>
      </c>
      <c r="C267" s="15"/>
      <c r="D267" s="15">
        <v>10775.29</v>
      </c>
      <c r="E267" s="16">
        <v>42765</v>
      </c>
      <c r="F267" s="17" t="s">
        <v>25</v>
      </c>
    </row>
    <row r="268" spans="1:6">
      <c r="A268" s="13">
        <v>42766</v>
      </c>
      <c r="B268" s="15">
        <v>606.97</v>
      </c>
      <c r="C268" s="15"/>
      <c r="D268" s="15">
        <v>10670.2</v>
      </c>
      <c r="E268" s="16">
        <v>42766</v>
      </c>
      <c r="F268" s="17" t="s">
        <v>25</v>
      </c>
    </row>
    <row r="269" spans="1:6">
      <c r="A269" s="13">
        <v>42767</v>
      </c>
      <c r="B269" s="15">
        <v>617.19000000000005</v>
      </c>
      <c r="C269" s="15"/>
      <c r="D269" s="15">
        <v>10868.73</v>
      </c>
      <c r="E269" s="16">
        <v>42767</v>
      </c>
      <c r="F269" s="17" t="s">
        <v>25</v>
      </c>
    </row>
    <row r="270" spans="1:6">
      <c r="A270" s="13">
        <v>42768</v>
      </c>
      <c r="B270" s="15">
        <v>622.01</v>
      </c>
      <c r="C270" s="15"/>
      <c r="D270" s="15">
        <v>10915.2</v>
      </c>
      <c r="E270" s="16">
        <v>42768</v>
      </c>
      <c r="F270" s="17" t="s">
        <v>25</v>
      </c>
    </row>
    <row r="271" spans="1:6">
      <c r="A271" s="13">
        <v>42769</v>
      </c>
      <c r="B271" s="15">
        <v>623.72</v>
      </c>
      <c r="C271" s="15"/>
      <c r="D271" s="15">
        <v>10948.16</v>
      </c>
      <c r="E271" s="16">
        <v>42769</v>
      </c>
      <c r="F271" s="17" t="s">
        <v>25</v>
      </c>
    </row>
    <row r="272" spans="1:6">
      <c r="A272" s="13">
        <v>42772</v>
      </c>
      <c r="B272" s="15">
        <v>627.17999999999995</v>
      </c>
      <c r="C272" s="15"/>
      <c r="D272" s="15">
        <v>11032.65</v>
      </c>
      <c r="E272" s="16">
        <v>42772</v>
      </c>
      <c r="F272" s="17" t="s">
        <v>25</v>
      </c>
    </row>
    <row r="273" spans="1:6">
      <c r="A273" s="13">
        <v>42773</v>
      </c>
      <c r="B273" s="15">
        <v>625.45000000000005</v>
      </c>
      <c r="C273" s="15"/>
      <c r="D273" s="15">
        <v>10997.99</v>
      </c>
      <c r="E273" s="16">
        <v>42773</v>
      </c>
      <c r="F273" s="17" t="s">
        <v>25</v>
      </c>
    </row>
    <row r="274" spans="1:6">
      <c r="A274" s="13">
        <v>42774</v>
      </c>
      <c r="B274" s="15">
        <v>627.52</v>
      </c>
      <c r="C274" s="15"/>
      <c r="D274" s="15">
        <v>11014.74</v>
      </c>
      <c r="E274" s="16">
        <v>42774</v>
      </c>
      <c r="F274" s="17" t="s">
        <v>25</v>
      </c>
    </row>
    <row r="275" spans="1:6">
      <c r="A275" s="13">
        <v>42775</v>
      </c>
      <c r="B275" s="15">
        <v>627.37</v>
      </c>
      <c r="C275" s="15"/>
      <c r="D275" s="15">
        <v>11031.66</v>
      </c>
      <c r="E275" s="16">
        <v>42775</v>
      </c>
      <c r="F275" s="17" t="s">
        <v>25</v>
      </c>
    </row>
    <row r="276" spans="1:6">
      <c r="A276" s="13">
        <v>42776</v>
      </c>
      <c r="B276" s="15">
        <v>626.98</v>
      </c>
      <c r="C276" s="15"/>
      <c r="D276" s="15">
        <v>11042.84</v>
      </c>
      <c r="E276" s="16">
        <v>42776</v>
      </c>
      <c r="F276" s="17" t="s">
        <v>25</v>
      </c>
    </row>
    <row r="277" spans="1:6">
      <c r="A277" s="13">
        <v>42779</v>
      </c>
      <c r="B277" s="15">
        <v>627.04</v>
      </c>
      <c r="C277" s="15"/>
      <c r="D277" s="15">
        <v>11036.99</v>
      </c>
      <c r="E277" s="16">
        <v>42779</v>
      </c>
      <c r="F277" s="17" t="s">
        <v>25</v>
      </c>
    </row>
    <row r="278" spans="1:6">
      <c r="A278" s="13">
        <v>42780</v>
      </c>
      <c r="B278" s="15">
        <v>623.61</v>
      </c>
      <c r="C278" s="15"/>
      <c r="D278" s="15">
        <v>11005.75</v>
      </c>
      <c r="E278" s="16">
        <v>42780</v>
      </c>
      <c r="F278" s="17" t="s">
        <v>25</v>
      </c>
    </row>
    <row r="279" spans="1:6">
      <c r="A279" s="13">
        <v>42781</v>
      </c>
      <c r="B279" s="15">
        <v>616.20000000000005</v>
      </c>
      <c r="C279" s="15"/>
      <c r="D279" s="15">
        <v>10900.89</v>
      </c>
      <c r="E279" s="16">
        <v>42781</v>
      </c>
      <c r="F279" s="17" t="s">
        <v>25</v>
      </c>
    </row>
    <row r="280" spans="1:6">
      <c r="A280" s="13">
        <v>42782</v>
      </c>
      <c r="B280" s="15">
        <v>624.41999999999996</v>
      </c>
      <c r="C280" s="15"/>
      <c r="D280" s="15">
        <v>10999.92</v>
      </c>
      <c r="E280" s="16">
        <v>42782</v>
      </c>
      <c r="F280" s="17" t="s">
        <v>25</v>
      </c>
    </row>
    <row r="281" spans="1:6">
      <c r="A281" s="13">
        <v>42783</v>
      </c>
      <c r="B281" s="15">
        <v>628.09</v>
      </c>
      <c r="C281" s="15"/>
      <c r="D281" s="15">
        <v>11056.01</v>
      </c>
      <c r="E281" s="16">
        <v>42783</v>
      </c>
      <c r="F281" s="17" t="s">
        <v>25</v>
      </c>
    </row>
    <row r="282" spans="1:6">
      <c r="A282" s="13">
        <v>42786</v>
      </c>
      <c r="B282" s="15">
        <v>632.55999999999995</v>
      </c>
      <c r="C282" s="15"/>
      <c r="D282" s="15">
        <v>11133.95</v>
      </c>
      <c r="E282" s="16">
        <v>42786</v>
      </c>
      <c r="F282" s="17" t="s">
        <v>25</v>
      </c>
    </row>
    <row r="283" spans="1:6">
      <c r="A283" s="13">
        <v>42787</v>
      </c>
      <c r="B283" s="15">
        <v>634.70000000000005</v>
      </c>
      <c r="C283" s="15"/>
      <c r="D283" s="15">
        <v>11182.31</v>
      </c>
      <c r="E283" s="16">
        <v>42787</v>
      </c>
      <c r="F283" s="17" t="s">
        <v>25</v>
      </c>
    </row>
    <row r="284" spans="1:6">
      <c r="A284" s="13">
        <v>42788</v>
      </c>
      <c r="B284" s="15">
        <v>631.71</v>
      </c>
      <c r="C284" s="15"/>
      <c r="D284" s="15">
        <v>11177.66</v>
      </c>
      <c r="E284" s="16">
        <v>42788</v>
      </c>
      <c r="F284" s="17" t="s">
        <v>25</v>
      </c>
    </row>
    <row r="285" spans="1:6">
      <c r="A285" s="13">
        <v>42789</v>
      </c>
      <c r="B285" s="15">
        <v>630.44000000000005</v>
      </c>
      <c r="C285" s="15"/>
      <c r="D285" s="15">
        <v>11189.57</v>
      </c>
      <c r="E285" s="16">
        <v>42789</v>
      </c>
      <c r="F285" s="17" t="s">
        <v>25</v>
      </c>
    </row>
    <row r="286" spans="1:6">
      <c r="A286" s="13">
        <v>42793</v>
      </c>
      <c r="B286" s="15">
        <v>625.84</v>
      </c>
      <c r="C286" s="15"/>
      <c r="D286" s="15">
        <v>11157.3</v>
      </c>
      <c r="E286" s="16">
        <v>42793</v>
      </c>
      <c r="F286" s="17" t="s">
        <v>25</v>
      </c>
    </row>
    <row r="287" spans="1:6">
      <c r="A287" s="13">
        <v>42794</v>
      </c>
      <c r="B287" s="15">
        <v>627.23</v>
      </c>
      <c r="C287" s="15"/>
      <c r="D287" s="15">
        <v>11163.37</v>
      </c>
      <c r="E287" s="16">
        <v>42794</v>
      </c>
      <c r="F287" s="17" t="s">
        <v>25</v>
      </c>
    </row>
    <row r="288" spans="1:6">
      <c r="A288" s="13">
        <v>42795</v>
      </c>
      <c r="B288" s="15">
        <v>630.5</v>
      </c>
      <c r="C288" s="15"/>
      <c r="D288" s="15">
        <v>11231.97</v>
      </c>
      <c r="E288" s="16">
        <v>42795</v>
      </c>
      <c r="F288" s="17" t="s">
        <v>25</v>
      </c>
    </row>
    <row r="289" spans="1:6">
      <c r="A289" s="13">
        <v>42796</v>
      </c>
      <c r="B289" s="15">
        <v>625.35</v>
      </c>
      <c r="C289" s="15"/>
      <c r="D289" s="15">
        <v>11140.72</v>
      </c>
      <c r="E289" s="16">
        <v>42796</v>
      </c>
      <c r="F289" s="17" t="s">
        <v>25</v>
      </c>
    </row>
    <row r="290" spans="1:6">
      <c r="A290" s="13">
        <v>42797</v>
      </c>
      <c r="B290" s="15">
        <v>625.62</v>
      </c>
      <c r="C290" s="15"/>
      <c r="D290" s="15">
        <v>11147.38</v>
      </c>
      <c r="E290" s="16">
        <v>42797</v>
      </c>
      <c r="F290" s="17" t="s">
        <v>25</v>
      </c>
    </row>
    <row r="291" spans="1:6">
      <c r="A291" s="13">
        <v>42800</v>
      </c>
      <c r="B291" s="15">
        <v>628.26</v>
      </c>
      <c r="C291" s="15"/>
      <c r="D291" s="15">
        <v>11218.67</v>
      </c>
      <c r="E291" s="16">
        <v>42800</v>
      </c>
      <c r="F291" s="17" t="s">
        <v>25</v>
      </c>
    </row>
    <row r="292" spans="1:6">
      <c r="A292" s="13">
        <v>42801</v>
      </c>
      <c r="B292" s="15">
        <v>626.85</v>
      </c>
      <c r="C292" s="15"/>
      <c r="D292" s="15">
        <v>11204.1</v>
      </c>
      <c r="E292" s="16">
        <v>42801</v>
      </c>
      <c r="F292" s="17" t="s">
        <v>25</v>
      </c>
    </row>
    <row r="293" spans="1:6">
      <c r="A293" s="13">
        <v>42802</v>
      </c>
      <c r="B293" s="15">
        <v>623.73</v>
      </c>
      <c r="C293" s="15"/>
      <c r="D293" s="15">
        <v>11168.88</v>
      </c>
      <c r="E293" s="16">
        <v>42802</v>
      </c>
      <c r="F293" s="17" t="s">
        <v>25</v>
      </c>
    </row>
    <row r="294" spans="1:6">
      <c r="A294" s="13">
        <v>42803</v>
      </c>
      <c r="B294" s="15">
        <v>623.59</v>
      </c>
      <c r="C294" s="15"/>
      <c r="D294" s="15">
        <v>11168.88</v>
      </c>
      <c r="E294" s="16">
        <v>42803</v>
      </c>
      <c r="F294" s="17" t="s">
        <v>25</v>
      </c>
    </row>
    <row r="295" spans="1:6">
      <c r="A295" s="13">
        <v>42804</v>
      </c>
      <c r="B295" s="15">
        <v>622.04</v>
      </c>
      <c r="C295" s="15"/>
      <c r="D295" s="15">
        <v>11170.2</v>
      </c>
      <c r="E295" s="16">
        <v>42804</v>
      </c>
      <c r="F295" s="17" t="s">
        <v>25</v>
      </c>
    </row>
    <row r="296" spans="1:6">
      <c r="A296" s="13">
        <v>42808</v>
      </c>
      <c r="B296" s="15">
        <v>630.87</v>
      </c>
      <c r="C296" s="15"/>
      <c r="D296" s="15">
        <v>11356.47</v>
      </c>
      <c r="E296" s="16">
        <v>42808</v>
      </c>
      <c r="F296" s="17" t="s">
        <v>25</v>
      </c>
    </row>
    <row r="297" spans="1:6">
      <c r="A297" s="13">
        <v>42809</v>
      </c>
      <c r="B297" s="15">
        <v>635.01</v>
      </c>
      <c r="C297" s="15"/>
      <c r="D297" s="15">
        <v>11384.1</v>
      </c>
      <c r="E297" s="16">
        <v>42809</v>
      </c>
      <c r="F297" s="17" t="s">
        <v>25</v>
      </c>
    </row>
    <row r="298" spans="1:6">
      <c r="A298" s="13">
        <v>42810</v>
      </c>
      <c r="B298" s="15">
        <v>641.89</v>
      </c>
      <c r="C298" s="15"/>
      <c r="D298" s="15">
        <v>11493.89</v>
      </c>
      <c r="E298" s="16">
        <v>42810</v>
      </c>
      <c r="F298" s="17" t="s">
        <v>25</v>
      </c>
    </row>
    <row r="299" spans="1:6">
      <c r="A299" s="13">
        <v>42811</v>
      </c>
      <c r="B299" s="15">
        <v>640.95000000000005</v>
      </c>
      <c r="C299" s="15"/>
      <c r="D299" s="15">
        <v>11500.51</v>
      </c>
      <c r="E299" s="16">
        <v>42811</v>
      </c>
      <c r="F299" s="17" t="s">
        <v>25</v>
      </c>
    </row>
    <row r="300" spans="1:6">
      <c r="A300" s="13">
        <v>42814</v>
      </c>
      <c r="B300" s="15">
        <v>639.89</v>
      </c>
      <c r="C300" s="15"/>
      <c r="D300" s="15">
        <v>11479.48</v>
      </c>
      <c r="E300" s="16">
        <v>42814</v>
      </c>
      <c r="F300" s="17" t="s">
        <v>25</v>
      </c>
    </row>
    <row r="301" spans="1:6">
      <c r="A301" s="13">
        <v>42815</v>
      </c>
      <c r="B301" s="15">
        <v>638.42999999999995</v>
      </c>
      <c r="C301" s="15"/>
      <c r="D301" s="15">
        <v>11465.92</v>
      </c>
      <c r="E301" s="16">
        <v>42815</v>
      </c>
      <c r="F301" s="17" t="s">
        <v>25</v>
      </c>
    </row>
    <row r="302" spans="1:6">
      <c r="A302" s="13">
        <v>42816</v>
      </c>
      <c r="B302" s="15">
        <v>633.34</v>
      </c>
      <c r="C302" s="15"/>
      <c r="D302" s="15">
        <v>11351.31</v>
      </c>
      <c r="E302" s="16">
        <v>42816</v>
      </c>
      <c r="F302" s="17" t="s">
        <v>25</v>
      </c>
    </row>
    <row r="303" spans="1:6">
      <c r="A303" s="13">
        <v>42817</v>
      </c>
      <c r="B303" s="15">
        <v>638.67999999999995</v>
      </c>
      <c r="C303" s="15"/>
      <c r="D303" s="15">
        <v>11432.1</v>
      </c>
      <c r="E303" s="16">
        <v>42817</v>
      </c>
      <c r="F303" s="17" t="s">
        <v>25</v>
      </c>
    </row>
    <row r="304" spans="1:6">
      <c r="A304" s="13">
        <v>42818</v>
      </c>
      <c r="B304" s="15">
        <v>638.79999999999995</v>
      </c>
      <c r="C304" s="15"/>
      <c r="D304" s="15">
        <v>11463.91</v>
      </c>
      <c r="E304" s="16">
        <v>42818</v>
      </c>
      <c r="F304" s="17" t="s">
        <v>25</v>
      </c>
    </row>
    <row r="305" spans="1:6">
      <c r="A305" s="13">
        <v>42821</v>
      </c>
      <c r="B305" s="15">
        <v>636.08000000000004</v>
      </c>
      <c r="C305" s="15"/>
      <c r="D305" s="15">
        <v>11406.27</v>
      </c>
      <c r="E305" s="16">
        <v>42821</v>
      </c>
      <c r="F305" s="17" t="s">
        <v>25</v>
      </c>
    </row>
    <row r="306" spans="1:6">
      <c r="A306" s="13">
        <v>42822</v>
      </c>
      <c r="B306" s="15">
        <v>640.61</v>
      </c>
      <c r="C306" s="15"/>
      <c r="D306" s="15">
        <v>11474.13</v>
      </c>
      <c r="E306" s="16">
        <v>42822</v>
      </c>
      <c r="F306" s="17" t="s">
        <v>25</v>
      </c>
    </row>
    <row r="307" spans="1:6">
      <c r="A307" s="13">
        <v>42823</v>
      </c>
      <c r="B307" s="15">
        <v>644.27</v>
      </c>
      <c r="C307" s="15"/>
      <c r="D307" s="15">
        <v>11524</v>
      </c>
      <c r="E307" s="16">
        <v>42823</v>
      </c>
      <c r="F307" s="17" t="s">
        <v>25</v>
      </c>
    </row>
    <row r="308" spans="1:6">
      <c r="A308" s="13">
        <v>42824</v>
      </c>
      <c r="B308" s="15">
        <v>646.63</v>
      </c>
      <c r="C308" s="15"/>
      <c r="D308" s="15">
        <v>11570.97</v>
      </c>
      <c r="E308" s="16">
        <v>42824</v>
      </c>
      <c r="F308" s="17" t="s">
        <v>25</v>
      </c>
    </row>
    <row r="309" spans="1:6">
      <c r="A309" s="13">
        <v>42825</v>
      </c>
      <c r="B309" s="15">
        <v>648.96</v>
      </c>
      <c r="C309" s="15"/>
      <c r="D309" s="15">
        <v>11598.65</v>
      </c>
      <c r="E309" s="16">
        <v>42825</v>
      </c>
      <c r="F309" s="17" t="s">
        <v>25</v>
      </c>
    </row>
    <row r="310" spans="1:6">
      <c r="A310" s="13">
        <v>42828</v>
      </c>
      <c r="B310" s="15">
        <v>650.54999999999995</v>
      </c>
      <c r="C310" s="15"/>
      <c r="D310" s="15">
        <v>11682.98</v>
      </c>
      <c r="E310" s="16">
        <v>42828</v>
      </c>
      <c r="F310" s="17" t="s">
        <v>25</v>
      </c>
    </row>
    <row r="311" spans="1:6">
      <c r="A311" s="13">
        <v>42830</v>
      </c>
      <c r="B311" s="15">
        <v>653.02</v>
      </c>
      <c r="C311" s="15"/>
      <c r="D311" s="15">
        <v>11743.79</v>
      </c>
      <c r="E311" s="16">
        <v>42830</v>
      </c>
      <c r="F311" s="17" t="s">
        <v>25</v>
      </c>
    </row>
    <row r="312" spans="1:6">
      <c r="A312" s="13">
        <v>42831</v>
      </c>
      <c r="B312" s="15">
        <v>652.76</v>
      </c>
      <c r="C312" s="15"/>
      <c r="D312" s="15">
        <v>11739.48</v>
      </c>
      <c r="E312" s="16">
        <v>42831</v>
      </c>
      <c r="F312" s="17" t="s">
        <v>25</v>
      </c>
    </row>
    <row r="313" spans="1:6">
      <c r="A313" s="13">
        <v>42832</v>
      </c>
      <c r="B313" s="15">
        <v>649.91</v>
      </c>
      <c r="C313" s="15"/>
      <c r="D313" s="15">
        <v>11671.65</v>
      </c>
      <c r="E313" s="16">
        <v>42832</v>
      </c>
      <c r="F313" s="17" t="s">
        <v>25</v>
      </c>
    </row>
    <row r="314" spans="1:6">
      <c r="A314" s="13">
        <v>42835</v>
      </c>
      <c r="B314" s="15">
        <v>652.85</v>
      </c>
      <c r="C314" s="15"/>
      <c r="D314" s="15">
        <v>11681.59</v>
      </c>
      <c r="E314" s="16">
        <v>42835</v>
      </c>
      <c r="F314" s="17" t="s">
        <v>25</v>
      </c>
    </row>
    <row r="315" spans="1:6">
      <c r="A315" s="13">
        <v>42836</v>
      </c>
      <c r="B315" s="15">
        <v>656.61</v>
      </c>
      <c r="C315" s="15"/>
      <c r="D315" s="15">
        <v>11765.69</v>
      </c>
      <c r="E315" s="16">
        <v>42836</v>
      </c>
      <c r="F315" s="17" t="s">
        <v>25</v>
      </c>
    </row>
    <row r="316" spans="1:6">
      <c r="A316" s="13">
        <v>42837</v>
      </c>
      <c r="B316" s="15">
        <v>656.04</v>
      </c>
      <c r="C316" s="15"/>
      <c r="D316" s="15">
        <v>11724.71</v>
      </c>
      <c r="E316" s="16">
        <v>42837</v>
      </c>
      <c r="F316" s="17" t="s">
        <v>25</v>
      </c>
    </row>
    <row r="317" spans="1:6">
      <c r="A317" s="13">
        <v>42838</v>
      </c>
      <c r="B317" s="15">
        <v>651.91999999999996</v>
      </c>
      <c r="C317" s="15"/>
      <c r="D317" s="15">
        <v>11675.47</v>
      </c>
      <c r="E317" s="16">
        <v>42838</v>
      </c>
      <c r="F317" s="17" t="s">
        <v>25</v>
      </c>
    </row>
    <row r="318" spans="1:6">
      <c r="A318" s="13">
        <v>42842</v>
      </c>
      <c r="B318" s="15">
        <v>651.70000000000005</v>
      </c>
      <c r="C318" s="15"/>
      <c r="D318" s="15">
        <v>11672.13</v>
      </c>
      <c r="E318" s="16">
        <v>42842</v>
      </c>
      <c r="F318" s="17" t="s">
        <v>25</v>
      </c>
    </row>
    <row r="319" spans="1:6">
      <c r="A319" s="13">
        <v>42843</v>
      </c>
      <c r="B319" s="15">
        <v>648.52</v>
      </c>
      <c r="C319" s="15"/>
      <c r="D319" s="15">
        <v>11614.85</v>
      </c>
      <c r="E319" s="16">
        <v>42843</v>
      </c>
      <c r="F319" s="17" t="s">
        <v>25</v>
      </c>
    </row>
    <row r="320" spans="1:6">
      <c r="A320" s="13">
        <v>42844</v>
      </c>
      <c r="B320" s="15">
        <v>651.21</v>
      </c>
      <c r="C320" s="15"/>
      <c r="D320" s="15">
        <v>11641.62</v>
      </c>
      <c r="E320" s="16">
        <v>42844</v>
      </c>
      <c r="F320" s="17" t="s">
        <v>25</v>
      </c>
    </row>
    <row r="321" spans="1:6">
      <c r="A321" s="13">
        <v>42845</v>
      </c>
      <c r="B321" s="15">
        <v>653.39</v>
      </c>
      <c r="C321" s="15"/>
      <c r="D321" s="15">
        <v>11702.74</v>
      </c>
      <c r="E321" s="16">
        <v>42845</v>
      </c>
      <c r="F321" s="17" t="s">
        <v>25</v>
      </c>
    </row>
    <row r="322" spans="1:6">
      <c r="A322" s="13">
        <v>42846</v>
      </c>
      <c r="B322" s="15">
        <v>652.70000000000005</v>
      </c>
      <c r="C322" s="15"/>
      <c r="D322" s="15">
        <v>11694.88</v>
      </c>
      <c r="E322" s="16">
        <v>42846</v>
      </c>
      <c r="F322" s="17" t="s">
        <v>25</v>
      </c>
    </row>
    <row r="323" spans="1:6">
      <c r="A323" s="13">
        <v>42849</v>
      </c>
      <c r="B323" s="15">
        <v>657.12</v>
      </c>
      <c r="C323" s="15"/>
      <c r="D323" s="15">
        <v>11810.47</v>
      </c>
      <c r="E323" s="16">
        <v>42849</v>
      </c>
      <c r="F323" s="17" t="s">
        <v>25</v>
      </c>
    </row>
    <row r="324" spans="1:6">
      <c r="A324" s="13">
        <v>42850</v>
      </c>
      <c r="B324" s="15">
        <v>661.67</v>
      </c>
      <c r="C324" s="15"/>
      <c r="D324" s="15">
        <v>11925.74</v>
      </c>
      <c r="E324" s="16">
        <v>42850</v>
      </c>
      <c r="F324" s="17" t="s">
        <v>25</v>
      </c>
    </row>
    <row r="325" spans="1:6">
      <c r="A325" s="13">
        <v>42851</v>
      </c>
      <c r="B325" s="15">
        <v>662.89</v>
      </c>
      <c r="C325" s="15"/>
      <c r="D325" s="15">
        <v>11946.26</v>
      </c>
      <c r="E325" s="16">
        <v>42851</v>
      </c>
      <c r="F325" s="17" t="s">
        <v>25</v>
      </c>
    </row>
    <row r="326" spans="1:6">
      <c r="A326" s="13">
        <v>42852</v>
      </c>
      <c r="B326" s="15">
        <v>663.05</v>
      </c>
      <c r="C326" s="15"/>
      <c r="D326" s="15">
        <v>11933.7</v>
      </c>
      <c r="E326" s="16">
        <v>42852</v>
      </c>
      <c r="F326" s="17" t="s">
        <v>25</v>
      </c>
    </row>
    <row r="327" spans="1:6">
      <c r="A327" s="13">
        <v>42853</v>
      </c>
      <c r="B327" s="15">
        <v>664.61</v>
      </c>
      <c r="C327" s="15"/>
      <c r="D327" s="15">
        <v>11922.34</v>
      </c>
      <c r="E327" s="16">
        <v>42853</v>
      </c>
      <c r="F327" s="17" t="s">
        <v>25</v>
      </c>
    </row>
    <row r="328" spans="1:6">
      <c r="A328" s="13">
        <v>42857</v>
      </c>
      <c r="B328" s="15">
        <v>663.79</v>
      </c>
      <c r="C328" s="15"/>
      <c r="D328" s="15">
        <v>11947.1</v>
      </c>
      <c r="E328" s="16">
        <v>42857</v>
      </c>
      <c r="F328" s="17" t="s">
        <v>25</v>
      </c>
    </row>
    <row r="329" spans="1:6">
      <c r="A329" s="13">
        <v>42858</v>
      </c>
      <c r="B329" s="15">
        <v>663.15</v>
      </c>
      <c r="C329" s="15"/>
      <c r="D329" s="15">
        <v>11941.8</v>
      </c>
      <c r="E329" s="16">
        <v>42858</v>
      </c>
      <c r="F329" s="17" t="s">
        <v>25</v>
      </c>
    </row>
    <row r="330" spans="1:6">
      <c r="A330" s="13">
        <v>42859</v>
      </c>
      <c r="B330" s="15">
        <v>666.19</v>
      </c>
      <c r="C330" s="15"/>
      <c r="D330" s="15">
        <v>11997.73</v>
      </c>
      <c r="E330" s="16">
        <v>42859</v>
      </c>
      <c r="F330" s="17" t="s">
        <v>25</v>
      </c>
    </row>
    <row r="331" spans="1:6">
      <c r="A331" s="13">
        <v>42860</v>
      </c>
      <c r="B331" s="15">
        <v>660.03</v>
      </c>
      <c r="C331" s="15"/>
      <c r="D331" s="15">
        <v>11892.47</v>
      </c>
      <c r="E331" s="16">
        <v>42860</v>
      </c>
      <c r="F331" s="17" t="s">
        <v>25</v>
      </c>
    </row>
    <row r="332" spans="1:6">
      <c r="A332" s="13">
        <v>42863</v>
      </c>
      <c r="B332" s="15">
        <v>662.96</v>
      </c>
      <c r="C332" s="15"/>
      <c r="D332" s="15">
        <v>11940.14</v>
      </c>
      <c r="E332" s="16">
        <v>42863</v>
      </c>
      <c r="F332" s="17" t="s">
        <v>25</v>
      </c>
    </row>
    <row r="333" spans="1:6">
      <c r="A333" s="13">
        <v>42864</v>
      </c>
      <c r="B333" s="15">
        <v>663.86</v>
      </c>
      <c r="C333" s="15"/>
      <c r="D333" s="15">
        <v>11964.28</v>
      </c>
      <c r="E333" s="16">
        <v>42864</v>
      </c>
      <c r="F333" s="17" t="s">
        <v>25</v>
      </c>
    </row>
    <row r="334" spans="1:6">
      <c r="A334" s="13">
        <v>42865</v>
      </c>
      <c r="B334" s="15">
        <v>668.87</v>
      </c>
      <c r="C334" s="15"/>
      <c r="D334" s="15">
        <v>12076.74</v>
      </c>
      <c r="E334" s="16">
        <v>42865</v>
      </c>
      <c r="F334" s="17" t="s">
        <v>25</v>
      </c>
    </row>
    <row r="335" spans="1:6">
      <c r="A335" s="13">
        <v>42866</v>
      </c>
      <c r="B335" s="15">
        <v>671.93</v>
      </c>
      <c r="C335" s="15"/>
      <c r="D335" s="15">
        <v>12092.44</v>
      </c>
      <c r="E335" s="16">
        <v>42866</v>
      </c>
      <c r="F335" s="17" t="s">
        <v>25</v>
      </c>
    </row>
    <row r="336" spans="1:6">
      <c r="A336" s="13">
        <v>42867</v>
      </c>
      <c r="B336" s="15">
        <v>668.65</v>
      </c>
      <c r="C336" s="15"/>
      <c r="D336" s="15">
        <v>12046.33</v>
      </c>
      <c r="E336" s="16">
        <v>42867</v>
      </c>
      <c r="F336" s="17" t="s">
        <v>25</v>
      </c>
    </row>
    <row r="337" spans="1:6">
      <c r="A337" s="13">
        <v>42870</v>
      </c>
      <c r="B337" s="15">
        <v>673.92</v>
      </c>
      <c r="C337" s="15"/>
      <c r="D337" s="15">
        <v>12121.96</v>
      </c>
      <c r="E337" s="16">
        <v>42870</v>
      </c>
      <c r="F337" s="17" t="s">
        <v>25</v>
      </c>
    </row>
    <row r="338" spans="1:6">
      <c r="A338" s="13">
        <v>42871</v>
      </c>
      <c r="B338" s="15">
        <v>677.2</v>
      </c>
      <c r="C338" s="15"/>
      <c r="D338" s="15">
        <v>12191.44</v>
      </c>
      <c r="E338" s="16">
        <v>42871</v>
      </c>
      <c r="F338" s="17" t="s">
        <v>25</v>
      </c>
    </row>
    <row r="339" spans="1:6">
      <c r="A339" s="13">
        <v>42872</v>
      </c>
      <c r="B339" s="15">
        <v>677.7</v>
      </c>
      <c r="C339" s="15"/>
      <c r="D339" s="15">
        <v>12188.17</v>
      </c>
      <c r="E339" s="16">
        <v>42872</v>
      </c>
      <c r="F339" s="17" t="s">
        <v>25</v>
      </c>
    </row>
    <row r="340" spans="1:6">
      <c r="A340" s="13">
        <v>42873</v>
      </c>
      <c r="B340" s="15">
        <v>665.96</v>
      </c>
      <c r="C340" s="15"/>
      <c r="D340" s="15">
        <v>12018.6</v>
      </c>
      <c r="E340" s="16">
        <v>42873</v>
      </c>
      <c r="F340" s="17" t="s">
        <v>25</v>
      </c>
    </row>
    <row r="341" spans="1:6">
      <c r="A341" s="13">
        <v>42874</v>
      </c>
      <c r="B341" s="15">
        <v>664.23</v>
      </c>
      <c r="C341" s="15"/>
      <c r="D341" s="15">
        <v>11988.17</v>
      </c>
      <c r="E341" s="16">
        <v>42874</v>
      </c>
      <c r="F341" s="17" t="s">
        <v>25</v>
      </c>
    </row>
    <row r="342" spans="1:6">
      <c r="A342" s="13">
        <v>42877</v>
      </c>
      <c r="B342" s="15">
        <v>661.2</v>
      </c>
      <c r="C342" s="15"/>
      <c r="D342" s="15">
        <v>11954.78</v>
      </c>
      <c r="E342" s="16">
        <v>42877</v>
      </c>
      <c r="F342" s="17" t="s">
        <v>25</v>
      </c>
    </row>
    <row r="343" spans="1:6">
      <c r="A343" s="13">
        <v>42878</v>
      </c>
      <c r="B343" s="15">
        <v>657.7</v>
      </c>
      <c r="C343" s="15"/>
      <c r="D343" s="15">
        <v>11844.6</v>
      </c>
      <c r="E343" s="16">
        <v>42878</v>
      </c>
      <c r="F343" s="17" t="s">
        <v>25</v>
      </c>
    </row>
    <row r="344" spans="1:6">
      <c r="A344" s="13">
        <v>42879</v>
      </c>
      <c r="B344" s="15">
        <v>651.74</v>
      </c>
      <c r="C344" s="15"/>
      <c r="D344" s="15">
        <v>11769.11</v>
      </c>
      <c r="E344" s="16">
        <v>42879</v>
      </c>
      <c r="F344" s="17" t="s">
        <v>25</v>
      </c>
    </row>
    <row r="345" spans="1:6">
      <c r="A345" s="13">
        <v>42880</v>
      </c>
      <c r="B345" s="15">
        <v>660.59</v>
      </c>
      <c r="C345" s="15"/>
      <c r="D345" s="15">
        <v>11954.04</v>
      </c>
      <c r="E345" s="16">
        <v>42880</v>
      </c>
      <c r="F345" s="17" t="s">
        <v>25</v>
      </c>
    </row>
    <row r="346" spans="1:6">
      <c r="A346" s="13">
        <v>42881</v>
      </c>
      <c r="B346" s="15">
        <v>669.18</v>
      </c>
      <c r="C346" s="15"/>
      <c r="D346" s="15">
        <v>12098.08</v>
      </c>
      <c r="E346" s="16">
        <v>42881</v>
      </c>
      <c r="F346" s="17" t="s">
        <v>25</v>
      </c>
    </row>
    <row r="347" spans="1:6">
      <c r="A347" s="13">
        <v>42884</v>
      </c>
      <c r="B347" s="15">
        <v>666.99</v>
      </c>
      <c r="C347" s="15"/>
      <c r="D347" s="15">
        <v>12052.09</v>
      </c>
      <c r="E347" s="16">
        <v>42884</v>
      </c>
      <c r="F347" s="17" t="s">
        <v>25</v>
      </c>
    </row>
    <row r="348" spans="1:6">
      <c r="A348" s="13">
        <v>42885</v>
      </c>
      <c r="B348" s="15">
        <v>671.11</v>
      </c>
      <c r="C348" s="15"/>
      <c r="D348" s="15">
        <v>12094.79</v>
      </c>
      <c r="E348" s="16">
        <v>42885</v>
      </c>
      <c r="F348" s="17" t="s">
        <v>25</v>
      </c>
    </row>
    <row r="349" spans="1:6">
      <c r="A349" s="13">
        <v>42886</v>
      </c>
      <c r="B349" s="15">
        <v>673.95</v>
      </c>
      <c r="C349" s="15"/>
      <c r="D349" s="15">
        <v>12126.76</v>
      </c>
      <c r="E349" s="16">
        <v>42886</v>
      </c>
      <c r="F349" s="17" t="s">
        <v>25</v>
      </c>
    </row>
    <row r="350" spans="1:6">
      <c r="A350" s="13">
        <v>42887</v>
      </c>
      <c r="B350" s="15">
        <v>674.43</v>
      </c>
      <c r="C350" s="15"/>
      <c r="D350" s="15">
        <v>12156.89</v>
      </c>
      <c r="E350" s="16">
        <v>42887</v>
      </c>
      <c r="F350" s="17" t="s">
        <v>25</v>
      </c>
    </row>
    <row r="351" spans="1:6">
      <c r="A351" s="13">
        <v>42888</v>
      </c>
      <c r="B351" s="15">
        <v>676.88</v>
      </c>
      <c r="C351" s="15"/>
      <c r="D351" s="15">
        <v>12214.27</v>
      </c>
      <c r="E351" s="16">
        <v>42888</v>
      </c>
      <c r="F351" s="17" t="s">
        <v>25</v>
      </c>
    </row>
    <row r="352" spans="1:6">
      <c r="A352" s="13">
        <v>42891</v>
      </c>
      <c r="B352" s="15">
        <v>679.34</v>
      </c>
      <c r="C352" s="15"/>
      <c r="D352" s="15">
        <v>12265.94</v>
      </c>
      <c r="E352" s="16">
        <v>42891</v>
      </c>
      <c r="F352" s="17" t="s">
        <v>25</v>
      </c>
    </row>
    <row r="353" spans="1:6">
      <c r="A353" s="13">
        <v>42892</v>
      </c>
      <c r="B353" s="15">
        <v>675.95</v>
      </c>
      <c r="C353" s="15"/>
      <c r="D353" s="15">
        <v>12209.99</v>
      </c>
      <c r="E353" s="16">
        <v>42892</v>
      </c>
      <c r="F353" s="17" t="s">
        <v>25</v>
      </c>
    </row>
    <row r="354" spans="1:6">
      <c r="A354" s="13">
        <v>42893</v>
      </c>
      <c r="B354" s="15">
        <v>678.14</v>
      </c>
      <c r="C354" s="15"/>
      <c r="D354" s="15">
        <v>12259.86</v>
      </c>
      <c r="E354" s="16">
        <v>42893</v>
      </c>
      <c r="F354" s="17" t="s">
        <v>25</v>
      </c>
    </row>
    <row r="355" spans="1:6">
      <c r="A355" s="13">
        <v>42894</v>
      </c>
      <c r="B355" s="15">
        <v>678.34</v>
      </c>
      <c r="C355" s="15"/>
      <c r="D355" s="15">
        <v>12256.91</v>
      </c>
      <c r="E355" s="16">
        <v>42894</v>
      </c>
      <c r="F355" s="17" t="s">
        <v>25</v>
      </c>
    </row>
    <row r="356" spans="1:6">
      <c r="A356" s="13">
        <v>42895</v>
      </c>
      <c r="B356" s="15">
        <v>682.02</v>
      </c>
      <c r="C356" s="15"/>
      <c r="D356" s="15">
        <v>12291.31</v>
      </c>
      <c r="E356" s="16">
        <v>42895</v>
      </c>
      <c r="F356" s="17" t="s">
        <v>25</v>
      </c>
    </row>
    <row r="357" spans="1:6">
      <c r="A357" s="13">
        <v>42898</v>
      </c>
      <c r="B357" s="15">
        <v>679.34</v>
      </c>
      <c r="C357" s="15"/>
      <c r="D357" s="15">
        <v>12227.81</v>
      </c>
      <c r="E357" s="16">
        <v>42898</v>
      </c>
      <c r="F357" s="17" t="s">
        <v>25</v>
      </c>
    </row>
    <row r="358" spans="1:6">
      <c r="A358" s="13">
        <v>42899</v>
      </c>
      <c r="B358" s="15">
        <v>680.36</v>
      </c>
      <c r="C358" s="15"/>
      <c r="D358" s="15">
        <v>12230.1</v>
      </c>
      <c r="E358" s="16">
        <v>42899</v>
      </c>
      <c r="F358" s="17" t="s">
        <v>25</v>
      </c>
    </row>
    <row r="359" spans="1:6">
      <c r="A359" s="13">
        <v>42900</v>
      </c>
      <c r="B359" s="15">
        <v>679.42</v>
      </c>
      <c r="C359" s="15"/>
      <c r="D359" s="15">
        <v>12248.8</v>
      </c>
      <c r="E359" s="16">
        <v>42900</v>
      </c>
      <c r="F359" s="17" t="s">
        <v>25</v>
      </c>
    </row>
    <row r="360" spans="1:6">
      <c r="A360" s="13">
        <v>42901</v>
      </c>
      <c r="B360" s="15">
        <v>678.95</v>
      </c>
      <c r="C360" s="15"/>
      <c r="D360" s="15">
        <v>12219.65</v>
      </c>
      <c r="E360" s="16">
        <v>42901</v>
      </c>
      <c r="F360" s="17" t="s">
        <v>25</v>
      </c>
    </row>
    <row r="361" spans="1:6">
      <c r="A361" s="13">
        <v>42902</v>
      </c>
      <c r="B361" s="15">
        <v>679.82</v>
      </c>
      <c r="C361" s="15"/>
      <c r="D361" s="15">
        <v>12236.16</v>
      </c>
      <c r="E361" s="16">
        <v>42902</v>
      </c>
      <c r="F361" s="17" t="s">
        <v>25</v>
      </c>
    </row>
    <row r="362" spans="1:6">
      <c r="A362" s="13">
        <v>42905</v>
      </c>
      <c r="B362" s="15">
        <v>683.09</v>
      </c>
      <c r="C362" s="15"/>
      <c r="D362" s="15">
        <v>12296.81</v>
      </c>
      <c r="E362" s="16">
        <v>42905</v>
      </c>
      <c r="F362" s="17" t="s">
        <v>25</v>
      </c>
    </row>
    <row r="363" spans="1:6">
      <c r="A363" s="13">
        <v>42906</v>
      </c>
      <c r="B363" s="15">
        <v>684.86</v>
      </c>
      <c r="C363" s="15"/>
      <c r="D363" s="15">
        <v>12301.38</v>
      </c>
      <c r="E363" s="16">
        <v>42906</v>
      </c>
      <c r="F363" s="17" t="s">
        <v>25</v>
      </c>
    </row>
    <row r="364" spans="1:6">
      <c r="A364" s="13">
        <v>42907</v>
      </c>
      <c r="B364" s="15">
        <v>684.29</v>
      </c>
      <c r="C364" s="15"/>
      <c r="D364" s="15">
        <v>12286.83</v>
      </c>
      <c r="E364" s="16">
        <v>42907</v>
      </c>
      <c r="F364" s="17" t="s">
        <v>25</v>
      </c>
    </row>
    <row r="365" spans="1:6">
      <c r="A365" s="13">
        <v>42908</v>
      </c>
      <c r="B365" s="15">
        <v>681.8</v>
      </c>
      <c r="C365" s="15"/>
      <c r="D365" s="15">
        <v>12260.64</v>
      </c>
      <c r="E365" s="16">
        <v>42908</v>
      </c>
      <c r="F365" s="17" t="s">
        <v>25</v>
      </c>
    </row>
    <row r="366" spans="1:6">
      <c r="A366" s="13">
        <v>42909</v>
      </c>
      <c r="B366" s="15">
        <v>676.54</v>
      </c>
      <c r="C366" s="15"/>
      <c r="D366" s="15">
        <v>12160.56</v>
      </c>
      <c r="E366" s="16">
        <v>42909</v>
      </c>
      <c r="F366" s="17" t="s">
        <v>25</v>
      </c>
    </row>
    <row r="367" spans="1:6">
      <c r="A367" s="13">
        <v>42913</v>
      </c>
      <c r="B367" s="15">
        <v>672.2</v>
      </c>
      <c r="C367" s="15"/>
      <c r="D367" s="15">
        <v>12059.45</v>
      </c>
      <c r="E367" s="16">
        <v>42913</v>
      </c>
      <c r="F367" s="17" t="s">
        <v>25</v>
      </c>
    </row>
    <row r="368" spans="1:6">
      <c r="A368" s="13">
        <v>42914</v>
      </c>
      <c r="B368" s="15">
        <v>674.57</v>
      </c>
      <c r="C368" s="15"/>
      <c r="D368" s="15">
        <v>12051.07</v>
      </c>
      <c r="E368" s="16">
        <v>42914</v>
      </c>
      <c r="F368" s="17" t="s">
        <v>25</v>
      </c>
    </row>
    <row r="369" spans="1:6">
      <c r="A369" s="13">
        <v>42915</v>
      </c>
      <c r="B369" s="15">
        <v>677.07</v>
      </c>
      <c r="C369" s="15"/>
      <c r="D369" s="15">
        <v>12087.21</v>
      </c>
      <c r="E369" s="16">
        <v>42915</v>
      </c>
      <c r="F369" s="17" t="s">
        <v>25</v>
      </c>
    </row>
    <row r="370" spans="1:6">
      <c r="A370" s="13">
        <v>42916</v>
      </c>
      <c r="B370" s="15">
        <v>680.27</v>
      </c>
      <c r="C370" s="15"/>
      <c r="D370" s="15">
        <v>12132.6</v>
      </c>
      <c r="E370" s="16">
        <v>42916</v>
      </c>
      <c r="F370" s="17" t="s">
        <v>25</v>
      </c>
    </row>
    <row r="371" spans="1:6">
      <c r="A371" s="13">
        <v>42919</v>
      </c>
      <c r="B371" s="15">
        <v>686.31</v>
      </c>
      <c r="C371" s="15"/>
      <c r="D371" s="15">
        <v>12256.67</v>
      </c>
      <c r="E371" s="16">
        <v>42919</v>
      </c>
      <c r="F371" s="17" t="s">
        <v>25</v>
      </c>
    </row>
    <row r="372" spans="1:6">
      <c r="A372" s="13">
        <v>42920</v>
      </c>
      <c r="B372" s="15">
        <v>685.27</v>
      </c>
      <c r="C372" s="15"/>
      <c r="D372" s="15">
        <v>12248.5</v>
      </c>
      <c r="E372" s="16">
        <v>42920</v>
      </c>
      <c r="F372" s="17" t="s">
        <v>25</v>
      </c>
    </row>
    <row r="373" spans="1:6">
      <c r="A373" s="13">
        <v>42921</v>
      </c>
      <c r="B373" s="15">
        <v>690.31</v>
      </c>
      <c r="C373" s="15"/>
      <c r="D373" s="15">
        <v>12308.37</v>
      </c>
      <c r="E373" s="16">
        <v>42921</v>
      </c>
      <c r="F373" s="17" t="s">
        <v>25</v>
      </c>
    </row>
    <row r="374" spans="1:6">
      <c r="A374" s="13">
        <v>42922</v>
      </c>
      <c r="B374" s="15">
        <v>691.09</v>
      </c>
      <c r="C374" s="15"/>
      <c r="D374" s="15">
        <v>12357.06</v>
      </c>
      <c r="E374" s="16">
        <v>42922</v>
      </c>
      <c r="F374" s="17" t="s">
        <v>25</v>
      </c>
    </row>
    <row r="375" spans="1:6">
      <c r="A375" s="13">
        <v>42923</v>
      </c>
      <c r="B375" s="15">
        <v>689.84</v>
      </c>
      <c r="C375" s="15"/>
      <c r="D375" s="15">
        <v>12353.92</v>
      </c>
      <c r="E375" s="16">
        <v>42923</v>
      </c>
      <c r="F375" s="17" t="s">
        <v>25</v>
      </c>
    </row>
    <row r="376" spans="1:6">
      <c r="A376" s="13">
        <v>42926</v>
      </c>
      <c r="B376" s="15">
        <v>693.79</v>
      </c>
      <c r="C376" s="15"/>
      <c r="D376" s="15">
        <v>12467.16</v>
      </c>
      <c r="E376" s="16">
        <v>42926</v>
      </c>
      <c r="F376" s="17" t="s">
        <v>25</v>
      </c>
    </row>
    <row r="377" spans="1:6">
      <c r="A377" s="13">
        <v>42927</v>
      </c>
      <c r="B377" s="15">
        <v>692.32</v>
      </c>
      <c r="C377" s="15"/>
      <c r="D377" s="15">
        <v>12450.31</v>
      </c>
      <c r="E377" s="16">
        <v>42927</v>
      </c>
      <c r="F377" s="17" t="s">
        <v>25</v>
      </c>
    </row>
    <row r="378" spans="1:6">
      <c r="A378" s="13">
        <v>42928</v>
      </c>
      <c r="B378" s="15">
        <v>696.42</v>
      </c>
      <c r="C378" s="15"/>
      <c r="D378" s="15">
        <v>12510.04</v>
      </c>
      <c r="E378" s="16">
        <v>42928</v>
      </c>
      <c r="F378" s="17" t="s">
        <v>25</v>
      </c>
    </row>
    <row r="379" spans="1:6">
      <c r="A379" s="13">
        <v>42929</v>
      </c>
      <c r="B379" s="15">
        <v>701.24</v>
      </c>
      <c r="C379" s="15"/>
      <c r="D379" s="15">
        <v>12605.02</v>
      </c>
      <c r="E379" s="16">
        <v>42929</v>
      </c>
      <c r="F379" s="17" t="s">
        <v>25</v>
      </c>
    </row>
    <row r="380" spans="1:6">
      <c r="A380" s="13">
        <v>42930</v>
      </c>
      <c r="B380" s="15">
        <v>702.16</v>
      </c>
      <c r="C380" s="15"/>
      <c r="D380" s="15">
        <v>12602.52</v>
      </c>
      <c r="E380" s="16">
        <v>42930</v>
      </c>
      <c r="F380" s="17" t="s">
        <v>25</v>
      </c>
    </row>
    <row r="381" spans="1:6">
      <c r="A381" s="13">
        <v>42933</v>
      </c>
      <c r="B381" s="15">
        <v>704.4</v>
      </c>
      <c r="C381" s="15"/>
      <c r="D381" s="15">
        <v>12630.62</v>
      </c>
      <c r="E381" s="16">
        <v>42933</v>
      </c>
      <c r="F381" s="17" t="s">
        <v>25</v>
      </c>
    </row>
    <row r="382" spans="1:6">
      <c r="A382" s="13">
        <v>42934</v>
      </c>
      <c r="B382" s="15">
        <v>701.47</v>
      </c>
      <c r="C382" s="15"/>
      <c r="D382" s="15">
        <v>12529.83</v>
      </c>
      <c r="E382" s="16">
        <v>42934</v>
      </c>
      <c r="F382" s="17" t="s">
        <v>25</v>
      </c>
    </row>
    <row r="383" spans="1:6">
      <c r="A383" s="13">
        <v>42935</v>
      </c>
      <c r="B383" s="15">
        <v>708.34</v>
      </c>
      <c r="C383" s="15"/>
      <c r="D383" s="15">
        <v>12635.56</v>
      </c>
      <c r="E383" s="16">
        <v>42935</v>
      </c>
      <c r="F383" s="17" t="s">
        <v>25</v>
      </c>
    </row>
    <row r="384" spans="1:6">
      <c r="A384" s="13">
        <v>42936</v>
      </c>
      <c r="B384" s="15">
        <v>704.37</v>
      </c>
      <c r="C384" s="15"/>
      <c r="D384" s="15">
        <v>12608.51</v>
      </c>
      <c r="E384" s="16">
        <v>42936</v>
      </c>
      <c r="F384" s="17" t="s">
        <v>25</v>
      </c>
    </row>
    <row r="385" spans="1:6">
      <c r="A385" s="13">
        <v>42937</v>
      </c>
      <c r="B385" s="15">
        <v>704.86</v>
      </c>
      <c r="C385" s="15"/>
      <c r="D385" s="15">
        <v>12650.09</v>
      </c>
      <c r="E385" s="16">
        <v>42937</v>
      </c>
      <c r="F385" s="17" t="s">
        <v>25</v>
      </c>
    </row>
    <row r="386" spans="1:6">
      <c r="A386" s="13">
        <v>42940</v>
      </c>
      <c r="B386" s="15">
        <v>704.39</v>
      </c>
      <c r="C386" s="15"/>
      <c r="D386" s="15">
        <v>12700.15</v>
      </c>
      <c r="E386" s="16">
        <v>42940</v>
      </c>
      <c r="F386" s="17" t="s">
        <v>25</v>
      </c>
    </row>
    <row r="387" spans="1:6">
      <c r="A387" s="13">
        <v>42941</v>
      </c>
      <c r="B387" s="15">
        <v>707.39</v>
      </c>
      <c r="C387" s="15"/>
      <c r="D387" s="15">
        <v>12711.75</v>
      </c>
      <c r="E387" s="16">
        <v>42941</v>
      </c>
      <c r="F387" s="17" t="s">
        <v>25</v>
      </c>
    </row>
    <row r="388" spans="1:6">
      <c r="A388" s="13">
        <v>42942</v>
      </c>
      <c r="B388" s="15">
        <v>711.8</v>
      </c>
      <c r="C388" s="15"/>
      <c r="D388" s="15">
        <v>12767.91</v>
      </c>
      <c r="E388" s="16">
        <v>42942</v>
      </c>
      <c r="F388" s="17" t="s">
        <v>25</v>
      </c>
    </row>
    <row r="389" spans="1:6">
      <c r="A389" s="13">
        <v>42943</v>
      </c>
      <c r="B389" s="15">
        <v>711.71</v>
      </c>
      <c r="C389" s="15"/>
      <c r="D389" s="15">
        <v>12753.12</v>
      </c>
      <c r="E389" s="16">
        <v>42943</v>
      </c>
      <c r="F389" s="17" t="s">
        <v>25</v>
      </c>
    </row>
    <row r="390" spans="1:6">
      <c r="A390" s="13">
        <v>42944</v>
      </c>
      <c r="B390" s="15">
        <v>711.42</v>
      </c>
      <c r="C390" s="15"/>
      <c r="D390" s="15">
        <v>12768.97</v>
      </c>
      <c r="E390" s="16">
        <v>42944</v>
      </c>
      <c r="F390" s="17" t="s">
        <v>25</v>
      </c>
    </row>
    <row r="391" spans="1:6">
      <c r="A391" s="13">
        <v>42947</v>
      </c>
      <c r="B391" s="15">
        <v>714.14</v>
      </c>
      <c r="C391" s="15"/>
      <c r="D391" s="15">
        <v>12837.04</v>
      </c>
      <c r="E391" s="16">
        <v>42947</v>
      </c>
      <c r="F391" s="17" t="s">
        <v>25</v>
      </c>
    </row>
    <row r="392" spans="1:6">
      <c r="A392" s="13">
        <v>42948</v>
      </c>
      <c r="B392" s="15">
        <v>716.17</v>
      </c>
      <c r="C392" s="15"/>
      <c r="D392" s="15">
        <v>12865.27</v>
      </c>
      <c r="E392" s="16">
        <v>42948</v>
      </c>
      <c r="F392" s="17" t="s">
        <v>25</v>
      </c>
    </row>
    <row r="393" spans="1:6">
      <c r="A393" s="13">
        <v>42949</v>
      </c>
      <c r="B393" s="15">
        <v>714.91</v>
      </c>
      <c r="C393" s="15"/>
      <c r="D393" s="15">
        <v>12829.27</v>
      </c>
      <c r="E393" s="16">
        <v>42949</v>
      </c>
      <c r="F393" s="17" t="s">
        <v>25</v>
      </c>
    </row>
    <row r="394" spans="1:6">
      <c r="A394" s="13">
        <v>42950</v>
      </c>
      <c r="B394" s="15">
        <v>710.12</v>
      </c>
      <c r="C394" s="15"/>
      <c r="D394" s="15">
        <v>12745.7</v>
      </c>
      <c r="E394" s="16">
        <v>42950</v>
      </c>
      <c r="F394" s="17" t="s">
        <v>25</v>
      </c>
    </row>
    <row r="395" spans="1:6">
      <c r="A395" s="13">
        <v>42951</v>
      </c>
      <c r="B395" s="15">
        <v>715.49</v>
      </c>
      <c r="C395" s="15"/>
      <c r="D395" s="15">
        <v>12814.74</v>
      </c>
      <c r="E395" s="16">
        <v>42951</v>
      </c>
      <c r="F395" s="17" t="s">
        <v>25</v>
      </c>
    </row>
    <row r="396" spans="1:6">
      <c r="A396" s="13">
        <v>42954</v>
      </c>
      <c r="B396" s="15">
        <v>718.36</v>
      </c>
      <c r="C396" s="15"/>
      <c r="D396" s="15">
        <v>12859.07</v>
      </c>
      <c r="E396" s="16">
        <v>42954</v>
      </c>
      <c r="F396" s="17" t="s">
        <v>25</v>
      </c>
    </row>
    <row r="397" spans="1:6">
      <c r="A397" s="13">
        <v>42955</v>
      </c>
      <c r="B397" s="15">
        <v>714</v>
      </c>
      <c r="C397" s="15"/>
      <c r="D397" s="15">
        <v>12743.25</v>
      </c>
      <c r="E397" s="16">
        <v>42955</v>
      </c>
      <c r="F397" s="17" t="s">
        <v>25</v>
      </c>
    </row>
    <row r="398" spans="1:6">
      <c r="A398" s="13">
        <v>42956</v>
      </c>
      <c r="B398" s="15">
        <v>706.96</v>
      </c>
      <c r="C398" s="15"/>
      <c r="D398" s="15">
        <v>12612.37</v>
      </c>
      <c r="E398" s="16">
        <v>42956</v>
      </c>
      <c r="F398" s="17" t="s">
        <v>25</v>
      </c>
    </row>
    <row r="399" spans="1:6">
      <c r="A399" s="13">
        <v>42957</v>
      </c>
      <c r="B399" s="15">
        <v>696.67</v>
      </c>
      <c r="C399" s="15"/>
      <c r="D399" s="15">
        <v>12409.81</v>
      </c>
      <c r="E399" s="16">
        <v>42957</v>
      </c>
      <c r="F399" s="17" t="s">
        <v>25</v>
      </c>
    </row>
    <row r="400" spans="1:6">
      <c r="A400" s="13">
        <v>42958</v>
      </c>
      <c r="B400" s="15">
        <v>691.48</v>
      </c>
      <c r="C400" s="15"/>
      <c r="D400" s="15">
        <v>12311.4</v>
      </c>
      <c r="E400" s="16">
        <v>42958</v>
      </c>
      <c r="F400" s="17" t="s">
        <v>25</v>
      </c>
    </row>
    <row r="401" spans="1:6">
      <c r="A401" s="13">
        <v>42961</v>
      </c>
      <c r="B401" s="15">
        <v>702.81</v>
      </c>
      <c r="C401" s="15"/>
      <c r="D401" s="15">
        <v>12478.55</v>
      </c>
      <c r="E401" s="16">
        <v>42961</v>
      </c>
      <c r="F401" s="17" t="s">
        <v>25</v>
      </c>
    </row>
    <row r="402" spans="1:6">
      <c r="A402" s="13">
        <v>42963</v>
      </c>
      <c r="B402" s="15">
        <v>711.14</v>
      </c>
      <c r="C402" s="15"/>
      <c r="D402" s="15">
        <v>12616.44</v>
      </c>
      <c r="E402" s="16">
        <v>42963</v>
      </c>
      <c r="F402" s="17" t="s">
        <v>25</v>
      </c>
    </row>
    <row r="403" spans="1:6">
      <c r="A403" s="13">
        <v>42964</v>
      </c>
      <c r="B403" s="15">
        <v>712.2</v>
      </c>
      <c r="C403" s="15"/>
      <c r="D403" s="15">
        <v>12627.5</v>
      </c>
      <c r="E403" s="16">
        <v>42964</v>
      </c>
      <c r="F403" s="17" t="s">
        <v>25</v>
      </c>
    </row>
    <row r="404" spans="1:6">
      <c r="A404" s="13">
        <v>42965</v>
      </c>
      <c r="B404" s="15">
        <v>708.06</v>
      </c>
      <c r="C404" s="15"/>
      <c r="D404" s="15">
        <v>12556.61</v>
      </c>
      <c r="E404" s="16">
        <v>42965</v>
      </c>
      <c r="F404" s="17" t="s">
        <v>25</v>
      </c>
    </row>
    <row r="405" spans="1:6">
      <c r="A405" s="13">
        <v>42968</v>
      </c>
      <c r="B405" s="15">
        <v>701.86</v>
      </c>
      <c r="C405" s="15"/>
      <c r="D405" s="15">
        <v>12432.66</v>
      </c>
      <c r="E405" s="16">
        <v>42968</v>
      </c>
      <c r="F405" s="17" t="s">
        <v>25</v>
      </c>
    </row>
    <row r="406" spans="1:6">
      <c r="A406" s="13">
        <v>42969</v>
      </c>
      <c r="B406" s="15">
        <v>700.22</v>
      </c>
      <c r="C406" s="15"/>
      <c r="D406" s="15">
        <v>12418.09</v>
      </c>
      <c r="E406" s="16">
        <v>42969</v>
      </c>
      <c r="F406" s="17" t="s">
        <v>25</v>
      </c>
    </row>
    <row r="407" spans="1:6">
      <c r="A407" s="13">
        <v>42970</v>
      </c>
      <c r="B407" s="15">
        <v>706.93</v>
      </c>
      <c r="C407" s="15"/>
      <c r="D407" s="15">
        <v>12543.72</v>
      </c>
      <c r="E407" s="16">
        <v>42970</v>
      </c>
      <c r="F407" s="17" t="s">
        <v>25</v>
      </c>
    </row>
    <row r="408" spans="1:6">
      <c r="A408" s="13">
        <v>42971</v>
      </c>
      <c r="B408" s="15">
        <v>708.92</v>
      </c>
      <c r="C408" s="15"/>
      <c r="D408" s="15">
        <v>12576.34</v>
      </c>
      <c r="E408" s="16">
        <v>42971</v>
      </c>
      <c r="F408" s="17" t="s">
        <v>25</v>
      </c>
    </row>
    <row r="409" spans="1:6">
      <c r="A409" s="13">
        <v>42975</v>
      </c>
      <c r="B409" s="15">
        <v>715.33</v>
      </c>
      <c r="C409" s="15"/>
      <c r="D409" s="15">
        <v>12669.7</v>
      </c>
      <c r="E409" s="16">
        <v>42975</v>
      </c>
      <c r="F409" s="17" t="s">
        <v>25</v>
      </c>
    </row>
    <row r="410" spans="1:6">
      <c r="A410" s="13">
        <v>42976</v>
      </c>
      <c r="B410" s="15">
        <v>708.69</v>
      </c>
      <c r="C410" s="15"/>
      <c r="D410" s="15">
        <v>12526.74</v>
      </c>
      <c r="E410" s="16">
        <v>42976</v>
      </c>
      <c r="F410" s="17" t="s">
        <v>25</v>
      </c>
    </row>
    <row r="411" spans="1:6">
      <c r="A411" s="13">
        <v>42977</v>
      </c>
      <c r="B411" s="15">
        <v>714.97</v>
      </c>
      <c r="C411" s="15"/>
      <c r="D411" s="15">
        <v>12660.32</v>
      </c>
      <c r="E411" s="16">
        <v>42977</v>
      </c>
      <c r="F411" s="17" t="s">
        <v>25</v>
      </c>
    </row>
    <row r="412" spans="1:6">
      <c r="A412" s="13">
        <v>42978</v>
      </c>
      <c r="B412" s="15">
        <v>716.42</v>
      </c>
      <c r="C412" s="15"/>
      <c r="D412" s="15">
        <v>12707.41</v>
      </c>
      <c r="E412" s="16">
        <v>42978</v>
      </c>
      <c r="F412" s="17" t="s">
        <v>25</v>
      </c>
    </row>
    <row r="413" spans="1:6">
      <c r="A413" s="13">
        <v>42979</v>
      </c>
      <c r="B413" s="15">
        <v>722.6</v>
      </c>
      <c r="C413" s="15"/>
      <c r="D413" s="15">
        <v>12795.51</v>
      </c>
      <c r="E413" s="16">
        <v>42979</v>
      </c>
      <c r="F413" s="17" t="s">
        <v>25</v>
      </c>
    </row>
    <row r="414" spans="1:6">
      <c r="A414" s="13">
        <v>42982</v>
      </c>
      <c r="B414" s="15">
        <v>717.5</v>
      </c>
      <c r="C414" s="15"/>
      <c r="D414" s="15">
        <v>12715.31</v>
      </c>
      <c r="E414" s="16">
        <v>42982</v>
      </c>
      <c r="F414" s="17" t="s">
        <v>25</v>
      </c>
    </row>
    <row r="415" spans="1:6">
      <c r="A415" s="13">
        <v>42983</v>
      </c>
      <c r="B415" s="15">
        <v>721.12</v>
      </c>
      <c r="C415" s="15"/>
      <c r="D415" s="15">
        <v>12784.41</v>
      </c>
      <c r="E415" s="16">
        <v>42983</v>
      </c>
      <c r="F415" s="17" t="s">
        <v>25</v>
      </c>
    </row>
    <row r="416" spans="1:6">
      <c r="A416" s="13">
        <v>42984</v>
      </c>
      <c r="B416" s="15">
        <v>720.77</v>
      </c>
      <c r="C416" s="15"/>
      <c r="D416" s="15">
        <v>12762.86</v>
      </c>
      <c r="E416" s="16">
        <v>42984</v>
      </c>
      <c r="F416" s="17" t="s">
        <v>25</v>
      </c>
    </row>
    <row r="417" spans="1:6">
      <c r="A417" s="13">
        <v>42985</v>
      </c>
      <c r="B417" s="15">
        <v>724.88</v>
      </c>
      <c r="C417" s="15"/>
      <c r="D417" s="15">
        <v>12801.05</v>
      </c>
      <c r="E417" s="16">
        <v>42985</v>
      </c>
      <c r="F417" s="17" t="s">
        <v>25</v>
      </c>
    </row>
    <row r="418" spans="1:6">
      <c r="A418" s="13">
        <v>42986</v>
      </c>
      <c r="B418" s="15">
        <v>724.87</v>
      </c>
      <c r="C418" s="15"/>
      <c r="D418" s="15">
        <v>12790.55</v>
      </c>
      <c r="E418" s="16">
        <v>42986</v>
      </c>
      <c r="F418" s="17" t="s">
        <v>25</v>
      </c>
    </row>
    <row r="419" spans="1:6">
      <c r="A419" s="13">
        <v>42989</v>
      </c>
      <c r="B419" s="15">
        <v>731.39</v>
      </c>
      <c r="C419" s="15"/>
      <c r="D419" s="15">
        <v>12881.49</v>
      </c>
      <c r="E419" s="16">
        <v>42989</v>
      </c>
      <c r="F419" s="17" t="s">
        <v>25</v>
      </c>
    </row>
    <row r="420" spans="1:6">
      <c r="A420" s="13">
        <v>42990</v>
      </c>
      <c r="B420" s="15">
        <v>736.67</v>
      </c>
      <c r="C420" s="15"/>
      <c r="D420" s="15">
        <v>12998.27</v>
      </c>
      <c r="E420" s="16">
        <v>42990</v>
      </c>
      <c r="F420" s="17" t="s">
        <v>25</v>
      </c>
    </row>
    <row r="421" spans="1:6">
      <c r="A421" s="13">
        <v>42991</v>
      </c>
      <c r="B421" s="15">
        <v>734.12</v>
      </c>
      <c r="C421" s="15"/>
      <c r="D421" s="15">
        <v>12963.97</v>
      </c>
      <c r="E421" s="16">
        <v>42991</v>
      </c>
      <c r="F421" s="17" t="s">
        <v>25</v>
      </c>
    </row>
    <row r="422" spans="1:6">
      <c r="A422" s="13">
        <v>42992</v>
      </c>
      <c r="B422" s="15">
        <v>735.39</v>
      </c>
      <c r="C422" s="15"/>
      <c r="D422" s="15">
        <v>12992.19</v>
      </c>
      <c r="E422" s="16">
        <v>42992</v>
      </c>
      <c r="F422" s="17" t="s">
        <v>25</v>
      </c>
    </row>
    <row r="423" spans="1:6">
      <c r="A423" s="13">
        <v>42993</v>
      </c>
      <c r="B423" s="15">
        <v>734.54</v>
      </c>
      <c r="C423" s="15"/>
      <c r="D423" s="15">
        <v>12996.37</v>
      </c>
      <c r="E423" s="16">
        <v>42993</v>
      </c>
      <c r="F423" s="17" t="s">
        <v>25</v>
      </c>
    </row>
    <row r="424" spans="1:6">
      <c r="A424" s="13">
        <v>42996</v>
      </c>
      <c r="B424" s="15">
        <v>739.82</v>
      </c>
      <c r="C424" s="15"/>
      <c r="D424" s="15">
        <v>13084.03</v>
      </c>
      <c r="E424" s="16">
        <v>42996</v>
      </c>
      <c r="F424" s="17" t="s">
        <v>25</v>
      </c>
    </row>
    <row r="425" spans="1:6">
      <c r="A425" s="13">
        <v>42997</v>
      </c>
      <c r="B425" s="15">
        <v>740.53</v>
      </c>
      <c r="C425" s="15"/>
      <c r="D425" s="15">
        <v>13091.41</v>
      </c>
      <c r="E425" s="16">
        <v>42997</v>
      </c>
      <c r="F425" s="17" t="s">
        <v>25</v>
      </c>
    </row>
    <row r="426" spans="1:6">
      <c r="A426" s="13">
        <v>42998</v>
      </c>
      <c r="B426" s="15">
        <v>737.82</v>
      </c>
      <c r="C426" s="15"/>
      <c r="D426" s="15">
        <v>13072.23</v>
      </c>
      <c r="E426" s="16">
        <v>42998</v>
      </c>
      <c r="F426" s="17" t="s">
        <v>25</v>
      </c>
    </row>
    <row r="427" spans="1:6">
      <c r="A427" s="13">
        <v>42999</v>
      </c>
      <c r="B427" s="15">
        <v>736.83</v>
      </c>
      <c r="C427" s="15"/>
      <c r="D427" s="15">
        <v>13033.09</v>
      </c>
      <c r="E427" s="16">
        <v>42999</v>
      </c>
      <c r="F427" s="17" t="s">
        <v>25</v>
      </c>
    </row>
    <row r="428" spans="1:6">
      <c r="A428" s="13">
        <v>43000</v>
      </c>
      <c r="B428" s="15">
        <v>721.46</v>
      </c>
      <c r="C428" s="15"/>
      <c r="D428" s="15">
        <v>12779.76</v>
      </c>
      <c r="E428" s="16">
        <v>43000</v>
      </c>
      <c r="F428" s="17" t="s">
        <v>25</v>
      </c>
    </row>
    <row r="429" spans="1:6">
      <c r="A429" s="13">
        <v>43003</v>
      </c>
      <c r="B429" s="15">
        <v>715.32</v>
      </c>
      <c r="C429" s="15"/>
      <c r="D429" s="15">
        <v>12633.98</v>
      </c>
      <c r="E429" s="16">
        <v>43003</v>
      </c>
      <c r="F429" s="17" t="s">
        <v>25</v>
      </c>
    </row>
    <row r="430" spans="1:6">
      <c r="A430" s="13">
        <v>43004</v>
      </c>
      <c r="B430" s="15">
        <v>716.46</v>
      </c>
      <c r="C430" s="15"/>
      <c r="D430" s="15">
        <v>12657.77</v>
      </c>
      <c r="E430" s="16">
        <v>43004</v>
      </c>
      <c r="F430" s="17" t="s">
        <v>25</v>
      </c>
    </row>
    <row r="431" spans="1:6">
      <c r="A431" s="13">
        <v>43005</v>
      </c>
      <c r="B431" s="15">
        <v>706.2</v>
      </c>
      <c r="C431" s="15"/>
      <c r="D431" s="15">
        <v>12462.32</v>
      </c>
      <c r="E431" s="16">
        <v>43005</v>
      </c>
      <c r="F431" s="17" t="s">
        <v>25</v>
      </c>
    </row>
    <row r="432" spans="1:6">
      <c r="A432" s="13">
        <v>43006</v>
      </c>
      <c r="B432" s="15">
        <v>710.45</v>
      </c>
      <c r="C432" s="15"/>
      <c r="D432" s="15">
        <v>12515.16</v>
      </c>
      <c r="E432" s="16">
        <v>43006</v>
      </c>
      <c r="F432" s="17" t="s">
        <v>25</v>
      </c>
    </row>
    <row r="433" spans="1:6">
      <c r="A433" s="13">
        <v>43007</v>
      </c>
      <c r="B433" s="15">
        <v>714.01</v>
      </c>
      <c r="C433" s="15"/>
      <c r="D433" s="15">
        <v>12577.95</v>
      </c>
      <c r="E433" s="16">
        <v>43007</v>
      </c>
      <c r="F433" s="17" t="s">
        <v>25</v>
      </c>
    </row>
    <row r="434" spans="1:6">
      <c r="A434" s="13">
        <v>43011</v>
      </c>
      <c r="B434" s="15">
        <v>719.04</v>
      </c>
      <c r="C434" s="15"/>
      <c r="D434" s="15">
        <v>12669.17</v>
      </c>
      <c r="E434" s="16">
        <v>43011</v>
      </c>
      <c r="F434" s="17" t="s">
        <v>25</v>
      </c>
    </row>
    <row r="435" spans="1:6">
      <c r="A435" s="13">
        <v>43012</v>
      </c>
      <c r="B435" s="15">
        <v>720.06</v>
      </c>
      <c r="C435" s="15"/>
      <c r="D435" s="15">
        <v>12734.23</v>
      </c>
      <c r="E435" s="16">
        <v>43012</v>
      </c>
      <c r="F435" s="17" t="s">
        <v>25</v>
      </c>
    </row>
    <row r="436" spans="1:6">
      <c r="A436" s="13">
        <v>43013</v>
      </c>
      <c r="B436" s="15">
        <v>721.06</v>
      </c>
      <c r="C436" s="15"/>
      <c r="D436" s="15">
        <v>12733.64</v>
      </c>
      <c r="E436" s="16">
        <v>43013</v>
      </c>
      <c r="F436" s="17" t="s">
        <v>25</v>
      </c>
    </row>
    <row r="437" spans="1:6">
      <c r="A437" s="13">
        <v>43014</v>
      </c>
      <c r="B437" s="15">
        <v>727.65</v>
      </c>
      <c r="C437" s="15"/>
      <c r="D437" s="15">
        <v>12852.04</v>
      </c>
      <c r="E437" s="16">
        <v>43014</v>
      </c>
      <c r="F437" s="17" t="s">
        <v>25</v>
      </c>
    </row>
    <row r="438" spans="1:6">
      <c r="A438" s="13">
        <v>43017</v>
      </c>
      <c r="B438" s="15">
        <v>728.01</v>
      </c>
      <c r="C438" s="15"/>
      <c r="D438" s="15">
        <v>12867.94</v>
      </c>
      <c r="E438" s="16">
        <v>43017</v>
      </c>
      <c r="F438" s="17" t="s">
        <v>25</v>
      </c>
    </row>
    <row r="439" spans="1:6">
      <c r="A439" s="13">
        <v>43018</v>
      </c>
      <c r="B439" s="15">
        <v>729.18</v>
      </c>
      <c r="C439" s="15"/>
      <c r="D439" s="15">
        <v>12923.71</v>
      </c>
      <c r="E439" s="16">
        <v>43018</v>
      </c>
      <c r="F439" s="17" t="s">
        <v>25</v>
      </c>
    </row>
    <row r="440" spans="1:6">
      <c r="A440" s="13">
        <v>43019</v>
      </c>
      <c r="B440" s="15">
        <v>723.54</v>
      </c>
      <c r="C440" s="15"/>
      <c r="D440" s="15">
        <v>12859.33</v>
      </c>
      <c r="E440" s="16">
        <v>43019</v>
      </c>
      <c r="F440" s="17" t="s">
        <v>25</v>
      </c>
    </row>
    <row r="441" spans="1:6">
      <c r="A441" s="13">
        <v>43020</v>
      </c>
      <c r="B441" s="15">
        <v>730.72</v>
      </c>
      <c r="C441" s="15"/>
      <c r="D441" s="15">
        <v>13002.13</v>
      </c>
      <c r="E441" s="16">
        <v>43020</v>
      </c>
      <c r="F441" s="17" t="s">
        <v>25</v>
      </c>
    </row>
    <row r="442" spans="1:6">
      <c r="A442" s="13">
        <v>43021</v>
      </c>
      <c r="B442" s="15">
        <v>733.3</v>
      </c>
      <c r="C442" s="15"/>
      <c r="D442" s="15">
        <v>13071.12</v>
      </c>
      <c r="E442" s="16">
        <v>43021</v>
      </c>
      <c r="F442" s="17" t="s">
        <v>25</v>
      </c>
    </row>
    <row r="443" spans="1:6">
      <c r="A443" s="13">
        <v>43024</v>
      </c>
      <c r="B443" s="15">
        <v>737.47</v>
      </c>
      <c r="C443" s="15"/>
      <c r="D443" s="15">
        <v>13141.38</v>
      </c>
      <c r="E443" s="16">
        <v>43024</v>
      </c>
      <c r="F443" s="17" t="s">
        <v>25</v>
      </c>
    </row>
    <row r="444" spans="1:6">
      <c r="A444" s="13">
        <v>43025</v>
      </c>
      <c r="B444" s="15">
        <v>738.45</v>
      </c>
      <c r="C444" s="15"/>
      <c r="D444" s="15">
        <v>13166.39</v>
      </c>
      <c r="E444" s="16">
        <v>43025</v>
      </c>
      <c r="F444" s="17" t="s">
        <v>25</v>
      </c>
    </row>
    <row r="445" spans="1:6">
      <c r="A445" s="13">
        <v>43026</v>
      </c>
      <c r="B445" s="15">
        <v>735.4</v>
      </c>
      <c r="C445" s="15"/>
      <c r="D445" s="15">
        <v>13140.53</v>
      </c>
      <c r="E445" s="16">
        <v>43026</v>
      </c>
      <c r="F445" s="17" t="s">
        <v>25</v>
      </c>
    </row>
    <row r="446" spans="1:6">
      <c r="A446" s="13">
        <v>43031</v>
      </c>
      <c r="B446" s="15">
        <v>733.99</v>
      </c>
      <c r="C446" s="15"/>
      <c r="D446" s="15">
        <v>13123.33</v>
      </c>
      <c r="E446" s="16">
        <v>43031</v>
      </c>
      <c r="F446" s="17" t="s">
        <v>25</v>
      </c>
    </row>
    <row r="447" spans="1:6">
      <c r="A447" s="13">
        <v>43032</v>
      </c>
      <c r="B447" s="15">
        <v>736.52</v>
      </c>
      <c r="C447" s="15"/>
      <c r="D447" s="15">
        <v>13153.91</v>
      </c>
      <c r="E447" s="16">
        <v>43032</v>
      </c>
      <c r="F447" s="17" t="s">
        <v>25</v>
      </c>
    </row>
    <row r="448" spans="1:6">
      <c r="A448" s="13">
        <v>43033</v>
      </c>
      <c r="B448" s="15">
        <v>737.04</v>
      </c>
      <c r="C448" s="15"/>
      <c r="D448" s="15">
        <v>13259.23</v>
      </c>
      <c r="E448" s="16">
        <v>43033</v>
      </c>
      <c r="F448" s="17" t="s">
        <v>25</v>
      </c>
    </row>
    <row r="449" spans="1:6">
      <c r="A449" s="13">
        <v>43034</v>
      </c>
      <c r="B449" s="15">
        <v>739.38</v>
      </c>
      <c r="C449" s="15"/>
      <c r="D449" s="15">
        <v>13320.16</v>
      </c>
      <c r="E449" s="16">
        <v>43034</v>
      </c>
      <c r="F449" s="17" t="s">
        <v>25</v>
      </c>
    </row>
    <row r="450" spans="1:6">
      <c r="A450" s="13">
        <v>43035</v>
      </c>
      <c r="B450" s="15">
        <v>739.5</v>
      </c>
      <c r="C450" s="15"/>
      <c r="D450" s="15">
        <v>13316.83</v>
      </c>
      <c r="E450" s="16">
        <v>43035</v>
      </c>
      <c r="F450" s="17" t="s">
        <v>25</v>
      </c>
    </row>
    <row r="451" spans="1:6">
      <c r="A451" s="13">
        <v>43038</v>
      </c>
      <c r="B451" s="15">
        <v>742.4</v>
      </c>
      <c r="C451" s="15"/>
      <c r="D451" s="15">
        <v>13405.53</v>
      </c>
      <c r="E451" s="16">
        <v>43038</v>
      </c>
      <c r="F451" s="17" t="s">
        <v>25</v>
      </c>
    </row>
    <row r="452" spans="1:6">
      <c r="A452" s="13">
        <v>43039</v>
      </c>
      <c r="B452" s="15">
        <v>742.78</v>
      </c>
      <c r="C452" s="15"/>
      <c r="D452" s="15">
        <v>13394.75</v>
      </c>
      <c r="E452" s="16">
        <v>43039</v>
      </c>
      <c r="F452" s="17" t="s">
        <v>25</v>
      </c>
    </row>
    <row r="453" spans="1:6">
      <c r="A453" s="13">
        <v>43040</v>
      </c>
      <c r="B453" s="15">
        <v>749.13</v>
      </c>
      <c r="C453" s="15"/>
      <c r="D453" s="15">
        <v>13515.96</v>
      </c>
      <c r="E453" s="16">
        <v>43040</v>
      </c>
      <c r="F453" s="17" t="s">
        <v>25</v>
      </c>
    </row>
    <row r="454" spans="1:6">
      <c r="A454" s="13">
        <v>43041</v>
      </c>
      <c r="B454" s="15">
        <v>747.55</v>
      </c>
      <c r="C454" s="15"/>
      <c r="D454" s="15">
        <v>13520.5</v>
      </c>
      <c r="E454" s="16">
        <v>43041</v>
      </c>
      <c r="F454" s="17" t="s">
        <v>25</v>
      </c>
    </row>
    <row r="455" spans="1:6">
      <c r="A455" s="13">
        <v>43042</v>
      </c>
      <c r="B455" s="15">
        <v>749.05</v>
      </c>
      <c r="C455" s="15"/>
      <c r="D455" s="15">
        <v>13556.06</v>
      </c>
      <c r="E455" s="16">
        <v>43042</v>
      </c>
      <c r="F455" s="17" t="s">
        <v>25</v>
      </c>
    </row>
    <row r="456" spans="1:6">
      <c r="A456" s="13">
        <v>43045</v>
      </c>
      <c r="B456" s="15">
        <v>747.55</v>
      </c>
      <c r="C456" s="15"/>
      <c r="D456" s="15">
        <v>13574.58</v>
      </c>
      <c r="E456" s="16">
        <v>43045</v>
      </c>
      <c r="F456" s="17" t="s">
        <v>25</v>
      </c>
    </row>
    <row r="457" spans="1:6">
      <c r="A457" s="13">
        <v>43046</v>
      </c>
      <c r="B457" s="15">
        <v>741.12</v>
      </c>
      <c r="C457" s="15"/>
      <c r="D457" s="15">
        <v>13423.23</v>
      </c>
      <c r="E457" s="16">
        <v>43046</v>
      </c>
      <c r="F457" s="17" t="s">
        <v>25</v>
      </c>
    </row>
    <row r="458" spans="1:6">
      <c r="A458" s="13">
        <v>43047</v>
      </c>
      <c r="B458" s="15">
        <v>737.13</v>
      </c>
      <c r="C458" s="15"/>
      <c r="D458" s="15">
        <v>13347.31</v>
      </c>
      <c r="E458" s="16">
        <v>43047</v>
      </c>
      <c r="F458" s="17" t="s">
        <v>25</v>
      </c>
    </row>
    <row r="459" spans="1:6">
      <c r="A459" s="13">
        <v>43048</v>
      </c>
      <c r="B459" s="15">
        <v>739.14</v>
      </c>
      <c r="C459" s="15"/>
      <c r="D459" s="15">
        <v>13390.89</v>
      </c>
      <c r="E459" s="16">
        <v>43048</v>
      </c>
      <c r="F459" s="17" t="s">
        <v>25</v>
      </c>
    </row>
    <row r="460" spans="1:6">
      <c r="A460" s="13">
        <v>43049</v>
      </c>
      <c r="B460" s="15">
        <v>739.45</v>
      </c>
      <c r="C460" s="15"/>
      <c r="D460" s="15">
        <v>13403.43</v>
      </c>
      <c r="E460" s="16">
        <v>43049</v>
      </c>
      <c r="F460" s="17" t="s">
        <v>25</v>
      </c>
    </row>
    <row r="461" spans="1:6">
      <c r="A461" s="13">
        <v>43052</v>
      </c>
      <c r="B461" s="15">
        <v>733.81</v>
      </c>
      <c r="C461" s="15"/>
      <c r="D461" s="15">
        <v>13297.47</v>
      </c>
      <c r="E461" s="16">
        <v>43052</v>
      </c>
      <c r="F461" s="17" t="s">
        <v>25</v>
      </c>
    </row>
    <row r="462" spans="1:6">
      <c r="A462" s="13">
        <v>43053</v>
      </c>
      <c r="B462" s="15">
        <v>731.84</v>
      </c>
      <c r="C462" s="15"/>
      <c r="D462" s="15">
        <v>13252.24</v>
      </c>
      <c r="E462" s="16">
        <v>43053</v>
      </c>
      <c r="F462" s="17" t="s">
        <v>25</v>
      </c>
    </row>
    <row r="463" spans="1:6">
      <c r="A463" s="13">
        <v>43054</v>
      </c>
      <c r="B463" s="15">
        <v>725.33</v>
      </c>
      <c r="C463" s="15"/>
      <c r="D463" s="15">
        <v>13138.35</v>
      </c>
      <c r="E463" s="16">
        <v>43054</v>
      </c>
      <c r="F463" s="17" t="s">
        <v>25</v>
      </c>
    </row>
    <row r="464" spans="1:6">
      <c r="A464" s="13">
        <v>43055</v>
      </c>
      <c r="B464" s="15">
        <v>733.51</v>
      </c>
      <c r="C464" s="15"/>
      <c r="D464" s="15">
        <v>13272.37</v>
      </c>
      <c r="E464" s="16">
        <v>43055</v>
      </c>
      <c r="F464" s="17" t="s">
        <v>25</v>
      </c>
    </row>
    <row r="465" spans="1:6">
      <c r="A465" s="13">
        <v>43056</v>
      </c>
      <c r="B465" s="15">
        <v>738.64</v>
      </c>
      <c r="C465" s="15"/>
      <c r="D465" s="15">
        <v>13377.94</v>
      </c>
      <c r="E465" s="16">
        <v>43056</v>
      </c>
      <c r="F465" s="17" t="s">
        <v>25</v>
      </c>
    </row>
    <row r="466" spans="1:6">
      <c r="A466" s="13">
        <v>43059</v>
      </c>
      <c r="B466" s="15">
        <v>741.16</v>
      </c>
      <c r="C466" s="15"/>
      <c r="D466" s="15">
        <v>13414.42</v>
      </c>
      <c r="E466" s="16">
        <v>43059</v>
      </c>
      <c r="F466" s="17" t="s">
        <v>25</v>
      </c>
    </row>
    <row r="467" spans="1:6">
      <c r="A467" s="13">
        <v>43060</v>
      </c>
      <c r="B467" s="15">
        <v>743.4</v>
      </c>
      <c r="C467" s="15"/>
      <c r="D467" s="15">
        <v>13448.92</v>
      </c>
      <c r="E467" s="16">
        <v>43060</v>
      </c>
      <c r="F467" s="17" t="s">
        <v>25</v>
      </c>
    </row>
    <row r="468" spans="1:6">
      <c r="A468" s="13">
        <v>43061</v>
      </c>
      <c r="B468" s="15">
        <v>742.31</v>
      </c>
      <c r="C468" s="15"/>
      <c r="D468" s="15">
        <v>13463.99</v>
      </c>
      <c r="E468" s="16">
        <v>43061</v>
      </c>
      <c r="F468" s="17" t="s">
        <v>25</v>
      </c>
    </row>
    <row r="469" spans="1:6">
      <c r="A469" s="13">
        <v>43062</v>
      </c>
      <c r="B469" s="15">
        <v>742.17</v>
      </c>
      <c r="C469" s="15"/>
      <c r="D469" s="15">
        <v>13481.09</v>
      </c>
      <c r="E469" s="16">
        <v>43062</v>
      </c>
      <c r="F469" s="17" t="s">
        <v>25</v>
      </c>
    </row>
    <row r="470" spans="1:6">
      <c r="A470" s="13">
        <v>43063</v>
      </c>
      <c r="B470" s="15">
        <v>744.14</v>
      </c>
      <c r="C470" s="15"/>
      <c r="D470" s="15">
        <v>13537.67</v>
      </c>
      <c r="E470" s="16">
        <v>43063</v>
      </c>
      <c r="F470" s="17" t="s">
        <v>25</v>
      </c>
    </row>
    <row r="471" spans="1:6">
      <c r="A471" s="13">
        <v>43066</v>
      </c>
      <c r="B471" s="15">
        <v>745.84</v>
      </c>
      <c r="C471" s="15"/>
      <c r="D471" s="15">
        <v>13569.12</v>
      </c>
      <c r="E471" s="16">
        <v>43066</v>
      </c>
      <c r="F471" s="17" t="s">
        <v>25</v>
      </c>
    </row>
    <row r="472" spans="1:6">
      <c r="A472" s="13">
        <v>43067</v>
      </c>
      <c r="B472" s="15">
        <v>745.06</v>
      </c>
      <c r="C472" s="15"/>
      <c r="D472" s="15">
        <v>13549.81</v>
      </c>
      <c r="E472" s="16">
        <v>43067</v>
      </c>
      <c r="F472" s="17" t="s">
        <v>25</v>
      </c>
    </row>
    <row r="473" spans="1:6">
      <c r="A473" s="13">
        <v>43068</v>
      </c>
      <c r="B473" s="15">
        <v>743.33</v>
      </c>
      <c r="C473" s="15"/>
      <c r="D473" s="15">
        <v>13535.77</v>
      </c>
      <c r="E473" s="16">
        <v>43068</v>
      </c>
      <c r="F473" s="17" t="s">
        <v>25</v>
      </c>
    </row>
    <row r="474" spans="1:6">
      <c r="A474" s="13">
        <v>43069</v>
      </c>
      <c r="B474" s="15">
        <v>737.94</v>
      </c>
      <c r="C474" s="15"/>
      <c r="D474" s="15">
        <v>13403.72</v>
      </c>
      <c r="E474" s="16">
        <v>43069</v>
      </c>
      <c r="F474" s="17" t="s">
        <v>25</v>
      </c>
    </row>
    <row r="475" spans="1:6">
      <c r="A475" s="13">
        <v>43070</v>
      </c>
      <c r="B475" s="15">
        <v>730.17</v>
      </c>
      <c r="C475" s="15"/>
      <c r="D475" s="15">
        <v>13265.94</v>
      </c>
      <c r="E475" s="16">
        <v>43070</v>
      </c>
      <c r="F475" s="17" t="s">
        <v>25</v>
      </c>
    </row>
    <row r="476" spans="1:6">
      <c r="A476" s="13">
        <v>43073</v>
      </c>
      <c r="B476" s="15">
        <v>729.92</v>
      </c>
      <c r="C476" s="15"/>
      <c r="D476" s="15">
        <v>13264.38</v>
      </c>
      <c r="E476" s="16">
        <v>43073</v>
      </c>
      <c r="F476" s="17" t="s">
        <v>25</v>
      </c>
    </row>
    <row r="477" spans="1:6">
      <c r="A477" s="13">
        <v>43074</v>
      </c>
      <c r="B477" s="15">
        <v>730.43</v>
      </c>
      <c r="C477" s="15"/>
      <c r="D477" s="15">
        <v>13260.34</v>
      </c>
      <c r="E477" s="16">
        <v>43074</v>
      </c>
      <c r="F477" s="17" t="s">
        <v>25</v>
      </c>
    </row>
    <row r="478" spans="1:6">
      <c r="A478" s="13">
        <v>43075</v>
      </c>
      <c r="B478" s="15">
        <v>724.51</v>
      </c>
      <c r="C478" s="15"/>
      <c r="D478" s="15">
        <v>13160.7</v>
      </c>
      <c r="E478" s="16">
        <v>43075</v>
      </c>
      <c r="F478" s="17" t="s">
        <v>25</v>
      </c>
    </row>
    <row r="479" spans="1:6">
      <c r="A479" s="13">
        <v>43076</v>
      </c>
      <c r="B479" s="15">
        <v>734.26</v>
      </c>
      <c r="C479" s="15"/>
      <c r="D479" s="15">
        <v>13328.38</v>
      </c>
      <c r="E479" s="16">
        <v>43076</v>
      </c>
      <c r="F479" s="17" t="s">
        <v>25</v>
      </c>
    </row>
    <row r="480" spans="1:6">
      <c r="A480" s="13">
        <v>43077</v>
      </c>
      <c r="B480" s="15">
        <v>742.77</v>
      </c>
      <c r="C480" s="15"/>
      <c r="D480" s="15">
        <v>13456.52</v>
      </c>
      <c r="E480" s="16">
        <v>43077</v>
      </c>
      <c r="F480" s="17" t="s">
        <v>25</v>
      </c>
    </row>
    <row r="481" spans="1:6">
      <c r="A481" s="13">
        <v>43080</v>
      </c>
      <c r="B481" s="15">
        <v>746.49</v>
      </c>
      <c r="C481" s="15"/>
      <c r="D481" s="15">
        <v>13517.03</v>
      </c>
      <c r="E481" s="16">
        <v>43080</v>
      </c>
      <c r="F481" s="17" t="s">
        <v>25</v>
      </c>
    </row>
    <row r="482" spans="1:6">
      <c r="A482" s="13">
        <v>43081</v>
      </c>
      <c r="B482" s="15">
        <v>740.7</v>
      </c>
      <c r="C482" s="15"/>
      <c r="D482" s="15">
        <v>13406.62</v>
      </c>
      <c r="E482" s="16">
        <v>43081</v>
      </c>
      <c r="F482" s="17" t="s">
        <v>25</v>
      </c>
    </row>
    <row r="483" spans="1:6">
      <c r="A483" s="13">
        <v>43082</v>
      </c>
      <c r="B483" s="15">
        <v>735.27</v>
      </c>
      <c r="C483" s="15"/>
      <c r="D483" s="15">
        <v>13326.52</v>
      </c>
      <c r="E483" s="16">
        <v>43082</v>
      </c>
      <c r="F483" s="17" t="s">
        <v>25</v>
      </c>
    </row>
    <row r="484" spans="1:6">
      <c r="A484" s="13">
        <v>43083</v>
      </c>
      <c r="B484" s="15">
        <v>737.98</v>
      </c>
      <c r="C484" s="15"/>
      <c r="D484" s="15">
        <v>13373.19</v>
      </c>
      <c r="E484" s="16">
        <v>43083</v>
      </c>
      <c r="F484" s="17" t="s">
        <v>25</v>
      </c>
    </row>
    <row r="485" spans="1:6">
      <c r="A485" s="13">
        <v>43084</v>
      </c>
      <c r="B485" s="15">
        <v>744.72</v>
      </c>
      <c r="C485" s="15"/>
      <c r="D485" s="15">
        <v>13494.85</v>
      </c>
      <c r="E485" s="16">
        <v>43084</v>
      </c>
      <c r="F485" s="17" t="s">
        <v>25</v>
      </c>
    </row>
    <row r="486" spans="1:6">
      <c r="A486" s="13">
        <v>43087</v>
      </c>
      <c r="B486" s="15">
        <v>749.44</v>
      </c>
      <c r="C486" s="15"/>
      <c r="D486" s="15">
        <v>13574.2</v>
      </c>
      <c r="E486" s="16">
        <v>43087</v>
      </c>
      <c r="F486" s="17" t="s">
        <v>25</v>
      </c>
    </row>
    <row r="487" spans="1:6">
      <c r="A487" s="13">
        <v>43088</v>
      </c>
      <c r="B487" s="15">
        <v>757.4</v>
      </c>
      <c r="C487" s="15"/>
      <c r="D487" s="15">
        <v>13705.34</v>
      </c>
      <c r="E487" s="16">
        <v>43088</v>
      </c>
      <c r="F487" s="17" t="s">
        <v>25</v>
      </c>
    </row>
    <row r="488" spans="1:6">
      <c r="A488" s="13">
        <v>43089</v>
      </c>
      <c r="B488" s="15">
        <v>757.79</v>
      </c>
      <c r="C488" s="15"/>
      <c r="D488" s="15">
        <v>13709.78</v>
      </c>
      <c r="E488" s="16">
        <v>43089</v>
      </c>
      <c r="F488" s="17" t="s">
        <v>25</v>
      </c>
    </row>
    <row r="489" spans="1:6">
      <c r="A489" s="13">
        <v>43090</v>
      </c>
      <c r="B489" s="15">
        <v>760.13</v>
      </c>
      <c r="C489" s="15"/>
      <c r="D489" s="15">
        <v>13745.34</v>
      </c>
      <c r="E489" s="16">
        <v>43090</v>
      </c>
      <c r="F489" s="17" t="s">
        <v>25</v>
      </c>
    </row>
    <row r="490" spans="1:6">
      <c r="A490" s="13">
        <v>43091</v>
      </c>
      <c r="B490" s="15">
        <v>761.81</v>
      </c>
      <c r="C490" s="15"/>
      <c r="D490" s="15">
        <v>13809.42</v>
      </c>
      <c r="E490" s="16">
        <v>43091</v>
      </c>
      <c r="F490" s="17" t="s">
        <v>25</v>
      </c>
    </row>
    <row r="491" spans="1:6">
      <c r="A491" s="13">
        <v>43095</v>
      </c>
      <c r="B491" s="15">
        <v>764.05</v>
      </c>
      <c r="C491" s="15"/>
      <c r="D491" s="15">
        <v>13866.27</v>
      </c>
      <c r="E491" s="16">
        <v>43095</v>
      </c>
      <c r="F491" s="17" t="s">
        <v>25</v>
      </c>
    </row>
    <row r="492" spans="1:6">
      <c r="A492" s="13">
        <v>43096</v>
      </c>
      <c r="B492" s="15">
        <v>762.58</v>
      </c>
      <c r="C492" s="15"/>
      <c r="D492" s="15">
        <v>13819.26</v>
      </c>
      <c r="E492" s="16">
        <v>43096</v>
      </c>
      <c r="F492" s="17" t="s">
        <v>25</v>
      </c>
    </row>
    <row r="493" spans="1:6">
      <c r="A493" s="13">
        <v>43097</v>
      </c>
      <c r="B493" s="15">
        <v>763.13</v>
      </c>
      <c r="C493" s="15"/>
      <c r="D493" s="15">
        <v>13815.8</v>
      </c>
      <c r="E493" s="16">
        <v>43097</v>
      </c>
      <c r="F493" s="17" t="s">
        <v>25</v>
      </c>
    </row>
    <row r="494" spans="1:6">
      <c r="A494" s="13">
        <v>43098</v>
      </c>
      <c r="B494" s="15">
        <v>766.09</v>
      </c>
      <c r="C494" s="15"/>
      <c r="D494" s="15">
        <v>13896.02</v>
      </c>
      <c r="E494" s="16">
        <v>43098</v>
      </c>
      <c r="F494" s="17" t="s">
        <v>25</v>
      </c>
    </row>
    <row r="495" spans="1:6">
      <c r="A495" s="13">
        <v>43101</v>
      </c>
      <c r="B495" s="15">
        <v>760.86</v>
      </c>
      <c r="C495" s="15"/>
      <c r="D495" s="15">
        <v>13813.81</v>
      </c>
      <c r="E495" s="16">
        <v>43101</v>
      </c>
      <c r="F495" s="17" t="s">
        <v>25</v>
      </c>
    </row>
    <row r="496" spans="1:6">
      <c r="A496" s="13">
        <v>43102</v>
      </c>
      <c r="B496" s="15">
        <v>759.21</v>
      </c>
      <c r="C496" s="15"/>
      <c r="D496" s="15">
        <v>13789.42</v>
      </c>
      <c r="E496" s="16">
        <v>43102</v>
      </c>
      <c r="F496" s="17" t="s">
        <v>25</v>
      </c>
    </row>
    <row r="497" spans="1:6">
      <c r="A497" s="13">
        <v>43103</v>
      </c>
      <c r="B497" s="15">
        <v>761.57</v>
      </c>
      <c r="C497" s="15"/>
      <c r="D497" s="15">
        <v>13820.88</v>
      </c>
      <c r="E497" s="16">
        <v>43103</v>
      </c>
      <c r="F497" s="17" t="s">
        <v>25</v>
      </c>
    </row>
    <row r="498" spans="1:6">
      <c r="A498" s="13">
        <v>43104</v>
      </c>
      <c r="B498" s="15">
        <v>767.31</v>
      </c>
      <c r="C498" s="15"/>
      <c r="D498" s="15">
        <v>13918.1</v>
      </c>
      <c r="E498" s="16">
        <v>43104</v>
      </c>
      <c r="F498" s="17" t="s">
        <v>25</v>
      </c>
    </row>
    <row r="499" spans="1:6">
      <c r="A499" s="13">
        <v>43105</v>
      </c>
      <c r="B499" s="15">
        <v>774.25</v>
      </c>
      <c r="C499" s="15"/>
      <c r="D499" s="15">
        <v>14017.23</v>
      </c>
      <c r="E499" s="16">
        <v>43105</v>
      </c>
      <c r="F499" s="17" t="s">
        <v>25</v>
      </c>
    </row>
    <row r="500" spans="1:6">
      <c r="A500" s="13">
        <v>43108</v>
      </c>
      <c r="B500" s="15">
        <v>777.34</v>
      </c>
      <c r="C500" s="15"/>
      <c r="D500" s="15">
        <v>14113.6</v>
      </c>
      <c r="E500" s="16">
        <v>43108</v>
      </c>
      <c r="F500" s="17" t="s">
        <v>25</v>
      </c>
    </row>
    <row r="501" spans="1:6">
      <c r="A501" s="13">
        <v>43109</v>
      </c>
      <c r="B501" s="15">
        <v>776.34</v>
      </c>
      <c r="C501" s="15"/>
      <c r="D501" s="15">
        <v>14115.81</v>
      </c>
      <c r="E501" s="16">
        <v>43109</v>
      </c>
      <c r="F501" s="17" t="s">
        <v>25</v>
      </c>
    </row>
    <row r="502" spans="1:6">
      <c r="A502" s="13">
        <v>43110</v>
      </c>
      <c r="B502" s="15">
        <v>773.67</v>
      </c>
      <c r="C502" s="15"/>
      <c r="D502" s="15">
        <v>14100.89</v>
      </c>
      <c r="E502" s="16">
        <v>43110</v>
      </c>
      <c r="F502" s="17" t="s">
        <v>25</v>
      </c>
    </row>
    <row r="503" spans="1:6">
      <c r="A503" s="13">
        <v>43111</v>
      </c>
      <c r="B503" s="15">
        <v>774.58</v>
      </c>
      <c r="C503" s="15"/>
      <c r="D503" s="15">
        <v>14129.78</v>
      </c>
      <c r="E503" s="16">
        <v>43111</v>
      </c>
      <c r="F503" s="17" t="s">
        <v>25</v>
      </c>
    </row>
    <row r="504" spans="1:6">
      <c r="A504" s="13">
        <v>43112</v>
      </c>
      <c r="B504" s="15">
        <v>775.56</v>
      </c>
      <c r="C504" s="15"/>
      <c r="D504" s="15">
        <v>14151.61</v>
      </c>
      <c r="E504" s="16">
        <v>43112</v>
      </c>
      <c r="F504" s="17" t="s">
        <v>25</v>
      </c>
    </row>
    <row r="505" spans="1:6">
      <c r="A505" s="13">
        <v>43115</v>
      </c>
      <c r="B505" s="15">
        <v>777.07</v>
      </c>
      <c r="C505" s="15"/>
      <c r="D505" s="15">
        <v>14202.3</v>
      </c>
      <c r="E505" s="16">
        <v>43115</v>
      </c>
      <c r="F505" s="17" t="s">
        <v>25</v>
      </c>
    </row>
    <row r="506" spans="1:6">
      <c r="A506" s="13">
        <v>43116</v>
      </c>
      <c r="B506" s="15">
        <v>770.1</v>
      </c>
      <c r="C506" s="15"/>
      <c r="D506" s="15">
        <v>14074.53</v>
      </c>
      <c r="E506" s="16">
        <v>43116</v>
      </c>
      <c r="F506" s="17" t="s">
        <v>25</v>
      </c>
    </row>
    <row r="507" spans="1:6">
      <c r="A507" s="13">
        <v>43117</v>
      </c>
      <c r="B507" s="15">
        <v>775.03</v>
      </c>
      <c r="C507" s="15"/>
      <c r="D507" s="15">
        <v>14182.88</v>
      </c>
      <c r="E507" s="16">
        <v>43117</v>
      </c>
      <c r="F507" s="17" t="s">
        <v>25</v>
      </c>
    </row>
    <row r="508" spans="1:6">
      <c r="A508" s="13">
        <v>43118</v>
      </c>
      <c r="B508" s="15">
        <v>771.63</v>
      </c>
      <c r="C508" s="15"/>
      <c r="D508" s="15">
        <v>14125.75</v>
      </c>
      <c r="E508" s="16">
        <v>43118</v>
      </c>
      <c r="F508" s="17" t="s">
        <v>25</v>
      </c>
    </row>
    <row r="509" spans="1:6">
      <c r="A509" s="13">
        <v>43119</v>
      </c>
      <c r="B509" s="15">
        <v>777.3</v>
      </c>
      <c r="C509" s="15"/>
      <c r="D509" s="15">
        <v>14237.54</v>
      </c>
      <c r="E509" s="16">
        <v>43119</v>
      </c>
      <c r="F509" s="17" t="s">
        <v>25</v>
      </c>
    </row>
    <row r="510" spans="1:6">
      <c r="A510" s="13">
        <v>43122</v>
      </c>
      <c r="B510" s="15">
        <v>778.58</v>
      </c>
      <c r="C510" s="15"/>
      <c r="D510" s="15">
        <v>14332.39</v>
      </c>
      <c r="E510" s="16">
        <v>43122</v>
      </c>
      <c r="F510" s="17" t="s">
        <v>25</v>
      </c>
    </row>
    <row r="511" spans="1:6">
      <c r="A511" s="13">
        <v>43123</v>
      </c>
      <c r="B511" s="15">
        <v>785.96</v>
      </c>
      <c r="C511" s="15"/>
      <c r="D511" s="15">
        <v>14464.05</v>
      </c>
      <c r="E511" s="16">
        <v>43123</v>
      </c>
      <c r="F511" s="17" t="s">
        <v>25</v>
      </c>
    </row>
    <row r="512" spans="1:6">
      <c r="A512" s="13">
        <v>43124</v>
      </c>
      <c r="B512" s="15">
        <v>782.5</v>
      </c>
      <c r="C512" s="15"/>
      <c r="D512" s="15">
        <v>14429.98</v>
      </c>
      <c r="E512" s="16">
        <v>43124</v>
      </c>
      <c r="F512" s="17" t="s">
        <v>25</v>
      </c>
    </row>
    <row r="513" spans="1:6">
      <c r="A513" s="13">
        <v>43125</v>
      </c>
      <c r="B513" s="15">
        <v>778.48</v>
      </c>
      <c r="C513" s="15"/>
      <c r="D513" s="15">
        <v>14365.84</v>
      </c>
      <c r="E513" s="16">
        <v>43125</v>
      </c>
      <c r="F513" s="17" t="s">
        <v>25</v>
      </c>
    </row>
    <row r="514" spans="1:6">
      <c r="A514" s="13">
        <v>43129</v>
      </c>
      <c r="B514" s="15">
        <v>778.82</v>
      </c>
      <c r="C514" s="15"/>
      <c r="D514" s="15">
        <v>14379.96</v>
      </c>
      <c r="E514" s="16">
        <v>43129</v>
      </c>
      <c r="F514" s="17" t="s">
        <v>25</v>
      </c>
    </row>
    <row r="515" spans="1:6">
      <c r="A515" s="13">
        <v>43130</v>
      </c>
      <c r="B515" s="15">
        <v>773.85</v>
      </c>
      <c r="C515" s="15"/>
      <c r="D515" s="15">
        <v>14268.94</v>
      </c>
      <c r="E515" s="16">
        <v>43130</v>
      </c>
      <c r="F515" s="17" t="s">
        <v>25</v>
      </c>
    </row>
    <row r="516" spans="1:6">
      <c r="A516" s="13">
        <v>43131</v>
      </c>
      <c r="B516" s="15">
        <v>772.52</v>
      </c>
      <c r="C516" s="15"/>
      <c r="D516" s="15">
        <v>14203.09</v>
      </c>
      <c r="E516" s="16">
        <v>43131</v>
      </c>
      <c r="F516" s="17" t="s">
        <v>25</v>
      </c>
    </row>
    <row r="517" spans="1:6">
      <c r="A517" s="13">
        <v>43132</v>
      </c>
      <c r="B517" s="15">
        <v>774.06</v>
      </c>
      <c r="C517" s="15"/>
      <c r="D517" s="15">
        <v>14188.25</v>
      </c>
      <c r="E517" s="16">
        <v>43132</v>
      </c>
      <c r="F517" s="17" t="s">
        <v>25</v>
      </c>
    </row>
    <row r="518" spans="1:6">
      <c r="A518" s="13">
        <v>43133</v>
      </c>
      <c r="B518" s="15">
        <v>755.19</v>
      </c>
      <c r="C518" s="15"/>
      <c r="D518" s="15">
        <v>13782.37</v>
      </c>
      <c r="E518" s="16">
        <v>43133</v>
      </c>
      <c r="F518" s="17" t="s">
        <v>25</v>
      </c>
    </row>
    <row r="519" spans="1:6">
      <c r="A519" s="13">
        <v>43136</v>
      </c>
      <c r="B519" s="15">
        <v>750.94</v>
      </c>
      <c r="C519" s="15"/>
      <c r="D519" s="15">
        <v>13686.64</v>
      </c>
      <c r="E519" s="16">
        <v>43136</v>
      </c>
      <c r="F519" s="17" t="s">
        <v>25</v>
      </c>
    </row>
    <row r="520" spans="1:6">
      <c r="A520" s="13">
        <v>43137</v>
      </c>
      <c r="B520" s="15">
        <v>741.69</v>
      </c>
      <c r="C520" s="15"/>
      <c r="D520" s="15">
        <v>13461.63</v>
      </c>
      <c r="E520" s="16">
        <v>43137</v>
      </c>
      <c r="F520" s="17" t="s">
        <v>25</v>
      </c>
    </row>
    <row r="521" spans="1:6">
      <c r="A521" s="13">
        <v>43138</v>
      </c>
      <c r="B521" s="15">
        <v>740.44</v>
      </c>
      <c r="C521" s="15"/>
      <c r="D521" s="15">
        <v>13486.61</v>
      </c>
      <c r="E521" s="16">
        <v>43138</v>
      </c>
      <c r="F521" s="17" t="s">
        <v>25</v>
      </c>
    </row>
    <row r="522" spans="1:6">
      <c r="A522" s="13">
        <v>43139</v>
      </c>
      <c r="B522" s="15">
        <v>749.36</v>
      </c>
      <c r="C522" s="15"/>
      <c r="D522" s="15">
        <v>13662.65</v>
      </c>
      <c r="E522" s="16">
        <v>43139</v>
      </c>
      <c r="F522" s="17" t="s">
        <v>25</v>
      </c>
    </row>
    <row r="523" spans="1:6">
      <c r="A523" s="13">
        <v>43140</v>
      </c>
      <c r="B523" s="15">
        <v>745.88</v>
      </c>
      <c r="C523" s="15"/>
      <c r="D523" s="15">
        <v>13558.03</v>
      </c>
      <c r="E523" s="16">
        <v>43140</v>
      </c>
      <c r="F523" s="17" t="s">
        <v>25</v>
      </c>
    </row>
    <row r="524" spans="1:6">
      <c r="A524" s="13">
        <v>43143</v>
      </c>
      <c r="B524" s="15">
        <v>753.53</v>
      </c>
      <c r="C524" s="15"/>
      <c r="D524" s="15">
        <v>13700.66</v>
      </c>
      <c r="E524" s="16">
        <v>43143</v>
      </c>
      <c r="F524" s="17" t="s">
        <v>25</v>
      </c>
    </row>
    <row r="525" spans="1:6">
      <c r="A525" s="13">
        <v>43145</v>
      </c>
      <c r="B525" s="15">
        <v>751.05</v>
      </c>
      <c r="C525" s="15"/>
      <c r="D525" s="15">
        <v>13668.94</v>
      </c>
      <c r="E525" s="16">
        <v>43145</v>
      </c>
      <c r="F525" s="17" t="s">
        <v>25</v>
      </c>
    </row>
    <row r="526" spans="1:6">
      <c r="A526" s="13">
        <v>43146</v>
      </c>
      <c r="B526" s="15">
        <v>750.75</v>
      </c>
      <c r="C526" s="15"/>
      <c r="D526" s="15">
        <v>13668.38</v>
      </c>
      <c r="E526" s="16">
        <v>43146</v>
      </c>
      <c r="F526" s="17" t="s">
        <v>25</v>
      </c>
    </row>
    <row r="527" spans="1:6">
      <c r="A527" s="13">
        <v>43147</v>
      </c>
      <c r="B527" s="15">
        <v>742.73</v>
      </c>
      <c r="C527" s="15"/>
      <c r="D527" s="15">
        <v>13540.46</v>
      </c>
      <c r="E527" s="16">
        <v>43147</v>
      </c>
      <c r="F527" s="17" t="s">
        <v>25</v>
      </c>
    </row>
    <row r="528" spans="1:6">
      <c r="A528" s="13">
        <v>43150</v>
      </c>
      <c r="B528" s="15">
        <v>735.73</v>
      </c>
      <c r="C528" s="15"/>
      <c r="D528" s="15">
        <v>13429.56</v>
      </c>
      <c r="E528" s="16">
        <v>43150</v>
      </c>
      <c r="F528" s="17" t="s">
        <v>25</v>
      </c>
    </row>
    <row r="529" spans="1:6">
      <c r="A529" s="13">
        <v>43151</v>
      </c>
      <c r="B529" s="15">
        <v>735.25</v>
      </c>
      <c r="C529" s="15"/>
      <c r="D529" s="15">
        <v>13417.24</v>
      </c>
      <c r="E529" s="16">
        <v>43151</v>
      </c>
      <c r="F529" s="17" t="s">
        <v>25</v>
      </c>
    </row>
    <row r="530" spans="1:6">
      <c r="A530" s="13">
        <v>43152</v>
      </c>
      <c r="B530" s="15">
        <v>735.62</v>
      </c>
      <c r="C530" s="15"/>
      <c r="D530" s="15">
        <v>13442.27</v>
      </c>
      <c r="E530" s="16">
        <v>43152</v>
      </c>
      <c r="F530" s="17" t="s">
        <v>25</v>
      </c>
    </row>
    <row r="531" spans="1:6">
      <c r="A531" s="13">
        <v>43153</v>
      </c>
      <c r="B531" s="15">
        <v>732.23</v>
      </c>
      <c r="C531" s="15"/>
      <c r="D531" s="15">
        <v>13402.06</v>
      </c>
      <c r="E531" s="16">
        <v>43153</v>
      </c>
      <c r="F531" s="17" t="s">
        <v>25</v>
      </c>
    </row>
    <row r="532" spans="1:6">
      <c r="A532" s="13">
        <v>43154</v>
      </c>
      <c r="B532" s="15">
        <v>742.31</v>
      </c>
      <c r="C532" s="15"/>
      <c r="D532" s="15">
        <v>13567.59</v>
      </c>
      <c r="E532" s="16">
        <v>43154</v>
      </c>
      <c r="F532" s="17" t="s">
        <v>25</v>
      </c>
    </row>
    <row r="533" spans="1:6">
      <c r="A533" s="13">
        <v>43157</v>
      </c>
      <c r="B533" s="15">
        <v>749.39</v>
      </c>
      <c r="C533" s="15"/>
      <c r="D533" s="15">
        <v>13686.8</v>
      </c>
      <c r="E533" s="16">
        <v>43157</v>
      </c>
      <c r="F533" s="17" t="s">
        <v>25</v>
      </c>
    </row>
    <row r="534" spans="1:6">
      <c r="A534" s="13">
        <v>43158</v>
      </c>
      <c r="B534" s="15">
        <v>746.84</v>
      </c>
      <c r="C534" s="15"/>
      <c r="D534" s="15">
        <v>13642.21</v>
      </c>
      <c r="E534" s="16">
        <v>43158</v>
      </c>
      <c r="F534" s="17" t="s">
        <v>25</v>
      </c>
    </row>
    <row r="535" spans="1:6">
      <c r="A535" s="13">
        <v>43159</v>
      </c>
      <c r="B535" s="15">
        <v>743.65</v>
      </c>
      <c r="C535" s="15"/>
      <c r="D535" s="15">
        <v>13585.49</v>
      </c>
      <c r="E535" s="16">
        <v>43159</v>
      </c>
      <c r="F535" s="17" t="s">
        <v>25</v>
      </c>
    </row>
    <row r="536" spans="1:6">
      <c r="A536" s="13">
        <v>43160</v>
      </c>
      <c r="B536" s="15">
        <v>742.1</v>
      </c>
      <c r="C536" s="15"/>
      <c r="D536" s="15">
        <v>13531.83</v>
      </c>
      <c r="E536" s="16">
        <v>43160</v>
      </c>
      <c r="F536" s="17" t="s">
        <v>25</v>
      </c>
    </row>
    <row r="537" spans="1:6">
      <c r="A537" s="13">
        <v>43164</v>
      </c>
      <c r="B537" s="15">
        <v>733.34</v>
      </c>
      <c r="C537" s="15"/>
      <c r="D537" s="15">
        <v>13400.93</v>
      </c>
      <c r="E537" s="16">
        <v>43164</v>
      </c>
      <c r="F537" s="17" t="s">
        <v>25</v>
      </c>
    </row>
    <row r="538" spans="1:6">
      <c r="A538" s="13">
        <v>43165</v>
      </c>
      <c r="B538" s="15">
        <v>726.3</v>
      </c>
      <c r="C538" s="15"/>
      <c r="D538" s="15">
        <v>13260.12</v>
      </c>
      <c r="E538" s="16">
        <v>43165</v>
      </c>
      <c r="F538" s="17" t="s">
        <v>25</v>
      </c>
    </row>
    <row r="539" spans="1:6">
      <c r="A539" s="13">
        <v>43166</v>
      </c>
      <c r="B539" s="15">
        <v>720.93</v>
      </c>
      <c r="C539" s="15"/>
      <c r="D539" s="15">
        <v>13109.11</v>
      </c>
      <c r="E539" s="16">
        <v>43166</v>
      </c>
      <c r="F539" s="17" t="s">
        <v>25</v>
      </c>
    </row>
    <row r="540" spans="1:6">
      <c r="A540" s="13">
        <v>43167</v>
      </c>
      <c r="B540" s="15">
        <v>723.73</v>
      </c>
      <c r="C540" s="15"/>
      <c r="D540" s="15">
        <v>13202.82</v>
      </c>
      <c r="E540" s="16">
        <v>43167</v>
      </c>
      <c r="F540" s="17" t="s">
        <v>25</v>
      </c>
    </row>
    <row r="541" spans="1:6">
      <c r="A541" s="13">
        <v>43168</v>
      </c>
      <c r="B541" s="15">
        <v>721.5</v>
      </c>
      <c r="C541" s="15"/>
      <c r="D541" s="15">
        <v>13181.83</v>
      </c>
      <c r="E541" s="16">
        <v>43168</v>
      </c>
      <c r="F541" s="17" t="s">
        <v>25</v>
      </c>
    </row>
    <row r="542" spans="1:6">
      <c r="A542" s="13">
        <v>43171</v>
      </c>
      <c r="B542" s="15">
        <v>734.24</v>
      </c>
      <c r="C542" s="15"/>
      <c r="D542" s="15">
        <v>13380.35</v>
      </c>
      <c r="E542" s="16">
        <v>43171</v>
      </c>
      <c r="F542" s="17" t="s">
        <v>25</v>
      </c>
    </row>
    <row r="543" spans="1:6">
      <c r="A543" s="13">
        <v>43172</v>
      </c>
      <c r="B543" s="15">
        <v>737.05</v>
      </c>
      <c r="C543" s="15"/>
      <c r="D543" s="15">
        <v>13434.83</v>
      </c>
      <c r="E543" s="16">
        <v>43172</v>
      </c>
      <c r="F543" s="17" t="s">
        <v>25</v>
      </c>
    </row>
    <row r="544" spans="1:6">
      <c r="A544" s="13">
        <v>43173</v>
      </c>
      <c r="B544" s="15">
        <v>738.24</v>
      </c>
      <c r="C544" s="15"/>
      <c r="D544" s="15">
        <v>13425.47</v>
      </c>
      <c r="E544" s="16">
        <v>43173</v>
      </c>
      <c r="F544" s="17" t="s">
        <v>25</v>
      </c>
    </row>
    <row r="545" spans="1:6">
      <c r="A545" s="13">
        <v>43174</v>
      </c>
      <c r="B545" s="15">
        <v>736.55</v>
      </c>
      <c r="C545" s="15"/>
      <c r="D545" s="15">
        <v>13399.61</v>
      </c>
      <c r="E545" s="16">
        <v>43174</v>
      </c>
      <c r="F545" s="17" t="s">
        <v>25</v>
      </c>
    </row>
    <row r="546" spans="1:6">
      <c r="A546" s="13">
        <v>43175</v>
      </c>
      <c r="B546" s="15">
        <v>727.56</v>
      </c>
      <c r="C546" s="15"/>
      <c r="D546" s="15">
        <v>13214.46</v>
      </c>
      <c r="E546" s="16">
        <v>43175</v>
      </c>
      <c r="F546" s="17" t="s">
        <v>25</v>
      </c>
    </row>
    <row r="547" spans="1:6">
      <c r="A547" s="13">
        <v>43178</v>
      </c>
      <c r="B547" s="15">
        <v>717.31</v>
      </c>
      <c r="C547" s="15"/>
      <c r="D547" s="15">
        <v>13052.85</v>
      </c>
      <c r="E547" s="16">
        <v>43178</v>
      </c>
      <c r="F547" s="17" t="s">
        <v>25</v>
      </c>
    </row>
    <row r="548" spans="1:6">
      <c r="A548" s="13">
        <v>43179</v>
      </c>
      <c r="B548" s="15">
        <v>720.21</v>
      </c>
      <c r="C548" s="15"/>
      <c r="D548" s="15">
        <v>13100.23</v>
      </c>
      <c r="E548" s="16">
        <v>43179</v>
      </c>
      <c r="F548" s="17" t="s">
        <v>25</v>
      </c>
    </row>
    <row r="549" spans="1:6">
      <c r="A549" s="13">
        <v>43180</v>
      </c>
      <c r="B549" s="15">
        <v>721.01</v>
      </c>
      <c r="C549" s="15"/>
      <c r="D549" s="15">
        <v>13142.31</v>
      </c>
      <c r="E549" s="16">
        <v>43180</v>
      </c>
      <c r="F549" s="17" t="s">
        <v>25</v>
      </c>
    </row>
    <row r="550" spans="1:6">
      <c r="A550" s="13">
        <v>43181</v>
      </c>
      <c r="B550" s="15">
        <v>717.6</v>
      </c>
      <c r="C550" s="15"/>
      <c r="D550" s="15">
        <v>13077.48</v>
      </c>
      <c r="E550" s="16">
        <v>43181</v>
      </c>
      <c r="F550" s="17" t="s">
        <v>25</v>
      </c>
    </row>
    <row r="551" spans="1:6">
      <c r="A551" s="13">
        <v>43182</v>
      </c>
      <c r="B551" s="15">
        <v>709.19</v>
      </c>
      <c r="C551" s="15"/>
      <c r="D551" s="15">
        <v>12926.25</v>
      </c>
      <c r="E551" s="16">
        <v>43182</v>
      </c>
      <c r="F551" s="17" t="s">
        <v>25</v>
      </c>
    </row>
    <row r="552" spans="1:6">
      <c r="A552" s="13">
        <v>43185</v>
      </c>
      <c r="B552" s="15">
        <v>720.23</v>
      </c>
      <c r="C552" s="15"/>
      <c r="D552" s="15">
        <v>13093.19</v>
      </c>
      <c r="E552" s="16">
        <v>43185</v>
      </c>
      <c r="F552" s="17" t="s">
        <v>25</v>
      </c>
    </row>
    <row r="553" spans="1:6">
      <c r="A553" s="13">
        <v>43186</v>
      </c>
      <c r="B553" s="15">
        <v>727.39</v>
      </c>
      <c r="C553" s="15"/>
      <c r="D553" s="15">
        <v>13187.9</v>
      </c>
      <c r="E553" s="16">
        <v>43186</v>
      </c>
      <c r="F553" s="17" t="s">
        <v>25</v>
      </c>
    </row>
    <row r="554" spans="1:6">
      <c r="A554" s="13">
        <v>43187</v>
      </c>
      <c r="B554" s="15">
        <v>721.93</v>
      </c>
      <c r="C554" s="15"/>
      <c r="D554" s="15">
        <v>13090.98</v>
      </c>
      <c r="E554" s="16">
        <v>43187</v>
      </c>
      <c r="F554" s="17" t="s">
        <v>25</v>
      </c>
    </row>
    <row r="555" spans="1:6">
      <c r="A555" s="13">
        <v>43192</v>
      </c>
      <c r="B555" s="15">
        <v>730.32</v>
      </c>
      <c r="C555" s="15"/>
      <c r="D555" s="15">
        <v>13254.74</v>
      </c>
      <c r="E555" s="16">
        <v>43192</v>
      </c>
      <c r="F555" s="17" t="s">
        <v>25</v>
      </c>
    </row>
    <row r="556" spans="1:6">
      <c r="A556" s="13">
        <v>43193</v>
      </c>
      <c r="B556" s="15">
        <v>734.48</v>
      </c>
      <c r="C556" s="15"/>
      <c r="D556" s="15">
        <v>13330.03</v>
      </c>
      <c r="E556" s="16">
        <v>43193</v>
      </c>
      <c r="F556" s="17" t="s">
        <v>25</v>
      </c>
    </row>
    <row r="557" spans="1:6">
      <c r="A557" s="13">
        <v>43194</v>
      </c>
      <c r="B557" s="15">
        <v>726.15</v>
      </c>
      <c r="C557" s="15"/>
      <c r="D557" s="15">
        <v>13184.34</v>
      </c>
      <c r="E557" s="16">
        <v>43194</v>
      </c>
      <c r="F557" s="17" t="s">
        <v>25</v>
      </c>
    </row>
    <row r="558" spans="1:6">
      <c r="A558" s="13">
        <v>43195</v>
      </c>
      <c r="B558" s="15">
        <v>740.5</v>
      </c>
      <c r="C558" s="15"/>
      <c r="D558" s="15">
        <v>13435.15</v>
      </c>
      <c r="E558" s="16">
        <v>43195</v>
      </c>
      <c r="F558" s="17" t="s">
        <v>25</v>
      </c>
    </row>
    <row r="559" spans="1:6">
      <c r="A559" s="13">
        <v>43196</v>
      </c>
      <c r="B559" s="15">
        <v>742.69</v>
      </c>
      <c r="C559" s="15"/>
      <c r="D559" s="15">
        <v>13473.25</v>
      </c>
      <c r="E559" s="16">
        <v>43196</v>
      </c>
      <c r="F559" s="17" t="s">
        <v>25</v>
      </c>
    </row>
    <row r="560" spans="1:6">
      <c r="A560" s="13">
        <v>43199</v>
      </c>
      <c r="B560" s="15">
        <v>743.99</v>
      </c>
      <c r="C560" s="15"/>
      <c r="D560" s="15">
        <v>13521.92</v>
      </c>
      <c r="E560" s="16">
        <v>43199</v>
      </c>
      <c r="F560" s="17" t="s">
        <v>25</v>
      </c>
    </row>
    <row r="561" spans="1:6">
      <c r="A561" s="13">
        <v>43200</v>
      </c>
      <c r="B561" s="15">
        <v>746.83</v>
      </c>
      <c r="C561" s="15"/>
      <c r="D561" s="15">
        <v>13542.43</v>
      </c>
      <c r="E561" s="16">
        <v>43200</v>
      </c>
      <c r="F561" s="17" t="s">
        <v>25</v>
      </c>
    </row>
    <row r="562" spans="1:6">
      <c r="A562" s="13">
        <v>43201</v>
      </c>
      <c r="B562" s="15">
        <v>748.21</v>
      </c>
      <c r="C562" s="15"/>
      <c r="D562" s="15">
        <v>13559.63</v>
      </c>
      <c r="E562" s="16">
        <v>43201</v>
      </c>
      <c r="F562" s="17" t="s">
        <v>25</v>
      </c>
    </row>
    <row r="563" spans="1:6">
      <c r="A563" s="13">
        <v>43202</v>
      </c>
      <c r="B563" s="15">
        <v>747.73</v>
      </c>
      <c r="C563" s="15"/>
      <c r="D563" s="15">
        <v>13583.7</v>
      </c>
      <c r="E563" s="16">
        <v>43202</v>
      </c>
      <c r="F563" s="17" t="s">
        <v>25</v>
      </c>
    </row>
    <row r="564" spans="1:6">
      <c r="A564" s="13">
        <v>43203</v>
      </c>
      <c r="B564" s="15">
        <v>749.01</v>
      </c>
      <c r="C564" s="15"/>
      <c r="D564" s="15">
        <v>13613.67</v>
      </c>
      <c r="E564" s="16">
        <v>43203</v>
      </c>
      <c r="F564" s="17" t="s">
        <v>25</v>
      </c>
    </row>
    <row r="565" spans="1:6">
      <c r="A565" s="13">
        <v>43206</v>
      </c>
      <c r="B565" s="15">
        <v>752.19</v>
      </c>
      <c r="C565" s="15"/>
      <c r="D565" s="15">
        <v>13677.8</v>
      </c>
      <c r="E565" s="16">
        <v>43206</v>
      </c>
      <c r="F565" s="17" t="s">
        <v>25</v>
      </c>
    </row>
    <row r="566" spans="1:6">
      <c r="A566" s="13">
        <v>43207</v>
      </c>
      <c r="B566" s="15">
        <v>753.3</v>
      </c>
      <c r="C566" s="15"/>
      <c r="D566" s="15">
        <v>13705.74</v>
      </c>
      <c r="E566" s="16">
        <v>43207</v>
      </c>
      <c r="F566" s="17" t="s">
        <v>25</v>
      </c>
    </row>
    <row r="567" spans="1:6">
      <c r="A567" s="13">
        <v>43208</v>
      </c>
      <c r="B567" s="15">
        <v>752.14</v>
      </c>
      <c r="C567" s="15"/>
      <c r="D567" s="15">
        <v>13678.25</v>
      </c>
      <c r="E567" s="16">
        <v>43208</v>
      </c>
      <c r="F567" s="17" t="s">
        <v>25</v>
      </c>
    </row>
    <row r="568" spans="1:6">
      <c r="A568" s="13">
        <v>43209</v>
      </c>
      <c r="B568" s="15">
        <v>759.55</v>
      </c>
      <c r="C568" s="15"/>
      <c r="D568" s="15">
        <v>13744.05</v>
      </c>
      <c r="E568" s="16">
        <v>43209</v>
      </c>
      <c r="F568" s="17" t="s">
        <v>25</v>
      </c>
    </row>
    <row r="569" spans="1:6">
      <c r="A569" s="13">
        <v>43210</v>
      </c>
      <c r="B569" s="15">
        <v>760.14</v>
      </c>
      <c r="C569" s="15"/>
      <c r="D569" s="15">
        <v>13731.17</v>
      </c>
      <c r="E569" s="16">
        <v>43210</v>
      </c>
      <c r="F569" s="17" t="s">
        <v>25</v>
      </c>
    </row>
    <row r="570" spans="1:6">
      <c r="A570" s="13">
        <v>43213</v>
      </c>
      <c r="B570" s="15">
        <v>762.71</v>
      </c>
      <c r="C570" s="15"/>
      <c r="D570" s="15">
        <v>13769.15</v>
      </c>
      <c r="E570" s="16">
        <v>43213</v>
      </c>
      <c r="F570" s="17" t="s">
        <v>25</v>
      </c>
    </row>
    <row r="571" spans="1:6">
      <c r="A571" s="13">
        <v>43214</v>
      </c>
      <c r="B571" s="15">
        <v>760.57</v>
      </c>
      <c r="C571" s="15"/>
      <c r="D571" s="15">
        <v>13794.14</v>
      </c>
      <c r="E571" s="16">
        <v>43214</v>
      </c>
      <c r="F571" s="17" t="s">
        <v>25</v>
      </c>
    </row>
    <row r="572" spans="1:6">
      <c r="A572" s="13">
        <v>43215</v>
      </c>
      <c r="B572" s="15">
        <v>756.24</v>
      </c>
      <c r="C572" s="15"/>
      <c r="D572" s="15">
        <v>13735</v>
      </c>
      <c r="E572" s="16">
        <v>43215</v>
      </c>
      <c r="F572" s="17" t="s">
        <v>25</v>
      </c>
    </row>
    <row r="573" spans="1:6">
      <c r="A573" s="13">
        <v>43216</v>
      </c>
      <c r="B573" s="15">
        <v>759.72</v>
      </c>
      <c r="C573" s="15"/>
      <c r="D573" s="15">
        <v>13781.25</v>
      </c>
      <c r="E573" s="16">
        <v>43216</v>
      </c>
      <c r="F573" s="17" t="s">
        <v>25</v>
      </c>
    </row>
    <row r="574" spans="1:6">
      <c r="A574" s="13">
        <v>43217</v>
      </c>
      <c r="B574" s="15">
        <v>764.46</v>
      </c>
      <c r="C574" s="15"/>
      <c r="D574" s="15">
        <v>13872.77</v>
      </c>
      <c r="E574" s="16">
        <v>43217</v>
      </c>
      <c r="F574" s="17" t="s">
        <v>25</v>
      </c>
    </row>
    <row r="575" spans="1:6">
      <c r="A575" s="13">
        <v>43220</v>
      </c>
      <c r="B575" s="15">
        <v>770.98</v>
      </c>
      <c r="C575" s="15"/>
      <c r="D575" s="15">
        <v>13950.42</v>
      </c>
      <c r="E575" s="16">
        <v>43220</v>
      </c>
      <c r="F575" s="17" t="s">
        <v>25</v>
      </c>
    </row>
    <row r="576" spans="1:6">
      <c r="A576" s="13">
        <v>43222</v>
      </c>
      <c r="B576" s="15">
        <v>764.05</v>
      </c>
      <c r="C576" s="15"/>
      <c r="D576" s="15">
        <v>13874.76</v>
      </c>
      <c r="E576" s="16">
        <v>43222</v>
      </c>
      <c r="F576" s="17" t="s">
        <v>25</v>
      </c>
    </row>
    <row r="577" spans="1:6">
      <c r="A577" s="13">
        <v>43223</v>
      </c>
      <c r="B577" s="15">
        <v>758.57</v>
      </c>
      <c r="C577" s="15"/>
      <c r="D577" s="15">
        <v>13792.81</v>
      </c>
      <c r="E577" s="16">
        <v>43223</v>
      </c>
      <c r="F577" s="17" t="s">
        <v>25</v>
      </c>
    </row>
    <row r="578" spans="1:6">
      <c r="A578" s="13">
        <v>43224</v>
      </c>
      <c r="B578" s="15">
        <v>754.58</v>
      </c>
      <c r="C578" s="15"/>
      <c r="D578" s="15">
        <v>13721</v>
      </c>
      <c r="E578" s="16">
        <v>43224</v>
      </c>
      <c r="F578" s="17" t="s">
        <v>25</v>
      </c>
    </row>
    <row r="579" spans="1:6">
      <c r="A579" s="13">
        <v>43227</v>
      </c>
      <c r="B579" s="15">
        <v>759.42</v>
      </c>
      <c r="C579" s="15"/>
      <c r="D579" s="15">
        <v>13837.1</v>
      </c>
      <c r="E579" s="16">
        <v>43227</v>
      </c>
      <c r="F579" s="17" t="s">
        <v>25</v>
      </c>
    </row>
    <row r="580" spans="1:6">
      <c r="A580" s="13">
        <v>43228</v>
      </c>
      <c r="B580" s="15">
        <v>760.53</v>
      </c>
      <c r="C580" s="15"/>
      <c r="D580" s="15">
        <v>13838.65</v>
      </c>
      <c r="E580" s="16">
        <v>43228</v>
      </c>
      <c r="F580" s="17" t="s">
        <v>25</v>
      </c>
    </row>
    <row r="581" spans="1:6">
      <c r="A581" s="13">
        <v>43229</v>
      </c>
      <c r="B581" s="15">
        <v>758.87</v>
      </c>
      <c r="C581" s="15"/>
      <c r="D581" s="15">
        <v>13837.48</v>
      </c>
      <c r="E581" s="16">
        <v>43229</v>
      </c>
      <c r="F581" s="17" t="s">
        <v>25</v>
      </c>
    </row>
    <row r="582" spans="1:6">
      <c r="A582" s="13">
        <v>43230</v>
      </c>
      <c r="B582" s="15">
        <v>755.95</v>
      </c>
      <c r="C582" s="15"/>
      <c r="D582" s="15">
        <v>13752.47</v>
      </c>
      <c r="E582" s="16">
        <v>43230</v>
      </c>
      <c r="F582" s="17" t="s">
        <v>25</v>
      </c>
    </row>
    <row r="583" spans="1:6">
      <c r="A583" s="13">
        <v>43231</v>
      </c>
      <c r="B583" s="15">
        <v>760.87</v>
      </c>
      <c r="C583" s="15"/>
      <c r="D583" s="15">
        <v>13833.86</v>
      </c>
      <c r="E583" s="16">
        <v>43231</v>
      </c>
      <c r="F583" s="17" t="s">
        <v>25</v>
      </c>
    </row>
    <row r="584" spans="1:6">
      <c r="A584" s="13">
        <v>43234</v>
      </c>
      <c r="B584" s="15">
        <v>758.79</v>
      </c>
      <c r="C584" s="15"/>
      <c r="D584" s="15">
        <v>13795.05</v>
      </c>
      <c r="E584" s="16">
        <v>43234</v>
      </c>
      <c r="F584" s="17" t="s">
        <v>25</v>
      </c>
    </row>
    <row r="585" spans="1:6">
      <c r="A585" s="13">
        <v>43235</v>
      </c>
      <c r="B585" s="15">
        <v>756.75</v>
      </c>
      <c r="C585" s="15"/>
      <c r="D585" s="15">
        <v>13760.15</v>
      </c>
      <c r="E585" s="16">
        <v>43235</v>
      </c>
      <c r="F585" s="17" t="s">
        <v>25</v>
      </c>
    </row>
    <row r="586" spans="1:6">
      <c r="A586" s="13">
        <v>43236</v>
      </c>
      <c r="B586" s="15">
        <v>753.16</v>
      </c>
      <c r="C586" s="15"/>
      <c r="D586" s="15">
        <v>13705.45</v>
      </c>
      <c r="E586" s="16">
        <v>43236</v>
      </c>
      <c r="F586" s="17" t="s">
        <v>25</v>
      </c>
    </row>
    <row r="587" spans="1:6">
      <c r="A587" s="13">
        <v>43237</v>
      </c>
      <c r="B587" s="15">
        <v>751.75</v>
      </c>
      <c r="C587" s="15"/>
      <c r="D587" s="15">
        <v>13670.14</v>
      </c>
      <c r="E587" s="16">
        <v>43237</v>
      </c>
      <c r="F587" s="17" t="s">
        <v>25</v>
      </c>
    </row>
    <row r="588" spans="1:6">
      <c r="A588" s="13">
        <v>43238</v>
      </c>
      <c r="B588" s="15">
        <v>745.08</v>
      </c>
      <c r="C588" s="15"/>
      <c r="D588" s="15">
        <v>13530.24</v>
      </c>
      <c r="E588" s="16">
        <v>43238</v>
      </c>
      <c r="F588" s="17" t="s">
        <v>25</v>
      </c>
    </row>
    <row r="589" spans="1:6">
      <c r="A589" s="13">
        <v>43241</v>
      </c>
      <c r="B589" s="15">
        <v>735.91</v>
      </c>
      <c r="C589" s="15"/>
      <c r="D589" s="15">
        <v>13382.6</v>
      </c>
      <c r="E589" s="16">
        <v>43241</v>
      </c>
      <c r="F589" s="17" t="s">
        <v>25</v>
      </c>
    </row>
    <row r="590" spans="1:6">
      <c r="A590" s="13">
        <v>43242</v>
      </c>
      <c r="B590" s="15">
        <v>740</v>
      </c>
      <c r="C590" s="15"/>
      <c r="D590" s="15">
        <v>13436.94</v>
      </c>
      <c r="E590" s="16">
        <v>43242</v>
      </c>
      <c r="F590" s="17" t="s">
        <v>25</v>
      </c>
    </row>
    <row r="591" spans="1:6">
      <c r="A591" s="13">
        <v>43243</v>
      </c>
      <c r="B591" s="15">
        <v>731.79</v>
      </c>
      <c r="C591" s="15"/>
      <c r="D591" s="15">
        <v>13325.63</v>
      </c>
      <c r="E591" s="16">
        <v>43243</v>
      </c>
      <c r="F591" s="17" t="s">
        <v>25</v>
      </c>
    </row>
    <row r="592" spans="1:6">
      <c r="A592" s="13">
        <v>43244</v>
      </c>
      <c r="B592" s="15">
        <v>733.65</v>
      </c>
      <c r="C592" s="15"/>
      <c r="D592" s="15">
        <v>13392.87</v>
      </c>
      <c r="E592" s="16">
        <v>43244</v>
      </c>
      <c r="F592" s="17" t="s">
        <v>25</v>
      </c>
    </row>
    <row r="593" spans="1:6">
      <c r="A593" s="13">
        <v>43245</v>
      </c>
      <c r="B593" s="15">
        <v>744.31</v>
      </c>
      <c r="C593" s="15"/>
      <c r="D593" s="15">
        <v>13549.37</v>
      </c>
      <c r="E593" s="16">
        <v>43245</v>
      </c>
      <c r="F593" s="17" t="s">
        <v>25</v>
      </c>
    </row>
    <row r="594" spans="1:6">
      <c r="A594" s="13">
        <v>43248</v>
      </c>
      <c r="B594" s="15">
        <v>749.03</v>
      </c>
      <c r="C594" s="15"/>
      <c r="D594" s="15">
        <v>13684.63</v>
      </c>
      <c r="E594" s="16">
        <v>43248</v>
      </c>
      <c r="F594" s="17" t="s">
        <v>25</v>
      </c>
    </row>
    <row r="595" spans="1:6">
      <c r="A595" s="13">
        <v>43249</v>
      </c>
      <c r="B595" s="15">
        <v>745.44</v>
      </c>
      <c r="C595" s="15"/>
      <c r="D595" s="15">
        <v>13630.69</v>
      </c>
      <c r="E595" s="16">
        <v>43249</v>
      </c>
      <c r="F595" s="17" t="s">
        <v>25</v>
      </c>
    </row>
    <row r="596" spans="1:6">
      <c r="A596" s="13">
        <v>43250</v>
      </c>
      <c r="B596" s="15">
        <v>744.53</v>
      </c>
      <c r="C596" s="15"/>
      <c r="D596" s="15">
        <v>13607.75</v>
      </c>
      <c r="E596" s="16">
        <v>43250</v>
      </c>
      <c r="F596" s="17" t="s">
        <v>25</v>
      </c>
    </row>
    <row r="597" spans="1:6">
      <c r="A597" s="13">
        <v>43251</v>
      </c>
      <c r="B597" s="15">
        <v>747.25</v>
      </c>
      <c r="C597" s="15"/>
      <c r="D597" s="15">
        <v>13705.62</v>
      </c>
      <c r="E597" s="16">
        <v>43251</v>
      </c>
      <c r="F597" s="17" t="s">
        <v>25</v>
      </c>
    </row>
    <row r="598" spans="1:6">
      <c r="A598" s="13">
        <v>43252</v>
      </c>
      <c r="B598" s="15">
        <v>742.35</v>
      </c>
      <c r="C598" s="15"/>
      <c r="D598" s="15">
        <v>13617.21</v>
      </c>
      <c r="E598" s="16">
        <v>43252</v>
      </c>
      <c r="F598" s="17" t="s">
        <v>25</v>
      </c>
    </row>
    <row r="599" spans="1:6">
      <c r="A599" s="13">
        <v>43255</v>
      </c>
      <c r="B599" s="15">
        <v>736.98</v>
      </c>
      <c r="C599" s="15"/>
      <c r="D599" s="15">
        <v>13501.53</v>
      </c>
      <c r="E599" s="16">
        <v>43255</v>
      </c>
      <c r="F599" s="17" t="s">
        <v>25</v>
      </c>
    </row>
    <row r="600" spans="1:6">
      <c r="A600" s="13">
        <v>43256</v>
      </c>
      <c r="B600" s="15">
        <v>732.36</v>
      </c>
      <c r="C600" s="15"/>
      <c r="D600" s="15">
        <v>13405.29</v>
      </c>
      <c r="E600" s="16">
        <v>43256</v>
      </c>
      <c r="F600" s="17" t="s">
        <v>25</v>
      </c>
    </row>
    <row r="601" spans="1:6">
      <c r="A601" s="13">
        <v>43257</v>
      </c>
      <c r="B601" s="15">
        <v>738.79</v>
      </c>
      <c r="C601" s="15"/>
      <c r="D601" s="15">
        <v>13545.67</v>
      </c>
      <c r="E601" s="16">
        <v>43257</v>
      </c>
      <c r="F601" s="17" t="s">
        <v>25</v>
      </c>
    </row>
    <row r="602" spans="1:6">
      <c r="A602" s="13">
        <v>43258</v>
      </c>
      <c r="B602" s="15">
        <v>745.64</v>
      </c>
      <c r="C602" s="15"/>
      <c r="D602" s="15">
        <v>13684.5</v>
      </c>
      <c r="E602" s="16">
        <v>43258</v>
      </c>
      <c r="F602" s="17" t="s">
        <v>25</v>
      </c>
    </row>
    <row r="603" spans="1:6">
      <c r="A603" s="13">
        <v>43259</v>
      </c>
      <c r="B603" s="15">
        <v>745.62</v>
      </c>
      <c r="C603" s="15"/>
      <c r="D603" s="15">
        <v>13708.4</v>
      </c>
      <c r="E603" s="16">
        <v>43259</v>
      </c>
      <c r="F603" s="17" t="s">
        <v>25</v>
      </c>
    </row>
    <row r="604" spans="1:6">
      <c r="A604" s="13">
        <v>43262</v>
      </c>
      <c r="B604" s="15">
        <v>747.24</v>
      </c>
      <c r="C604" s="15"/>
      <c r="D604" s="15">
        <v>13732.15</v>
      </c>
      <c r="E604" s="16">
        <v>43262</v>
      </c>
      <c r="F604" s="17" t="s">
        <v>25</v>
      </c>
    </row>
    <row r="605" spans="1:6">
      <c r="A605" s="13">
        <v>43263</v>
      </c>
      <c r="B605" s="15">
        <v>750.01</v>
      </c>
      <c r="C605" s="15"/>
      <c r="D605" s="15">
        <v>13811.73</v>
      </c>
      <c r="E605" s="16">
        <v>43263</v>
      </c>
      <c r="F605" s="17" t="s">
        <v>25</v>
      </c>
    </row>
    <row r="606" spans="1:6">
      <c r="A606" s="13">
        <v>43264</v>
      </c>
      <c r="B606" s="15">
        <v>748.99</v>
      </c>
      <c r="C606" s="15"/>
      <c r="D606" s="15">
        <v>13811.78</v>
      </c>
      <c r="E606" s="16">
        <v>43264</v>
      </c>
      <c r="F606" s="17" t="s">
        <v>25</v>
      </c>
    </row>
    <row r="607" spans="1:6">
      <c r="A607" s="13">
        <v>43265</v>
      </c>
      <c r="B607" s="15">
        <v>747.99</v>
      </c>
      <c r="C607" s="15"/>
      <c r="D607" s="15">
        <v>13781.18</v>
      </c>
      <c r="E607" s="16">
        <v>43265</v>
      </c>
      <c r="F607" s="17" t="s">
        <v>25</v>
      </c>
    </row>
    <row r="608" spans="1:6">
      <c r="A608" s="13">
        <v>43266</v>
      </c>
      <c r="B608" s="15">
        <v>746.56</v>
      </c>
      <c r="C608" s="15"/>
      <c r="D608" s="15">
        <v>13762.12</v>
      </c>
      <c r="E608" s="16">
        <v>43266</v>
      </c>
      <c r="F608" s="17" t="s">
        <v>25</v>
      </c>
    </row>
    <row r="609" spans="1:6">
      <c r="A609" s="13">
        <v>43269</v>
      </c>
      <c r="B609" s="15">
        <v>744.17</v>
      </c>
      <c r="C609" s="15"/>
      <c r="D609" s="15">
        <v>13725.35</v>
      </c>
      <c r="E609" s="16">
        <v>43269</v>
      </c>
      <c r="F609" s="17" t="s">
        <v>25</v>
      </c>
    </row>
    <row r="610" spans="1:6">
      <c r="A610" s="13">
        <v>43270</v>
      </c>
      <c r="B610" s="15">
        <v>738.16</v>
      </c>
      <c r="C610" s="15"/>
      <c r="D610" s="15">
        <v>13601.84</v>
      </c>
      <c r="E610" s="16">
        <v>43270</v>
      </c>
      <c r="F610" s="17" t="s">
        <v>25</v>
      </c>
    </row>
    <row r="611" spans="1:6">
      <c r="A611" s="13">
        <v>43271</v>
      </c>
      <c r="B611" s="15">
        <v>740.1</v>
      </c>
      <c r="C611" s="15"/>
      <c r="D611" s="15">
        <v>13663.75</v>
      </c>
      <c r="E611" s="16">
        <v>43271</v>
      </c>
      <c r="F611" s="17" t="s">
        <v>25</v>
      </c>
    </row>
    <row r="612" spans="1:6">
      <c r="A612" s="13">
        <v>43272</v>
      </c>
      <c r="B612" s="15">
        <v>736.33</v>
      </c>
      <c r="C612" s="15"/>
      <c r="D612" s="15">
        <v>13612.8</v>
      </c>
      <c r="E612" s="16">
        <v>43272</v>
      </c>
      <c r="F612" s="17" t="s">
        <v>25</v>
      </c>
    </row>
    <row r="613" spans="1:6">
      <c r="A613" s="13">
        <v>43273</v>
      </c>
      <c r="B613" s="15">
        <v>739.97</v>
      </c>
      <c r="C613" s="15"/>
      <c r="D613" s="15">
        <v>13695.9</v>
      </c>
      <c r="E613" s="16">
        <v>43273</v>
      </c>
      <c r="F613" s="17" t="s">
        <v>25</v>
      </c>
    </row>
    <row r="614" spans="1:6">
      <c r="A614" s="13">
        <v>43276</v>
      </c>
      <c r="B614" s="15">
        <v>737.7</v>
      </c>
      <c r="C614" s="15"/>
      <c r="D614" s="15">
        <v>13604.24</v>
      </c>
      <c r="E614" s="16">
        <v>43276</v>
      </c>
      <c r="F614" s="17" t="s">
        <v>25</v>
      </c>
    </row>
    <row r="615" spans="1:6">
      <c r="A615" s="13">
        <v>43277</v>
      </c>
      <c r="B615" s="15">
        <v>738.83</v>
      </c>
      <c r="C615" s="15"/>
      <c r="D615" s="15">
        <v>13600.44</v>
      </c>
      <c r="E615" s="16">
        <v>43277</v>
      </c>
      <c r="F615" s="17" t="s">
        <v>25</v>
      </c>
    </row>
    <row r="616" spans="1:6">
      <c r="A616" s="13">
        <v>43278</v>
      </c>
      <c r="B616" s="15">
        <v>733.79</v>
      </c>
      <c r="C616" s="15"/>
      <c r="D616" s="15">
        <v>13453.85</v>
      </c>
      <c r="E616" s="16">
        <v>43278</v>
      </c>
      <c r="F616" s="17" t="s">
        <v>25</v>
      </c>
    </row>
    <row r="617" spans="1:6">
      <c r="A617" s="13">
        <v>43279</v>
      </c>
      <c r="B617" s="15">
        <v>726.54</v>
      </c>
      <c r="C617" s="15"/>
      <c r="D617" s="15">
        <v>13318.37</v>
      </c>
      <c r="E617" s="16">
        <v>43279</v>
      </c>
      <c r="F617" s="17" t="s">
        <v>25</v>
      </c>
    </row>
    <row r="618" spans="1:6">
      <c r="A618" s="13">
        <v>43280</v>
      </c>
      <c r="B618" s="15">
        <v>732.95</v>
      </c>
      <c r="C618" s="15"/>
      <c r="D618" s="15">
        <v>13503.29</v>
      </c>
      <c r="E618" s="16">
        <v>43280</v>
      </c>
      <c r="F618" s="17" t="s">
        <v>25</v>
      </c>
    </row>
    <row r="619" spans="1:6">
      <c r="A619" s="13">
        <v>43283</v>
      </c>
      <c r="B619" s="15">
        <v>727.86</v>
      </c>
      <c r="C619" s="15"/>
      <c r="D619" s="15">
        <v>13424.54</v>
      </c>
      <c r="E619" s="16">
        <v>43283</v>
      </c>
      <c r="F619" s="17" t="s">
        <v>25</v>
      </c>
    </row>
    <row r="620" spans="1:6">
      <c r="A620" s="13">
        <v>43284</v>
      </c>
      <c r="B620" s="15">
        <v>730.71</v>
      </c>
      <c r="C620" s="15"/>
      <c r="D620" s="15">
        <v>13484.25</v>
      </c>
      <c r="E620" s="16">
        <v>43284</v>
      </c>
      <c r="F620" s="17" t="s">
        <v>25</v>
      </c>
    </row>
    <row r="621" spans="1:6">
      <c r="A621" s="13">
        <v>43285</v>
      </c>
      <c r="B621" s="15">
        <v>733.8</v>
      </c>
      <c r="C621" s="15"/>
      <c r="D621" s="15">
        <v>13551.84</v>
      </c>
      <c r="E621" s="16">
        <v>43285</v>
      </c>
      <c r="F621" s="17" t="s">
        <v>25</v>
      </c>
    </row>
    <row r="622" spans="1:6">
      <c r="A622" s="13">
        <v>43286</v>
      </c>
      <c r="B622" s="15">
        <v>732</v>
      </c>
      <c r="C622" s="15"/>
      <c r="D622" s="15">
        <v>13514.84</v>
      </c>
      <c r="E622" s="16">
        <v>43286</v>
      </c>
      <c r="F622" s="17" t="s">
        <v>25</v>
      </c>
    </row>
    <row r="623" spans="1:6">
      <c r="A623" s="13">
        <v>43287</v>
      </c>
      <c r="B623" s="15">
        <v>733.34</v>
      </c>
      <c r="C623" s="15"/>
      <c r="D623" s="15">
        <v>13556.77</v>
      </c>
      <c r="E623" s="16">
        <v>43287</v>
      </c>
      <c r="F623" s="17" t="s">
        <v>25</v>
      </c>
    </row>
    <row r="624" spans="1:6">
      <c r="A624" s="13">
        <v>43290</v>
      </c>
      <c r="B624" s="15">
        <v>739.97</v>
      </c>
      <c r="C624" s="15"/>
      <c r="D624" s="15">
        <v>13681.04</v>
      </c>
      <c r="E624" s="16">
        <v>43290</v>
      </c>
      <c r="F624" s="17" t="s">
        <v>25</v>
      </c>
    </row>
    <row r="625" spans="1:6">
      <c r="A625" s="13">
        <v>43291</v>
      </c>
      <c r="B625" s="15">
        <v>745.31</v>
      </c>
      <c r="C625" s="15"/>
      <c r="D625" s="15">
        <v>13801.46</v>
      </c>
      <c r="E625" s="16">
        <v>43291</v>
      </c>
      <c r="F625" s="17" t="s">
        <v>25</v>
      </c>
    </row>
    <row r="626" spans="1:6">
      <c r="A626" s="13">
        <v>43292</v>
      </c>
      <c r="B626" s="15">
        <v>740.17</v>
      </c>
      <c r="C626" s="15"/>
      <c r="D626" s="15">
        <v>13780.83</v>
      </c>
      <c r="E626" s="16">
        <v>43292</v>
      </c>
      <c r="F626" s="17" t="s">
        <v>25</v>
      </c>
    </row>
    <row r="627" spans="1:6">
      <c r="A627" s="13">
        <v>43293</v>
      </c>
      <c r="B627" s="15">
        <v>741.18</v>
      </c>
      <c r="C627" s="15"/>
      <c r="D627" s="15">
        <v>13837.41</v>
      </c>
      <c r="E627" s="16">
        <v>43293</v>
      </c>
      <c r="F627" s="17" t="s">
        <v>25</v>
      </c>
    </row>
    <row r="628" spans="1:6">
      <c r="A628" s="13">
        <v>43294</v>
      </c>
      <c r="B628" s="15">
        <v>735.65</v>
      </c>
      <c r="C628" s="15"/>
      <c r="D628" s="15">
        <v>13791</v>
      </c>
      <c r="E628" s="16">
        <v>43294</v>
      </c>
      <c r="F628" s="17" t="s">
        <v>25</v>
      </c>
    </row>
    <row r="629" spans="1:6">
      <c r="A629" s="13">
        <v>43297</v>
      </c>
      <c r="B629" s="15">
        <v>721.69</v>
      </c>
      <c r="C629" s="15"/>
      <c r="D629" s="15">
        <v>13618.67</v>
      </c>
      <c r="E629" s="16">
        <v>43297</v>
      </c>
      <c r="F629" s="17" t="s">
        <v>25</v>
      </c>
    </row>
    <row r="630" spans="1:6">
      <c r="A630" s="13">
        <v>43298</v>
      </c>
      <c r="B630" s="15">
        <v>727.76</v>
      </c>
      <c r="C630" s="15"/>
      <c r="D630" s="15">
        <v>13743.72</v>
      </c>
      <c r="E630" s="16">
        <v>43298</v>
      </c>
      <c r="F630" s="17" t="s">
        <v>25</v>
      </c>
    </row>
    <row r="631" spans="1:6">
      <c r="A631" s="13">
        <v>43299</v>
      </c>
      <c r="B631" s="15">
        <v>721.11</v>
      </c>
      <c r="C631" s="15"/>
      <c r="D631" s="15">
        <v>13677.65</v>
      </c>
      <c r="E631" s="16">
        <v>43299</v>
      </c>
      <c r="F631" s="17" t="s">
        <v>25</v>
      </c>
    </row>
    <row r="632" spans="1:6">
      <c r="A632" s="13">
        <v>43300</v>
      </c>
      <c r="B632" s="15">
        <v>719.28</v>
      </c>
      <c r="C632" s="15"/>
      <c r="D632" s="15">
        <v>13638.18</v>
      </c>
      <c r="E632" s="16">
        <v>43300</v>
      </c>
      <c r="F632" s="17" t="s">
        <v>25</v>
      </c>
    </row>
    <row r="633" spans="1:6">
      <c r="A633" s="13">
        <v>43301</v>
      </c>
      <c r="B633" s="15">
        <v>724.49</v>
      </c>
      <c r="C633" s="15"/>
      <c r="D633" s="15">
        <v>13712.17</v>
      </c>
      <c r="E633" s="16">
        <v>43301</v>
      </c>
      <c r="F633" s="17" t="s">
        <v>25</v>
      </c>
    </row>
    <row r="634" spans="1:6">
      <c r="A634" s="13">
        <v>43304</v>
      </c>
      <c r="B634" s="15">
        <v>733.33</v>
      </c>
      <c r="C634" s="15"/>
      <c r="D634" s="15">
        <v>13827.88</v>
      </c>
      <c r="E634" s="16">
        <v>43304</v>
      </c>
      <c r="F634" s="17" t="s">
        <v>25</v>
      </c>
    </row>
    <row r="635" spans="1:6">
      <c r="A635" s="13">
        <v>43305</v>
      </c>
      <c r="B635" s="15">
        <v>740.8</v>
      </c>
      <c r="C635" s="15"/>
      <c r="D635" s="15">
        <v>13955.93</v>
      </c>
      <c r="E635" s="16">
        <v>43305</v>
      </c>
      <c r="F635" s="17" t="s">
        <v>25</v>
      </c>
    </row>
    <row r="636" spans="1:6">
      <c r="A636" s="13">
        <v>43306</v>
      </c>
      <c r="B636" s="15">
        <v>739.75</v>
      </c>
      <c r="C636" s="15"/>
      <c r="D636" s="15">
        <v>13955.58</v>
      </c>
      <c r="E636" s="16">
        <v>43306</v>
      </c>
      <c r="F636" s="17" t="s">
        <v>25</v>
      </c>
    </row>
    <row r="637" spans="1:6">
      <c r="A637" s="13">
        <v>43307</v>
      </c>
      <c r="B637" s="15">
        <v>742.83</v>
      </c>
      <c r="C637" s="15"/>
      <c r="D637" s="15">
        <v>14015.05</v>
      </c>
      <c r="E637" s="16">
        <v>43307</v>
      </c>
      <c r="F637" s="17" t="s">
        <v>25</v>
      </c>
    </row>
    <row r="638" spans="1:6">
      <c r="A638" s="13">
        <v>43308</v>
      </c>
      <c r="B638" s="15">
        <v>752.15</v>
      </c>
      <c r="C638" s="15"/>
      <c r="D638" s="15">
        <v>14150.32</v>
      </c>
      <c r="E638" s="16">
        <v>43308</v>
      </c>
      <c r="F638" s="17" t="s">
        <v>25</v>
      </c>
    </row>
    <row r="639" spans="1:6">
      <c r="A639" s="13">
        <v>43311</v>
      </c>
      <c r="B639" s="15">
        <v>753.99</v>
      </c>
      <c r="C639" s="15"/>
      <c r="D639" s="15">
        <v>14209.48</v>
      </c>
      <c r="E639" s="16">
        <v>43311</v>
      </c>
      <c r="F639" s="17" t="s">
        <v>25</v>
      </c>
    </row>
    <row r="640" spans="1:6">
      <c r="A640" s="13">
        <v>43312</v>
      </c>
      <c r="B640" s="15">
        <v>758.46</v>
      </c>
      <c r="C640" s="15"/>
      <c r="D640" s="15">
        <v>14257.02</v>
      </c>
      <c r="E640" s="16">
        <v>43312</v>
      </c>
      <c r="F640" s="17" t="s">
        <v>25</v>
      </c>
    </row>
    <row r="641" spans="1:6">
      <c r="A641" s="13">
        <v>43313</v>
      </c>
      <c r="B641" s="15">
        <v>757.44</v>
      </c>
      <c r="C641" s="15"/>
      <c r="D641" s="15">
        <v>14258.89</v>
      </c>
      <c r="E641" s="16">
        <v>43313</v>
      </c>
      <c r="F641" s="17" t="s">
        <v>25</v>
      </c>
    </row>
    <row r="642" spans="1:6">
      <c r="A642" s="13">
        <v>43314</v>
      </c>
      <c r="B642" s="15">
        <v>754.22</v>
      </c>
      <c r="C642" s="15"/>
      <c r="D642" s="15">
        <v>14168.71</v>
      </c>
      <c r="E642" s="16">
        <v>43314</v>
      </c>
      <c r="F642" s="17" t="s">
        <v>25</v>
      </c>
    </row>
    <row r="643" spans="1:6">
      <c r="A643" s="13">
        <v>43315</v>
      </c>
      <c r="B643" s="15">
        <v>761.23</v>
      </c>
      <c r="C643" s="15"/>
      <c r="D643" s="15">
        <v>14312.09</v>
      </c>
      <c r="E643" s="16">
        <v>43315</v>
      </c>
      <c r="F643" s="17" t="s">
        <v>25</v>
      </c>
    </row>
    <row r="644" spans="1:6">
      <c r="A644" s="13">
        <v>43318</v>
      </c>
      <c r="B644" s="15">
        <v>762.98</v>
      </c>
      <c r="C644" s="15"/>
      <c r="D644" s="15">
        <v>14347.97</v>
      </c>
      <c r="E644" s="16">
        <v>43318</v>
      </c>
      <c r="F644" s="17" t="s">
        <v>25</v>
      </c>
    </row>
    <row r="645" spans="1:6">
      <c r="A645" s="13">
        <v>43319</v>
      </c>
      <c r="B645" s="15">
        <v>763.46</v>
      </c>
      <c r="C645" s="15"/>
      <c r="D645" s="15">
        <v>14341.27</v>
      </c>
      <c r="E645" s="16">
        <v>43319</v>
      </c>
      <c r="F645" s="17" t="s">
        <v>25</v>
      </c>
    </row>
    <row r="646" spans="1:6">
      <c r="A646" s="13">
        <v>43320</v>
      </c>
      <c r="B646" s="15">
        <v>765.7</v>
      </c>
      <c r="C646" s="15"/>
      <c r="D646" s="15">
        <v>14400.66</v>
      </c>
      <c r="E646" s="16">
        <v>43320</v>
      </c>
      <c r="F646" s="17" t="s">
        <v>25</v>
      </c>
    </row>
    <row r="647" spans="1:6">
      <c r="A647" s="13">
        <v>43321</v>
      </c>
      <c r="B647" s="15">
        <v>768.18</v>
      </c>
      <c r="C647" s="15"/>
      <c r="D647" s="15">
        <v>14438</v>
      </c>
      <c r="E647" s="16">
        <v>43321</v>
      </c>
      <c r="F647" s="17" t="s">
        <v>25</v>
      </c>
    </row>
    <row r="648" spans="1:6">
      <c r="A648" s="13">
        <v>43322</v>
      </c>
      <c r="B648" s="15">
        <v>765.97</v>
      </c>
      <c r="C648" s="15"/>
      <c r="D648" s="15">
        <v>14372.06</v>
      </c>
      <c r="E648" s="16">
        <v>43322</v>
      </c>
      <c r="F648" s="17" t="s">
        <v>25</v>
      </c>
    </row>
    <row r="649" spans="1:6">
      <c r="A649" s="13">
        <v>43325</v>
      </c>
      <c r="B649" s="15">
        <v>760.51</v>
      </c>
      <c r="C649" s="15"/>
      <c r="D649" s="15">
        <v>14272.7</v>
      </c>
      <c r="E649" s="16">
        <v>43325</v>
      </c>
      <c r="F649" s="17" t="s">
        <v>25</v>
      </c>
    </row>
    <row r="650" spans="1:6">
      <c r="A650" s="13">
        <v>43326</v>
      </c>
      <c r="B650" s="15">
        <v>768.69</v>
      </c>
      <c r="C650" s="15"/>
      <c r="D650" s="15">
        <v>14382.48</v>
      </c>
      <c r="E650" s="16">
        <v>43326</v>
      </c>
      <c r="F650" s="17" t="s">
        <v>25</v>
      </c>
    </row>
    <row r="651" spans="1:6">
      <c r="A651" s="13">
        <v>43328</v>
      </c>
      <c r="B651" s="15">
        <v>767.47</v>
      </c>
      <c r="C651" s="15"/>
      <c r="D651" s="15">
        <v>14322.64</v>
      </c>
      <c r="E651" s="16">
        <v>43328</v>
      </c>
      <c r="F651" s="17" t="s">
        <v>25</v>
      </c>
    </row>
    <row r="652" spans="1:6">
      <c r="A652" s="13">
        <v>43329</v>
      </c>
      <c r="B652" s="15">
        <v>777.5</v>
      </c>
      <c r="C652" s="15"/>
      <c r="D652" s="15">
        <v>14447.62</v>
      </c>
      <c r="E652" s="16">
        <v>43329</v>
      </c>
      <c r="F652" s="17" t="s">
        <v>25</v>
      </c>
    </row>
    <row r="653" spans="1:6">
      <c r="A653" s="13">
        <v>43332</v>
      </c>
      <c r="B653" s="15">
        <v>780.5</v>
      </c>
      <c r="C653" s="15"/>
      <c r="D653" s="15">
        <v>14551.95</v>
      </c>
      <c r="E653" s="16">
        <v>43332</v>
      </c>
      <c r="F653" s="17" t="s">
        <v>25</v>
      </c>
    </row>
    <row r="654" spans="1:6">
      <c r="A654" s="13">
        <v>43333</v>
      </c>
      <c r="B654" s="15">
        <v>782.12</v>
      </c>
      <c r="C654" s="15"/>
      <c r="D654" s="15">
        <v>14585.85</v>
      </c>
      <c r="E654" s="16">
        <v>43333</v>
      </c>
      <c r="F654" s="17" t="s">
        <v>25</v>
      </c>
    </row>
    <row r="655" spans="1:6">
      <c r="A655" s="13">
        <v>43335</v>
      </c>
      <c r="B655" s="15">
        <v>783.29</v>
      </c>
      <c r="C655" s="15"/>
      <c r="D655" s="15">
        <v>14601.32</v>
      </c>
      <c r="E655" s="16">
        <v>43335</v>
      </c>
      <c r="F655" s="17" t="s">
        <v>25</v>
      </c>
    </row>
    <row r="656" spans="1:6">
      <c r="A656" s="13">
        <v>43336</v>
      </c>
      <c r="B656" s="15">
        <v>780.35</v>
      </c>
      <c r="C656" s="15"/>
      <c r="D656" s="15">
        <v>14571.39</v>
      </c>
      <c r="E656" s="16">
        <v>43336</v>
      </c>
      <c r="F656" s="17" t="s">
        <v>25</v>
      </c>
    </row>
    <row r="657" spans="1:6">
      <c r="A657" s="13">
        <v>43339</v>
      </c>
      <c r="B657" s="15">
        <v>789.59</v>
      </c>
      <c r="C657" s="15"/>
      <c r="D657" s="15">
        <v>14731.17</v>
      </c>
      <c r="E657" s="16">
        <v>43339</v>
      </c>
      <c r="F657" s="17" t="s">
        <v>25</v>
      </c>
    </row>
    <row r="658" spans="1:6">
      <c r="A658" s="13">
        <v>43340</v>
      </c>
      <c r="B658" s="15">
        <v>789.76</v>
      </c>
      <c r="C658" s="15"/>
      <c r="D658" s="15">
        <v>14771.29</v>
      </c>
      <c r="E658" s="16">
        <v>43340</v>
      </c>
      <c r="F658" s="17" t="s">
        <v>25</v>
      </c>
    </row>
    <row r="659" spans="1:6">
      <c r="A659" s="13">
        <v>43341</v>
      </c>
      <c r="B659" s="15">
        <v>789.5</v>
      </c>
      <c r="C659" s="15"/>
      <c r="D659" s="15">
        <v>14753.44</v>
      </c>
      <c r="E659" s="16">
        <v>43341</v>
      </c>
      <c r="F659" s="17" t="s">
        <v>25</v>
      </c>
    </row>
    <row r="660" spans="1:6">
      <c r="A660" s="13">
        <v>43342</v>
      </c>
      <c r="B660" s="15">
        <v>790.68</v>
      </c>
      <c r="C660" s="15"/>
      <c r="D660" s="15">
        <v>14756.03</v>
      </c>
      <c r="E660" s="16">
        <v>43342</v>
      </c>
      <c r="F660" s="17" t="s">
        <v>25</v>
      </c>
    </row>
    <row r="661" spans="1:6">
      <c r="A661" s="13">
        <v>43343</v>
      </c>
      <c r="B661" s="15">
        <v>793.24</v>
      </c>
      <c r="C661" s="15"/>
      <c r="D661" s="15">
        <v>14782.95</v>
      </c>
      <c r="E661" s="16">
        <v>43343</v>
      </c>
      <c r="F661" s="17" t="s">
        <v>25</v>
      </c>
    </row>
    <row r="662" spans="1:6">
      <c r="A662" s="13">
        <v>43346</v>
      </c>
      <c r="B662" s="15">
        <v>788.66</v>
      </c>
      <c r="C662" s="15"/>
      <c r="D662" s="15">
        <v>14678.85</v>
      </c>
      <c r="E662" s="16">
        <v>43346</v>
      </c>
      <c r="F662" s="17" t="s">
        <v>25</v>
      </c>
    </row>
    <row r="663" spans="1:6">
      <c r="A663" s="13">
        <v>43347</v>
      </c>
      <c r="B663" s="15">
        <v>777.33</v>
      </c>
      <c r="C663" s="15"/>
      <c r="D663" s="15">
        <v>14507.89</v>
      </c>
      <c r="E663" s="16">
        <v>43347</v>
      </c>
      <c r="F663" s="17" t="s">
        <v>25</v>
      </c>
    </row>
    <row r="664" spans="1:6">
      <c r="A664" s="13">
        <v>43348</v>
      </c>
      <c r="B664" s="15">
        <v>776.98</v>
      </c>
      <c r="C664" s="15"/>
      <c r="D664" s="15">
        <v>14446.48</v>
      </c>
      <c r="E664" s="16">
        <v>43348</v>
      </c>
      <c r="F664" s="17" t="s">
        <v>25</v>
      </c>
    </row>
    <row r="665" spans="1:6">
      <c r="A665" s="13">
        <v>43349</v>
      </c>
      <c r="B665" s="15">
        <v>778.7</v>
      </c>
      <c r="C665" s="15"/>
      <c r="D665" s="15">
        <v>14524.31</v>
      </c>
      <c r="E665" s="16">
        <v>43349</v>
      </c>
      <c r="F665" s="17" t="s">
        <v>25</v>
      </c>
    </row>
    <row r="666" spans="1:6">
      <c r="A666" s="13">
        <v>43350</v>
      </c>
      <c r="B666" s="15">
        <v>786.9</v>
      </c>
      <c r="C666" s="15"/>
      <c r="D666" s="15">
        <v>14612.84</v>
      </c>
      <c r="E666" s="16">
        <v>43350</v>
      </c>
      <c r="F666" s="17" t="s">
        <v>25</v>
      </c>
    </row>
    <row r="667" spans="1:6">
      <c r="A667" s="13">
        <v>43353</v>
      </c>
      <c r="B667" s="15">
        <v>776.19</v>
      </c>
      <c r="C667" s="15"/>
      <c r="D667" s="15">
        <v>14414.37</v>
      </c>
      <c r="E667" s="16">
        <v>43353</v>
      </c>
      <c r="F667" s="17" t="s">
        <v>25</v>
      </c>
    </row>
    <row r="668" spans="1:6">
      <c r="A668" s="13">
        <v>43354</v>
      </c>
      <c r="B668" s="15">
        <v>764.33</v>
      </c>
      <c r="C668" s="15"/>
      <c r="D668" s="15">
        <v>14218.49</v>
      </c>
      <c r="E668" s="16">
        <v>43354</v>
      </c>
      <c r="F668" s="17" t="s">
        <v>25</v>
      </c>
    </row>
    <row r="669" spans="1:6">
      <c r="A669" s="13">
        <v>43355</v>
      </c>
      <c r="B669" s="15">
        <v>768.32</v>
      </c>
      <c r="C669" s="15"/>
      <c r="D669" s="15">
        <v>14299.56</v>
      </c>
      <c r="E669" s="16">
        <v>43355</v>
      </c>
      <c r="F669" s="17" t="s">
        <v>25</v>
      </c>
    </row>
    <row r="670" spans="1:6">
      <c r="A670" s="13">
        <v>43357</v>
      </c>
      <c r="B670" s="15">
        <v>779.01</v>
      </c>
      <c r="C670" s="15"/>
      <c r="D670" s="15">
        <v>14495.36</v>
      </c>
      <c r="E670" s="16">
        <v>43357</v>
      </c>
      <c r="F670" s="17" t="s">
        <v>25</v>
      </c>
    </row>
    <row r="671" spans="1:6">
      <c r="A671" s="13">
        <v>43360</v>
      </c>
      <c r="B671" s="15">
        <v>772.51</v>
      </c>
      <c r="C671" s="15"/>
      <c r="D671" s="15">
        <v>14353.62</v>
      </c>
      <c r="E671" s="16">
        <v>43360</v>
      </c>
      <c r="F671" s="17" t="s">
        <v>25</v>
      </c>
    </row>
    <row r="672" spans="1:6">
      <c r="A672" s="13">
        <v>43361</v>
      </c>
      <c r="B672" s="15">
        <v>763.83</v>
      </c>
      <c r="C672" s="15"/>
      <c r="D672" s="15">
        <v>14202.83</v>
      </c>
      <c r="E672" s="16">
        <v>43361</v>
      </c>
      <c r="F672" s="17" t="s">
        <v>25</v>
      </c>
    </row>
    <row r="673" spans="1:6">
      <c r="A673" s="13">
        <v>43362</v>
      </c>
      <c r="B673" s="15">
        <v>760.38</v>
      </c>
      <c r="C673" s="15"/>
      <c r="D673" s="15">
        <v>14132.44</v>
      </c>
      <c r="E673" s="16">
        <v>43362</v>
      </c>
      <c r="F673" s="17" t="s">
        <v>25</v>
      </c>
    </row>
    <row r="674" spans="1:6">
      <c r="A674" s="13">
        <v>43364</v>
      </c>
      <c r="B674" s="15">
        <v>747.15</v>
      </c>
      <c r="C674" s="15"/>
      <c r="D674" s="15">
        <v>13954.55</v>
      </c>
      <c r="E674" s="16">
        <v>43364</v>
      </c>
      <c r="F674" s="17" t="s">
        <v>25</v>
      </c>
    </row>
    <row r="675" spans="1:6">
      <c r="A675" s="13">
        <v>43367</v>
      </c>
      <c r="B675" s="15">
        <v>729.83</v>
      </c>
      <c r="C675" s="15"/>
      <c r="D675" s="15">
        <v>13684.55</v>
      </c>
      <c r="E675" s="16">
        <v>43367</v>
      </c>
      <c r="F675" s="17" t="s">
        <v>25</v>
      </c>
    </row>
    <row r="676" spans="1:6">
      <c r="A676" s="13">
        <v>43368</v>
      </c>
      <c r="B676" s="15">
        <v>734.68</v>
      </c>
      <c r="C676" s="15"/>
      <c r="D676" s="15">
        <v>13773.66</v>
      </c>
      <c r="E676" s="16">
        <v>43368</v>
      </c>
      <c r="F676" s="17" t="s">
        <v>25</v>
      </c>
    </row>
    <row r="677" spans="1:6">
      <c r="A677" s="13">
        <v>43369</v>
      </c>
      <c r="B677" s="15">
        <v>736.43</v>
      </c>
      <c r="C677" s="15"/>
      <c r="D677" s="15">
        <v>13772.06</v>
      </c>
      <c r="E677" s="16">
        <v>43369</v>
      </c>
      <c r="F677" s="17" t="s">
        <v>25</v>
      </c>
    </row>
    <row r="678" spans="1:6">
      <c r="A678" s="13">
        <v>43370</v>
      </c>
      <c r="B678" s="15">
        <v>724.83</v>
      </c>
      <c r="C678" s="15"/>
      <c r="D678" s="15">
        <v>13624.1</v>
      </c>
      <c r="E678" s="16">
        <v>43370</v>
      </c>
      <c r="F678" s="17" t="s">
        <v>25</v>
      </c>
    </row>
    <row r="679" spans="1:6">
      <c r="A679" s="13">
        <v>43371</v>
      </c>
      <c r="B679" s="15">
        <v>715.27</v>
      </c>
      <c r="C679" s="15"/>
      <c r="D679" s="15">
        <v>13496.26</v>
      </c>
      <c r="E679" s="16">
        <v>43371</v>
      </c>
      <c r="F679" s="17" t="s">
        <v>25</v>
      </c>
    </row>
    <row r="680" spans="1:6">
      <c r="A680" s="13">
        <v>43374</v>
      </c>
      <c r="B680" s="15">
        <v>723.28</v>
      </c>
      <c r="C680" s="15"/>
      <c r="D680" s="15">
        <v>13569.58</v>
      </c>
      <c r="E680" s="16">
        <v>43374</v>
      </c>
      <c r="F680" s="17" t="s">
        <v>25</v>
      </c>
    </row>
    <row r="681" spans="1:6">
      <c r="A681" s="13">
        <v>43376</v>
      </c>
      <c r="B681" s="15">
        <v>716.16</v>
      </c>
      <c r="C681" s="15"/>
      <c r="D681" s="15">
        <v>13408.52</v>
      </c>
      <c r="E681" s="16">
        <v>43376</v>
      </c>
      <c r="F681" s="17" t="s">
        <v>25</v>
      </c>
    </row>
    <row r="682" spans="1:6">
      <c r="A682" s="13">
        <v>43377</v>
      </c>
      <c r="B682" s="15">
        <v>703.17</v>
      </c>
      <c r="C682" s="15"/>
      <c r="D682" s="15">
        <v>13109.67</v>
      </c>
      <c r="E682" s="16">
        <v>43377</v>
      </c>
      <c r="F682" s="17" t="s">
        <v>25</v>
      </c>
    </row>
    <row r="683" spans="1:6">
      <c r="A683" s="13">
        <v>43378</v>
      </c>
      <c r="B683" s="15">
        <v>688.52</v>
      </c>
      <c r="C683" s="15"/>
      <c r="D683" s="15">
        <v>12769.28</v>
      </c>
      <c r="E683" s="16">
        <v>43378</v>
      </c>
      <c r="F683" s="17" t="s">
        <v>25</v>
      </c>
    </row>
    <row r="684" spans="1:6">
      <c r="A684" s="13">
        <v>43381</v>
      </c>
      <c r="B684" s="15">
        <v>680.9</v>
      </c>
      <c r="C684" s="15"/>
      <c r="D684" s="15">
        <v>12736.21</v>
      </c>
      <c r="E684" s="16">
        <v>43381</v>
      </c>
      <c r="F684" s="17" t="s">
        <v>25</v>
      </c>
    </row>
    <row r="685" spans="1:6">
      <c r="A685" s="13">
        <v>43382</v>
      </c>
      <c r="B685" s="15">
        <v>681.19</v>
      </c>
      <c r="C685" s="15"/>
      <c r="D685" s="15">
        <v>12677.49</v>
      </c>
      <c r="E685" s="16">
        <v>43382</v>
      </c>
      <c r="F685" s="17" t="s">
        <v>25</v>
      </c>
    </row>
    <row r="686" spans="1:6">
      <c r="A686" s="13">
        <v>43383</v>
      </c>
      <c r="B686" s="15">
        <v>697.9</v>
      </c>
      <c r="C686" s="15"/>
      <c r="D686" s="15">
        <v>12952.18</v>
      </c>
      <c r="E686" s="16">
        <v>43383</v>
      </c>
      <c r="F686" s="17" t="s">
        <v>25</v>
      </c>
    </row>
    <row r="687" spans="1:6">
      <c r="A687" s="13">
        <v>43384</v>
      </c>
      <c r="B687" s="15">
        <v>683.2</v>
      </c>
      <c r="C687" s="15"/>
      <c r="D687" s="15">
        <v>12681.39</v>
      </c>
      <c r="E687" s="16">
        <v>43384</v>
      </c>
      <c r="F687" s="17" t="s">
        <v>25</v>
      </c>
    </row>
    <row r="688" spans="1:6">
      <c r="A688" s="13">
        <v>43385</v>
      </c>
      <c r="B688" s="15">
        <v>702.01</v>
      </c>
      <c r="C688" s="15"/>
      <c r="D688" s="15">
        <v>12979.75</v>
      </c>
      <c r="E688" s="16">
        <v>43385</v>
      </c>
      <c r="F688" s="17" t="s">
        <v>25</v>
      </c>
    </row>
    <row r="689" spans="1:6">
      <c r="A689" s="13">
        <v>43388</v>
      </c>
      <c r="B689" s="15">
        <v>705.33</v>
      </c>
      <c r="C689" s="15"/>
      <c r="D689" s="15">
        <v>13046.23</v>
      </c>
      <c r="E689" s="16">
        <v>43388</v>
      </c>
      <c r="F689" s="17" t="s">
        <v>25</v>
      </c>
    </row>
    <row r="690" spans="1:6">
      <c r="A690" s="13">
        <v>43389</v>
      </c>
      <c r="B690" s="15">
        <v>710.97</v>
      </c>
      <c r="C690" s="15"/>
      <c r="D690" s="15">
        <v>13167.29</v>
      </c>
      <c r="E690" s="16">
        <v>43389</v>
      </c>
      <c r="F690" s="17" t="s">
        <v>25</v>
      </c>
    </row>
    <row r="691" spans="1:6">
      <c r="A691" s="13">
        <v>43390</v>
      </c>
      <c r="B691" s="15">
        <v>700.31</v>
      </c>
      <c r="C691" s="15"/>
      <c r="D691" s="15">
        <v>12967.17</v>
      </c>
      <c r="E691" s="16">
        <v>43390</v>
      </c>
      <c r="F691" s="17" t="s">
        <v>25</v>
      </c>
    </row>
    <row r="692" spans="1:6">
      <c r="A692" s="13">
        <v>43392</v>
      </c>
      <c r="B692" s="15">
        <v>691.38</v>
      </c>
      <c r="C692" s="15"/>
      <c r="D692" s="15">
        <v>12792.53</v>
      </c>
      <c r="E692" s="16">
        <v>43392</v>
      </c>
      <c r="F692" s="17" t="s">
        <v>25</v>
      </c>
    </row>
    <row r="693" spans="1:6">
      <c r="A693" s="13">
        <v>43395</v>
      </c>
      <c r="B693" s="15">
        <v>686.81</v>
      </c>
      <c r="C693" s="15"/>
      <c r="D693" s="15">
        <v>12698.2</v>
      </c>
      <c r="E693" s="16">
        <v>43395</v>
      </c>
      <c r="F693" s="17" t="s">
        <v>25</v>
      </c>
    </row>
    <row r="694" spans="1:6">
      <c r="A694" s="13">
        <v>43396</v>
      </c>
      <c r="B694" s="15">
        <v>679.98</v>
      </c>
      <c r="C694" s="15"/>
      <c r="D694" s="15">
        <v>12570.25</v>
      </c>
      <c r="E694" s="16">
        <v>43396</v>
      </c>
      <c r="F694" s="17" t="s">
        <v>25</v>
      </c>
    </row>
    <row r="695" spans="1:6">
      <c r="A695" s="13">
        <v>43397</v>
      </c>
      <c r="B695" s="15">
        <v>689.28</v>
      </c>
      <c r="C695" s="15"/>
      <c r="D695" s="15">
        <v>12667.65</v>
      </c>
      <c r="E695" s="16">
        <v>43397</v>
      </c>
      <c r="F695" s="17" t="s">
        <v>25</v>
      </c>
    </row>
    <row r="696" spans="1:6">
      <c r="A696" s="13">
        <v>43398</v>
      </c>
      <c r="B696" s="15">
        <v>682.74</v>
      </c>
      <c r="C696" s="15"/>
      <c r="D696" s="15">
        <v>12553.87</v>
      </c>
      <c r="E696" s="16">
        <v>43398</v>
      </c>
      <c r="F696" s="17" t="s">
        <v>25</v>
      </c>
    </row>
    <row r="697" spans="1:6">
      <c r="A697" s="13">
        <v>43399</v>
      </c>
      <c r="B697" s="15">
        <v>679.5</v>
      </c>
      <c r="C697" s="15"/>
      <c r="D697" s="15">
        <v>12470.57</v>
      </c>
      <c r="E697" s="16">
        <v>43399</v>
      </c>
      <c r="F697" s="17" t="s">
        <v>25</v>
      </c>
    </row>
    <row r="698" spans="1:6">
      <c r="A698" s="13">
        <v>43402</v>
      </c>
      <c r="B698" s="15">
        <v>695.46</v>
      </c>
      <c r="C698" s="15"/>
      <c r="D698" s="15">
        <v>12756.66</v>
      </c>
      <c r="E698" s="16">
        <v>43402</v>
      </c>
      <c r="F698" s="17" t="s">
        <v>25</v>
      </c>
    </row>
    <row r="699" spans="1:6">
      <c r="A699" s="13">
        <v>43403</v>
      </c>
      <c r="B699" s="15">
        <v>697.64</v>
      </c>
      <c r="C699" s="15"/>
      <c r="D699" s="15">
        <v>12742.59</v>
      </c>
      <c r="E699" s="16">
        <v>43403</v>
      </c>
      <c r="F699" s="17" t="s">
        <v>25</v>
      </c>
    </row>
    <row r="700" spans="1:6">
      <c r="A700" s="13">
        <v>43404</v>
      </c>
      <c r="B700" s="15">
        <v>708.42</v>
      </c>
      <c r="C700" s="15"/>
      <c r="D700" s="15">
        <v>12969.63</v>
      </c>
      <c r="E700" s="16">
        <v>43404</v>
      </c>
      <c r="F700" s="17" t="s">
        <v>25</v>
      </c>
    </row>
    <row r="701" spans="1:6">
      <c r="A701" s="13">
        <v>43405</v>
      </c>
      <c r="B701" s="15">
        <v>710.31</v>
      </c>
      <c r="C701" s="15"/>
      <c r="D701" s="15">
        <v>12999.37</v>
      </c>
      <c r="E701" s="16">
        <v>43405</v>
      </c>
      <c r="F701" s="17" t="s">
        <v>25</v>
      </c>
    </row>
    <row r="702" spans="1:6">
      <c r="A702" s="13">
        <v>43406</v>
      </c>
      <c r="B702" s="15">
        <v>718.29</v>
      </c>
      <c r="C702" s="15"/>
      <c r="D702" s="15">
        <v>13187.43</v>
      </c>
      <c r="E702" s="16">
        <v>43406</v>
      </c>
      <c r="F702" s="17" t="s">
        <v>25</v>
      </c>
    </row>
    <row r="703" spans="1:6">
      <c r="A703" s="13">
        <v>43409</v>
      </c>
      <c r="B703" s="15">
        <v>717.83</v>
      </c>
      <c r="C703" s="15"/>
      <c r="D703" s="15">
        <v>13156.88</v>
      </c>
      <c r="E703" s="16">
        <v>43409</v>
      </c>
      <c r="F703" s="17" t="s">
        <v>25</v>
      </c>
    </row>
    <row r="704" spans="1:6">
      <c r="A704" s="13">
        <v>43410</v>
      </c>
      <c r="B704" s="15">
        <v>716.03</v>
      </c>
      <c r="C704" s="15"/>
      <c r="D704" s="15">
        <v>13145.64</v>
      </c>
      <c r="E704" s="16">
        <v>43410</v>
      </c>
      <c r="F704" s="17" t="s">
        <v>25</v>
      </c>
    </row>
    <row r="705" spans="1:6">
      <c r="A705" s="13">
        <v>43413</v>
      </c>
      <c r="B705" s="15">
        <v>722.52</v>
      </c>
      <c r="C705" s="15"/>
      <c r="D705" s="15">
        <v>13258.69</v>
      </c>
      <c r="E705" s="16">
        <v>43413</v>
      </c>
      <c r="F705" s="17" t="s">
        <v>25</v>
      </c>
    </row>
    <row r="706" spans="1:6">
      <c r="A706" s="13">
        <v>43416</v>
      </c>
      <c r="B706" s="15">
        <v>716.5</v>
      </c>
      <c r="C706" s="15"/>
      <c r="D706" s="15">
        <v>13129.95</v>
      </c>
      <c r="E706" s="16">
        <v>43416</v>
      </c>
      <c r="F706" s="17" t="s">
        <v>25</v>
      </c>
    </row>
    <row r="707" spans="1:6">
      <c r="A707" s="13">
        <v>43417</v>
      </c>
      <c r="B707" s="15">
        <v>721.26</v>
      </c>
      <c r="C707" s="15"/>
      <c r="D707" s="15">
        <v>13225.78</v>
      </c>
      <c r="E707" s="16">
        <v>43417</v>
      </c>
      <c r="F707" s="17" t="s">
        <v>25</v>
      </c>
    </row>
    <row r="708" spans="1:6">
      <c r="A708" s="13">
        <v>43418</v>
      </c>
      <c r="B708" s="15">
        <v>724.27</v>
      </c>
      <c r="C708" s="15"/>
      <c r="D708" s="15">
        <v>13222.75</v>
      </c>
      <c r="E708" s="16">
        <v>43418</v>
      </c>
      <c r="F708" s="17" t="s">
        <v>25</v>
      </c>
    </row>
    <row r="709" spans="1:6">
      <c r="A709" s="13">
        <v>43419</v>
      </c>
      <c r="B709" s="15">
        <v>729.39</v>
      </c>
      <c r="C709" s="15"/>
      <c r="D709" s="15">
        <v>13273.53</v>
      </c>
      <c r="E709" s="16">
        <v>43419</v>
      </c>
      <c r="F709" s="17" t="s">
        <v>25</v>
      </c>
    </row>
    <row r="710" spans="1:6">
      <c r="A710" s="13">
        <v>43420</v>
      </c>
      <c r="B710" s="15">
        <v>731.69</v>
      </c>
      <c r="C710" s="15"/>
      <c r="D710" s="15">
        <v>13330.69</v>
      </c>
      <c r="E710" s="16">
        <v>43420</v>
      </c>
      <c r="F710" s="17" t="s">
        <v>25</v>
      </c>
    </row>
    <row r="711" spans="1:6">
      <c r="A711" s="13">
        <v>43423</v>
      </c>
      <c r="B711" s="15">
        <v>736.18</v>
      </c>
      <c r="C711" s="15"/>
      <c r="D711" s="15">
        <v>13418.97</v>
      </c>
      <c r="E711" s="16">
        <v>43423</v>
      </c>
      <c r="F711" s="17" t="s">
        <v>25</v>
      </c>
    </row>
    <row r="712" spans="1:6">
      <c r="A712" s="13">
        <v>43424</v>
      </c>
      <c r="B712" s="15">
        <v>726.42</v>
      </c>
      <c r="C712" s="15"/>
      <c r="D712" s="15">
        <v>13282.16</v>
      </c>
      <c r="E712" s="16">
        <v>43424</v>
      </c>
      <c r="F712" s="17" t="s">
        <v>25</v>
      </c>
    </row>
    <row r="713" spans="1:6">
      <c r="A713" s="13">
        <v>43425</v>
      </c>
      <c r="B713" s="15">
        <v>728.47</v>
      </c>
      <c r="C713" s="15"/>
      <c r="D713" s="15">
        <v>13252.75</v>
      </c>
      <c r="E713" s="16">
        <v>43425</v>
      </c>
      <c r="F713" s="17" t="s">
        <v>25</v>
      </c>
    </row>
    <row r="714" spans="1:6">
      <c r="A714" s="13">
        <v>43426</v>
      </c>
      <c r="B714" s="15">
        <v>722.74</v>
      </c>
      <c r="C714" s="15"/>
      <c r="D714" s="15">
        <v>13161.85</v>
      </c>
      <c r="E714" s="16">
        <v>43426</v>
      </c>
      <c r="F714" s="17" t="s">
        <v>25</v>
      </c>
    </row>
    <row r="715" spans="1:6">
      <c r="A715" s="13">
        <v>43430</v>
      </c>
      <c r="B715" s="15">
        <v>727.46</v>
      </c>
      <c r="C715" s="15"/>
      <c r="D715" s="15">
        <v>13256.78</v>
      </c>
      <c r="E715" s="16">
        <v>43430</v>
      </c>
      <c r="F715" s="17" t="s">
        <v>25</v>
      </c>
    </row>
    <row r="716" spans="1:6">
      <c r="A716" s="13">
        <v>43431</v>
      </c>
      <c r="B716" s="15">
        <v>731.99</v>
      </c>
      <c r="C716" s="15"/>
      <c r="D716" s="15">
        <v>13317.44</v>
      </c>
      <c r="E716" s="16">
        <v>43431</v>
      </c>
      <c r="F716" s="17" t="s">
        <v>25</v>
      </c>
    </row>
    <row r="717" spans="1:6">
      <c r="A717" s="13">
        <v>43432</v>
      </c>
      <c r="B717" s="15">
        <v>730.43</v>
      </c>
      <c r="C717" s="15"/>
      <c r="D717" s="15">
        <v>13331.32</v>
      </c>
      <c r="E717" s="16">
        <v>43432</v>
      </c>
      <c r="F717" s="17" t="s">
        <v>25</v>
      </c>
    </row>
    <row r="718" spans="1:6">
      <c r="A718" s="13">
        <v>43433</v>
      </c>
      <c r="B718" s="15">
        <v>737.79</v>
      </c>
      <c r="C718" s="15"/>
      <c r="D718" s="15">
        <v>13462.63</v>
      </c>
      <c r="E718" s="16">
        <v>43433</v>
      </c>
      <c r="F718" s="17" t="s">
        <v>25</v>
      </c>
    </row>
    <row r="719" spans="1:6">
      <c r="A719" s="13">
        <v>43434</v>
      </c>
      <c r="B719" s="15">
        <v>739.91</v>
      </c>
      <c r="C719" s="15"/>
      <c r="D719" s="15">
        <v>13503.06</v>
      </c>
      <c r="E719" s="16">
        <v>43434</v>
      </c>
      <c r="F719" s="17" t="s">
        <v>25</v>
      </c>
    </row>
    <row r="720" spans="1:6">
      <c r="A720" s="13">
        <v>43437</v>
      </c>
      <c r="B720" s="15">
        <v>743.29</v>
      </c>
      <c r="C720" s="15"/>
      <c r="D720" s="15">
        <v>13529.42</v>
      </c>
      <c r="E720" s="16">
        <v>43437</v>
      </c>
      <c r="F720" s="17" t="s">
        <v>25</v>
      </c>
    </row>
    <row r="721" spans="1:6">
      <c r="A721" s="13">
        <v>43438</v>
      </c>
      <c r="B721" s="15">
        <v>742.77</v>
      </c>
      <c r="C721" s="15"/>
      <c r="D721" s="15">
        <v>13513.95</v>
      </c>
      <c r="E721" s="16">
        <v>43438</v>
      </c>
      <c r="F721" s="17" t="s">
        <v>25</v>
      </c>
    </row>
    <row r="722" spans="1:6">
      <c r="A722" s="13">
        <v>43439</v>
      </c>
      <c r="B722" s="15">
        <v>732.85</v>
      </c>
      <c r="C722" s="15"/>
      <c r="D722" s="15">
        <v>13384.98</v>
      </c>
      <c r="E722" s="16">
        <v>43439</v>
      </c>
      <c r="F722" s="17" t="s">
        <v>25</v>
      </c>
    </row>
    <row r="723" spans="1:6">
      <c r="A723" s="13">
        <v>43440</v>
      </c>
      <c r="B723" s="15">
        <v>721.08</v>
      </c>
      <c r="C723" s="15"/>
      <c r="D723" s="15">
        <v>13168.2</v>
      </c>
      <c r="E723" s="16">
        <v>43440</v>
      </c>
      <c r="F723" s="17" t="s">
        <v>25</v>
      </c>
    </row>
    <row r="724" spans="1:6">
      <c r="A724" s="13">
        <v>43441</v>
      </c>
      <c r="B724" s="15">
        <v>723.43</v>
      </c>
      <c r="C724" s="15"/>
      <c r="D724" s="15">
        <v>13253.29</v>
      </c>
      <c r="E724" s="16">
        <v>43441</v>
      </c>
      <c r="F724" s="17" t="s">
        <v>25</v>
      </c>
    </row>
    <row r="725" spans="1:6">
      <c r="A725" s="13">
        <v>43444</v>
      </c>
      <c r="B725" s="15">
        <v>713.21</v>
      </c>
      <c r="C725" s="15"/>
      <c r="D725" s="15">
        <v>12999.73</v>
      </c>
      <c r="E725" s="16">
        <v>43444</v>
      </c>
      <c r="F725" s="17" t="s">
        <v>25</v>
      </c>
    </row>
    <row r="726" spans="1:6">
      <c r="A726" s="13">
        <v>43445</v>
      </c>
      <c r="B726" s="15">
        <v>717.49</v>
      </c>
      <c r="C726" s="15"/>
      <c r="D726" s="15">
        <v>13111.79</v>
      </c>
      <c r="E726" s="16">
        <v>43445</v>
      </c>
      <c r="F726" s="17" t="s">
        <v>25</v>
      </c>
    </row>
    <row r="727" spans="1:6">
      <c r="A727" s="13">
        <v>43446</v>
      </c>
      <c r="B727" s="15">
        <v>730.79</v>
      </c>
      <c r="C727" s="15"/>
      <c r="D727" s="15">
        <v>13373.36</v>
      </c>
      <c r="E727" s="16">
        <v>43446</v>
      </c>
      <c r="F727" s="17" t="s">
        <v>25</v>
      </c>
    </row>
    <row r="728" spans="1:6">
      <c r="A728" s="13">
        <v>43447</v>
      </c>
      <c r="B728" s="15">
        <v>734.43</v>
      </c>
      <c r="C728" s="15"/>
      <c r="D728" s="15">
        <v>13455.91</v>
      </c>
      <c r="E728" s="16">
        <v>43447</v>
      </c>
      <c r="F728" s="17" t="s">
        <v>25</v>
      </c>
    </row>
    <row r="729" spans="1:6">
      <c r="A729" s="13">
        <v>43448</v>
      </c>
      <c r="B729" s="15">
        <v>735.43</v>
      </c>
      <c r="C729" s="15"/>
      <c r="D729" s="15">
        <v>13476.66</v>
      </c>
      <c r="E729" s="16">
        <v>43448</v>
      </c>
      <c r="F729" s="17" t="s">
        <v>25</v>
      </c>
    </row>
    <row r="730" spans="1:6">
      <c r="A730" s="13">
        <v>43451</v>
      </c>
      <c r="B730" s="15">
        <v>741.93</v>
      </c>
      <c r="C730" s="15"/>
      <c r="D730" s="15">
        <v>13569.56</v>
      </c>
      <c r="E730" s="16">
        <v>43451</v>
      </c>
      <c r="F730" s="17" t="s">
        <v>25</v>
      </c>
    </row>
    <row r="731" spans="1:6">
      <c r="A731" s="13">
        <v>43452</v>
      </c>
      <c r="B731" s="15">
        <v>743.98</v>
      </c>
      <c r="C731" s="15"/>
      <c r="D731" s="15">
        <v>13604.26</v>
      </c>
      <c r="E731" s="16">
        <v>43452</v>
      </c>
      <c r="F731" s="17" t="s">
        <v>25</v>
      </c>
    </row>
    <row r="732" spans="1:6">
      <c r="A732" s="13">
        <v>43453</v>
      </c>
      <c r="B732" s="15">
        <v>748.63</v>
      </c>
      <c r="C732" s="15"/>
      <c r="D732" s="15">
        <v>13707.21</v>
      </c>
      <c r="E732" s="16">
        <v>43453</v>
      </c>
      <c r="F732" s="17" t="s">
        <v>25</v>
      </c>
    </row>
    <row r="733" spans="1:6">
      <c r="A733" s="13">
        <v>43454</v>
      </c>
      <c r="B733" s="15">
        <v>747.66</v>
      </c>
      <c r="C733" s="15"/>
      <c r="D733" s="15">
        <v>13688.88</v>
      </c>
      <c r="E733" s="16">
        <v>43454</v>
      </c>
      <c r="F733" s="17" t="s">
        <v>25</v>
      </c>
    </row>
    <row r="734" spans="1:6">
      <c r="A734" s="13">
        <v>43455</v>
      </c>
      <c r="B734" s="15">
        <v>735.62</v>
      </c>
      <c r="C734" s="15"/>
      <c r="D734" s="15">
        <v>13466.86</v>
      </c>
      <c r="E734" s="16">
        <v>43455</v>
      </c>
      <c r="F734" s="17" t="s">
        <v>25</v>
      </c>
    </row>
    <row r="735" spans="1:6">
      <c r="A735" s="13">
        <v>43458</v>
      </c>
      <c r="B735" s="15">
        <v>729.25</v>
      </c>
      <c r="C735" s="15"/>
      <c r="D735" s="15">
        <v>13348.09</v>
      </c>
      <c r="E735" s="16">
        <v>43458</v>
      </c>
      <c r="F735" s="17" t="s">
        <v>25</v>
      </c>
    </row>
    <row r="736" spans="1:6">
      <c r="A736" s="13">
        <v>43460</v>
      </c>
      <c r="B736" s="15">
        <v>732.33</v>
      </c>
      <c r="C736" s="15"/>
      <c r="D736" s="15">
        <v>13406.24</v>
      </c>
      <c r="E736" s="16">
        <v>43460</v>
      </c>
      <c r="F736" s="17" t="s">
        <v>25</v>
      </c>
    </row>
    <row r="737" spans="1:6">
      <c r="A737" s="13">
        <v>43461</v>
      </c>
      <c r="B737" s="15">
        <v>733.78</v>
      </c>
      <c r="C737" s="15"/>
      <c r="D737" s="15">
        <v>13461.24</v>
      </c>
      <c r="E737" s="16">
        <v>43461</v>
      </c>
      <c r="F737" s="17" t="s">
        <v>25</v>
      </c>
    </row>
    <row r="738" spans="1:6">
      <c r="A738" s="13">
        <v>43462</v>
      </c>
      <c r="B738" s="15">
        <v>740.94</v>
      </c>
      <c r="C738" s="15"/>
      <c r="D738" s="15">
        <v>13573.23</v>
      </c>
      <c r="E738" s="16">
        <v>43462</v>
      </c>
      <c r="F738" s="17" t="s">
        <v>25</v>
      </c>
    </row>
    <row r="739" spans="1:6">
      <c r="A739" s="13">
        <v>43465</v>
      </c>
      <c r="B739" s="15">
        <v>742.91</v>
      </c>
      <c r="C739" s="15"/>
      <c r="D739" s="15">
        <v>13599.13</v>
      </c>
      <c r="E739" s="16">
        <v>43465</v>
      </c>
      <c r="F739" s="17" t="s">
        <v>25</v>
      </c>
    </row>
    <row r="740" spans="1:6">
      <c r="A740" s="13">
        <v>43466</v>
      </c>
      <c r="B740" s="15">
        <v>743.66</v>
      </c>
      <c r="C740" s="15"/>
      <c r="D740" s="15">
        <v>13640.46</v>
      </c>
      <c r="E740" s="16">
        <v>43466</v>
      </c>
      <c r="F740" s="17" t="s">
        <v>25</v>
      </c>
    </row>
    <row r="741" spans="1:6">
      <c r="A741" s="13">
        <v>43467</v>
      </c>
      <c r="B741" s="15">
        <v>735.01</v>
      </c>
      <c r="C741" s="15"/>
      <c r="D741" s="15">
        <v>13500.3</v>
      </c>
      <c r="E741" s="16">
        <v>43467</v>
      </c>
      <c r="F741" s="17" t="s">
        <v>25</v>
      </c>
    </row>
    <row r="742" spans="1:6">
      <c r="A742" s="13">
        <v>43468</v>
      </c>
      <c r="B742" s="15">
        <v>728</v>
      </c>
      <c r="C742" s="15"/>
      <c r="D742" s="15">
        <v>13368.91</v>
      </c>
      <c r="E742" s="16">
        <v>43468</v>
      </c>
      <c r="F742" s="17" t="s">
        <v>25</v>
      </c>
    </row>
    <row r="743" spans="1:6">
      <c r="A743" s="13">
        <v>43469</v>
      </c>
      <c r="B743" s="15">
        <v>730.89</v>
      </c>
      <c r="C743" s="15"/>
      <c r="D743" s="15">
        <v>13428.43</v>
      </c>
      <c r="E743" s="16">
        <v>43469</v>
      </c>
      <c r="F743" s="17" t="s">
        <v>25</v>
      </c>
    </row>
    <row r="744" spans="1:6">
      <c r="A744" s="13">
        <v>43472</v>
      </c>
      <c r="B744" s="15">
        <v>731.96</v>
      </c>
      <c r="C744" s="15"/>
      <c r="D744" s="15">
        <v>13467.36</v>
      </c>
      <c r="E744" s="16">
        <v>43472</v>
      </c>
      <c r="F744" s="17" t="s">
        <v>25</v>
      </c>
    </row>
    <row r="745" spans="1:6">
      <c r="A745" s="13">
        <v>43473</v>
      </c>
      <c r="B745" s="15">
        <v>734.87</v>
      </c>
      <c r="C745" s="15"/>
      <c r="D745" s="15">
        <v>13493.29</v>
      </c>
      <c r="E745" s="16">
        <v>43473</v>
      </c>
      <c r="F745" s="17" t="s">
        <v>25</v>
      </c>
    </row>
    <row r="746" spans="1:6">
      <c r="A746" s="13">
        <v>43474</v>
      </c>
      <c r="B746" s="15">
        <v>736.63</v>
      </c>
      <c r="C746" s="15"/>
      <c r="D746" s="15">
        <v>13536.01</v>
      </c>
      <c r="E746" s="16">
        <v>43474</v>
      </c>
      <c r="F746" s="17" t="s">
        <v>25</v>
      </c>
    </row>
    <row r="747" spans="1:6">
      <c r="A747" s="13">
        <v>43475</v>
      </c>
      <c r="B747" s="15">
        <v>735.79</v>
      </c>
      <c r="C747" s="15"/>
      <c r="D747" s="15">
        <v>13524.03</v>
      </c>
      <c r="E747" s="16">
        <v>43475</v>
      </c>
      <c r="F747" s="17" t="s">
        <v>25</v>
      </c>
    </row>
    <row r="748" spans="1:6">
      <c r="A748" s="13">
        <v>43476</v>
      </c>
      <c r="B748" s="15">
        <v>735.51</v>
      </c>
      <c r="C748" s="15"/>
      <c r="D748" s="15">
        <v>13492.62</v>
      </c>
      <c r="E748" s="16">
        <v>43476</v>
      </c>
      <c r="F748" s="17" t="s">
        <v>25</v>
      </c>
    </row>
    <row r="749" spans="1:6">
      <c r="A749" s="13">
        <v>43479</v>
      </c>
      <c r="B749" s="15">
        <v>733.46</v>
      </c>
      <c r="C749" s="15"/>
      <c r="D749" s="15">
        <v>13423.32</v>
      </c>
      <c r="E749" s="16">
        <v>43479</v>
      </c>
      <c r="F749" s="17" t="s">
        <v>25</v>
      </c>
    </row>
    <row r="750" spans="1:6">
      <c r="A750" s="13">
        <v>43480</v>
      </c>
      <c r="B750" s="15">
        <v>741.31</v>
      </c>
      <c r="C750" s="15"/>
      <c r="D750" s="15">
        <v>13580.01</v>
      </c>
      <c r="E750" s="16">
        <v>43480</v>
      </c>
      <c r="F750" s="17" t="s">
        <v>25</v>
      </c>
    </row>
    <row r="751" spans="1:6">
      <c r="A751" s="13">
        <v>43481</v>
      </c>
      <c r="B751" s="15">
        <v>741.47</v>
      </c>
      <c r="C751" s="15"/>
      <c r="D751" s="15">
        <v>13582.44</v>
      </c>
      <c r="E751" s="16">
        <v>43481</v>
      </c>
      <c r="F751" s="17" t="s">
        <v>25</v>
      </c>
    </row>
    <row r="752" spans="1:6">
      <c r="A752" s="13">
        <v>43482</v>
      </c>
      <c r="B752" s="15">
        <v>739.78</v>
      </c>
      <c r="C752" s="15"/>
      <c r="D752" s="15">
        <v>13587.51</v>
      </c>
      <c r="E752" s="16">
        <v>43482</v>
      </c>
      <c r="F752" s="17" t="s">
        <v>25</v>
      </c>
    </row>
    <row r="753" spans="1:6">
      <c r="A753" s="13">
        <v>43483</v>
      </c>
      <c r="B753" s="15">
        <v>736.05</v>
      </c>
      <c r="C753" s="15"/>
      <c r="D753" s="15">
        <v>13555.85</v>
      </c>
      <c r="E753" s="16">
        <v>43483</v>
      </c>
      <c r="F753" s="17" t="s">
        <v>25</v>
      </c>
    </row>
    <row r="754" spans="1:6">
      <c r="A754" s="13">
        <v>43486</v>
      </c>
      <c r="B754" s="15">
        <v>735.75</v>
      </c>
      <c r="C754" s="15"/>
      <c r="D754" s="15">
        <v>13578.37</v>
      </c>
      <c r="E754" s="16">
        <v>43486</v>
      </c>
      <c r="F754" s="17" t="s">
        <v>25</v>
      </c>
    </row>
    <row r="755" spans="1:6">
      <c r="A755" s="13">
        <v>43487</v>
      </c>
      <c r="B755" s="15">
        <v>734.02</v>
      </c>
      <c r="C755" s="15"/>
      <c r="D755" s="15">
        <v>13542.55</v>
      </c>
      <c r="E755" s="16">
        <v>43487</v>
      </c>
      <c r="F755" s="17" t="s">
        <v>25</v>
      </c>
    </row>
    <row r="756" spans="1:6">
      <c r="A756" s="13">
        <v>43488</v>
      </c>
      <c r="B756" s="15">
        <v>730.19</v>
      </c>
      <c r="C756" s="15"/>
      <c r="D756" s="15">
        <v>13450.22</v>
      </c>
      <c r="E756" s="16">
        <v>43488</v>
      </c>
      <c r="F756" s="17" t="s">
        <v>25</v>
      </c>
    </row>
    <row r="757" spans="1:6">
      <c r="A757" s="13">
        <v>43489</v>
      </c>
      <c r="B757" s="15">
        <v>729.86</v>
      </c>
      <c r="C757" s="15"/>
      <c r="D757" s="15">
        <v>13458.48</v>
      </c>
      <c r="E757" s="16">
        <v>43489</v>
      </c>
      <c r="F757" s="17" t="s">
        <v>25</v>
      </c>
    </row>
    <row r="758" spans="1:6">
      <c r="A758" s="13">
        <v>43490</v>
      </c>
      <c r="B758" s="15">
        <v>721.66</v>
      </c>
      <c r="C758" s="15"/>
      <c r="D758" s="15">
        <v>13343</v>
      </c>
      <c r="E758" s="16">
        <v>43490</v>
      </c>
      <c r="F758" s="17" t="s">
        <v>25</v>
      </c>
    </row>
    <row r="759" spans="1:6">
      <c r="A759" s="13">
        <v>43493</v>
      </c>
      <c r="B759" s="15">
        <v>711.51</v>
      </c>
      <c r="C759" s="15"/>
      <c r="D759" s="15">
        <v>13168.57</v>
      </c>
      <c r="E759" s="16">
        <v>43493</v>
      </c>
      <c r="F759" s="17" t="s">
        <v>25</v>
      </c>
    </row>
    <row r="760" spans="1:6">
      <c r="A760" s="13">
        <v>43494</v>
      </c>
      <c r="B760" s="15">
        <v>713.75</v>
      </c>
      <c r="C760" s="15"/>
      <c r="D760" s="15">
        <v>13167.46</v>
      </c>
      <c r="E760" s="16">
        <v>43494</v>
      </c>
      <c r="F760" s="17" t="s">
        <v>25</v>
      </c>
    </row>
    <row r="761" spans="1:6">
      <c r="A761" s="13">
        <v>43495</v>
      </c>
      <c r="B761" s="15">
        <v>719.51</v>
      </c>
      <c r="C761" s="15"/>
      <c r="D761" s="15">
        <v>13181.18</v>
      </c>
      <c r="E761" s="16">
        <v>43495</v>
      </c>
      <c r="F761" s="17" t="s">
        <v>25</v>
      </c>
    </row>
    <row r="762" spans="1:6">
      <c r="A762" s="13">
        <v>43496</v>
      </c>
      <c r="B762" s="15">
        <v>724.97</v>
      </c>
      <c r="C762" s="15"/>
      <c r="D762" s="15">
        <v>13357.8</v>
      </c>
      <c r="E762" s="16">
        <v>43496</v>
      </c>
      <c r="F762" s="17" t="s">
        <v>25</v>
      </c>
    </row>
    <row r="763" spans="1:6">
      <c r="A763" s="13">
        <v>43497</v>
      </c>
      <c r="B763" s="15">
        <v>724.86</v>
      </c>
      <c r="C763" s="15"/>
      <c r="D763" s="15">
        <v>13435.65</v>
      </c>
      <c r="E763" s="16">
        <v>43497</v>
      </c>
      <c r="F763" s="17" t="s">
        <v>25</v>
      </c>
    </row>
    <row r="764" spans="1:6">
      <c r="A764" s="13">
        <v>43500</v>
      </c>
      <c r="B764" s="15">
        <v>720.92</v>
      </c>
      <c r="C764" s="15"/>
      <c r="D764" s="15">
        <v>13414.64</v>
      </c>
      <c r="E764" s="16">
        <v>43500</v>
      </c>
      <c r="F764" s="17" t="s">
        <v>25</v>
      </c>
    </row>
    <row r="765" spans="1:6">
      <c r="A765" s="13">
        <v>43501</v>
      </c>
      <c r="B765" s="15">
        <v>720.91</v>
      </c>
      <c r="C765" s="15"/>
      <c r="D765" s="15">
        <v>13402.62</v>
      </c>
      <c r="E765" s="16">
        <v>43501</v>
      </c>
      <c r="F765" s="17" t="s">
        <v>25</v>
      </c>
    </row>
    <row r="766" spans="1:6">
      <c r="A766" s="13">
        <v>43502</v>
      </c>
      <c r="B766" s="15">
        <v>728.34</v>
      </c>
      <c r="C766" s="15"/>
      <c r="D766" s="15">
        <v>13531.56</v>
      </c>
      <c r="E766" s="16">
        <v>43502</v>
      </c>
      <c r="F766" s="17" t="s">
        <v>25</v>
      </c>
    </row>
    <row r="767" spans="1:6">
      <c r="A767" s="13">
        <v>43503</v>
      </c>
      <c r="B767" s="15">
        <v>731.35</v>
      </c>
      <c r="C767" s="15"/>
      <c r="D767" s="15">
        <v>13571.96</v>
      </c>
      <c r="E767" s="16">
        <v>43503</v>
      </c>
      <c r="F767" s="17" t="s">
        <v>25</v>
      </c>
    </row>
    <row r="768" spans="1:6">
      <c r="A768" s="13">
        <v>43504</v>
      </c>
      <c r="B768" s="15">
        <v>722.56</v>
      </c>
      <c r="C768" s="15"/>
      <c r="D768" s="15">
        <v>13410.58</v>
      </c>
      <c r="E768" s="16">
        <v>43504</v>
      </c>
      <c r="F768" s="17" t="s">
        <v>25</v>
      </c>
    </row>
    <row r="769" spans="1:6">
      <c r="A769" s="13">
        <v>43507</v>
      </c>
      <c r="B769" s="15">
        <v>715.08</v>
      </c>
      <c r="C769" s="15"/>
      <c r="D769" s="15">
        <v>13309.39</v>
      </c>
      <c r="E769" s="16">
        <v>43507</v>
      </c>
      <c r="F769" s="17" t="s">
        <v>25</v>
      </c>
    </row>
    <row r="770" spans="1:6">
      <c r="A770" s="13">
        <v>43508</v>
      </c>
      <c r="B770" s="15">
        <v>712.04</v>
      </c>
      <c r="C770" s="15"/>
      <c r="D770" s="15">
        <v>13249.12</v>
      </c>
      <c r="E770" s="16">
        <v>43508</v>
      </c>
      <c r="F770" s="17" t="s">
        <v>25</v>
      </c>
    </row>
    <row r="771" spans="1:6">
      <c r="A771" s="13">
        <v>43509</v>
      </c>
      <c r="B771" s="15">
        <v>709.04</v>
      </c>
      <c r="C771" s="15"/>
      <c r="D771" s="15">
        <v>13193.76</v>
      </c>
      <c r="E771" s="16">
        <v>43509</v>
      </c>
      <c r="F771" s="17" t="s">
        <v>25</v>
      </c>
    </row>
    <row r="772" spans="1:6">
      <c r="A772" s="13">
        <v>43510</v>
      </c>
      <c r="B772" s="15">
        <v>708.34</v>
      </c>
      <c r="C772" s="15"/>
      <c r="D772" s="15">
        <v>13167.36</v>
      </c>
      <c r="E772" s="16">
        <v>43510</v>
      </c>
      <c r="F772" s="17" t="s">
        <v>25</v>
      </c>
    </row>
    <row r="773" spans="1:6">
      <c r="A773" s="13">
        <v>43511</v>
      </c>
      <c r="B773" s="15">
        <v>701.33</v>
      </c>
      <c r="C773" s="15"/>
      <c r="D773" s="15">
        <v>13105.54</v>
      </c>
      <c r="E773" s="16">
        <v>43511</v>
      </c>
      <c r="F773" s="17" t="s">
        <v>25</v>
      </c>
    </row>
    <row r="774" spans="1:6">
      <c r="A774" s="13">
        <v>43514</v>
      </c>
      <c r="B774" s="15">
        <v>696.06</v>
      </c>
      <c r="C774" s="15"/>
      <c r="D774" s="15">
        <v>12998.01</v>
      </c>
      <c r="E774" s="16">
        <v>43514</v>
      </c>
      <c r="F774" s="17" t="s">
        <v>25</v>
      </c>
    </row>
    <row r="775" spans="1:6">
      <c r="A775" s="13">
        <v>43515</v>
      </c>
      <c r="B775" s="15">
        <v>696.99</v>
      </c>
      <c r="C775" s="15"/>
      <c r="D775" s="15">
        <v>12980.1</v>
      </c>
      <c r="E775" s="16">
        <v>43515</v>
      </c>
      <c r="F775" s="17" t="s">
        <v>25</v>
      </c>
    </row>
    <row r="776" spans="1:6">
      <c r="A776" s="13">
        <v>43516</v>
      </c>
      <c r="B776" s="15">
        <v>705.85</v>
      </c>
      <c r="C776" s="15"/>
      <c r="D776" s="15">
        <v>13133.49</v>
      </c>
      <c r="E776" s="16">
        <v>43516</v>
      </c>
      <c r="F776" s="17" t="s">
        <v>25</v>
      </c>
    </row>
    <row r="777" spans="1:6">
      <c r="A777" s="13">
        <v>43517</v>
      </c>
      <c r="B777" s="15">
        <v>712.73</v>
      </c>
      <c r="C777" s="15"/>
      <c r="D777" s="15">
        <v>13218.92</v>
      </c>
      <c r="E777" s="16">
        <v>43517</v>
      </c>
      <c r="F777" s="17" t="s">
        <v>25</v>
      </c>
    </row>
    <row r="778" spans="1:6">
      <c r="A778" s="13">
        <v>43518</v>
      </c>
      <c r="B778" s="15">
        <v>716.48</v>
      </c>
      <c r="C778" s="15"/>
      <c r="D778" s="15">
        <v>13245.74</v>
      </c>
      <c r="E778" s="16">
        <v>43518</v>
      </c>
      <c r="F778" s="17" t="s">
        <v>25</v>
      </c>
    </row>
    <row r="779" spans="1:6">
      <c r="A779" s="13">
        <v>43521</v>
      </c>
      <c r="B779" s="15">
        <v>721.49</v>
      </c>
      <c r="C779" s="15"/>
      <c r="D779" s="15">
        <v>13340.9</v>
      </c>
      <c r="E779" s="16">
        <v>43521</v>
      </c>
      <c r="F779" s="17" t="s">
        <v>25</v>
      </c>
    </row>
    <row r="780" spans="1:6">
      <c r="A780" s="13">
        <v>43522</v>
      </c>
      <c r="B780" s="15">
        <v>717.52</v>
      </c>
      <c r="C780" s="15"/>
      <c r="D780" s="15">
        <v>13295.32</v>
      </c>
      <c r="E780" s="16">
        <v>43522</v>
      </c>
      <c r="F780" s="17" t="s">
        <v>25</v>
      </c>
    </row>
    <row r="781" spans="1:6">
      <c r="A781" s="13">
        <v>43523</v>
      </c>
      <c r="B781" s="15">
        <v>716.87</v>
      </c>
      <c r="C781" s="15"/>
      <c r="D781" s="15">
        <v>13285.19</v>
      </c>
      <c r="E781" s="16">
        <v>43523</v>
      </c>
      <c r="F781" s="17" t="s">
        <v>25</v>
      </c>
    </row>
    <row r="782" spans="1:6">
      <c r="A782" s="13">
        <v>43524</v>
      </c>
      <c r="B782" s="15">
        <v>717.35</v>
      </c>
      <c r="C782" s="15"/>
      <c r="D782" s="15">
        <v>13303.2</v>
      </c>
      <c r="E782" s="16">
        <v>43524</v>
      </c>
      <c r="F782" s="17" t="s">
        <v>25</v>
      </c>
    </row>
    <row r="783" spans="1:6">
      <c r="A783" s="13">
        <v>43525</v>
      </c>
      <c r="B783" s="15">
        <v>726.79</v>
      </c>
      <c r="C783" s="15"/>
      <c r="D783" s="15">
        <v>13424.34</v>
      </c>
      <c r="E783" s="16">
        <v>43525</v>
      </c>
      <c r="F783" s="17" t="s">
        <v>25</v>
      </c>
    </row>
    <row r="784" spans="1:6">
      <c r="A784" s="13">
        <v>43529</v>
      </c>
      <c r="B784" s="15">
        <v>736.99</v>
      </c>
      <c r="C784" s="15"/>
      <c r="D784" s="15">
        <v>13626.72</v>
      </c>
      <c r="E784" s="16">
        <v>43529</v>
      </c>
      <c r="F784" s="17" t="s">
        <v>25</v>
      </c>
    </row>
    <row r="785" spans="1:6">
      <c r="A785" s="13">
        <v>43530</v>
      </c>
      <c r="B785" s="15">
        <v>741.42</v>
      </c>
      <c r="C785" s="15"/>
      <c r="D785" s="15">
        <v>13711.14</v>
      </c>
      <c r="E785" s="16">
        <v>43530</v>
      </c>
      <c r="F785" s="17" t="s">
        <v>25</v>
      </c>
    </row>
    <row r="786" spans="1:6">
      <c r="A786" s="13">
        <v>43531</v>
      </c>
      <c r="B786" s="15">
        <v>739.67</v>
      </c>
      <c r="C786" s="15"/>
      <c r="D786" s="15">
        <v>13703.58</v>
      </c>
      <c r="E786" s="16">
        <v>43531</v>
      </c>
      <c r="F786" s="17" t="s">
        <v>25</v>
      </c>
    </row>
    <row r="787" spans="1:6">
      <c r="A787" s="13">
        <v>43532</v>
      </c>
      <c r="B787" s="15">
        <v>737.21</v>
      </c>
      <c r="C787" s="15"/>
      <c r="D787" s="15">
        <v>13682.38</v>
      </c>
      <c r="E787" s="16">
        <v>43532</v>
      </c>
      <c r="F787" s="17" t="s">
        <v>25</v>
      </c>
    </row>
    <row r="788" spans="1:6">
      <c r="A788" s="13">
        <v>43535</v>
      </c>
      <c r="B788" s="15">
        <v>747.25</v>
      </c>
      <c r="C788" s="15"/>
      <c r="D788" s="15">
        <v>13882.22</v>
      </c>
      <c r="E788" s="16">
        <v>43535</v>
      </c>
      <c r="F788" s="17" t="s">
        <v>25</v>
      </c>
    </row>
    <row r="789" spans="1:6">
      <c r="A789" s="13">
        <v>43536</v>
      </c>
      <c r="B789" s="15">
        <v>755.61</v>
      </c>
      <c r="C789" s="15"/>
      <c r="D789" s="15">
        <v>14023.67</v>
      </c>
      <c r="E789" s="16">
        <v>43536</v>
      </c>
      <c r="F789" s="17" t="s">
        <v>25</v>
      </c>
    </row>
    <row r="790" spans="1:6">
      <c r="A790" s="13">
        <v>43537</v>
      </c>
      <c r="B790" s="15">
        <v>756.92</v>
      </c>
      <c r="C790" s="15"/>
      <c r="D790" s="15">
        <v>14038.41</v>
      </c>
      <c r="E790" s="16">
        <v>43537</v>
      </c>
      <c r="F790" s="17" t="s">
        <v>25</v>
      </c>
    </row>
    <row r="791" spans="1:6">
      <c r="A791" s="13">
        <v>43538</v>
      </c>
      <c r="B791" s="15">
        <v>756.84</v>
      </c>
      <c r="C791" s="15"/>
      <c r="D791" s="15">
        <v>14036.92</v>
      </c>
      <c r="E791" s="16">
        <v>43538</v>
      </c>
      <c r="F791" s="17" t="s">
        <v>25</v>
      </c>
    </row>
    <row r="792" spans="1:6">
      <c r="A792" s="13">
        <v>43539</v>
      </c>
      <c r="B792" s="15">
        <v>761.13</v>
      </c>
      <c r="C792" s="15"/>
      <c r="D792" s="15">
        <v>14115.72</v>
      </c>
      <c r="E792" s="16">
        <v>43539</v>
      </c>
      <c r="F792" s="17" t="s">
        <v>25</v>
      </c>
    </row>
    <row r="793" spans="1:6">
      <c r="A793" s="13">
        <v>43542</v>
      </c>
      <c r="B793" s="15">
        <v>761.35</v>
      </c>
      <c r="C793" s="15"/>
      <c r="D793" s="15">
        <v>14141.44</v>
      </c>
      <c r="E793" s="16">
        <v>43542</v>
      </c>
      <c r="F793" s="17" t="s">
        <v>25</v>
      </c>
    </row>
    <row r="794" spans="1:6">
      <c r="A794" s="13">
        <v>43543</v>
      </c>
      <c r="B794" s="15">
        <v>765.89</v>
      </c>
      <c r="C794" s="15"/>
      <c r="D794" s="15">
        <v>14221.02</v>
      </c>
      <c r="E794" s="16">
        <v>43543</v>
      </c>
      <c r="F794" s="17" t="s">
        <v>25</v>
      </c>
    </row>
    <row r="795" spans="1:6">
      <c r="A795" s="13">
        <v>43544</v>
      </c>
      <c r="B795" s="15">
        <v>763.41</v>
      </c>
      <c r="C795" s="15"/>
      <c r="D795" s="15">
        <v>14195.69</v>
      </c>
      <c r="E795" s="16">
        <v>43544</v>
      </c>
      <c r="F795" s="17" t="s">
        <v>25</v>
      </c>
    </row>
    <row r="796" spans="1:6">
      <c r="A796" s="13">
        <v>43546</v>
      </c>
      <c r="B796" s="15">
        <v>759.52</v>
      </c>
      <c r="C796" s="15"/>
      <c r="D796" s="15">
        <v>14120.15</v>
      </c>
      <c r="E796" s="16">
        <v>43546</v>
      </c>
      <c r="F796" s="17" t="s">
        <v>25</v>
      </c>
    </row>
    <row r="797" spans="1:6">
      <c r="A797" s="13">
        <v>43549</v>
      </c>
      <c r="B797" s="15">
        <v>752.5</v>
      </c>
      <c r="C797" s="15"/>
      <c r="D797" s="15">
        <v>13988.74</v>
      </c>
      <c r="E797" s="16">
        <v>43549</v>
      </c>
      <c r="F797" s="17" t="s">
        <v>25</v>
      </c>
    </row>
    <row r="798" spans="1:6">
      <c r="A798" s="13">
        <v>43550</v>
      </c>
      <c r="B798" s="15">
        <v>760.07</v>
      </c>
      <c r="C798" s="15"/>
      <c r="D798" s="15">
        <v>14138.82</v>
      </c>
      <c r="E798" s="16">
        <v>43550</v>
      </c>
      <c r="F798" s="17" t="s">
        <v>25</v>
      </c>
    </row>
    <row r="799" spans="1:6">
      <c r="A799" s="13">
        <v>43551</v>
      </c>
      <c r="B799" s="15">
        <v>761.84</v>
      </c>
      <c r="C799" s="15"/>
      <c r="D799" s="15">
        <v>14123.69</v>
      </c>
      <c r="E799" s="16">
        <v>43551</v>
      </c>
      <c r="F799" s="17" t="s">
        <v>25</v>
      </c>
    </row>
    <row r="800" spans="1:6">
      <c r="A800" s="13">
        <v>43552</v>
      </c>
      <c r="B800" s="15">
        <v>767.46</v>
      </c>
      <c r="C800" s="15"/>
      <c r="D800" s="15">
        <v>14272.79</v>
      </c>
      <c r="E800" s="16">
        <v>43552</v>
      </c>
      <c r="F800" s="17" t="s">
        <v>25</v>
      </c>
    </row>
    <row r="801" spans="1:6">
      <c r="A801" s="13">
        <v>43553</v>
      </c>
      <c r="B801" s="15">
        <v>774.25</v>
      </c>
      <c r="C801" s="15"/>
      <c r="D801" s="15">
        <v>14364.59</v>
      </c>
      <c r="E801" s="16">
        <v>43553</v>
      </c>
      <c r="F801" s="17" t="s">
        <v>25</v>
      </c>
    </row>
    <row r="802" spans="1:6">
      <c r="A802" s="13">
        <v>43556</v>
      </c>
      <c r="B802" s="15">
        <v>777.35</v>
      </c>
      <c r="C802" s="15"/>
      <c r="D802" s="15">
        <v>14421.49</v>
      </c>
      <c r="E802" s="16">
        <v>43556</v>
      </c>
      <c r="F802" s="17" t="s">
        <v>25</v>
      </c>
    </row>
    <row r="803" spans="1:6">
      <c r="A803" s="13">
        <v>43557</v>
      </c>
      <c r="B803" s="15">
        <v>779.3</v>
      </c>
      <c r="C803" s="15"/>
      <c r="D803" s="15">
        <v>14449.48</v>
      </c>
      <c r="E803" s="16">
        <v>43557</v>
      </c>
      <c r="F803" s="17" t="s">
        <v>25</v>
      </c>
    </row>
    <row r="804" spans="1:6">
      <c r="A804" s="13">
        <v>43558</v>
      </c>
      <c r="B804" s="15">
        <v>774.26</v>
      </c>
      <c r="C804" s="15"/>
      <c r="D804" s="15">
        <v>14356.79</v>
      </c>
      <c r="E804" s="16">
        <v>43558</v>
      </c>
      <c r="F804" s="17" t="s">
        <v>25</v>
      </c>
    </row>
    <row r="805" spans="1:6">
      <c r="A805" s="13">
        <v>43559</v>
      </c>
      <c r="B805" s="15">
        <v>774.34</v>
      </c>
      <c r="C805" s="15"/>
      <c r="D805" s="15">
        <v>14309.63</v>
      </c>
      <c r="E805" s="16">
        <v>43559</v>
      </c>
      <c r="F805" s="17" t="s">
        <v>25</v>
      </c>
    </row>
    <row r="806" spans="1:6">
      <c r="A806" s="13">
        <v>43560</v>
      </c>
      <c r="B806" s="15">
        <v>779.4</v>
      </c>
      <c r="C806" s="15"/>
      <c r="D806" s="15">
        <v>14396.45</v>
      </c>
      <c r="E806" s="16">
        <v>43560</v>
      </c>
      <c r="F806" s="17" t="s">
        <v>25</v>
      </c>
    </row>
    <row r="807" spans="1:6">
      <c r="A807" s="13">
        <v>43563</v>
      </c>
      <c r="B807" s="15">
        <v>775.14</v>
      </c>
      <c r="C807" s="15"/>
      <c r="D807" s="15">
        <v>14321.35</v>
      </c>
      <c r="E807" s="16">
        <v>43563</v>
      </c>
      <c r="F807" s="17" t="s">
        <v>25</v>
      </c>
    </row>
    <row r="808" spans="1:6">
      <c r="A808" s="13">
        <v>43564</v>
      </c>
      <c r="B808" s="15">
        <v>778.2</v>
      </c>
      <c r="C808" s="15"/>
      <c r="D808" s="15">
        <v>14385.8</v>
      </c>
      <c r="E808" s="16">
        <v>43564</v>
      </c>
      <c r="F808" s="17" t="s">
        <v>25</v>
      </c>
    </row>
    <row r="809" spans="1:6">
      <c r="A809" s="13">
        <v>43565</v>
      </c>
      <c r="B809" s="15">
        <v>773.52</v>
      </c>
      <c r="C809" s="15"/>
      <c r="D809" s="15">
        <v>14304.29</v>
      </c>
      <c r="E809" s="16">
        <v>43565</v>
      </c>
      <c r="F809" s="17" t="s">
        <v>25</v>
      </c>
    </row>
    <row r="810" spans="1:6">
      <c r="A810" s="13">
        <v>43566</v>
      </c>
      <c r="B810" s="15">
        <v>773.55</v>
      </c>
      <c r="C810" s="15"/>
      <c r="D810" s="15">
        <v>14321.82</v>
      </c>
      <c r="E810" s="16">
        <v>43566</v>
      </c>
      <c r="F810" s="17" t="s">
        <v>25</v>
      </c>
    </row>
    <row r="811" spans="1:6">
      <c r="A811" s="13">
        <v>43567</v>
      </c>
      <c r="B811" s="15">
        <v>775.78</v>
      </c>
      <c r="C811" s="15"/>
      <c r="D811" s="15">
        <v>14381.36</v>
      </c>
      <c r="E811" s="16">
        <v>43567</v>
      </c>
      <c r="F811" s="17" t="s">
        <v>25</v>
      </c>
    </row>
    <row r="812" spans="1:6">
      <c r="A812" s="13">
        <v>43570</v>
      </c>
      <c r="B812" s="15">
        <v>779.29</v>
      </c>
      <c r="C812" s="15"/>
      <c r="D812" s="15">
        <v>14443.67</v>
      </c>
      <c r="E812" s="16">
        <v>43570</v>
      </c>
      <c r="F812" s="17" t="s">
        <v>25</v>
      </c>
    </row>
    <row r="813" spans="1:6">
      <c r="A813" s="13">
        <v>43571</v>
      </c>
      <c r="B813" s="15">
        <v>785.61</v>
      </c>
      <c r="C813" s="15"/>
      <c r="D813" s="15">
        <v>14540.12</v>
      </c>
      <c r="E813" s="16">
        <v>43571</v>
      </c>
      <c r="F813" s="17" t="s">
        <v>25</v>
      </c>
    </row>
    <row r="814" spans="1:6">
      <c r="A814" s="13">
        <v>43573</v>
      </c>
      <c r="B814" s="15">
        <v>777.95</v>
      </c>
      <c r="C814" s="15"/>
      <c r="D814" s="15">
        <v>14476.63</v>
      </c>
      <c r="E814" s="16">
        <v>43573</v>
      </c>
      <c r="F814" s="17" t="s">
        <v>25</v>
      </c>
    </row>
    <row r="815" spans="1:6">
      <c r="A815" s="13">
        <v>43577</v>
      </c>
      <c r="B815" s="15">
        <v>766.28</v>
      </c>
      <c r="C815" s="15"/>
      <c r="D815" s="15">
        <v>14270.2</v>
      </c>
      <c r="E815" s="16">
        <v>43577</v>
      </c>
      <c r="F815" s="17" t="s">
        <v>25</v>
      </c>
    </row>
    <row r="816" spans="1:6">
      <c r="A816" s="13">
        <v>43578</v>
      </c>
      <c r="B816" s="15">
        <v>764.58</v>
      </c>
      <c r="C816" s="15"/>
      <c r="D816" s="15">
        <v>14251.64</v>
      </c>
      <c r="E816" s="16">
        <v>43578</v>
      </c>
      <c r="F816" s="17" t="s">
        <v>25</v>
      </c>
    </row>
    <row r="817" spans="1:6">
      <c r="A817" s="13">
        <v>43579</v>
      </c>
      <c r="B817" s="15">
        <v>771.51</v>
      </c>
      <c r="C817" s="15"/>
      <c r="D817" s="15">
        <v>14400.64</v>
      </c>
      <c r="E817" s="16">
        <v>43579</v>
      </c>
      <c r="F817" s="17" t="s">
        <v>25</v>
      </c>
    </row>
    <row r="818" spans="1:6">
      <c r="A818" s="13">
        <v>43580</v>
      </c>
      <c r="B818" s="15">
        <v>766.8</v>
      </c>
      <c r="C818" s="15"/>
      <c r="D818" s="15">
        <v>14313.53</v>
      </c>
      <c r="E818" s="16">
        <v>43580</v>
      </c>
      <c r="F818" s="17" t="s">
        <v>25</v>
      </c>
    </row>
    <row r="819" spans="1:6">
      <c r="A819" s="13">
        <v>43581</v>
      </c>
      <c r="B819" s="15">
        <v>773.33</v>
      </c>
      <c r="C819" s="15"/>
      <c r="D819" s="15">
        <v>14404.12</v>
      </c>
      <c r="E819" s="16">
        <v>43581</v>
      </c>
      <c r="F819" s="17" t="s">
        <v>25</v>
      </c>
    </row>
    <row r="820" spans="1:6">
      <c r="A820" s="13">
        <v>43585</v>
      </c>
      <c r="B820" s="15">
        <v>773.83</v>
      </c>
      <c r="C820" s="15"/>
      <c r="D820" s="15">
        <v>14366.33</v>
      </c>
      <c r="E820" s="16">
        <v>43585</v>
      </c>
      <c r="F820" s="17" t="s">
        <v>25</v>
      </c>
    </row>
    <row r="821" spans="1:6">
      <c r="A821" s="13">
        <v>43587</v>
      </c>
      <c r="B821" s="15">
        <v>768.97</v>
      </c>
      <c r="C821" s="15"/>
      <c r="D821" s="15">
        <v>14326.52</v>
      </c>
      <c r="E821" s="16">
        <v>43587</v>
      </c>
      <c r="F821" s="17" t="s">
        <v>25</v>
      </c>
    </row>
    <row r="822" spans="1:6">
      <c r="A822" s="13">
        <v>43588</v>
      </c>
      <c r="B822" s="15">
        <v>768.77</v>
      </c>
      <c r="C822" s="15"/>
      <c r="D822" s="15">
        <v>14307.21</v>
      </c>
      <c r="E822" s="16">
        <v>43588</v>
      </c>
      <c r="F822" s="17" t="s">
        <v>25</v>
      </c>
    </row>
    <row r="823" spans="1:6">
      <c r="A823" s="13">
        <v>43591</v>
      </c>
      <c r="B823" s="15">
        <v>763.92</v>
      </c>
      <c r="C823" s="15"/>
      <c r="D823" s="15">
        <v>14170.39</v>
      </c>
      <c r="E823" s="16">
        <v>43591</v>
      </c>
      <c r="F823" s="17" t="s">
        <v>25</v>
      </c>
    </row>
    <row r="824" spans="1:6">
      <c r="A824" s="13">
        <v>43592</v>
      </c>
      <c r="B824" s="15">
        <v>758.65</v>
      </c>
      <c r="C824" s="15"/>
      <c r="D824" s="15">
        <v>14051.08</v>
      </c>
      <c r="E824" s="16">
        <v>43592</v>
      </c>
      <c r="F824" s="17" t="s">
        <v>25</v>
      </c>
    </row>
    <row r="825" spans="1:6">
      <c r="A825" s="13">
        <v>43593</v>
      </c>
      <c r="B825" s="15">
        <v>751.8</v>
      </c>
      <c r="C825" s="15"/>
      <c r="D825" s="15">
        <v>13886.83</v>
      </c>
      <c r="E825" s="16">
        <v>43593</v>
      </c>
      <c r="F825" s="17" t="s">
        <v>25</v>
      </c>
    </row>
    <row r="826" spans="1:6">
      <c r="A826" s="13">
        <v>43594</v>
      </c>
      <c r="B826" s="15">
        <v>751.62</v>
      </c>
      <c r="C826" s="15"/>
      <c r="D826" s="15">
        <v>13826.96</v>
      </c>
      <c r="E826" s="16">
        <v>43594</v>
      </c>
      <c r="F826" s="17" t="s">
        <v>25</v>
      </c>
    </row>
    <row r="827" spans="1:6">
      <c r="A827" s="13">
        <v>43595</v>
      </c>
      <c r="B827" s="15">
        <v>750.19</v>
      </c>
      <c r="C827" s="15"/>
      <c r="D827" s="15">
        <v>13812.96</v>
      </c>
      <c r="E827" s="16">
        <v>43595</v>
      </c>
      <c r="F827" s="17" t="s">
        <v>25</v>
      </c>
    </row>
    <row r="828" spans="1:6">
      <c r="A828" s="13">
        <v>43598</v>
      </c>
      <c r="B828" s="15">
        <v>735.51</v>
      </c>
      <c r="C828" s="15"/>
      <c r="D828" s="15">
        <v>13619.29</v>
      </c>
      <c r="E828" s="16">
        <v>43598</v>
      </c>
      <c r="F828" s="17" t="s">
        <v>25</v>
      </c>
    </row>
    <row r="829" spans="1:6">
      <c r="A829" s="13">
        <v>43599</v>
      </c>
      <c r="B829" s="15">
        <v>740.45</v>
      </c>
      <c r="C829" s="15"/>
      <c r="D829" s="15">
        <v>13697.17</v>
      </c>
      <c r="E829" s="16">
        <v>43599</v>
      </c>
      <c r="F829" s="17" t="s">
        <v>25</v>
      </c>
    </row>
    <row r="830" spans="1:6">
      <c r="A830" s="13">
        <v>43600</v>
      </c>
      <c r="B830" s="15">
        <v>735.49</v>
      </c>
      <c r="C830" s="15"/>
      <c r="D830" s="15">
        <v>13619.46</v>
      </c>
      <c r="E830" s="16">
        <v>43600</v>
      </c>
      <c r="F830" s="17" t="s">
        <v>25</v>
      </c>
    </row>
    <row r="831" spans="1:6">
      <c r="A831" s="13">
        <v>43601</v>
      </c>
      <c r="B831" s="15">
        <v>742.82</v>
      </c>
      <c r="C831" s="15"/>
      <c r="D831" s="15">
        <v>13711.21</v>
      </c>
      <c r="E831" s="16">
        <v>43601</v>
      </c>
      <c r="F831" s="17" t="s">
        <v>25</v>
      </c>
    </row>
    <row r="832" spans="1:6">
      <c r="A832" s="13">
        <v>43602</v>
      </c>
      <c r="B832" s="15">
        <v>750.7</v>
      </c>
      <c r="C832" s="15"/>
      <c r="D832" s="15">
        <v>13871.89</v>
      </c>
      <c r="E832" s="16">
        <v>43602</v>
      </c>
      <c r="F832" s="17" t="s">
        <v>25</v>
      </c>
    </row>
    <row r="833" spans="1:6">
      <c r="A833" s="13">
        <v>43605</v>
      </c>
      <c r="B833" s="15">
        <v>772.92</v>
      </c>
      <c r="C833" s="15"/>
      <c r="D833" s="15">
        <v>14380.78</v>
      </c>
      <c r="E833" s="16">
        <v>43605</v>
      </c>
      <c r="F833" s="17" t="s">
        <v>25</v>
      </c>
    </row>
    <row r="834" spans="1:6">
      <c r="A834" s="13">
        <v>43606</v>
      </c>
      <c r="B834" s="15">
        <v>765.11</v>
      </c>
      <c r="C834" s="15"/>
      <c r="D834" s="15">
        <v>14242.53</v>
      </c>
      <c r="E834" s="16">
        <v>43606</v>
      </c>
      <c r="F834" s="17" t="s">
        <v>25</v>
      </c>
    </row>
    <row r="835" spans="1:6">
      <c r="A835" s="13">
        <v>43607</v>
      </c>
      <c r="B835" s="15">
        <v>768.22</v>
      </c>
      <c r="C835" s="15"/>
      <c r="D835" s="15">
        <v>14281.87</v>
      </c>
      <c r="E835" s="16">
        <v>43607</v>
      </c>
      <c r="F835" s="17" t="s">
        <v>25</v>
      </c>
    </row>
    <row r="836" spans="1:6">
      <c r="A836" s="13">
        <v>43608</v>
      </c>
      <c r="B836" s="15">
        <v>765</v>
      </c>
      <c r="C836" s="15"/>
      <c r="D836" s="15">
        <v>14214.3</v>
      </c>
      <c r="E836" s="16">
        <v>43608</v>
      </c>
      <c r="F836" s="17" t="s">
        <v>25</v>
      </c>
    </row>
    <row r="837" spans="1:6">
      <c r="A837" s="13">
        <v>43609</v>
      </c>
      <c r="B837" s="15">
        <v>782.85</v>
      </c>
      <c r="C837" s="15"/>
      <c r="D837" s="15">
        <v>14466.44</v>
      </c>
      <c r="E837" s="16">
        <v>43609</v>
      </c>
      <c r="F837" s="17" t="s">
        <v>25</v>
      </c>
    </row>
    <row r="838" spans="1:6">
      <c r="A838" s="13">
        <v>43612</v>
      </c>
      <c r="B838" s="15">
        <v>789.76</v>
      </c>
      <c r="C838" s="15"/>
      <c r="D838" s="15">
        <v>14589.9</v>
      </c>
      <c r="E838" s="16">
        <v>43612</v>
      </c>
      <c r="F838" s="17" t="s">
        <v>25</v>
      </c>
    </row>
    <row r="839" spans="1:6">
      <c r="A839" s="13">
        <v>43613</v>
      </c>
      <c r="B839" s="15">
        <v>789.91</v>
      </c>
      <c r="C839" s="15"/>
      <c r="D839" s="15">
        <v>14606.28</v>
      </c>
      <c r="E839" s="16">
        <v>43613</v>
      </c>
      <c r="F839" s="17" t="s">
        <v>25</v>
      </c>
    </row>
    <row r="840" spans="1:6">
      <c r="A840" s="13">
        <v>43614</v>
      </c>
      <c r="B840" s="15">
        <v>783.01</v>
      </c>
      <c r="C840" s="15"/>
      <c r="D840" s="15">
        <v>14519.5</v>
      </c>
      <c r="E840" s="16">
        <v>43614</v>
      </c>
      <c r="F840" s="17" t="s">
        <v>25</v>
      </c>
    </row>
    <row r="841" spans="1:6">
      <c r="A841" s="13">
        <v>43615</v>
      </c>
      <c r="B841" s="15">
        <v>785.39</v>
      </c>
      <c r="C841" s="15"/>
      <c r="D841" s="15">
        <v>14606.29</v>
      </c>
      <c r="E841" s="16">
        <v>43615</v>
      </c>
      <c r="F841" s="17" t="s">
        <v>25</v>
      </c>
    </row>
    <row r="842" spans="1:6">
      <c r="A842" s="13">
        <v>43616</v>
      </c>
      <c r="B842" s="15">
        <v>783.55</v>
      </c>
      <c r="C842" s="15"/>
      <c r="D842" s="15">
        <v>14591.01</v>
      </c>
      <c r="E842" s="16">
        <v>43616</v>
      </c>
      <c r="F842" s="17" t="s">
        <v>25</v>
      </c>
    </row>
    <row r="843" spans="1:6">
      <c r="A843" s="13">
        <v>43619</v>
      </c>
      <c r="B843" s="15">
        <v>792.07</v>
      </c>
      <c r="C843" s="15"/>
      <c r="D843" s="15">
        <v>14766.71</v>
      </c>
      <c r="E843" s="16">
        <v>43619</v>
      </c>
      <c r="F843" s="17" t="s">
        <v>25</v>
      </c>
    </row>
    <row r="844" spans="1:6">
      <c r="A844" s="13">
        <v>43620</v>
      </c>
      <c r="B844" s="15">
        <v>787.24</v>
      </c>
      <c r="C844" s="15"/>
      <c r="D844" s="15">
        <v>14702.41</v>
      </c>
      <c r="E844" s="16">
        <v>43620</v>
      </c>
      <c r="F844" s="17" t="s">
        <v>25</v>
      </c>
    </row>
    <row r="845" spans="1:6">
      <c r="A845" s="13">
        <v>43622</v>
      </c>
      <c r="B845" s="15">
        <v>772.29</v>
      </c>
      <c r="C845" s="15"/>
      <c r="D845" s="15">
        <v>14475.15</v>
      </c>
      <c r="E845" s="16">
        <v>43622</v>
      </c>
      <c r="F845" s="17" t="s">
        <v>25</v>
      </c>
    </row>
    <row r="846" spans="1:6">
      <c r="A846" s="13">
        <v>43623</v>
      </c>
      <c r="B846" s="15">
        <v>774.44</v>
      </c>
      <c r="C846" s="15"/>
      <c r="D846" s="15">
        <v>14495.06</v>
      </c>
      <c r="E846" s="16">
        <v>43623</v>
      </c>
      <c r="F846" s="17" t="s">
        <v>25</v>
      </c>
    </row>
    <row r="847" spans="1:6">
      <c r="A847" s="13">
        <v>43626</v>
      </c>
      <c r="B847" s="15">
        <v>777.78</v>
      </c>
      <c r="C847" s="15"/>
      <c r="D847" s="15">
        <v>14539.75</v>
      </c>
      <c r="E847" s="16">
        <v>43626</v>
      </c>
      <c r="F847" s="17" t="s">
        <v>25</v>
      </c>
    </row>
    <row r="848" spans="1:6">
      <c r="A848" s="13">
        <v>43627</v>
      </c>
      <c r="B848" s="15">
        <v>782.53</v>
      </c>
      <c r="C848" s="15"/>
      <c r="D848" s="15">
        <v>14598.2</v>
      </c>
      <c r="E848" s="16">
        <v>43627</v>
      </c>
      <c r="F848" s="17" t="s">
        <v>25</v>
      </c>
    </row>
    <row r="849" spans="1:6">
      <c r="A849" s="13">
        <v>43628</v>
      </c>
      <c r="B849" s="15">
        <v>778.22</v>
      </c>
      <c r="C849" s="15"/>
      <c r="D849" s="15">
        <v>14516.16</v>
      </c>
      <c r="E849" s="16">
        <v>43628</v>
      </c>
      <c r="F849" s="17" t="s">
        <v>25</v>
      </c>
    </row>
    <row r="850" spans="1:6">
      <c r="A850" s="13">
        <v>43629</v>
      </c>
      <c r="B850" s="15">
        <v>776.83</v>
      </c>
      <c r="C850" s="15"/>
      <c r="D850" s="15">
        <v>14521.38</v>
      </c>
      <c r="E850" s="16">
        <v>43629</v>
      </c>
      <c r="F850" s="17" t="s">
        <v>25</v>
      </c>
    </row>
    <row r="851" spans="1:6">
      <c r="A851" s="13">
        <v>43630</v>
      </c>
      <c r="B851" s="15">
        <v>769.79</v>
      </c>
      <c r="C851" s="15"/>
      <c r="D851" s="15">
        <v>14406.49</v>
      </c>
      <c r="E851" s="16">
        <v>43630</v>
      </c>
      <c r="F851" s="17" t="s">
        <v>25</v>
      </c>
    </row>
    <row r="852" spans="1:6">
      <c r="A852" s="13">
        <v>43633</v>
      </c>
      <c r="B852" s="15">
        <v>757.62</v>
      </c>
      <c r="C852" s="15"/>
      <c r="D852" s="15">
        <v>14218.31</v>
      </c>
      <c r="E852" s="16">
        <v>43633</v>
      </c>
      <c r="F852" s="17" t="s">
        <v>25</v>
      </c>
    </row>
    <row r="853" spans="1:6">
      <c r="A853" s="13">
        <v>43634</v>
      </c>
      <c r="B853" s="15">
        <v>759.53</v>
      </c>
      <c r="C853" s="15"/>
      <c r="D853" s="15">
        <v>14229.85</v>
      </c>
      <c r="E853" s="16">
        <v>43634</v>
      </c>
      <c r="F853" s="17" t="s">
        <v>25</v>
      </c>
    </row>
    <row r="854" spans="1:6">
      <c r="A854" s="13">
        <v>43635</v>
      </c>
      <c r="B854" s="15">
        <v>756.37</v>
      </c>
      <c r="C854" s="15"/>
      <c r="D854" s="15">
        <v>14192.79</v>
      </c>
      <c r="E854" s="16">
        <v>43635</v>
      </c>
      <c r="F854" s="17" t="s">
        <v>25</v>
      </c>
    </row>
    <row r="855" spans="1:6">
      <c r="A855" s="13">
        <v>43636</v>
      </c>
      <c r="B855" s="15">
        <v>767.66</v>
      </c>
      <c r="C855" s="15"/>
      <c r="D855" s="15">
        <v>14380.25</v>
      </c>
      <c r="E855" s="16">
        <v>43636</v>
      </c>
      <c r="F855" s="17" t="s">
        <v>25</v>
      </c>
    </row>
    <row r="856" spans="1:6">
      <c r="A856" s="13">
        <v>43637</v>
      </c>
      <c r="B856" s="15">
        <v>764.39</v>
      </c>
      <c r="C856" s="15"/>
      <c r="D856" s="15">
        <v>14284.21</v>
      </c>
      <c r="E856" s="16">
        <v>43637</v>
      </c>
      <c r="F856" s="17" t="s">
        <v>25</v>
      </c>
    </row>
    <row r="857" spans="1:6">
      <c r="A857" s="13">
        <v>43640</v>
      </c>
      <c r="B857" s="15">
        <v>762.49</v>
      </c>
      <c r="C857" s="15"/>
      <c r="D857" s="15">
        <v>14258.15</v>
      </c>
      <c r="E857" s="16">
        <v>43640</v>
      </c>
      <c r="F857" s="17" t="s">
        <v>25</v>
      </c>
    </row>
    <row r="858" spans="1:6">
      <c r="A858" s="13">
        <v>43641</v>
      </c>
      <c r="B858" s="15">
        <v>768.15</v>
      </c>
      <c r="C858" s="15"/>
      <c r="D858" s="15">
        <v>14360.63</v>
      </c>
      <c r="E858" s="16">
        <v>43641</v>
      </c>
      <c r="F858" s="17" t="s">
        <v>25</v>
      </c>
    </row>
    <row r="859" spans="1:6">
      <c r="A859" s="13">
        <v>43642</v>
      </c>
      <c r="B859" s="15">
        <v>775.27</v>
      </c>
      <c r="C859" s="15"/>
      <c r="D859" s="15">
        <v>14435.08</v>
      </c>
      <c r="E859" s="16">
        <v>43642</v>
      </c>
      <c r="F859" s="17" t="s">
        <v>25</v>
      </c>
    </row>
    <row r="860" spans="1:6">
      <c r="A860" s="13">
        <v>43643</v>
      </c>
      <c r="B860" s="15">
        <v>776.49</v>
      </c>
      <c r="C860" s="15"/>
      <c r="D860" s="15">
        <v>14449.59</v>
      </c>
      <c r="E860" s="16">
        <v>43643</v>
      </c>
      <c r="F860" s="17" t="s">
        <v>25</v>
      </c>
    </row>
    <row r="861" spans="1:6">
      <c r="A861" s="13">
        <v>43644</v>
      </c>
      <c r="B861" s="15">
        <v>772.73</v>
      </c>
      <c r="C861" s="15"/>
      <c r="D861" s="15">
        <v>14398.8</v>
      </c>
      <c r="E861" s="16">
        <v>43644</v>
      </c>
      <c r="F861" s="17" t="s">
        <v>25</v>
      </c>
    </row>
    <row r="862" spans="1:6">
      <c r="A862" s="13">
        <v>43647</v>
      </c>
      <c r="B862" s="15">
        <v>776.94</v>
      </c>
      <c r="C862" s="15"/>
      <c r="D862" s="15">
        <v>14481.11</v>
      </c>
      <c r="E862" s="16">
        <v>43647</v>
      </c>
      <c r="F862" s="17" t="s">
        <v>25</v>
      </c>
    </row>
    <row r="863" spans="1:6">
      <c r="A863" s="13">
        <v>43648</v>
      </c>
      <c r="B863" s="15">
        <v>778.22</v>
      </c>
      <c r="C863" s="15"/>
      <c r="D863" s="15">
        <v>14528.7</v>
      </c>
      <c r="E863" s="16">
        <v>43648</v>
      </c>
      <c r="F863" s="17" t="s">
        <v>25</v>
      </c>
    </row>
    <row r="864" spans="1:6">
      <c r="A864" s="13">
        <v>43649</v>
      </c>
      <c r="B864" s="15">
        <v>779.21</v>
      </c>
      <c r="C864" s="15"/>
      <c r="D864" s="15">
        <v>14547.48</v>
      </c>
      <c r="E864" s="16">
        <v>43649</v>
      </c>
      <c r="F864" s="17" t="s">
        <v>25</v>
      </c>
    </row>
    <row r="865" spans="1:6">
      <c r="A865" s="13">
        <v>43650</v>
      </c>
      <c r="B865" s="15">
        <v>779.91</v>
      </c>
      <c r="C865" s="15"/>
      <c r="D865" s="15">
        <v>14579.18</v>
      </c>
      <c r="E865" s="16">
        <v>43650</v>
      </c>
      <c r="F865" s="17" t="s">
        <v>25</v>
      </c>
    </row>
    <row r="866" spans="1:6">
      <c r="A866" s="13">
        <v>43651</v>
      </c>
      <c r="B866" s="15">
        <v>770.71</v>
      </c>
      <c r="C866" s="15"/>
      <c r="D866" s="15">
        <v>14401.47</v>
      </c>
      <c r="E866" s="16">
        <v>43651</v>
      </c>
      <c r="F866" s="17" t="s">
        <v>25</v>
      </c>
    </row>
    <row r="867" spans="1:6">
      <c r="A867" s="13">
        <v>43654</v>
      </c>
      <c r="B867" s="15">
        <v>752.63</v>
      </c>
      <c r="C867" s="15"/>
      <c r="D867" s="15">
        <v>14090.09</v>
      </c>
      <c r="E867" s="16">
        <v>43654</v>
      </c>
      <c r="F867" s="17" t="s">
        <v>25</v>
      </c>
    </row>
    <row r="868" spans="1:6">
      <c r="A868" s="13">
        <v>43655</v>
      </c>
      <c r="B868" s="15">
        <v>755.46</v>
      </c>
      <c r="C868" s="15"/>
      <c r="D868" s="15">
        <v>14102.22</v>
      </c>
      <c r="E868" s="16">
        <v>43655</v>
      </c>
      <c r="F868" s="17" t="s">
        <v>25</v>
      </c>
    </row>
    <row r="869" spans="1:6">
      <c r="A869" s="13">
        <v>43656</v>
      </c>
      <c r="B869" s="15">
        <v>751.44</v>
      </c>
      <c r="C869" s="15"/>
      <c r="D869" s="15">
        <v>14019.84</v>
      </c>
      <c r="E869" s="16">
        <v>43656</v>
      </c>
      <c r="F869" s="17" t="s">
        <v>25</v>
      </c>
    </row>
    <row r="870" spans="1:6">
      <c r="A870" s="13">
        <v>43657</v>
      </c>
      <c r="B870" s="15">
        <v>758.85</v>
      </c>
      <c r="C870" s="15"/>
      <c r="D870" s="15">
        <v>14122.25</v>
      </c>
      <c r="E870" s="16">
        <v>43657</v>
      </c>
      <c r="F870" s="17" t="s">
        <v>25</v>
      </c>
    </row>
    <row r="871" spans="1:6">
      <c r="A871" s="13">
        <v>43658</v>
      </c>
      <c r="B871" s="15">
        <v>760.23</v>
      </c>
      <c r="C871" s="15"/>
      <c r="D871" s="15">
        <v>14109.72</v>
      </c>
      <c r="E871" s="16">
        <v>43658</v>
      </c>
      <c r="F871" s="17" t="s">
        <v>25</v>
      </c>
    </row>
    <row r="872" spans="1:6">
      <c r="A872" s="13">
        <v>43661</v>
      </c>
      <c r="B872" s="15">
        <v>759.82</v>
      </c>
      <c r="C872" s="15"/>
      <c r="D872" s="15">
        <v>14128.3</v>
      </c>
      <c r="E872" s="16">
        <v>43661</v>
      </c>
      <c r="F872" s="17" t="s">
        <v>25</v>
      </c>
    </row>
    <row r="873" spans="1:6">
      <c r="A873" s="13">
        <v>43662</v>
      </c>
      <c r="B873" s="15">
        <v>765.35</v>
      </c>
      <c r="C873" s="15"/>
      <c r="D873" s="15">
        <v>14220.97</v>
      </c>
      <c r="E873" s="16">
        <v>43662</v>
      </c>
      <c r="F873" s="17" t="s">
        <v>25</v>
      </c>
    </row>
    <row r="874" spans="1:6">
      <c r="A874" s="13">
        <v>43663</v>
      </c>
      <c r="B874" s="15">
        <v>768.52</v>
      </c>
      <c r="C874" s="15"/>
      <c r="D874" s="15">
        <v>14242.02</v>
      </c>
      <c r="E874" s="16">
        <v>43663</v>
      </c>
      <c r="F874" s="17" t="s">
        <v>25</v>
      </c>
    </row>
    <row r="875" spans="1:6">
      <c r="A875" s="13">
        <v>43664</v>
      </c>
      <c r="B875" s="15">
        <v>760.71</v>
      </c>
      <c r="C875" s="15"/>
      <c r="D875" s="15">
        <v>14115.05</v>
      </c>
      <c r="E875" s="16">
        <v>43664</v>
      </c>
      <c r="F875" s="17" t="s">
        <v>25</v>
      </c>
    </row>
    <row r="876" spans="1:6">
      <c r="A876" s="13">
        <v>43665</v>
      </c>
      <c r="B876" s="15">
        <v>747.24</v>
      </c>
      <c r="C876" s="15"/>
      <c r="D876" s="15">
        <v>13896.06</v>
      </c>
      <c r="E876" s="16">
        <v>43665</v>
      </c>
      <c r="F876" s="17" t="s">
        <v>25</v>
      </c>
    </row>
    <row r="877" spans="1:6">
      <c r="A877" s="13">
        <v>43668</v>
      </c>
      <c r="B877" s="15">
        <v>745.85</v>
      </c>
      <c r="C877" s="15"/>
      <c r="D877" s="15">
        <v>13813.05</v>
      </c>
      <c r="E877" s="16">
        <v>43668</v>
      </c>
      <c r="F877" s="17" t="s">
        <v>25</v>
      </c>
    </row>
    <row r="878" spans="1:6">
      <c r="A878" s="13">
        <v>43669</v>
      </c>
      <c r="B878" s="15">
        <v>743.29</v>
      </c>
      <c r="C878" s="15"/>
      <c r="D878" s="15">
        <v>13793.16</v>
      </c>
      <c r="E878" s="16">
        <v>43669</v>
      </c>
      <c r="F878" s="17" t="s">
        <v>25</v>
      </c>
    </row>
    <row r="879" spans="1:6">
      <c r="A879" s="13">
        <v>43670</v>
      </c>
      <c r="B879" s="15">
        <v>736.18</v>
      </c>
      <c r="C879" s="15"/>
      <c r="D879" s="15">
        <v>13689.15</v>
      </c>
      <c r="E879" s="16">
        <v>43670</v>
      </c>
      <c r="F879" s="17" t="s">
        <v>25</v>
      </c>
    </row>
    <row r="880" spans="1:6">
      <c r="A880" s="13">
        <v>43671</v>
      </c>
      <c r="B880" s="15">
        <v>737.75</v>
      </c>
      <c r="C880" s="15"/>
      <c r="D880" s="15">
        <v>13690.06</v>
      </c>
      <c r="E880" s="16">
        <v>43671</v>
      </c>
      <c r="F880" s="17" t="s">
        <v>25</v>
      </c>
    </row>
    <row r="881" spans="1:6">
      <c r="A881" s="13">
        <v>43672</v>
      </c>
      <c r="B881" s="15">
        <v>742.36</v>
      </c>
      <c r="C881" s="15"/>
      <c r="D881" s="15">
        <v>13740.26</v>
      </c>
      <c r="E881" s="16">
        <v>43672</v>
      </c>
      <c r="F881" s="17" t="s">
        <v>25</v>
      </c>
    </row>
    <row r="882" spans="1:6">
      <c r="A882" s="13">
        <v>43675</v>
      </c>
      <c r="B882" s="15">
        <v>736.23</v>
      </c>
      <c r="C882" s="15"/>
      <c r="D882" s="15">
        <v>13616.28</v>
      </c>
      <c r="E882" s="16">
        <v>43675</v>
      </c>
      <c r="F882" s="17" t="s">
        <v>25</v>
      </c>
    </row>
    <row r="883" spans="1:6">
      <c r="A883" s="13">
        <v>43676</v>
      </c>
      <c r="B883" s="15">
        <v>725.77</v>
      </c>
      <c r="C883" s="15"/>
      <c r="D883" s="15">
        <v>13459.9</v>
      </c>
      <c r="E883" s="16">
        <v>43676</v>
      </c>
      <c r="F883" s="17" t="s">
        <v>25</v>
      </c>
    </row>
    <row r="884" spans="1:6">
      <c r="A884" s="13">
        <v>43677</v>
      </c>
      <c r="B884" s="15">
        <v>731.62</v>
      </c>
      <c r="C884" s="15"/>
      <c r="D884" s="15">
        <v>13522.1</v>
      </c>
      <c r="E884" s="16">
        <v>43677</v>
      </c>
      <c r="F884" s="17" t="s">
        <v>25</v>
      </c>
    </row>
    <row r="885" spans="1:6">
      <c r="A885" s="13">
        <v>43678</v>
      </c>
      <c r="B885" s="15">
        <v>721.35</v>
      </c>
      <c r="C885" s="15"/>
      <c r="D885" s="15">
        <v>13362.08</v>
      </c>
      <c r="E885" s="16">
        <v>43678</v>
      </c>
      <c r="F885" s="17" t="s">
        <v>25</v>
      </c>
    </row>
    <row r="886" spans="1:6">
      <c r="A886" s="13">
        <v>43679</v>
      </c>
      <c r="B886" s="15">
        <v>720.13</v>
      </c>
      <c r="C886" s="15"/>
      <c r="D886" s="15">
        <v>13379.19</v>
      </c>
      <c r="E886" s="16">
        <v>43679</v>
      </c>
      <c r="F886" s="17" t="s">
        <v>25</v>
      </c>
    </row>
    <row r="887" spans="1:6">
      <c r="A887" s="13">
        <v>43682</v>
      </c>
      <c r="B887" s="15">
        <v>711.93</v>
      </c>
      <c r="C887" s="15"/>
      <c r="D887" s="15">
        <v>13211.96</v>
      </c>
      <c r="E887" s="16">
        <v>43682</v>
      </c>
      <c r="F887" s="17" t="s">
        <v>25</v>
      </c>
    </row>
    <row r="888" spans="1:6">
      <c r="A888" s="13">
        <v>43683</v>
      </c>
      <c r="B888" s="15">
        <v>722.55</v>
      </c>
      <c r="C888" s="15"/>
      <c r="D888" s="15">
        <v>13341.72</v>
      </c>
      <c r="E888" s="16">
        <v>43683</v>
      </c>
      <c r="F888" s="17" t="s">
        <v>25</v>
      </c>
    </row>
    <row r="889" spans="1:6">
      <c r="A889" s="13">
        <v>43684</v>
      </c>
      <c r="B889" s="15">
        <v>718.09</v>
      </c>
      <c r="C889" s="15"/>
      <c r="D889" s="15">
        <v>13246.28</v>
      </c>
      <c r="E889" s="16">
        <v>43684</v>
      </c>
      <c r="F889" s="17" t="s">
        <v>25</v>
      </c>
    </row>
    <row r="890" spans="1:6">
      <c r="A890" s="13">
        <v>43685</v>
      </c>
      <c r="B890" s="15">
        <v>726.89</v>
      </c>
      <c r="C890" s="15"/>
      <c r="D890" s="15">
        <v>13436.18</v>
      </c>
      <c r="E890" s="16">
        <v>43685</v>
      </c>
      <c r="F890" s="17" t="s">
        <v>25</v>
      </c>
    </row>
    <row r="891" spans="1:6">
      <c r="A891" s="13">
        <v>43686</v>
      </c>
      <c r="B891" s="15">
        <v>731.13</v>
      </c>
      <c r="C891" s="15"/>
      <c r="D891" s="15">
        <v>13536.4</v>
      </c>
      <c r="E891" s="16">
        <v>43686</v>
      </c>
      <c r="F891" s="17" t="s">
        <v>25</v>
      </c>
    </row>
    <row r="892" spans="1:6">
      <c r="A892" s="13">
        <v>43690</v>
      </c>
      <c r="B892" s="15">
        <v>714.83</v>
      </c>
      <c r="C892" s="15"/>
      <c r="D892" s="15">
        <v>13304.77</v>
      </c>
      <c r="E892" s="16">
        <v>43690</v>
      </c>
      <c r="F892" s="17" t="s">
        <v>25</v>
      </c>
    </row>
    <row r="893" spans="1:6">
      <c r="A893" s="13">
        <v>43691</v>
      </c>
      <c r="B893" s="15">
        <v>723.1</v>
      </c>
      <c r="C893" s="15"/>
      <c r="D893" s="15">
        <v>13429.64</v>
      </c>
      <c r="E893" s="16">
        <v>43691</v>
      </c>
      <c r="F893" s="17" t="s">
        <v>25</v>
      </c>
    </row>
    <row r="894" spans="1:6">
      <c r="A894" s="13">
        <v>43693</v>
      </c>
      <c r="B894" s="15">
        <v>724.43</v>
      </c>
      <c r="C894" s="15"/>
      <c r="D894" s="15">
        <v>13456.71</v>
      </c>
      <c r="E894" s="16">
        <v>43693</v>
      </c>
      <c r="F894" s="17" t="s">
        <v>25</v>
      </c>
    </row>
    <row r="895" spans="1:6">
      <c r="A895" s="13">
        <v>43696</v>
      </c>
      <c r="B895" s="15">
        <v>725.78</v>
      </c>
      <c r="C895" s="15"/>
      <c r="D895" s="15">
        <v>13473.78</v>
      </c>
      <c r="E895" s="16">
        <v>43696</v>
      </c>
      <c r="F895" s="17" t="s">
        <v>25</v>
      </c>
    </row>
    <row r="896" spans="1:6">
      <c r="A896" s="13">
        <v>43697</v>
      </c>
      <c r="B896" s="15">
        <v>721.06</v>
      </c>
      <c r="C896" s="15"/>
      <c r="D896" s="15">
        <v>13414.23</v>
      </c>
      <c r="E896" s="16">
        <v>43697</v>
      </c>
      <c r="F896" s="17" t="s">
        <v>25</v>
      </c>
    </row>
    <row r="897" spans="1:6">
      <c r="A897" s="13">
        <v>43698</v>
      </c>
      <c r="B897" s="15">
        <v>713.05</v>
      </c>
      <c r="C897" s="15"/>
      <c r="D897" s="15">
        <v>13277.02</v>
      </c>
      <c r="E897" s="16">
        <v>43698</v>
      </c>
      <c r="F897" s="17" t="s">
        <v>25</v>
      </c>
    </row>
    <row r="898" spans="1:6">
      <c r="A898" s="13">
        <v>43699</v>
      </c>
      <c r="B898" s="15">
        <v>701.63</v>
      </c>
      <c r="C898" s="15"/>
      <c r="D898" s="15">
        <v>13061.91</v>
      </c>
      <c r="E898" s="16">
        <v>43699</v>
      </c>
      <c r="F898" s="17" t="s">
        <v>25</v>
      </c>
    </row>
    <row r="899" spans="1:6">
      <c r="A899" s="13">
        <v>43700</v>
      </c>
      <c r="B899" s="15">
        <v>706.94</v>
      </c>
      <c r="C899" s="15"/>
      <c r="D899" s="15">
        <v>13168.84</v>
      </c>
      <c r="E899" s="16">
        <v>43700</v>
      </c>
      <c r="F899" s="17" t="s">
        <v>25</v>
      </c>
    </row>
    <row r="900" spans="1:6">
      <c r="A900" s="13">
        <v>43703</v>
      </c>
      <c r="B900" s="15">
        <v>720.76</v>
      </c>
      <c r="C900" s="15"/>
      <c r="D900" s="15">
        <v>13429.74</v>
      </c>
      <c r="E900" s="16">
        <v>43703</v>
      </c>
      <c r="F900" s="17" t="s">
        <v>25</v>
      </c>
    </row>
    <row r="901" spans="1:6">
      <c r="A901" s="13">
        <v>43704</v>
      </c>
      <c r="B901" s="15">
        <v>724.63</v>
      </c>
      <c r="C901" s="15"/>
      <c r="D901" s="15">
        <v>13516.01</v>
      </c>
      <c r="E901" s="16">
        <v>43704</v>
      </c>
      <c r="F901" s="17" t="s">
        <v>25</v>
      </c>
    </row>
    <row r="902" spans="1:6">
      <c r="A902" s="13">
        <v>43705</v>
      </c>
      <c r="B902" s="15">
        <v>719.06</v>
      </c>
      <c r="C902" s="15"/>
      <c r="D902" s="15">
        <v>13439.14</v>
      </c>
      <c r="E902" s="16">
        <v>43705</v>
      </c>
      <c r="F902" s="17" t="s">
        <v>25</v>
      </c>
    </row>
    <row r="903" spans="1:6">
      <c r="A903" s="13">
        <v>43706</v>
      </c>
      <c r="B903" s="15">
        <v>714.99</v>
      </c>
      <c r="C903" s="15"/>
      <c r="D903" s="15">
        <v>13342.2</v>
      </c>
      <c r="E903" s="16">
        <v>43706</v>
      </c>
      <c r="F903" s="17" t="s">
        <v>25</v>
      </c>
    </row>
    <row r="904" spans="1:6">
      <c r="A904" s="13">
        <v>43707</v>
      </c>
      <c r="B904" s="15">
        <v>721.97</v>
      </c>
      <c r="C904" s="15"/>
      <c r="D904" s="15">
        <v>13449.3</v>
      </c>
      <c r="E904" s="16">
        <v>43707</v>
      </c>
      <c r="F904" s="17" t="s">
        <v>25</v>
      </c>
    </row>
    <row r="905" spans="1:6">
      <c r="A905" s="13">
        <v>43711</v>
      </c>
      <c r="B905" s="15">
        <v>709.14</v>
      </c>
      <c r="C905" s="15"/>
      <c r="D905" s="15">
        <v>13186.84</v>
      </c>
      <c r="E905" s="16">
        <v>43711</v>
      </c>
      <c r="F905" s="17" t="s">
        <v>25</v>
      </c>
    </row>
    <row r="906" spans="1:6">
      <c r="A906" s="13">
        <v>43712</v>
      </c>
      <c r="B906" s="15">
        <v>713.03</v>
      </c>
      <c r="C906" s="15"/>
      <c r="D906" s="15">
        <v>13232.93</v>
      </c>
      <c r="E906" s="16">
        <v>43712</v>
      </c>
      <c r="F906" s="17" t="s">
        <v>25</v>
      </c>
    </row>
    <row r="907" spans="1:6">
      <c r="A907" s="13">
        <v>43713</v>
      </c>
      <c r="B907" s="15">
        <v>714.85</v>
      </c>
      <c r="C907" s="15"/>
      <c r="D907" s="15">
        <v>13252.79</v>
      </c>
      <c r="E907" s="16">
        <v>43713</v>
      </c>
      <c r="F907" s="17" t="s">
        <v>25</v>
      </c>
    </row>
    <row r="908" spans="1:6">
      <c r="A908" s="13">
        <v>43714</v>
      </c>
      <c r="B908" s="15">
        <v>721.62</v>
      </c>
      <c r="C908" s="15"/>
      <c r="D908" s="15">
        <v>13363.98</v>
      </c>
      <c r="E908" s="16">
        <v>43714</v>
      </c>
      <c r="F908" s="17" t="s">
        <v>25</v>
      </c>
    </row>
    <row r="909" spans="1:6">
      <c r="A909" s="13">
        <v>43717</v>
      </c>
      <c r="B909" s="15">
        <v>726.52</v>
      </c>
      <c r="C909" s="15"/>
      <c r="D909" s="15">
        <v>13442.01</v>
      </c>
      <c r="E909" s="16">
        <v>43717</v>
      </c>
      <c r="F909" s="17" t="s">
        <v>25</v>
      </c>
    </row>
    <row r="910" spans="1:6">
      <c r="A910" s="13">
        <v>43719</v>
      </c>
      <c r="B910" s="15">
        <v>730.96</v>
      </c>
      <c r="C910" s="15"/>
      <c r="D910" s="15">
        <v>13506.72</v>
      </c>
      <c r="E910" s="16">
        <v>43719</v>
      </c>
      <c r="F910" s="17" t="s">
        <v>25</v>
      </c>
    </row>
    <row r="911" spans="1:6">
      <c r="A911" s="13">
        <v>43720</v>
      </c>
      <c r="B911" s="15">
        <v>732.56</v>
      </c>
      <c r="C911" s="15"/>
      <c r="D911" s="15">
        <v>13457.64</v>
      </c>
      <c r="E911" s="16">
        <v>43720</v>
      </c>
      <c r="F911" s="17" t="s">
        <v>25</v>
      </c>
    </row>
    <row r="912" spans="1:6">
      <c r="A912" s="13">
        <v>43721</v>
      </c>
      <c r="B912" s="15">
        <v>737.58</v>
      </c>
      <c r="C912" s="15"/>
      <c r="D912" s="15">
        <v>13561.51</v>
      </c>
      <c r="E912" s="16">
        <v>43721</v>
      </c>
      <c r="F912" s="17" t="s">
        <v>25</v>
      </c>
    </row>
    <row r="913" spans="1:6">
      <c r="A913" s="13">
        <v>43724</v>
      </c>
      <c r="B913" s="15">
        <v>734.63</v>
      </c>
      <c r="C913" s="15"/>
      <c r="D913" s="15">
        <v>13499.13</v>
      </c>
      <c r="E913" s="16">
        <v>43724</v>
      </c>
      <c r="F913" s="17" t="s">
        <v>25</v>
      </c>
    </row>
    <row r="914" spans="1:6">
      <c r="A914" s="13">
        <v>43725</v>
      </c>
      <c r="B914" s="15">
        <v>721.35</v>
      </c>
      <c r="C914" s="15"/>
      <c r="D914" s="15">
        <v>13266.59</v>
      </c>
      <c r="E914" s="16">
        <v>43725</v>
      </c>
      <c r="F914" s="17" t="s">
        <v>25</v>
      </c>
    </row>
    <row r="915" spans="1:6">
      <c r="A915" s="13">
        <v>43726</v>
      </c>
      <c r="B915" s="15">
        <v>723.42</v>
      </c>
      <c r="C915" s="15"/>
      <c r="D915" s="15">
        <v>13302.38</v>
      </c>
      <c r="E915" s="16">
        <v>43726</v>
      </c>
      <c r="F915" s="17" t="s">
        <v>25</v>
      </c>
    </row>
    <row r="916" spans="1:6">
      <c r="A916" s="13">
        <v>43727</v>
      </c>
      <c r="B916" s="15">
        <v>712.98</v>
      </c>
      <c r="C916" s="15"/>
      <c r="D916" s="15">
        <v>13136.23</v>
      </c>
      <c r="E916" s="16">
        <v>43727</v>
      </c>
      <c r="F916" s="17" t="s">
        <v>25</v>
      </c>
    </row>
    <row r="917" spans="1:6">
      <c r="A917" s="13">
        <v>43728</v>
      </c>
      <c r="B917" s="15">
        <v>752.85</v>
      </c>
      <c r="C917" s="15"/>
      <c r="D917" s="15">
        <v>13831.67</v>
      </c>
      <c r="E917" s="16">
        <v>43728</v>
      </c>
      <c r="F917" s="17" t="s">
        <v>25</v>
      </c>
    </row>
    <row r="918" spans="1:6">
      <c r="A918" s="13">
        <v>43731</v>
      </c>
      <c r="B918" s="15">
        <v>775</v>
      </c>
      <c r="C918" s="15"/>
      <c r="D918" s="15">
        <v>14215.41</v>
      </c>
      <c r="E918" s="16">
        <v>43731</v>
      </c>
      <c r="F918" s="17" t="s">
        <v>25</v>
      </c>
    </row>
    <row r="919" spans="1:6">
      <c r="A919" s="13">
        <v>43732</v>
      </c>
      <c r="B919" s="15">
        <v>773.13</v>
      </c>
      <c r="C919" s="15"/>
      <c r="D919" s="15">
        <v>14197.74</v>
      </c>
      <c r="E919" s="16">
        <v>43732</v>
      </c>
      <c r="F919" s="17" t="s">
        <v>25</v>
      </c>
    </row>
    <row r="920" spans="1:6">
      <c r="A920" s="13">
        <v>43733</v>
      </c>
      <c r="B920" s="15">
        <v>759.89</v>
      </c>
      <c r="C920" s="15"/>
      <c r="D920" s="15">
        <v>14002.03</v>
      </c>
      <c r="E920" s="16">
        <v>43733</v>
      </c>
      <c r="F920" s="17" t="s">
        <v>25</v>
      </c>
    </row>
    <row r="921" spans="1:6">
      <c r="A921" s="13">
        <v>43734</v>
      </c>
      <c r="B921" s="15">
        <v>773.09</v>
      </c>
      <c r="C921" s="15"/>
      <c r="D921" s="15">
        <v>14151.32</v>
      </c>
      <c r="E921" s="16">
        <v>43734</v>
      </c>
      <c r="F921" s="17" t="s">
        <v>25</v>
      </c>
    </row>
    <row r="922" spans="1:6">
      <c r="A922" s="13">
        <v>43735</v>
      </c>
      <c r="B922" s="15">
        <v>766.79</v>
      </c>
      <c r="C922" s="15"/>
      <c r="D922" s="15">
        <v>14079.08</v>
      </c>
      <c r="E922" s="16">
        <v>43735</v>
      </c>
      <c r="F922" s="17" t="s">
        <v>25</v>
      </c>
    </row>
    <row r="923" spans="1:6">
      <c r="A923" s="13">
        <v>43738</v>
      </c>
      <c r="B923" s="15">
        <v>760.32</v>
      </c>
      <c r="C923" s="15"/>
      <c r="D923" s="15">
        <v>13997.16</v>
      </c>
      <c r="E923" s="16">
        <v>43738</v>
      </c>
      <c r="F923" s="17" t="s">
        <v>25</v>
      </c>
    </row>
    <row r="924" spans="1:6">
      <c r="A924" s="13">
        <v>43739</v>
      </c>
      <c r="B924" s="15">
        <v>750.81</v>
      </c>
      <c r="C924" s="15"/>
      <c r="D924" s="15">
        <v>13840.55</v>
      </c>
      <c r="E924" s="16">
        <v>43739</v>
      </c>
      <c r="F924" s="17" t="s">
        <v>25</v>
      </c>
    </row>
    <row r="925" spans="1:6">
      <c r="A925" s="13">
        <v>43741</v>
      </c>
      <c r="B925" s="15">
        <v>746.53</v>
      </c>
      <c r="C925" s="15"/>
      <c r="D925" s="15">
        <v>13783.58</v>
      </c>
      <c r="E925" s="16">
        <v>43741</v>
      </c>
      <c r="F925" s="17" t="s">
        <v>25</v>
      </c>
    </row>
    <row r="926" spans="1:6">
      <c r="A926" s="13">
        <v>43742</v>
      </c>
      <c r="B926" s="15">
        <v>734.5</v>
      </c>
      <c r="C926" s="15"/>
      <c r="D926" s="15">
        <v>13623.62</v>
      </c>
      <c r="E926" s="16">
        <v>43742</v>
      </c>
      <c r="F926" s="17" t="s">
        <v>25</v>
      </c>
    </row>
    <row r="927" spans="1:6">
      <c r="A927" s="13">
        <v>43745</v>
      </c>
      <c r="B927" s="15">
        <v>731.56</v>
      </c>
      <c r="C927" s="15"/>
      <c r="D927" s="15">
        <v>13547.24</v>
      </c>
      <c r="E927" s="16">
        <v>43745</v>
      </c>
      <c r="F927" s="17" t="s">
        <v>25</v>
      </c>
    </row>
    <row r="928" spans="1:6">
      <c r="A928" s="13">
        <v>43747</v>
      </c>
      <c r="B928" s="15">
        <v>747.35</v>
      </c>
      <c r="C928" s="15"/>
      <c r="D928" s="15">
        <v>13752.94</v>
      </c>
      <c r="E928" s="16">
        <v>43747</v>
      </c>
      <c r="F928" s="17" t="s">
        <v>25</v>
      </c>
    </row>
    <row r="929" spans="1:6">
      <c r="A929" s="13">
        <v>43748</v>
      </c>
      <c r="B929" s="15">
        <v>738.11</v>
      </c>
      <c r="C929" s="15"/>
      <c r="D929" s="15">
        <v>13655.23</v>
      </c>
      <c r="E929" s="16">
        <v>43748</v>
      </c>
      <c r="F929" s="17" t="s">
        <v>25</v>
      </c>
    </row>
    <row r="930" spans="1:6">
      <c r="A930" s="13">
        <v>43749</v>
      </c>
      <c r="B930" s="15">
        <v>743.39</v>
      </c>
      <c r="C930" s="15"/>
      <c r="D930" s="15">
        <v>13728.17</v>
      </c>
      <c r="E930" s="16">
        <v>43749</v>
      </c>
      <c r="F930" s="17" t="s">
        <v>25</v>
      </c>
    </row>
    <row r="931" spans="1:6">
      <c r="A931" s="13">
        <v>43752</v>
      </c>
      <c r="B931" s="15">
        <v>746.72</v>
      </c>
      <c r="C931" s="15"/>
      <c r="D931" s="15">
        <v>13774.96</v>
      </c>
      <c r="E931" s="16">
        <v>43752</v>
      </c>
      <c r="F931" s="17" t="s">
        <v>25</v>
      </c>
    </row>
    <row r="932" spans="1:6">
      <c r="A932" s="13">
        <v>43753</v>
      </c>
      <c r="B932" s="15">
        <v>751.56</v>
      </c>
      <c r="C932" s="15"/>
      <c r="D932" s="15">
        <v>13866.69</v>
      </c>
      <c r="E932" s="16">
        <v>43753</v>
      </c>
      <c r="F932" s="17" t="s">
        <v>25</v>
      </c>
    </row>
    <row r="933" spans="1:6">
      <c r="A933" s="13">
        <v>43754</v>
      </c>
      <c r="B933" s="15">
        <v>752.76</v>
      </c>
      <c r="C933" s="15"/>
      <c r="D933" s="15">
        <v>13908.64</v>
      </c>
      <c r="E933" s="16">
        <v>43754</v>
      </c>
      <c r="F933" s="17" t="s">
        <v>25</v>
      </c>
    </row>
    <row r="934" spans="1:6">
      <c r="A934" s="13">
        <v>43755</v>
      </c>
      <c r="B934" s="15">
        <v>761.34</v>
      </c>
      <c r="C934" s="15"/>
      <c r="D934" s="15">
        <v>14082.13</v>
      </c>
      <c r="E934" s="16">
        <v>43755</v>
      </c>
      <c r="F934" s="17" t="s">
        <v>25</v>
      </c>
    </row>
    <row r="935" spans="1:6">
      <c r="A935" s="13">
        <v>43756</v>
      </c>
      <c r="B935" s="15">
        <v>766.2</v>
      </c>
      <c r="C935" s="15"/>
      <c r="D935" s="15">
        <v>14214.37</v>
      </c>
      <c r="E935" s="16">
        <v>43756</v>
      </c>
      <c r="F935" s="17" t="s">
        <v>25</v>
      </c>
    </row>
    <row r="936" spans="1:6">
      <c r="A936" s="13">
        <v>43760</v>
      </c>
      <c r="B936" s="15">
        <v>764.64</v>
      </c>
      <c r="C936" s="15"/>
      <c r="D936" s="15">
        <v>14167.96</v>
      </c>
      <c r="E936" s="16">
        <v>43760</v>
      </c>
      <c r="F936" s="17" t="s">
        <v>25</v>
      </c>
    </row>
    <row r="937" spans="1:6">
      <c r="A937" s="13">
        <v>43761</v>
      </c>
      <c r="B937" s="15">
        <v>765.83</v>
      </c>
      <c r="C937" s="15"/>
      <c r="D937" s="15">
        <v>14191.33</v>
      </c>
      <c r="E937" s="16">
        <v>43761</v>
      </c>
      <c r="F937" s="17" t="s">
        <v>25</v>
      </c>
    </row>
    <row r="938" spans="1:6">
      <c r="A938" s="13">
        <v>43762</v>
      </c>
      <c r="B938" s="15">
        <v>764.4</v>
      </c>
      <c r="C938" s="15"/>
      <c r="D938" s="15">
        <v>14159.98</v>
      </c>
      <c r="E938" s="16">
        <v>43762</v>
      </c>
      <c r="F938" s="17" t="s">
        <v>25</v>
      </c>
    </row>
    <row r="939" spans="1:6">
      <c r="A939" s="13">
        <v>43763</v>
      </c>
      <c r="B939" s="15">
        <v>767.43</v>
      </c>
      <c r="C939" s="15"/>
      <c r="D939" s="15">
        <v>14150.16</v>
      </c>
      <c r="E939" s="16">
        <v>43763</v>
      </c>
      <c r="F939" s="17" t="s">
        <v>25</v>
      </c>
    </row>
    <row r="940" spans="1:6">
      <c r="A940" s="13">
        <v>43767</v>
      </c>
      <c r="B940" s="15">
        <v>779.16</v>
      </c>
      <c r="C940" s="15"/>
      <c r="D940" s="15">
        <v>14401.14</v>
      </c>
      <c r="E940" s="16">
        <v>43767</v>
      </c>
      <c r="F940" s="17" t="s">
        <v>25</v>
      </c>
    </row>
    <row r="941" spans="1:6">
      <c r="A941" s="13">
        <v>43768</v>
      </c>
      <c r="B941" s="15">
        <v>780.5</v>
      </c>
      <c r="C941" s="15"/>
      <c r="D941" s="15">
        <v>14475.42</v>
      </c>
      <c r="E941" s="16">
        <v>43768</v>
      </c>
      <c r="F941" s="17" t="s">
        <v>25</v>
      </c>
    </row>
    <row r="942" spans="1:6">
      <c r="A942" s="13">
        <v>43769</v>
      </c>
      <c r="B942" s="15">
        <v>782.83</v>
      </c>
      <c r="C942" s="15"/>
      <c r="D942" s="15">
        <v>14539.09</v>
      </c>
      <c r="E942" s="16">
        <v>43769</v>
      </c>
      <c r="F942" s="17" t="s">
        <v>25</v>
      </c>
    </row>
    <row r="943" spans="1:6">
      <c r="A943" s="13">
        <v>43770</v>
      </c>
      <c r="B943" s="15">
        <v>788.1</v>
      </c>
      <c r="C943" s="15"/>
      <c r="D943" s="15">
        <v>14560.64</v>
      </c>
      <c r="E943" s="16">
        <v>43770</v>
      </c>
      <c r="F943" s="17" t="s">
        <v>25</v>
      </c>
    </row>
    <row r="944" spans="1:6">
      <c r="A944" s="13">
        <v>43773</v>
      </c>
      <c r="B944" s="15">
        <v>791.6</v>
      </c>
      <c r="C944" s="15"/>
      <c r="D944" s="15">
        <v>14603.78</v>
      </c>
      <c r="E944" s="16">
        <v>43773</v>
      </c>
      <c r="F944" s="17" t="s">
        <v>25</v>
      </c>
    </row>
    <row r="945" spans="1:6">
      <c r="A945" s="13">
        <v>43774</v>
      </c>
      <c r="B945" s="15">
        <v>789.33</v>
      </c>
      <c r="C945" s="15"/>
      <c r="D945" s="15">
        <v>14546.54</v>
      </c>
      <c r="E945" s="16">
        <v>43774</v>
      </c>
      <c r="F945" s="17" t="s">
        <v>25</v>
      </c>
    </row>
    <row r="946" spans="1:6">
      <c r="A946" s="13">
        <v>43775</v>
      </c>
      <c r="B946" s="15">
        <v>791.3</v>
      </c>
      <c r="C946" s="15"/>
      <c r="D946" s="15">
        <v>14587.66</v>
      </c>
      <c r="E946" s="16">
        <v>43775</v>
      </c>
      <c r="F946" s="17" t="s">
        <v>25</v>
      </c>
    </row>
    <row r="947" spans="1:6">
      <c r="A947" s="13">
        <v>43776</v>
      </c>
      <c r="B947" s="15">
        <v>795.24</v>
      </c>
      <c r="C947" s="15"/>
      <c r="D947" s="15">
        <v>14653.33</v>
      </c>
      <c r="E947" s="16">
        <v>43776</v>
      </c>
      <c r="F947" s="17" t="s">
        <v>25</v>
      </c>
    </row>
    <row r="948" spans="1:6">
      <c r="A948" s="13">
        <v>43777</v>
      </c>
      <c r="B948" s="15">
        <v>789.88</v>
      </c>
      <c r="C948" s="15"/>
      <c r="D948" s="15">
        <v>14531.75</v>
      </c>
      <c r="E948" s="16">
        <v>43777</v>
      </c>
      <c r="F948" s="17" t="s">
        <v>25</v>
      </c>
    </row>
    <row r="949" spans="1:6">
      <c r="A949" s="13">
        <v>43780</v>
      </c>
      <c r="B949" s="15">
        <v>793.12</v>
      </c>
      <c r="C949" s="15"/>
      <c r="D949" s="15">
        <v>14550.59</v>
      </c>
      <c r="E949" s="16">
        <v>43780</v>
      </c>
      <c r="F949" s="17" t="s">
        <v>25</v>
      </c>
    </row>
    <row r="950" spans="1:6">
      <c r="A950" s="13">
        <v>43782</v>
      </c>
      <c r="B950" s="15">
        <v>782.89</v>
      </c>
      <c r="C950" s="15"/>
      <c r="D950" s="15">
        <v>14457.92</v>
      </c>
      <c r="E950" s="16">
        <v>43782</v>
      </c>
      <c r="F950" s="17" t="s">
        <v>25</v>
      </c>
    </row>
    <row r="951" spans="1:6">
      <c r="A951" s="13">
        <v>43783</v>
      </c>
      <c r="B951" s="15">
        <v>786.39</v>
      </c>
      <c r="C951" s="15"/>
      <c r="D951" s="15">
        <v>14482.84</v>
      </c>
      <c r="E951" s="16">
        <v>43783</v>
      </c>
      <c r="F951" s="17" t="s">
        <v>25</v>
      </c>
    </row>
    <row r="952" spans="1:6">
      <c r="A952" s="13">
        <v>43784</v>
      </c>
      <c r="B952" s="15">
        <v>789.89</v>
      </c>
      <c r="C952" s="15"/>
      <c r="D952" s="15">
        <v>14508.27</v>
      </c>
      <c r="E952" s="16">
        <v>43784</v>
      </c>
      <c r="F952" s="17" t="s">
        <v>25</v>
      </c>
    </row>
    <row r="953" spans="1:6">
      <c r="A953" s="13">
        <v>43787</v>
      </c>
      <c r="B953" s="15">
        <v>791.95</v>
      </c>
      <c r="C953" s="15"/>
      <c r="D953" s="15">
        <v>14510.92</v>
      </c>
      <c r="E953" s="16">
        <v>43787</v>
      </c>
      <c r="F953" s="17" t="s">
        <v>25</v>
      </c>
    </row>
    <row r="954" spans="1:6">
      <c r="A954" s="13">
        <v>43788</v>
      </c>
      <c r="B954" s="15">
        <v>795.57</v>
      </c>
      <c r="C954" s="15"/>
      <c r="D954" s="15">
        <v>14561.55</v>
      </c>
      <c r="E954" s="16">
        <v>43788</v>
      </c>
      <c r="F954" s="17" t="s">
        <v>25</v>
      </c>
    </row>
    <row r="955" spans="1:6">
      <c r="A955" s="13">
        <v>43789</v>
      </c>
      <c r="B955" s="15">
        <v>801.75</v>
      </c>
      <c r="C955" s="15"/>
      <c r="D955" s="15">
        <v>14625.8</v>
      </c>
      <c r="E955" s="16">
        <v>43789</v>
      </c>
      <c r="F955" s="17" t="s">
        <v>25</v>
      </c>
    </row>
    <row r="956" spans="1:6">
      <c r="A956" s="13">
        <v>43790</v>
      </c>
      <c r="B956" s="15">
        <v>799.82</v>
      </c>
      <c r="C956" s="15"/>
      <c r="D956" s="15">
        <v>14577.67</v>
      </c>
      <c r="E956" s="16">
        <v>43790</v>
      </c>
      <c r="F956" s="17" t="s">
        <v>25</v>
      </c>
    </row>
    <row r="957" spans="1:6">
      <c r="A957" s="13">
        <v>43791</v>
      </c>
      <c r="B957" s="15">
        <v>796.42</v>
      </c>
      <c r="C957" s="15"/>
      <c r="D957" s="15">
        <v>14528.11</v>
      </c>
      <c r="E957" s="16">
        <v>43791</v>
      </c>
      <c r="F957" s="17" t="s">
        <v>25</v>
      </c>
    </row>
    <row r="958" spans="1:6">
      <c r="A958" s="13">
        <v>43794</v>
      </c>
      <c r="B958" s="15">
        <v>806.77</v>
      </c>
      <c r="C958" s="15"/>
      <c r="D958" s="15">
        <v>14712.37</v>
      </c>
      <c r="E958" s="16">
        <v>43794</v>
      </c>
      <c r="F958" s="17" t="s">
        <v>25</v>
      </c>
    </row>
    <row r="959" spans="1:6">
      <c r="A959" s="13">
        <v>43795</v>
      </c>
      <c r="B959" s="15">
        <v>804.06</v>
      </c>
      <c r="C959" s="15"/>
      <c r="D959" s="15">
        <v>14653.52</v>
      </c>
      <c r="E959" s="16">
        <v>43795</v>
      </c>
      <c r="F959" s="17" t="s">
        <v>25</v>
      </c>
    </row>
    <row r="960" spans="1:6">
      <c r="A960" s="13">
        <v>43796</v>
      </c>
      <c r="B960" s="15">
        <v>807.61</v>
      </c>
      <c r="C960" s="15"/>
      <c r="D960" s="15">
        <v>14733.2</v>
      </c>
      <c r="E960" s="16">
        <v>43796</v>
      </c>
      <c r="F960" s="17" t="s">
        <v>25</v>
      </c>
    </row>
    <row r="961" spans="1:6">
      <c r="A961" s="13">
        <v>43797</v>
      </c>
      <c r="B961" s="15">
        <v>812.63</v>
      </c>
      <c r="C961" s="15"/>
      <c r="D961" s="15">
        <v>14814.01</v>
      </c>
      <c r="E961" s="16">
        <v>43797</v>
      </c>
      <c r="F961" s="17" t="s">
        <v>25</v>
      </c>
    </row>
    <row r="962" spans="1:6">
      <c r="A962" s="13">
        <v>43798</v>
      </c>
      <c r="B962" s="15">
        <v>807.83</v>
      </c>
      <c r="C962" s="15"/>
      <c r="D962" s="15">
        <v>14729.77</v>
      </c>
      <c r="E962" s="16">
        <v>43798</v>
      </c>
      <c r="F962" s="17" t="s">
        <v>25</v>
      </c>
    </row>
    <row r="963" spans="1:6">
      <c r="A963" s="13">
        <v>43801</v>
      </c>
      <c r="B963" s="15">
        <v>804.24</v>
      </c>
      <c r="C963" s="15"/>
      <c r="D963" s="15">
        <v>14706.31</v>
      </c>
      <c r="E963" s="16">
        <v>43801</v>
      </c>
      <c r="F963" s="17" t="s">
        <v>25</v>
      </c>
    </row>
    <row r="964" spans="1:6">
      <c r="A964" s="13">
        <v>43802</v>
      </c>
      <c r="B964" s="15">
        <v>799.25</v>
      </c>
      <c r="C964" s="15"/>
      <c r="D964" s="15">
        <v>14624.06</v>
      </c>
      <c r="E964" s="16">
        <v>43802</v>
      </c>
      <c r="F964" s="17" t="s">
        <v>25</v>
      </c>
    </row>
    <row r="965" spans="1:6">
      <c r="A965" s="13">
        <v>43803</v>
      </c>
      <c r="B965" s="15">
        <v>805.88</v>
      </c>
      <c r="C965" s="15"/>
      <c r="D965" s="15">
        <v>14682.49</v>
      </c>
      <c r="E965" s="16">
        <v>43803</v>
      </c>
      <c r="F965" s="17" t="s">
        <v>25</v>
      </c>
    </row>
    <row r="966" spans="1:6">
      <c r="A966" s="13">
        <v>43804</v>
      </c>
      <c r="B966" s="15">
        <v>803.62</v>
      </c>
      <c r="C966" s="15"/>
      <c r="D966" s="15">
        <v>14645.76</v>
      </c>
      <c r="E966" s="16">
        <v>43804</v>
      </c>
      <c r="F966" s="17" t="s">
        <v>25</v>
      </c>
    </row>
    <row r="967" spans="1:6">
      <c r="A967" s="13">
        <v>43805</v>
      </c>
      <c r="B967" s="15">
        <v>797.05</v>
      </c>
      <c r="C967" s="15"/>
      <c r="D967" s="15">
        <v>14513.39</v>
      </c>
      <c r="E967" s="16">
        <v>43805</v>
      </c>
      <c r="F967" s="17" t="s">
        <v>25</v>
      </c>
    </row>
    <row r="968" spans="1:6">
      <c r="A968" s="13">
        <v>43808</v>
      </c>
      <c r="B968" s="15">
        <v>796.65</v>
      </c>
      <c r="C968" s="15"/>
      <c r="D968" s="15">
        <v>14516.42</v>
      </c>
      <c r="E968" s="16">
        <v>43808</v>
      </c>
      <c r="F968" s="17" t="s">
        <v>25</v>
      </c>
    </row>
    <row r="969" spans="1:6">
      <c r="A969" s="13">
        <v>43809</v>
      </c>
      <c r="B969" s="15">
        <v>791.78</v>
      </c>
      <c r="C969" s="15"/>
      <c r="D969" s="15">
        <v>14402.73</v>
      </c>
      <c r="E969" s="16">
        <v>43809</v>
      </c>
      <c r="F969" s="17" t="s">
        <v>25</v>
      </c>
    </row>
    <row r="970" spans="1:6">
      <c r="A970" s="13">
        <v>43810</v>
      </c>
      <c r="B970" s="15">
        <v>792.89</v>
      </c>
      <c r="C970" s="15"/>
      <c r="D970" s="15">
        <v>14464.04</v>
      </c>
      <c r="E970" s="16">
        <v>43810</v>
      </c>
      <c r="F970" s="17" t="s">
        <v>25</v>
      </c>
    </row>
    <row r="971" spans="1:6">
      <c r="A971" s="13">
        <v>43811</v>
      </c>
      <c r="B971" s="15">
        <v>797.61</v>
      </c>
      <c r="C971" s="15"/>
      <c r="D971" s="15">
        <v>14546.39</v>
      </c>
      <c r="E971" s="16">
        <v>43811</v>
      </c>
      <c r="F971" s="17" t="s">
        <v>25</v>
      </c>
    </row>
    <row r="972" spans="1:6">
      <c r="A972" s="13">
        <v>43812</v>
      </c>
      <c r="B972" s="15">
        <v>803.52</v>
      </c>
      <c r="C972" s="15"/>
      <c r="D972" s="15">
        <v>14685.18</v>
      </c>
      <c r="E972" s="16">
        <v>43812</v>
      </c>
      <c r="F972" s="17" t="s">
        <v>25</v>
      </c>
    </row>
    <row r="973" spans="1:6">
      <c r="A973" s="13">
        <v>43815</v>
      </c>
      <c r="B973" s="15">
        <v>801.12</v>
      </c>
      <c r="C973" s="15"/>
      <c r="D973" s="15">
        <v>14639.27</v>
      </c>
      <c r="E973" s="16">
        <v>43815</v>
      </c>
      <c r="F973" s="17" t="s">
        <v>25</v>
      </c>
    </row>
    <row r="974" spans="1:6">
      <c r="A974" s="13">
        <v>43816</v>
      </c>
      <c r="B974" s="15">
        <v>807.84</v>
      </c>
      <c r="C974" s="15"/>
      <c r="D974" s="15">
        <v>14756.84</v>
      </c>
      <c r="E974" s="16">
        <v>43816</v>
      </c>
      <c r="F974" s="17" t="s">
        <v>25</v>
      </c>
    </row>
    <row r="975" spans="1:6">
      <c r="A975" s="13">
        <v>43817</v>
      </c>
      <c r="B975" s="15">
        <v>811.09</v>
      </c>
      <c r="C975" s="15"/>
      <c r="D975" s="15">
        <v>14806.69</v>
      </c>
      <c r="E975" s="16">
        <v>43817</v>
      </c>
      <c r="F975" s="17" t="s">
        <v>25</v>
      </c>
    </row>
    <row r="976" spans="1:6">
      <c r="A976" s="13">
        <v>43818</v>
      </c>
      <c r="B976" s="15">
        <v>811.38</v>
      </c>
      <c r="C976" s="15"/>
      <c r="D976" s="15">
        <v>14848.8</v>
      </c>
      <c r="E976" s="16">
        <v>43818</v>
      </c>
      <c r="F976" s="17" t="s">
        <v>25</v>
      </c>
    </row>
    <row r="977" spans="1:6">
      <c r="A977" s="13">
        <v>43819</v>
      </c>
      <c r="B977" s="15">
        <v>814.02</v>
      </c>
      <c r="C977" s="15"/>
      <c r="D977" s="15">
        <v>14868.41</v>
      </c>
      <c r="E977" s="16">
        <v>43819</v>
      </c>
      <c r="F977" s="17" t="s">
        <v>25</v>
      </c>
    </row>
    <row r="978" spans="1:6">
      <c r="A978" s="13">
        <v>43822</v>
      </c>
      <c r="B978" s="15">
        <v>814.17</v>
      </c>
      <c r="C978" s="15"/>
      <c r="D978" s="15">
        <v>14856.94</v>
      </c>
      <c r="E978" s="16">
        <v>43822</v>
      </c>
      <c r="F978" s="17" t="s">
        <v>25</v>
      </c>
    </row>
    <row r="979" spans="1:6">
      <c r="A979" s="13">
        <v>43823</v>
      </c>
      <c r="B979" s="15">
        <v>812.65</v>
      </c>
      <c r="C979" s="15"/>
      <c r="D979" s="15">
        <v>14813</v>
      </c>
      <c r="E979" s="16">
        <v>43823</v>
      </c>
      <c r="F979" s="17" t="s">
        <v>25</v>
      </c>
    </row>
    <row r="980" spans="1:6">
      <c r="A980" s="13">
        <v>43825</v>
      </c>
      <c r="B980" s="15">
        <v>808.78</v>
      </c>
      <c r="C980" s="15"/>
      <c r="D980" s="15">
        <v>14736.19</v>
      </c>
      <c r="E980" s="16">
        <v>43825</v>
      </c>
      <c r="F980" s="17" t="s">
        <v>25</v>
      </c>
    </row>
    <row r="981" spans="1:6">
      <c r="A981" s="13">
        <v>43826</v>
      </c>
      <c r="B981" s="15">
        <v>816.49</v>
      </c>
      <c r="C981" s="15"/>
      <c r="D981" s="15">
        <v>14873.5</v>
      </c>
      <c r="E981" s="16">
        <v>43826</v>
      </c>
      <c r="F981" s="17" t="s">
        <v>25</v>
      </c>
    </row>
    <row r="982" spans="1:6">
      <c r="A982" s="13">
        <v>43829</v>
      </c>
      <c r="B982" s="15">
        <v>817.12</v>
      </c>
      <c r="C982" s="15"/>
      <c r="D982" s="15">
        <v>14897.54</v>
      </c>
      <c r="E982" s="16">
        <v>43829</v>
      </c>
      <c r="F982" s="17" t="s">
        <v>25</v>
      </c>
    </row>
    <row r="983" spans="1:6">
      <c r="A983" s="13">
        <v>43830</v>
      </c>
      <c r="B983" s="15">
        <v>813.69</v>
      </c>
      <c r="C983" s="15"/>
      <c r="D983" s="15">
        <v>14819.29</v>
      </c>
      <c r="E983" s="16">
        <v>43830</v>
      </c>
      <c r="F983" s="17" t="s">
        <v>25</v>
      </c>
    </row>
    <row r="984" spans="1:6">
      <c r="A984" s="13">
        <v>43831</v>
      </c>
      <c r="B984" s="15">
        <v>813.47</v>
      </c>
      <c r="C984" s="15"/>
      <c r="D984" s="15">
        <v>14843.29</v>
      </c>
      <c r="E984" s="16">
        <v>43831</v>
      </c>
      <c r="F984" s="17" t="s">
        <v>25</v>
      </c>
    </row>
    <row r="985" spans="1:6">
      <c r="A985" s="13">
        <v>43832</v>
      </c>
      <c r="B985" s="15">
        <v>820.91</v>
      </c>
      <c r="C985" s="15"/>
      <c r="D985" s="15">
        <v>14980.54</v>
      </c>
      <c r="E985" s="16">
        <v>43832</v>
      </c>
      <c r="F985" s="17" t="s">
        <v>25</v>
      </c>
    </row>
    <row r="986" spans="1:6">
      <c r="A986" s="13">
        <v>43833</v>
      </c>
      <c r="B986" s="15">
        <v>817.41</v>
      </c>
      <c r="C986" s="15"/>
      <c r="D986" s="15">
        <v>14922.99</v>
      </c>
      <c r="E986" s="16">
        <v>43833</v>
      </c>
      <c r="F986" s="17" t="s">
        <v>25</v>
      </c>
    </row>
    <row r="987" spans="1:6">
      <c r="A987" s="13">
        <v>43836</v>
      </c>
      <c r="B987" s="15">
        <v>801.88</v>
      </c>
      <c r="C987" s="15"/>
      <c r="D987" s="15">
        <v>14631.41</v>
      </c>
      <c r="E987" s="16">
        <v>43836</v>
      </c>
      <c r="F987" s="17" t="s">
        <v>25</v>
      </c>
    </row>
    <row r="988" spans="1:6">
      <c r="A988" s="13">
        <v>43837</v>
      </c>
      <c r="B988" s="15">
        <v>806.02</v>
      </c>
      <c r="C988" s="15"/>
      <c r="D988" s="15">
        <v>14718.47</v>
      </c>
      <c r="E988" s="16">
        <v>43837</v>
      </c>
      <c r="F988" s="17" t="s">
        <v>25</v>
      </c>
    </row>
    <row r="989" spans="1:6">
      <c r="A989" s="13">
        <v>43838</v>
      </c>
      <c r="B989" s="15">
        <v>806.11</v>
      </c>
      <c r="C989" s="15"/>
      <c r="D989" s="15">
        <v>14698.65</v>
      </c>
      <c r="E989" s="16">
        <v>43838</v>
      </c>
      <c r="F989" s="17" t="s">
        <v>25</v>
      </c>
    </row>
    <row r="990" spans="1:6">
      <c r="A990" s="13">
        <v>43839</v>
      </c>
      <c r="B990" s="15">
        <v>819.09</v>
      </c>
      <c r="C990" s="15"/>
      <c r="D990" s="15">
        <v>14926.45</v>
      </c>
      <c r="E990" s="16">
        <v>43839</v>
      </c>
      <c r="F990" s="17" t="s">
        <v>25</v>
      </c>
    </row>
    <row r="991" spans="1:6">
      <c r="A991" s="13">
        <v>43840</v>
      </c>
      <c r="B991" s="15">
        <v>822.23</v>
      </c>
      <c r="C991" s="15"/>
      <c r="D991" s="15">
        <v>14977.61</v>
      </c>
      <c r="E991" s="16">
        <v>43840</v>
      </c>
      <c r="F991" s="17" t="s">
        <v>25</v>
      </c>
    </row>
    <row r="992" spans="1:6">
      <c r="A992" s="13">
        <v>43843</v>
      </c>
      <c r="B992" s="15">
        <v>828.26</v>
      </c>
      <c r="C992" s="15"/>
      <c r="D992" s="15">
        <v>15074.41</v>
      </c>
      <c r="E992" s="16">
        <v>43843</v>
      </c>
      <c r="F992" s="17" t="s">
        <v>25</v>
      </c>
    </row>
    <row r="993" spans="1:6">
      <c r="A993" s="13">
        <v>43844</v>
      </c>
      <c r="B993" s="15">
        <v>831.43</v>
      </c>
      <c r="C993" s="15"/>
      <c r="D993" s="15">
        <v>15124.47</v>
      </c>
      <c r="E993" s="16">
        <v>43844</v>
      </c>
      <c r="F993" s="17" t="s">
        <v>25</v>
      </c>
    </row>
    <row r="994" spans="1:6">
      <c r="A994" s="13">
        <v>43845</v>
      </c>
      <c r="B994" s="15">
        <v>831.62</v>
      </c>
      <c r="C994" s="15"/>
      <c r="D994" s="15">
        <v>15141.31</v>
      </c>
      <c r="E994" s="16">
        <v>43845</v>
      </c>
      <c r="F994" s="17" t="s">
        <v>25</v>
      </c>
    </row>
    <row r="995" spans="1:6">
      <c r="A995" s="13">
        <v>43846</v>
      </c>
      <c r="B995" s="15">
        <v>833.65</v>
      </c>
      <c r="C995" s="15"/>
      <c r="D995" s="15">
        <v>15175.81</v>
      </c>
      <c r="E995" s="16">
        <v>43846</v>
      </c>
      <c r="F995" s="17" t="s">
        <v>25</v>
      </c>
    </row>
    <row r="996" spans="1:6">
      <c r="A996" s="13">
        <v>43847</v>
      </c>
      <c r="B996" s="15">
        <v>836.61</v>
      </c>
      <c r="C996" s="15"/>
      <c r="D996" s="15">
        <v>15188.79</v>
      </c>
      <c r="E996" s="16">
        <v>43847</v>
      </c>
      <c r="F996" s="17" t="s">
        <v>25</v>
      </c>
    </row>
    <row r="997" spans="1:6">
      <c r="A997" s="13">
        <v>43850</v>
      </c>
      <c r="B997" s="15">
        <v>831.49</v>
      </c>
      <c r="C997" s="15"/>
      <c r="D997" s="15">
        <v>15049.24</v>
      </c>
      <c r="E997" s="16">
        <v>43850</v>
      </c>
      <c r="F997" s="17" t="s">
        <v>25</v>
      </c>
    </row>
    <row r="998" spans="1:6">
      <c r="A998" s="13">
        <v>43851</v>
      </c>
      <c r="B998" s="15">
        <v>829.08</v>
      </c>
      <c r="C998" s="15"/>
      <c r="D998" s="15">
        <v>14991.99</v>
      </c>
      <c r="E998" s="16">
        <v>43851</v>
      </c>
      <c r="F998" s="17" t="s">
        <v>25</v>
      </c>
    </row>
    <row r="999" spans="1:6">
      <c r="A999" s="13">
        <v>43852</v>
      </c>
      <c r="B999" s="15">
        <v>827.05</v>
      </c>
      <c r="C999" s="15"/>
      <c r="D999" s="15">
        <v>14931.11</v>
      </c>
      <c r="E999" s="16">
        <v>43852</v>
      </c>
      <c r="F999" s="17" t="s">
        <v>25</v>
      </c>
    </row>
    <row r="1000" spans="1:6">
      <c r="A1000" s="13">
        <v>43853</v>
      </c>
      <c r="B1000" s="15">
        <v>833.86</v>
      </c>
      <c r="C1000" s="15"/>
      <c r="D1000" s="15">
        <v>15043.86</v>
      </c>
      <c r="E1000" s="16">
        <v>43853</v>
      </c>
      <c r="F1000" s="17" t="s">
        <v>25</v>
      </c>
    </row>
    <row r="1001" spans="1:6">
      <c r="A1001" s="13">
        <v>43854</v>
      </c>
      <c r="B1001" s="15">
        <v>840.66</v>
      </c>
      <c r="C1001" s="15"/>
      <c r="D1001" s="15">
        <v>15138.19</v>
      </c>
      <c r="E1001" s="16">
        <v>43854</v>
      </c>
      <c r="F1001" s="17" t="s">
        <v>25</v>
      </c>
    </row>
    <row r="1002" spans="1:6">
      <c r="A1002" s="13">
        <v>43857</v>
      </c>
      <c r="B1002" s="15">
        <v>836.85</v>
      </c>
      <c r="C1002" s="15"/>
      <c r="D1002" s="15">
        <v>15011.93</v>
      </c>
      <c r="E1002" s="16">
        <v>43857</v>
      </c>
      <c r="F1002" s="17" t="s">
        <v>25</v>
      </c>
    </row>
    <row r="1003" spans="1:6">
      <c r="A1003" s="13">
        <v>43858</v>
      </c>
      <c r="B1003" s="15">
        <v>834.23</v>
      </c>
      <c r="C1003" s="15"/>
      <c r="D1003" s="15">
        <v>14947.9</v>
      </c>
      <c r="E1003" s="16">
        <v>43858</v>
      </c>
      <c r="F1003" s="17" t="s">
        <v>25</v>
      </c>
    </row>
    <row r="1004" spans="1:6">
      <c r="A1004" s="13">
        <v>43859</v>
      </c>
      <c r="B1004" s="15">
        <v>838.32</v>
      </c>
      <c r="C1004" s="15"/>
      <c r="D1004" s="15">
        <v>15026.51</v>
      </c>
      <c r="E1004" s="16">
        <v>43859</v>
      </c>
      <c r="F1004" s="17" t="s">
        <v>25</v>
      </c>
    </row>
    <row r="1005" spans="1:6">
      <c r="A1005" s="13">
        <v>43860</v>
      </c>
      <c r="B1005" s="15">
        <v>832.69</v>
      </c>
      <c r="C1005" s="15"/>
      <c r="D1005" s="15">
        <v>14891.25</v>
      </c>
      <c r="E1005" s="16">
        <v>43860</v>
      </c>
      <c r="F1005" s="17" t="s">
        <v>25</v>
      </c>
    </row>
    <row r="1006" spans="1:6">
      <c r="A1006" s="13">
        <v>43861</v>
      </c>
      <c r="B1006" s="15">
        <v>829.74</v>
      </c>
      <c r="C1006" s="15"/>
      <c r="D1006" s="15">
        <v>14804.57</v>
      </c>
      <c r="E1006" s="16">
        <v>43861</v>
      </c>
      <c r="F1006" s="17" t="s">
        <v>25</v>
      </c>
    </row>
    <row r="1007" spans="1:6">
      <c r="A1007" s="13">
        <v>43864</v>
      </c>
      <c r="B1007" s="15">
        <v>814.3</v>
      </c>
      <c r="C1007" s="15"/>
      <c r="D1007" s="15">
        <v>14488.18</v>
      </c>
      <c r="E1007" s="16">
        <v>43864</v>
      </c>
      <c r="F1007" s="17" t="s">
        <v>25</v>
      </c>
    </row>
    <row r="1008" spans="1:6">
      <c r="A1008" s="13">
        <v>43865</v>
      </c>
      <c r="B1008" s="15">
        <v>832.36</v>
      </c>
      <c r="C1008" s="15"/>
      <c r="D1008" s="15">
        <v>14792.21</v>
      </c>
      <c r="E1008" s="16">
        <v>43865</v>
      </c>
      <c r="F1008" s="17" t="s">
        <v>25</v>
      </c>
    </row>
    <row r="1009" spans="1:6">
      <c r="A1009" s="13">
        <v>43866</v>
      </c>
      <c r="B1009" s="15">
        <v>840.22</v>
      </c>
      <c r="C1009" s="15"/>
      <c r="D1009" s="15">
        <v>14939.95</v>
      </c>
      <c r="E1009" s="16">
        <v>43866</v>
      </c>
      <c r="F1009" s="17" t="s">
        <v>25</v>
      </c>
    </row>
    <row r="1010" spans="1:6">
      <c r="A1010" s="13">
        <v>43867</v>
      </c>
      <c r="B1010" s="15">
        <v>845.12</v>
      </c>
      <c r="C1010" s="15"/>
      <c r="D1010" s="15">
        <v>15019.88</v>
      </c>
      <c r="E1010" s="16">
        <v>43867</v>
      </c>
      <c r="F1010" s="17" t="s">
        <v>25</v>
      </c>
    </row>
    <row r="1011" spans="1:6">
      <c r="A1011" s="13">
        <v>43868</v>
      </c>
      <c r="B1011" s="15">
        <v>845.72</v>
      </c>
      <c r="C1011" s="15"/>
      <c r="D1011" s="15">
        <v>15014.96</v>
      </c>
      <c r="E1011" s="16">
        <v>43868</v>
      </c>
      <c r="F1011" s="17" t="s">
        <v>25</v>
      </c>
    </row>
    <row r="1012" spans="1:6">
      <c r="A1012" s="13">
        <v>43871</v>
      </c>
      <c r="B1012" s="15">
        <v>838.89</v>
      </c>
      <c r="C1012" s="15"/>
      <c r="D1012" s="15">
        <v>14932.29</v>
      </c>
      <c r="E1012" s="16">
        <v>43871</v>
      </c>
      <c r="F1012" s="17" t="s">
        <v>25</v>
      </c>
    </row>
    <row r="1013" spans="1:6">
      <c r="A1013" s="13">
        <v>43872</v>
      </c>
      <c r="B1013" s="15">
        <v>842.11</v>
      </c>
      <c r="C1013" s="15"/>
      <c r="D1013" s="15">
        <v>14994.85</v>
      </c>
      <c r="E1013" s="16">
        <v>43872</v>
      </c>
      <c r="F1013" s="17" t="s">
        <v>25</v>
      </c>
    </row>
    <row r="1014" spans="1:6">
      <c r="A1014" s="13">
        <v>43873</v>
      </c>
      <c r="B1014" s="15">
        <v>847.09</v>
      </c>
      <c r="C1014" s="15"/>
      <c r="D1014" s="15">
        <v>15070.16</v>
      </c>
      <c r="E1014" s="16">
        <v>43873</v>
      </c>
      <c r="F1014" s="17" t="s">
        <v>25</v>
      </c>
    </row>
    <row r="1015" spans="1:6">
      <c r="A1015" s="13">
        <v>43874</v>
      </c>
      <c r="B1015" s="15">
        <v>847.26</v>
      </c>
      <c r="C1015" s="15"/>
      <c r="D1015" s="15">
        <v>15041.87</v>
      </c>
      <c r="E1015" s="16">
        <v>43874</v>
      </c>
      <c r="F1015" s="17" t="s">
        <v>25</v>
      </c>
    </row>
    <row r="1016" spans="1:6">
      <c r="A1016" s="13">
        <v>43875</v>
      </c>
      <c r="B1016" s="15">
        <v>844.77</v>
      </c>
      <c r="C1016" s="15"/>
      <c r="D1016" s="15">
        <v>14956.99</v>
      </c>
      <c r="E1016" s="16">
        <v>43875</v>
      </c>
      <c r="F1016" s="17" t="s">
        <v>25</v>
      </c>
    </row>
    <row r="1017" spans="1:6">
      <c r="A1017" s="13">
        <v>43878</v>
      </c>
      <c r="B1017" s="15">
        <v>839.77</v>
      </c>
      <c r="C1017" s="15"/>
      <c r="D1017" s="15">
        <v>14855.22</v>
      </c>
      <c r="E1017" s="16">
        <v>43878</v>
      </c>
      <c r="F1017" s="17" t="s">
        <v>25</v>
      </c>
    </row>
    <row r="1018" spans="1:6">
      <c r="A1018" s="13">
        <v>43879</v>
      </c>
      <c r="B1018" s="15">
        <v>837.88</v>
      </c>
      <c r="C1018" s="15"/>
      <c r="D1018" s="15">
        <v>14789.34</v>
      </c>
      <c r="E1018" s="16">
        <v>43879</v>
      </c>
      <c r="F1018" s="17" t="s">
        <v>25</v>
      </c>
    </row>
    <row r="1019" spans="1:6">
      <c r="A1019" s="13">
        <v>43880</v>
      </c>
      <c r="B1019" s="15">
        <v>845.19</v>
      </c>
      <c r="C1019" s="15"/>
      <c r="D1019" s="15">
        <v>14977.03</v>
      </c>
      <c r="E1019" s="16">
        <v>43880</v>
      </c>
      <c r="F1019" s="17" t="s">
        <v>25</v>
      </c>
    </row>
    <row r="1020" spans="1:6">
      <c r="A1020" s="13">
        <v>43881</v>
      </c>
      <c r="B1020" s="15">
        <v>845.86</v>
      </c>
      <c r="C1020" s="15"/>
      <c r="D1020" s="15">
        <v>14959.29</v>
      </c>
      <c r="E1020" s="16">
        <v>43881</v>
      </c>
      <c r="F1020" s="17" t="s">
        <v>25</v>
      </c>
    </row>
    <row r="1021" spans="1:6">
      <c r="A1021" s="13">
        <v>43885</v>
      </c>
      <c r="B1021" s="15">
        <v>828.98</v>
      </c>
      <c r="C1021" s="15"/>
      <c r="D1021" s="15">
        <v>14659.13</v>
      </c>
      <c r="E1021" s="16">
        <v>43885</v>
      </c>
      <c r="F1021" s="17" t="s">
        <v>25</v>
      </c>
    </row>
    <row r="1022" spans="1:6">
      <c r="A1022" s="13">
        <v>43886</v>
      </c>
      <c r="B1022" s="15">
        <v>826.97</v>
      </c>
      <c r="C1022" s="15"/>
      <c r="D1022" s="15">
        <v>14609.32</v>
      </c>
      <c r="E1022" s="16">
        <v>43886</v>
      </c>
      <c r="F1022" s="17" t="s">
        <v>25</v>
      </c>
    </row>
    <row r="1023" spans="1:6">
      <c r="A1023" s="13">
        <v>43887</v>
      </c>
      <c r="B1023" s="15">
        <v>819.93</v>
      </c>
      <c r="C1023" s="15"/>
      <c r="D1023" s="15">
        <v>14456.09</v>
      </c>
      <c r="E1023" s="16">
        <v>43887</v>
      </c>
      <c r="F1023" s="17" t="s">
        <v>25</v>
      </c>
    </row>
    <row r="1024" spans="1:6">
      <c r="A1024" s="13">
        <v>43888</v>
      </c>
      <c r="B1024" s="15">
        <v>816.35</v>
      </c>
      <c r="C1024" s="15"/>
      <c r="D1024" s="15">
        <v>14391.08</v>
      </c>
      <c r="E1024" s="16">
        <v>43888</v>
      </c>
      <c r="F1024" s="17" t="s">
        <v>25</v>
      </c>
    </row>
    <row r="1025" spans="1:6">
      <c r="A1025" s="13">
        <v>43889</v>
      </c>
      <c r="B1025" s="15">
        <v>787.26</v>
      </c>
      <c r="C1025" s="15"/>
      <c r="D1025" s="15">
        <v>13875.34</v>
      </c>
      <c r="E1025" s="16">
        <v>43889</v>
      </c>
      <c r="F1025" s="17" t="s">
        <v>25</v>
      </c>
    </row>
    <row r="1026" spans="1:6">
      <c r="A1026" s="13">
        <v>43892</v>
      </c>
      <c r="B1026" s="15">
        <v>779.87</v>
      </c>
      <c r="C1026" s="15"/>
      <c r="D1026" s="15">
        <v>13790.7</v>
      </c>
      <c r="E1026" s="16">
        <v>43892</v>
      </c>
      <c r="F1026" s="17" t="s">
        <v>25</v>
      </c>
    </row>
    <row r="1027" spans="1:6">
      <c r="A1027" s="13">
        <v>43893</v>
      </c>
      <c r="B1027" s="15">
        <v>793.15</v>
      </c>
      <c r="C1027" s="15"/>
      <c r="D1027" s="15">
        <v>14014.65</v>
      </c>
      <c r="E1027" s="16">
        <v>43893</v>
      </c>
      <c r="F1027" s="17" t="s">
        <v>25</v>
      </c>
    </row>
    <row r="1028" spans="1:6">
      <c r="A1028" s="13">
        <v>43894</v>
      </c>
      <c r="B1028" s="15">
        <v>785.53</v>
      </c>
      <c r="C1028" s="15"/>
      <c r="D1028" s="15">
        <v>13915.97</v>
      </c>
      <c r="E1028" s="16">
        <v>43894</v>
      </c>
      <c r="F1028" s="17" t="s">
        <v>25</v>
      </c>
    </row>
    <row r="1029" spans="1:6">
      <c r="A1029" s="13">
        <v>43895</v>
      </c>
      <c r="B1029" s="15">
        <v>786.78</v>
      </c>
      <c r="C1029" s="15"/>
      <c r="D1029" s="15">
        <v>13950.63</v>
      </c>
      <c r="E1029" s="16">
        <v>43895</v>
      </c>
      <c r="F1029" s="17" t="s">
        <v>25</v>
      </c>
    </row>
    <row r="1030" spans="1:6">
      <c r="A1030" s="13">
        <v>43896</v>
      </c>
      <c r="B1030" s="15">
        <v>768.42</v>
      </c>
      <c r="C1030" s="15"/>
      <c r="D1030" s="15">
        <v>13620.11</v>
      </c>
      <c r="E1030" s="16">
        <v>43896</v>
      </c>
      <c r="F1030" s="17" t="s">
        <v>25</v>
      </c>
    </row>
    <row r="1031" spans="1:6">
      <c r="A1031" s="13">
        <v>43899</v>
      </c>
      <c r="B1031" s="15">
        <v>735.62</v>
      </c>
      <c r="C1031" s="15"/>
      <c r="D1031" s="15">
        <v>12976.16</v>
      </c>
      <c r="E1031" s="16">
        <v>43899</v>
      </c>
      <c r="F1031" s="17" t="s">
        <v>25</v>
      </c>
    </row>
    <row r="1032" spans="1:6">
      <c r="A1032" s="13">
        <v>43901</v>
      </c>
      <c r="B1032" s="15">
        <v>731.54</v>
      </c>
      <c r="C1032" s="15"/>
      <c r="D1032" s="15">
        <v>12956.37</v>
      </c>
      <c r="E1032" s="16">
        <v>43901</v>
      </c>
      <c r="F1032" s="17" t="s">
        <v>25</v>
      </c>
    </row>
    <row r="1033" spans="1:6">
      <c r="A1033" s="13">
        <v>43902</v>
      </c>
      <c r="B1033" s="15">
        <v>672.73</v>
      </c>
      <c r="C1033" s="15"/>
      <c r="D1033" s="15">
        <v>11879.72</v>
      </c>
      <c r="E1033" s="16">
        <v>43902</v>
      </c>
      <c r="F1033" s="17" t="s">
        <v>25</v>
      </c>
    </row>
    <row r="1034" spans="1:6">
      <c r="A1034" s="13">
        <v>43903</v>
      </c>
      <c r="B1034" s="15">
        <v>697.35</v>
      </c>
      <c r="C1034" s="15"/>
      <c r="D1034" s="15">
        <v>12273.36</v>
      </c>
      <c r="E1034" s="16">
        <v>43903</v>
      </c>
      <c r="F1034" s="17" t="s">
        <v>25</v>
      </c>
    </row>
    <row r="1035" spans="1:6">
      <c r="A1035" s="13">
        <v>43906</v>
      </c>
      <c r="B1035" s="15">
        <v>648.69000000000005</v>
      </c>
      <c r="C1035" s="15"/>
      <c r="D1035" s="15">
        <v>11418.58</v>
      </c>
      <c r="E1035" s="16">
        <v>43906</v>
      </c>
      <c r="F1035" s="17" t="s">
        <v>25</v>
      </c>
    </row>
    <row r="1036" spans="1:6">
      <c r="A1036" s="13">
        <v>43907</v>
      </c>
      <c r="B1036" s="15">
        <v>629.85</v>
      </c>
      <c r="C1036" s="15"/>
      <c r="D1036" s="15">
        <v>11157.03</v>
      </c>
      <c r="E1036" s="16">
        <v>43907</v>
      </c>
      <c r="F1036" s="17" t="s">
        <v>25</v>
      </c>
    </row>
    <row r="1037" spans="1:6">
      <c r="A1037" s="13">
        <v>43908</v>
      </c>
      <c r="B1037" s="15">
        <v>596.86</v>
      </c>
      <c r="C1037" s="15"/>
      <c r="D1037" s="15">
        <v>10545.38</v>
      </c>
      <c r="E1037" s="16">
        <v>43908</v>
      </c>
      <c r="F1037" s="17" t="s">
        <v>25</v>
      </c>
    </row>
    <row r="1038" spans="1:6">
      <c r="A1038" s="13">
        <v>43909</v>
      </c>
      <c r="B1038" s="15">
        <v>580.97</v>
      </c>
      <c r="C1038" s="15"/>
      <c r="D1038" s="15">
        <v>10243.870000000001</v>
      </c>
      <c r="E1038" s="16">
        <v>43909</v>
      </c>
      <c r="F1038" s="17" t="s">
        <v>25</v>
      </c>
    </row>
    <row r="1039" spans="1:6">
      <c r="A1039" s="13">
        <v>43910</v>
      </c>
      <c r="B1039" s="15">
        <v>605.54999999999995</v>
      </c>
      <c r="C1039" s="15"/>
      <c r="D1039" s="15">
        <v>10774.99</v>
      </c>
      <c r="E1039" s="16">
        <v>43910</v>
      </c>
      <c r="F1039" s="17" t="s">
        <v>25</v>
      </c>
    </row>
    <row r="1040" spans="1:6">
      <c r="A1040" s="13">
        <v>43913</v>
      </c>
      <c r="B1040" s="15">
        <v>520.29</v>
      </c>
      <c r="C1040" s="15"/>
      <c r="D1040" s="15">
        <v>9400.9599999999991</v>
      </c>
      <c r="E1040" s="16">
        <v>43913</v>
      </c>
      <c r="F1040" s="17" t="s">
        <v>25</v>
      </c>
    </row>
    <row r="1041" spans="1:6">
      <c r="A1041" s="13">
        <v>43914</v>
      </c>
      <c r="B1041" s="15">
        <v>532.63</v>
      </c>
      <c r="C1041" s="15"/>
      <c r="D1041" s="15">
        <v>9588.01</v>
      </c>
      <c r="E1041" s="16">
        <v>43914</v>
      </c>
      <c r="F1041" s="17" t="s">
        <v>25</v>
      </c>
    </row>
    <row r="1042" spans="1:6">
      <c r="A1042" s="13">
        <v>43915</v>
      </c>
      <c r="B1042" s="15">
        <v>563.24</v>
      </c>
      <c r="C1042" s="15"/>
      <c r="D1042" s="15">
        <v>10128.06</v>
      </c>
      <c r="E1042" s="16">
        <v>43915</v>
      </c>
      <c r="F1042" s="17" t="s">
        <v>25</v>
      </c>
    </row>
    <row r="1043" spans="1:6">
      <c r="A1043" s="13">
        <v>43916</v>
      </c>
      <c r="B1043" s="15">
        <v>584.95000000000005</v>
      </c>
      <c r="C1043" s="15"/>
      <c r="D1043" s="15">
        <v>10535.69</v>
      </c>
      <c r="E1043" s="16">
        <v>43916</v>
      </c>
      <c r="F1043" s="17" t="s">
        <v>25</v>
      </c>
    </row>
    <row r="1044" spans="1:6">
      <c r="A1044" s="13">
        <v>43917</v>
      </c>
      <c r="B1044" s="15">
        <v>580.09</v>
      </c>
      <c r="C1044" s="15"/>
      <c r="D1044" s="15">
        <v>10550.2</v>
      </c>
      <c r="E1044" s="16">
        <v>43917</v>
      </c>
      <c r="F1044" s="17" t="s">
        <v>25</v>
      </c>
    </row>
    <row r="1045" spans="1:6">
      <c r="A1045" s="13">
        <v>43920</v>
      </c>
      <c r="B1045" s="15">
        <v>558.89</v>
      </c>
      <c r="C1045" s="15"/>
      <c r="D1045" s="15">
        <v>10167.459999999999</v>
      </c>
      <c r="E1045" s="16">
        <v>43920</v>
      </c>
      <c r="F1045" s="17" t="s">
        <v>25</v>
      </c>
    </row>
    <row r="1046" spans="1:6">
      <c r="A1046" s="13">
        <v>43921</v>
      </c>
      <c r="B1046" s="15">
        <v>575.42999999999995</v>
      </c>
      <c r="C1046" s="15"/>
      <c r="D1046" s="15">
        <v>10540.43</v>
      </c>
      <c r="E1046" s="16">
        <v>43921</v>
      </c>
      <c r="F1046" s="17" t="s">
        <v>25</v>
      </c>
    </row>
    <row r="1047" spans="1:6">
      <c r="A1047" s="13">
        <v>43922</v>
      </c>
      <c r="B1047" s="15">
        <v>556.23</v>
      </c>
      <c r="C1047" s="15"/>
      <c r="D1047" s="15">
        <v>10186.74</v>
      </c>
      <c r="E1047" s="16">
        <v>43922</v>
      </c>
      <c r="F1047" s="17" t="s">
        <v>25</v>
      </c>
    </row>
    <row r="1048" spans="1:6">
      <c r="A1048" s="13">
        <v>43924</v>
      </c>
      <c r="B1048" s="15">
        <v>546.13</v>
      </c>
      <c r="C1048" s="15"/>
      <c r="D1048" s="15">
        <v>10000.86</v>
      </c>
      <c r="E1048" s="16">
        <v>43924</v>
      </c>
      <c r="F1048" s="17" t="s">
        <v>25</v>
      </c>
    </row>
    <row r="1049" spans="1:6">
      <c r="A1049" s="13">
        <v>43928</v>
      </c>
      <c r="B1049" s="15">
        <v>590.45000000000005</v>
      </c>
      <c r="C1049" s="15"/>
      <c r="D1049" s="15">
        <v>10770.05</v>
      </c>
      <c r="E1049" s="16">
        <v>43928</v>
      </c>
      <c r="F1049" s="17" t="s">
        <v>25</v>
      </c>
    </row>
    <row r="1050" spans="1:6">
      <c r="A1050" s="13">
        <v>43929</v>
      </c>
      <c r="B1050" s="15">
        <v>593.26</v>
      </c>
      <c r="C1050" s="15"/>
      <c r="D1050" s="15">
        <v>10788.81</v>
      </c>
      <c r="E1050" s="16">
        <v>43929</v>
      </c>
      <c r="F1050" s="17" t="s">
        <v>25</v>
      </c>
    </row>
    <row r="1051" spans="1:6">
      <c r="A1051" s="13">
        <v>43930</v>
      </c>
      <c r="B1051" s="15">
        <v>615.54</v>
      </c>
      <c r="C1051" s="15"/>
      <c r="D1051" s="15">
        <v>11210.95</v>
      </c>
      <c r="E1051" s="16">
        <v>43930</v>
      </c>
      <c r="F1051" s="17" t="s">
        <v>25</v>
      </c>
    </row>
    <row r="1052" spans="1:6">
      <c r="A1052" s="13">
        <v>43934</v>
      </c>
      <c r="B1052" s="15">
        <v>611.25</v>
      </c>
      <c r="C1052" s="15"/>
      <c r="D1052" s="15">
        <v>11088.47</v>
      </c>
      <c r="E1052" s="16">
        <v>43934</v>
      </c>
      <c r="F1052" s="17" t="s">
        <v>25</v>
      </c>
    </row>
    <row r="1053" spans="1:6">
      <c r="A1053" s="13">
        <v>43936</v>
      </c>
      <c r="B1053" s="15">
        <v>610.22</v>
      </c>
      <c r="C1053" s="15"/>
      <c r="D1053" s="15">
        <v>11064.34</v>
      </c>
      <c r="E1053" s="16">
        <v>43936</v>
      </c>
      <c r="F1053" s="17" t="s">
        <v>25</v>
      </c>
    </row>
    <row r="1054" spans="1:6">
      <c r="A1054" s="13">
        <v>43937</v>
      </c>
      <c r="B1054" s="15">
        <v>617.66999999999996</v>
      </c>
      <c r="C1054" s="15"/>
      <c r="D1054" s="15">
        <v>11166.67</v>
      </c>
      <c r="E1054" s="16">
        <v>43937</v>
      </c>
      <c r="F1054" s="17" t="s">
        <v>25</v>
      </c>
    </row>
    <row r="1055" spans="1:6">
      <c r="A1055" s="13">
        <v>43938</v>
      </c>
      <c r="B1055" s="15">
        <v>635.73</v>
      </c>
      <c r="C1055" s="15"/>
      <c r="D1055" s="15">
        <v>11471.14</v>
      </c>
      <c r="E1055" s="16">
        <v>43938</v>
      </c>
      <c r="F1055" s="17" t="s">
        <v>25</v>
      </c>
    </row>
    <row r="1056" spans="1:6">
      <c r="A1056" s="13">
        <v>43941</v>
      </c>
      <c r="B1056" s="15">
        <v>634.79999999999995</v>
      </c>
      <c r="C1056" s="15"/>
      <c r="D1056" s="15">
        <v>11471.44</v>
      </c>
      <c r="E1056" s="16">
        <v>43941</v>
      </c>
      <c r="F1056" s="17" t="s">
        <v>25</v>
      </c>
    </row>
    <row r="1057" spans="1:6">
      <c r="A1057" s="13">
        <v>43942</v>
      </c>
      <c r="B1057" s="15">
        <v>613.76</v>
      </c>
      <c r="C1057" s="15"/>
      <c r="D1057" s="15">
        <v>11141.94</v>
      </c>
      <c r="E1057" s="16">
        <v>43942</v>
      </c>
      <c r="F1057" s="17" t="s">
        <v>25</v>
      </c>
    </row>
    <row r="1058" spans="1:6">
      <c r="A1058" s="13">
        <v>43943</v>
      </c>
      <c r="B1058" s="15">
        <v>620.79</v>
      </c>
      <c r="C1058" s="15"/>
      <c r="D1058" s="15">
        <v>11349.73</v>
      </c>
      <c r="E1058" s="16">
        <v>43943</v>
      </c>
      <c r="F1058" s="17" t="s">
        <v>25</v>
      </c>
    </row>
    <row r="1059" spans="1:6">
      <c r="A1059" s="13">
        <v>43944</v>
      </c>
      <c r="B1059" s="15">
        <v>630.12</v>
      </c>
      <c r="C1059" s="15"/>
      <c r="D1059" s="15">
        <v>11487.6</v>
      </c>
      <c r="E1059" s="16">
        <v>43944</v>
      </c>
      <c r="F1059" s="17" t="s">
        <v>25</v>
      </c>
    </row>
    <row r="1060" spans="1:6">
      <c r="A1060" s="13">
        <v>43945</v>
      </c>
      <c r="B1060" s="15">
        <v>617.34</v>
      </c>
      <c r="C1060" s="15"/>
      <c r="D1060" s="15">
        <v>11288.98</v>
      </c>
      <c r="E1060" s="16">
        <v>43945</v>
      </c>
      <c r="F1060" s="17" t="s">
        <v>25</v>
      </c>
    </row>
    <row r="1061" spans="1:6">
      <c r="A1061" s="13">
        <v>43948</v>
      </c>
      <c r="B1061" s="15">
        <v>627.84</v>
      </c>
      <c r="C1061" s="15"/>
      <c r="D1061" s="15">
        <v>11455.42</v>
      </c>
      <c r="E1061" s="16">
        <v>43948</v>
      </c>
      <c r="F1061" s="17" t="s">
        <v>25</v>
      </c>
    </row>
    <row r="1062" spans="1:6">
      <c r="A1062" s="13">
        <v>43949</v>
      </c>
      <c r="B1062" s="15">
        <v>633.70000000000005</v>
      </c>
      <c r="C1062" s="15"/>
      <c r="D1062" s="15">
        <v>11558.67</v>
      </c>
      <c r="E1062" s="16">
        <v>43949</v>
      </c>
      <c r="F1062" s="17" t="s">
        <v>25</v>
      </c>
    </row>
    <row r="1063" spans="1:6">
      <c r="A1063" s="13">
        <v>43950</v>
      </c>
      <c r="B1063" s="15">
        <v>647.19000000000005</v>
      </c>
      <c r="C1063" s="15"/>
      <c r="D1063" s="15">
        <v>11747.42</v>
      </c>
      <c r="E1063" s="16">
        <v>43950</v>
      </c>
      <c r="F1063" s="17" t="s">
        <v>25</v>
      </c>
    </row>
    <row r="1064" spans="1:6">
      <c r="A1064" s="13">
        <v>43951</v>
      </c>
      <c r="B1064" s="15">
        <v>661.86</v>
      </c>
      <c r="C1064" s="15"/>
      <c r="D1064" s="15">
        <v>12072.43</v>
      </c>
      <c r="E1064" s="16">
        <v>43951</v>
      </c>
      <c r="F1064" s="17" t="s">
        <v>25</v>
      </c>
    </row>
    <row r="1065" spans="1:6">
      <c r="A1065" s="13">
        <v>43955</v>
      </c>
      <c r="B1065" s="15">
        <v>630.23</v>
      </c>
      <c r="C1065" s="15"/>
      <c r="D1065" s="15">
        <v>11445.71</v>
      </c>
      <c r="E1065" s="16">
        <v>43955</v>
      </c>
      <c r="F1065" s="17" t="s">
        <v>25</v>
      </c>
    </row>
    <row r="1066" spans="1:6">
      <c r="A1066" s="13">
        <v>43956</v>
      </c>
      <c r="B1066" s="15">
        <v>621.20000000000005</v>
      </c>
      <c r="C1066" s="15"/>
      <c r="D1066" s="15">
        <v>11335.14</v>
      </c>
      <c r="E1066" s="16">
        <v>43956</v>
      </c>
      <c r="F1066" s="17" t="s">
        <v>25</v>
      </c>
    </row>
    <row r="1067" spans="1:6">
      <c r="A1067" s="13">
        <v>43957</v>
      </c>
      <c r="B1067" s="15">
        <v>628.52</v>
      </c>
      <c r="C1067" s="15"/>
      <c r="D1067" s="15">
        <v>11414.15</v>
      </c>
      <c r="E1067" s="16">
        <v>43957</v>
      </c>
      <c r="F1067" s="17" t="s">
        <v>25</v>
      </c>
    </row>
    <row r="1068" spans="1:6">
      <c r="A1068" s="13">
        <v>43958</v>
      </c>
      <c r="B1068" s="15">
        <v>623.67999999999995</v>
      </c>
      <c r="C1068" s="15"/>
      <c r="D1068" s="15">
        <v>11331.86</v>
      </c>
      <c r="E1068" s="16">
        <v>43958</v>
      </c>
      <c r="F1068" s="17" t="s">
        <v>25</v>
      </c>
    </row>
    <row r="1069" spans="1:6">
      <c r="A1069" s="13">
        <v>43959</v>
      </c>
      <c r="B1069" s="15">
        <v>626.38</v>
      </c>
      <c r="C1069" s="15"/>
      <c r="D1069" s="15">
        <v>11378.76</v>
      </c>
      <c r="E1069" s="16">
        <v>43959</v>
      </c>
      <c r="F1069" s="17" t="s">
        <v>25</v>
      </c>
    </row>
    <row r="1070" spans="1:6">
      <c r="A1070" s="13">
        <v>43962</v>
      </c>
      <c r="B1070" s="15">
        <v>623.87</v>
      </c>
      <c r="C1070" s="15"/>
      <c r="D1070" s="15">
        <v>11385.39</v>
      </c>
      <c r="E1070" s="16">
        <v>43962</v>
      </c>
      <c r="F1070" s="17" t="s">
        <v>25</v>
      </c>
    </row>
    <row r="1071" spans="1:6">
      <c r="A1071" s="13">
        <v>43963</v>
      </c>
      <c r="B1071" s="15">
        <v>624.67999999999995</v>
      </c>
      <c r="C1071" s="15"/>
      <c r="D1071" s="15">
        <v>11331.93</v>
      </c>
      <c r="E1071" s="16">
        <v>43963</v>
      </c>
      <c r="F1071" s="17" t="s">
        <v>25</v>
      </c>
    </row>
    <row r="1072" spans="1:6">
      <c r="A1072" s="13">
        <v>43964</v>
      </c>
      <c r="B1072" s="15">
        <v>635.01</v>
      </c>
      <c r="C1072" s="15"/>
      <c r="D1072" s="15">
        <v>11551.54</v>
      </c>
      <c r="E1072" s="16">
        <v>43964</v>
      </c>
      <c r="F1072" s="17" t="s">
        <v>25</v>
      </c>
    </row>
    <row r="1073" spans="1:6">
      <c r="A1073" s="13">
        <v>43965</v>
      </c>
      <c r="B1073" s="15">
        <v>623.14</v>
      </c>
      <c r="C1073" s="15"/>
      <c r="D1073" s="15">
        <v>11321.91</v>
      </c>
      <c r="E1073" s="16">
        <v>43965</v>
      </c>
      <c r="F1073" s="17" t="s">
        <v>25</v>
      </c>
    </row>
    <row r="1074" spans="1:6">
      <c r="A1074" s="13">
        <v>43966</v>
      </c>
      <c r="B1074" s="15">
        <v>622.29999999999995</v>
      </c>
      <c r="C1074" s="15"/>
      <c r="D1074" s="15">
        <v>11306.13</v>
      </c>
      <c r="E1074" s="16">
        <v>43966</v>
      </c>
      <c r="F1074" s="17" t="s">
        <v>25</v>
      </c>
    </row>
    <row r="1075" spans="1:6">
      <c r="A1075" s="13">
        <v>43969</v>
      </c>
      <c r="B1075" s="15">
        <v>597.87</v>
      </c>
      <c r="C1075" s="15"/>
      <c r="D1075" s="15">
        <v>10916.21</v>
      </c>
      <c r="E1075" s="16">
        <v>43969</v>
      </c>
      <c r="F1075" s="17" t="s">
        <v>25</v>
      </c>
    </row>
    <row r="1076" spans="1:6">
      <c r="A1076" s="13">
        <v>43970</v>
      </c>
      <c r="B1076" s="15">
        <v>605.45000000000005</v>
      </c>
      <c r="C1076" s="15"/>
      <c r="D1076" s="15">
        <v>10975.77</v>
      </c>
      <c r="E1076" s="16">
        <v>43970</v>
      </c>
      <c r="F1076" s="17" t="s">
        <v>25</v>
      </c>
    </row>
    <row r="1077" spans="1:6">
      <c r="A1077" s="13">
        <v>43971</v>
      </c>
      <c r="B1077" s="15">
        <v>616.70000000000005</v>
      </c>
      <c r="C1077" s="15"/>
      <c r="D1077" s="15">
        <v>11190.26</v>
      </c>
      <c r="E1077" s="16">
        <v>43971</v>
      </c>
      <c r="F1077" s="17" t="s">
        <v>25</v>
      </c>
    </row>
    <row r="1078" spans="1:6">
      <c r="A1078" s="13">
        <v>43972</v>
      </c>
      <c r="B1078" s="15">
        <v>619.33000000000004</v>
      </c>
      <c r="C1078" s="15"/>
      <c r="D1078" s="15">
        <v>11256.18</v>
      </c>
      <c r="E1078" s="16">
        <v>43972</v>
      </c>
      <c r="F1078" s="17" t="s">
        <v>25</v>
      </c>
    </row>
    <row r="1079" spans="1:6">
      <c r="A1079" s="13">
        <v>43973</v>
      </c>
      <c r="B1079" s="15">
        <v>614.09</v>
      </c>
      <c r="C1079" s="15"/>
      <c r="D1079" s="15">
        <v>11173.94</v>
      </c>
      <c r="E1079" s="16">
        <v>43973</v>
      </c>
      <c r="F1079" s="17" t="s">
        <v>25</v>
      </c>
    </row>
    <row r="1080" spans="1:6">
      <c r="A1080" s="13">
        <v>43977</v>
      </c>
      <c r="B1080" s="15">
        <v>614.1</v>
      </c>
      <c r="C1080" s="15"/>
      <c r="D1080" s="15">
        <v>11186.72</v>
      </c>
      <c r="E1080" s="16">
        <v>43977</v>
      </c>
      <c r="F1080" s="17" t="s">
        <v>25</v>
      </c>
    </row>
    <row r="1081" spans="1:6">
      <c r="A1081" s="13">
        <v>43978</v>
      </c>
      <c r="B1081" s="15">
        <v>627.80999999999995</v>
      </c>
      <c r="C1081" s="15"/>
      <c r="D1081" s="15">
        <v>11444.46</v>
      </c>
      <c r="E1081" s="16">
        <v>43978</v>
      </c>
      <c r="F1081" s="17" t="s">
        <v>25</v>
      </c>
    </row>
    <row r="1082" spans="1:6">
      <c r="A1082" s="13">
        <v>43979</v>
      </c>
      <c r="B1082" s="15">
        <v>637.69000000000005</v>
      </c>
      <c r="C1082" s="15"/>
      <c r="D1082" s="15">
        <v>11650.41</v>
      </c>
      <c r="E1082" s="16">
        <v>43979</v>
      </c>
      <c r="F1082" s="17" t="s">
        <v>25</v>
      </c>
    </row>
    <row r="1083" spans="1:6">
      <c r="A1083" s="13">
        <v>43980</v>
      </c>
      <c r="B1083" s="15">
        <v>645.34</v>
      </c>
      <c r="C1083" s="15"/>
      <c r="D1083" s="15">
        <v>11793.53</v>
      </c>
      <c r="E1083" s="16">
        <v>43980</v>
      </c>
      <c r="F1083" s="17" t="s">
        <v>25</v>
      </c>
    </row>
    <row r="1084" spans="1:6">
      <c r="A1084" s="13">
        <v>43983</v>
      </c>
      <c r="B1084" s="15">
        <v>658.82</v>
      </c>
      <c r="C1084" s="15"/>
      <c r="D1084" s="15">
        <v>12092.03</v>
      </c>
      <c r="E1084" s="16">
        <v>43983</v>
      </c>
      <c r="F1084" s="17" t="s">
        <v>25</v>
      </c>
    </row>
    <row r="1085" spans="1:6">
      <c r="A1085" s="13">
        <v>43984</v>
      </c>
      <c r="B1085" s="15">
        <v>666.54</v>
      </c>
      <c r="C1085" s="15"/>
      <c r="D1085" s="15">
        <v>12268.95</v>
      </c>
      <c r="E1085" s="16">
        <v>43984</v>
      </c>
      <c r="F1085" s="17" t="s">
        <v>25</v>
      </c>
    </row>
    <row r="1086" spans="1:6">
      <c r="A1086" s="13">
        <v>43985</v>
      </c>
      <c r="B1086" s="15">
        <v>670.56</v>
      </c>
      <c r="C1086" s="15"/>
      <c r="D1086" s="15">
        <v>12369.15</v>
      </c>
      <c r="E1086" s="16">
        <v>43985</v>
      </c>
      <c r="F1086" s="17" t="s">
        <v>25</v>
      </c>
    </row>
    <row r="1087" spans="1:6">
      <c r="A1087" s="13">
        <v>43986</v>
      </c>
      <c r="B1087" s="15">
        <v>671.22</v>
      </c>
      <c r="C1087" s="15"/>
      <c r="D1087" s="15">
        <v>12343.37</v>
      </c>
      <c r="E1087" s="16">
        <v>43986</v>
      </c>
      <c r="F1087" s="17" t="s">
        <v>25</v>
      </c>
    </row>
    <row r="1088" spans="1:6">
      <c r="A1088" s="13">
        <v>43987</v>
      </c>
      <c r="B1088" s="15">
        <v>681.71</v>
      </c>
      <c r="C1088" s="15"/>
      <c r="D1088" s="15">
        <v>12514.41</v>
      </c>
      <c r="E1088" s="16">
        <v>43987</v>
      </c>
      <c r="F1088" s="17" t="s">
        <v>25</v>
      </c>
    </row>
    <row r="1089" spans="1:6">
      <c r="A1089" s="13">
        <v>43990</v>
      </c>
      <c r="B1089" s="15">
        <v>682.79</v>
      </c>
      <c r="C1089" s="15"/>
      <c r="D1089" s="15">
        <v>12551.5</v>
      </c>
      <c r="E1089" s="16">
        <v>43990</v>
      </c>
      <c r="F1089" s="17" t="s">
        <v>25</v>
      </c>
    </row>
    <row r="1090" spans="1:6">
      <c r="A1090" s="13">
        <v>43991</v>
      </c>
      <c r="B1090" s="15">
        <v>677.31</v>
      </c>
      <c r="C1090" s="15"/>
      <c r="D1090" s="15">
        <v>12422.12</v>
      </c>
      <c r="E1090" s="16">
        <v>43991</v>
      </c>
      <c r="F1090" s="17" t="s">
        <v>25</v>
      </c>
    </row>
    <row r="1091" spans="1:6">
      <c r="A1091" s="13">
        <v>43992</v>
      </c>
      <c r="B1091" s="15">
        <v>679.7</v>
      </c>
      <c r="C1091" s="15"/>
      <c r="D1091" s="15">
        <v>12505.4</v>
      </c>
      <c r="E1091" s="16">
        <v>43992</v>
      </c>
      <c r="F1091" s="17" t="s">
        <v>25</v>
      </c>
    </row>
    <row r="1092" spans="1:6">
      <c r="A1092" s="13">
        <v>43993</v>
      </c>
      <c r="B1092" s="15">
        <v>666.55</v>
      </c>
      <c r="C1092" s="15"/>
      <c r="D1092" s="15">
        <v>12270.08</v>
      </c>
      <c r="E1092" s="16">
        <v>43993</v>
      </c>
      <c r="F1092" s="17" t="s">
        <v>25</v>
      </c>
    </row>
    <row r="1093" spans="1:6">
      <c r="A1093" s="13">
        <v>43994</v>
      </c>
      <c r="B1093" s="15">
        <v>671.72</v>
      </c>
      <c r="C1093" s="15"/>
      <c r="D1093" s="15">
        <v>12359.8</v>
      </c>
      <c r="E1093" s="16">
        <v>43994</v>
      </c>
      <c r="F1093" s="17" t="s">
        <v>25</v>
      </c>
    </row>
    <row r="1094" spans="1:6">
      <c r="A1094" s="13">
        <v>43997</v>
      </c>
      <c r="B1094" s="15">
        <v>663.11</v>
      </c>
      <c r="C1094" s="15"/>
      <c r="D1094" s="15">
        <v>12193.99</v>
      </c>
      <c r="E1094" s="16">
        <v>43997</v>
      </c>
      <c r="F1094" s="17" t="s">
        <v>25</v>
      </c>
    </row>
    <row r="1095" spans="1:6">
      <c r="A1095" s="13">
        <v>43998</v>
      </c>
      <c r="B1095" s="15">
        <v>668.58</v>
      </c>
      <c r="C1095" s="15"/>
      <c r="D1095" s="15">
        <v>12293.24</v>
      </c>
      <c r="E1095" s="16">
        <v>43998</v>
      </c>
      <c r="F1095" s="17" t="s">
        <v>25</v>
      </c>
    </row>
    <row r="1096" spans="1:6">
      <c r="A1096" s="13">
        <v>43999</v>
      </c>
      <c r="B1096" s="15">
        <v>669.27</v>
      </c>
      <c r="C1096" s="15"/>
      <c r="D1096" s="15">
        <v>12275.42</v>
      </c>
      <c r="E1096" s="16">
        <v>43999</v>
      </c>
      <c r="F1096" s="17" t="s">
        <v>25</v>
      </c>
    </row>
    <row r="1097" spans="1:6">
      <c r="A1097" s="13">
        <v>44000</v>
      </c>
      <c r="B1097" s="15">
        <v>677.67</v>
      </c>
      <c r="C1097" s="15"/>
      <c r="D1097" s="15">
        <v>12491.6</v>
      </c>
      <c r="E1097" s="16">
        <v>44000</v>
      </c>
      <c r="F1097" s="17" t="s">
        <v>25</v>
      </c>
    </row>
    <row r="1098" spans="1:6">
      <c r="A1098" s="13">
        <v>44001</v>
      </c>
      <c r="B1098" s="15">
        <v>685.92</v>
      </c>
      <c r="C1098" s="15"/>
      <c r="D1098" s="15">
        <v>12674.39</v>
      </c>
      <c r="E1098" s="16">
        <v>44001</v>
      </c>
      <c r="F1098" s="17" t="s">
        <v>25</v>
      </c>
    </row>
    <row r="1099" spans="1:6">
      <c r="A1099" s="13">
        <v>44004</v>
      </c>
      <c r="B1099" s="15">
        <v>694.03</v>
      </c>
      <c r="C1099" s="15"/>
      <c r="D1099" s="15">
        <v>12799.59</v>
      </c>
      <c r="E1099" s="16">
        <v>44004</v>
      </c>
      <c r="F1099" s="17" t="s">
        <v>25</v>
      </c>
    </row>
    <row r="1100" spans="1:6">
      <c r="A1100" s="13">
        <v>44005</v>
      </c>
      <c r="B1100" s="15">
        <v>703.27</v>
      </c>
      <c r="C1100" s="15"/>
      <c r="D1100" s="15">
        <v>13002.86</v>
      </c>
      <c r="E1100" s="16">
        <v>44005</v>
      </c>
      <c r="F1100" s="17" t="s">
        <v>25</v>
      </c>
    </row>
    <row r="1101" spans="1:6">
      <c r="A1101" s="13">
        <v>44006</v>
      </c>
      <c r="B1101" s="15">
        <v>688.97</v>
      </c>
      <c r="C1101" s="15"/>
      <c r="D1101" s="15">
        <v>12814.6</v>
      </c>
      <c r="E1101" s="16">
        <v>44006</v>
      </c>
      <c r="F1101" s="17" t="s">
        <v>25</v>
      </c>
    </row>
    <row r="1102" spans="1:6">
      <c r="A1102" s="13">
        <v>44007</v>
      </c>
      <c r="B1102" s="15">
        <v>690.56</v>
      </c>
      <c r="C1102" s="15"/>
      <c r="D1102" s="15">
        <v>12820.09</v>
      </c>
      <c r="E1102" s="16">
        <v>44007</v>
      </c>
      <c r="F1102" s="17" t="s">
        <v>25</v>
      </c>
    </row>
    <row r="1103" spans="1:6">
      <c r="A1103" s="13">
        <v>44008</v>
      </c>
      <c r="B1103" s="15">
        <v>691.96</v>
      </c>
      <c r="C1103" s="15"/>
      <c r="D1103" s="15">
        <v>12909.57</v>
      </c>
      <c r="E1103" s="16">
        <v>44008</v>
      </c>
      <c r="F1103" s="17" t="s">
        <v>25</v>
      </c>
    </row>
    <row r="1104" spans="1:6">
      <c r="A1104" s="13">
        <v>44011</v>
      </c>
      <c r="B1104" s="15">
        <v>686.09</v>
      </c>
      <c r="C1104" s="15"/>
      <c r="D1104" s="15">
        <v>12803.28</v>
      </c>
      <c r="E1104" s="16">
        <v>44011</v>
      </c>
      <c r="F1104" s="17" t="s">
        <v>25</v>
      </c>
    </row>
    <row r="1105" spans="1:6">
      <c r="A1105" s="13">
        <v>44012</v>
      </c>
      <c r="B1105" s="15">
        <v>687.15</v>
      </c>
      <c r="C1105" s="15"/>
      <c r="D1105" s="15">
        <v>12783.45</v>
      </c>
      <c r="E1105" s="16">
        <v>44012</v>
      </c>
      <c r="F1105" s="17" t="s">
        <v>25</v>
      </c>
    </row>
    <row r="1106" spans="1:6">
      <c r="A1106" s="13">
        <v>44013</v>
      </c>
      <c r="B1106" s="15">
        <v>691.55</v>
      </c>
      <c r="C1106" s="15"/>
      <c r="D1106" s="15">
        <v>12904.08</v>
      </c>
      <c r="E1106" s="16">
        <v>44013</v>
      </c>
      <c r="F1106" s="17" t="s">
        <v>25</v>
      </c>
    </row>
    <row r="1107" spans="1:6">
      <c r="A1107" s="13">
        <v>44014</v>
      </c>
      <c r="B1107" s="15">
        <v>696.9</v>
      </c>
      <c r="C1107" s="15"/>
      <c r="D1107" s="15">
        <v>13050.9</v>
      </c>
      <c r="E1107" s="16">
        <v>44014</v>
      </c>
      <c r="F1107" s="17" t="s">
        <v>25</v>
      </c>
    </row>
    <row r="1108" spans="1:6">
      <c r="A1108" s="13">
        <v>44015</v>
      </c>
      <c r="B1108" s="15">
        <v>700.43</v>
      </c>
      <c r="C1108" s="15"/>
      <c r="D1108" s="15">
        <v>13123.96</v>
      </c>
      <c r="E1108" s="16">
        <v>44015</v>
      </c>
      <c r="F1108" s="17" t="s">
        <v>25</v>
      </c>
    </row>
    <row r="1109" spans="1:6">
      <c r="A1109" s="13">
        <v>44018</v>
      </c>
      <c r="B1109" s="15">
        <v>708.66</v>
      </c>
      <c r="C1109" s="15"/>
      <c r="D1109" s="15">
        <v>13304.7</v>
      </c>
      <c r="E1109" s="16">
        <v>44018</v>
      </c>
      <c r="F1109" s="17" t="s">
        <v>25</v>
      </c>
    </row>
    <row r="1110" spans="1:6">
      <c r="A1110" s="13">
        <v>44019</v>
      </c>
      <c r="B1110" s="15">
        <v>713.21</v>
      </c>
      <c r="C1110" s="15"/>
      <c r="D1110" s="15">
        <v>13356.96</v>
      </c>
      <c r="E1110" s="16">
        <v>44019</v>
      </c>
      <c r="F1110" s="17" t="s">
        <v>25</v>
      </c>
    </row>
    <row r="1111" spans="1:6">
      <c r="A1111" s="13">
        <v>44020</v>
      </c>
      <c r="B1111" s="15">
        <v>710</v>
      </c>
      <c r="C1111" s="15"/>
      <c r="D1111" s="15">
        <v>13258.49</v>
      </c>
      <c r="E1111" s="16">
        <v>44020</v>
      </c>
      <c r="F1111" s="17" t="s">
        <v>25</v>
      </c>
    </row>
    <row r="1112" spans="1:6">
      <c r="A1112" s="13">
        <v>44021</v>
      </c>
      <c r="B1112" s="15">
        <v>716.11</v>
      </c>
      <c r="C1112" s="15"/>
      <c r="D1112" s="15">
        <v>13366.65</v>
      </c>
      <c r="E1112" s="16">
        <v>44021</v>
      </c>
      <c r="F1112" s="17" t="s">
        <v>25</v>
      </c>
    </row>
    <row r="1113" spans="1:6">
      <c r="A1113" s="13">
        <v>44022</v>
      </c>
      <c r="B1113" s="15">
        <v>712.37</v>
      </c>
      <c r="C1113" s="15"/>
      <c r="D1113" s="15">
        <v>13309.97</v>
      </c>
      <c r="E1113" s="16">
        <v>44022</v>
      </c>
      <c r="F1113" s="17" t="s">
        <v>25</v>
      </c>
    </row>
    <row r="1114" spans="1:6">
      <c r="A1114" s="13">
        <v>44025</v>
      </c>
      <c r="B1114" s="15">
        <v>714.86</v>
      </c>
      <c r="C1114" s="15"/>
      <c r="D1114" s="15">
        <v>13341.27</v>
      </c>
      <c r="E1114" s="16">
        <v>44025</v>
      </c>
      <c r="F1114" s="17" t="s">
        <v>25</v>
      </c>
    </row>
    <row r="1115" spans="1:6">
      <c r="A1115" s="13">
        <v>44026</v>
      </c>
      <c r="B1115" s="15">
        <v>705.65</v>
      </c>
      <c r="C1115" s="15"/>
      <c r="D1115" s="15">
        <v>13129.11</v>
      </c>
      <c r="E1115" s="16">
        <v>44026</v>
      </c>
      <c r="F1115" s="17" t="s">
        <v>25</v>
      </c>
    </row>
    <row r="1116" spans="1:6">
      <c r="A1116" s="13">
        <v>44027</v>
      </c>
      <c r="B1116" s="15">
        <v>706.18</v>
      </c>
      <c r="C1116" s="15"/>
      <c r="D1116" s="15">
        <v>13124.91</v>
      </c>
      <c r="E1116" s="16">
        <v>44027</v>
      </c>
      <c r="F1116" s="17" t="s">
        <v>25</v>
      </c>
    </row>
    <row r="1117" spans="1:6">
      <c r="A1117" s="13">
        <v>44028</v>
      </c>
      <c r="B1117" s="15">
        <v>713.49</v>
      </c>
      <c r="C1117" s="15"/>
      <c r="D1117" s="15">
        <v>13243.11</v>
      </c>
      <c r="E1117" s="16">
        <v>44028</v>
      </c>
      <c r="F1117" s="17" t="s">
        <v>25</v>
      </c>
    </row>
    <row r="1118" spans="1:6">
      <c r="A1118" s="13">
        <v>44029</v>
      </c>
      <c r="B1118" s="15">
        <v>722.27</v>
      </c>
      <c r="C1118" s="15"/>
      <c r="D1118" s="15">
        <v>13437.95</v>
      </c>
      <c r="E1118" s="16">
        <v>44029</v>
      </c>
      <c r="F1118" s="17" t="s">
        <v>25</v>
      </c>
    </row>
    <row r="1119" spans="1:6">
      <c r="A1119" s="13">
        <v>44032</v>
      </c>
      <c r="B1119" s="15">
        <v>729.15</v>
      </c>
      <c r="C1119" s="15"/>
      <c r="D1119" s="15">
        <v>13573.78</v>
      </c>
      <c r="E1119" s="16">
        <v>44032</v>
      </c>
      <c r="F1119" s="17" t="s">
        <v>25</v>
      </c>
    </row>
    <row r="1120" spans="1:6">
      <c r="A1120" s="13">
        <v>44033</v>
      </c>
      <c r="B1120" s="15">
        <v>732.01</v>
      </c>
      <c r="C1120" s="15"/>
      <c r="D1120" s="15">
        <v>13702.98</v>
      </c>
      <c r="E1120" s="16">
        <v>44033</v>
      </c>
      <c r="F1120" s="17" t="s">
        <v>25</v>
      </c>
    </row>
    <row r="1121" spans="1:6">
      <c r="A1121" s="13">
        <v>44034</v>
      </c>
      <c r="B1121" s="15">
        <v>730.08</v>
      </c>
      <c r="C1121" s="15"/>
      <c r="D1121" s="15">
        <v>13666.9</v>
      </c>
      <c r="E1121" s="16">
        <v>44034</v>
      </c>
      <c r="F1121" s="17" t="s">
        <v>25</v>
      </c>
    </row>
    <row r="1122" spans="1:6">
      <c r="A1122" s="13">
        <v>44035</v>
      </c>
      <c r="B1122" s="15">
        <v>735.52</v>
      </c>
      <c r="C1122" s="15"/>
      <c r="D1122" s="15">
        <v>13770.13</v>
      </c>
      <c r="E1122" s="16">
        <v>44035</v>
      </c>
      <c r="F1122" s="17" t="s">
        <v>25</v>
      </c>
    </row>
    <row r="1123" spans="1:6">
      <c r="A1123" s="13">
        <v>44036</v>
      </c>
      <c r="B1123" s="15">
        <v>732.86</v>
      </c>
      <c r="C1123" s="15"/>
      <c r="D1123" s="15">
        <v>13727.72</v>
      </c>
      <c r="E1123" s="16">
        <v>44036</v>
      </c>
      <c r="F1123" s="17" t="s">
        <v>25</v>
      </c>
    </row>
    <row r="1124" spans="1:6">
      <c r="A1124" s="13">
        <v>44039</v>
      </c>
      <c r="B1124" s="15">
        <v>725.58</v>
      </c>
      <c r="C1124" s="15"/>
      <c r="D1124" s="15">
        <v>13635.55</v>
      </c>
      <c r="E1124" s="16">
        <v>44039</v>
      </c>
      <c r="F1124" s="17" t="s">
        <v>25</v>
      </c>
    </row>
    <row r="1125" spans="1:6">
      <c r="A1125" s="13">
        <v>44040</v>
      </c>
      <c r="B1125" s="15">
        <v>734.52</v>
      </c>
      <c r="C1125" s="15"/>
      <c r="D1125" s="15">
        <v>13812.2</v>
      </c>
      <c r="E1125" s="16">
        <v>44040</v>
      </c>
      <c r="F1125" s="17" t="s">
        <v>25</v>
      </c>
    </row>
    <row r="1126" spans="1:6">
      <c r="A1126" s="13">
        <v>44041</v>
      </c>
      <c r="B1126" s="15">
        <v>734.89</v>
      </c>
      <c r="C1126" s="15"/>
      <c r="D1126" s="15">
        <v>13743.53</v>
      </c>
      <c r="E1126" s="16">
        <v>44041</v>
      </c>
      <c r="F1126" s="17" t="s">
        <v>25</v>
      </c>
    </row>
    <row r="1127" spans="1:6">
      <c r="A1127" s="13">
        <v>44042</v>
      </c>
      <c r="B1127" s="15">
        <v>733.18</v>
      </c>
      <c r="C1127" s="15"/>
      <c r="D1127" s="15">
        <v>13648.72</v>
      </c>
      <c r="E1127" s="16">
        <v>44042</v>
      </c>
      <c r="F1127" s="17" t="s">
        <v>25</v>
      </c>
    </row>
    <row r="1128" spans="1:6">
      <c r="A1128" s="13">
        <v>44043</v>
      </c>
      <c r="B1128" s="15">
        <v>733.08</v>
      </c>
      <c r="C1128" s="15"/>
      <c r="D1128" s="15">
        <v>13654.79</v>
      </c>
      <c r="E1128" s="16">
        <v>44043</v>
      </c>
      <c r="F1128" s="17" t="s">
        <v>25</v>
      </c>
    </row>
    <row r="1129" spans="1:6">
      <c r="A1129" s="13">
        <v>44046</v>
      </c>
      <c r="B1129" s="15">
        <v>725.87</v>
      </c>
      <c r="C1129" s="15"/>
      <c r="D1129" s="15">
        <v>13499.05</v>
      </c>
      <c r="E1129" s="16">
        <v>44046</v>
      </c>
      <c r="F1129" s="17" t="s">
        <v>25</v>
      </c>
    </row>
    <row r="1130" spans="1:6">
      <c r="A1130" s="13">
        <v>44047</v>
      </c>
      <c r="B1130" s="15">
        <v>737.08</v>
      </c>
      <c r="C1130" s="15"/>
      <c r="D1130" s="15">
        <v>13715.13</v>
      </c>
      <c r="E1130" s="16">
        <v>44047</v>
      </c>
      <c r="F1130" s="17" t="s">
        <v>25</v>
      </c>
    </row>
    <row r="1131" spans="1:6">
      <c r="A1131" s="13">
        <v>44048</v>
      </c>
      <c r="B1131" s="15">
        <v>742.33</v>
      </c>
      <c r="C1131" s="15"/>
      <c r="D1131" s="15">
        <v>13738.57</v>
      </c>
      <c r="E1131" s="16">
        <v>44048</v>
      </c>
      <c r="F1131" s="17" t="s">
        <v>25</v>
      </c>
    </row>
    <row r="1132" spans="1:6">
      <c r="A1132" s="13">
        <v>44049</v>
      </c>
      <c r="B1132" s="15">
        <v>748.95</v>
      </c>
      <c r="C1132" s="15"/>
      <c r="D1132" s="15">
        <v>13862.69</v>
      </c>
      <c r="E1132" s="16">
        <v>44049</v>
      </c>
      <c r="F1132" s="17" t="s">
        <v>25</v>
      </c>
    </row>
    <row r="1133" spans="1:6">
      <c r="A1133" s="13">
        <v>44050</v>
      </c>
      <c r="B1133" s="15">
        <v>751.48</v>
      </c>
      <c r="C1133" s="15"/>
      <c r="D1133" s="15">
        <v>13907.39</v>
      </c>
      <c r="E1133" s="16">
        <v>44050</v>
      </c>
      <c r="F1133" s="17" t="s">
        <v>25</v>
      </c>
    </row>
    <row r="1134" spans="1:6">
      <c r="A1134" s="13">
        <v>44053</v>
      </c>
      <c r="B1134" s="15">
        <v>759.8</v>
      </c>
      <c r="C1134" s="15"/>
      <c r="D1134" s="15">
        <v>14013.13</v>
      </c>
      <c r="E1134" s="16">
        <v>44053</v>
      </c>
      <c r="F1134" s="17" t="s">
        <v>25</v>
      </c>
    </row>
    <row r="1135" spans="1:6">
      <c r="A1135" s="13">
        <v>44054</v>
      </c>
      <c r="B1135" s="15">
        <v>757.94</v>
      </c>
      <c r="C1135" s="15"/>
      <c r="D1135" s="15">
        <v>14047.06</v>
      </c>
      <c r="E1135" s="16">
        <v>44054</v>
      </c>
      <c r="F1135" s="17" t="s">
        <v>25</v>
      </c>
    </row>
    <row r="1136" spans="1:6">
      <c r="A1136" s="13">
        <v>44055</v>
      </c>
      <c r="B1136" s="15">
        <v>759.17</v>
      </c>
      <c r="C1136" s="15"/>
      <c r="D1136" s="15">
        <v>14037.7</v>
      </c>
      <c r="E1136" s="16">
        <v>44055</v>
      </c>
      <c r="F1136" s="17" t="s">
        <v>25</v>
      </c>
    </row>
    <row r="1137" spans="1:6">
      <c r="A1137" s="13">
        <v>44056</v>
      </c>
      <c r="B1137" s="15">
        <v>762.11</v>
      </c>
      <c r="C1137" s="15"/>
      <c r="D1137" s="15">
        <v>14077.17</v>
      </c>
      <c r="E1137" s="16">
        <v>44056</v>
      </c>
      <c r="F1137" s="17" t="s">
        <v>25</v>
      </c>
    </row>
    <row r="1138" spans="1:6">
      <c r="A1138" s="13">
        <v>44057</v>
      </c>
      <c r="B1138" s="15">
        <v>753.9</v>
      </c>
      <c r="C1138" s="15"/>
      <c r="D1138" s="15">
        <v>13935.92</v>
      </c>
      <c r="E1138" s="16">
        <v>44057</v>
      </c>
      <c r="F1138" s="17" t="s">
        <v>25</v>
      </c>
    </row>
    <row r="1139" spans="1:6">
      <c r="A1139" s="13">
        <v>44060</v>
      </c>
      <c r="B1139" s="15">
        <v>755.52</v>
      </c>
      <c r="C1139" s="15"/>
      <c r="D1139" s="15">
        <v>14017.08</v>
      </c>
      <c r="E1139" s="16">
        <v>44060</v>
      </c>
      <c r="F1139" s="17" t="s">
        <v>25</v>
      </c>
    </row>
    <row r="1140" spans="1:6">
      <c r="A1140" s="13">
        <v>44061</v>
      </c>
      <c r="B1140" s="15">
        <v>765.93</v>
      </c>
      <c r="C1140" s="15"/>
      <c r="D1140" s="15">
        <v>14189.88</v>
      </c>
      <c r="E1140" s="16">
        <v>44061</v>
      </c>
      <c r="F1140" s="17" t="s">
        <v>25</v>
      </c>
    </row>
    <row r="1141" spans="1:6">
      <c r="A1141" s="13">
        <v>44062</v>
      </c>
      <c r="B1141" s="15">
        <v>769.83</v>
      </c>
      <c r="C1141" s="15"/>
      <c r="D1141" s="15">
        <v>14237.02</v>
      </c>
      <c r="E1141" s="16">
        <v>44062</v>
      </c>
      <c r="F1141" s="17" t="s">
        <v>25</v>
      </c>
    </row>
    <row r="1142" spans="1:6">
      <c r="A1142" s="13">
        <v>44063</v>
      </c>
      <c r="B1142" s="15">
        <v>766.93</v>
      </c>
      <c r="C1142" s="15"/>
      <c r="D1142" s="15">
        <v>14171.02</v>
      </c>
      <c r="E1142" s="16">
        <v>44063</v>
      </c>
      <c r="F1142" s="17" t="s">
        <v>25</v>
      </c>
    </row>
    <row r="1143" spans="1:6">
      <c r="A1143" s="13">
        <v>44064</v>
      </c>
      <c r="B1143" s="15">
        <v>770.64</v>
      </c>
      <c r="C1143" s="15"/>
      <c r="D1143" s="15">
        <v>14254.38</v>
      </c>
      <c r="E1143" s="16">
        <v>44064</v>
      </c>
      <c r="F1143" s="17" t="s">
        <v>25</v>
      </c>
    </row>
    <row r="1144" spans="1:6">
      <c r="A1144" s="13">
        <v>44067</v>
      </c>
      <c r="B1144" s="15">
        <v>777.25</v>
      </c>
      <c r="C1144" s="15"/>
      <c r="D1144" s="15">
        <v>14367.48</v>
      </c>
      <c r="E1144" s="16">
        <v>44067</v>
      </c>
      <c r="F1144" s="17" t="s">
        <v>25</v>
      </c>
    </row>
    <row r="1145" spans="1:6">
      <c r="A1145" s="13">
        <v>44068</v>
      </c>
      <c r="B1145" s="15">
        <v>778.41</v>
      </c>
      <c r="C1145" s="15"/>
      <c r="D1145" s="15">
        <v>14383.96</v>
      </c>
      <c r="E1145" s="16">
        <v>44068</v>
      </c>
      <c r="F1145" s="17" t="s">
        <v>25</v>
      </c>
    </row>
    <row r="1146" spans="1:6">
      <c r="A1146" s="13">
        <v>44069</v>
      </c>
      <c r="B1146" s="15">
        <v>781.32</v>
      </c>
      <c r="C1146" s="15"/>
      <c r="D1146" s="15">
        <v>14474.1</v>
      </c>
      <c r="E1146" s="16">
        <v>44069</v>
      </c>
      <c r="F1146" s="17" t="s">
        <v>25</v>
      </c>
    </row>
    <row r="1147" spans="1:6">
      <c r="A1147" s="13">
        <v>44070</v>
      </c>
      <c r="B1147" s="15">
        <v>784.09</v>
      </c>
      <c r="C1147" s="15"/>
      <c r="D1147" s="15">
        <v>14494.78</v>
      </c>
      <c r="E1147" s="16">
        <v>44070</v>
      </c>
      <c r="F1147" s="17" t="s">
        <v>25</v>
      </c>
    </row>
    <row r="1148" spans="1:6">
      <c r="A1148" s="13">
        <v>44071</v>
      </c>
      <c r="B1148" s="15">
        <v>791.87</v>
      </c>
      <c r="C1148" s="15"/>
      <c r="D1148" s="15">
        <v>14586.35</v>
      </c>
      <c r="E1148" s="16">
        <v>44071</v>
      </c>
      <c r="F1148" s="17" t="s">
        <v>25</v>
      </c>
    </row>
    <row r="1149" spans="1:6">
      <c r="A1149" s="13">
        <v>44074</v>
      </c>
      <c r="B1149" s="15">
        <v>767.12</v>
      </c>
      <c r="C1149" s="15"/>
      <c r="D1149" s="15">
        <v>14179.34</v>
      </c>
      <c r="E1149" s="16">
        <v>44074</v>
      </c>
      <c r="F1149" s="17" t="s">
        <v>25</v>
      </c>
    </row>
    <row r="1150" spans="1:6">
      <c r="A1150" s="13">
        <v>44075</v>
      </c>
      <c r="B1150" s="15">
        <v>775.19</v>
      </c>
      <c r="C1150" s="15"/>
      <c r="D1150" s="15">
        <v>14285.55</v>
      </c>
      <c r="E1150" s="16">
        <v>44075</v>
      </c>
      <c r="F1150" s="17" t="s">
        <v>25</v>
      </c>
    </row>
    <row r="1151" spans="1:6">
      <c r="A1151" s="13">
        <v>44076</v>
      </c>
      <c r="B1151" s="15">
        <v>780.92</v>
      </c>
      <c r="C1151" s="15"/>
      <c r="D1151" s="15">
        <v>14402.98</v>
      </c>
      <c r="E1151" s="16">
        <v>44076</v>
      </c>
      <c r="F1151" s="17" t="s">
        <v>25</v>
      </c>
    </row>
    <row r="1152" spans="1:6">
      <c r="A1152" s="13">
        <v>44077</v>
      </c>
      <c r="B1152" s="15">
        <v>780.53</v>
      </c>
      <c r="C1152" s="15"/>
      <c r="D1152" s="15">
        <v>14427.92</v>
      </c>
      <c r="E1152" s="16">
        <v>44077</v>
      </c>
      <c r="F1152" s="17" t="s">
        <v>25</v>
      </c>
    </row>
    <row r="1153" spans="1:6">
      <c r="A1153" s="13">
        <v>44078</v>
      </c>
      <c r="B1153" s="15">
        <v>768.33</v>
      </c>
      <c r="C1153" s="15"/>
      <c r="D1153" s="15">
        <v>14190.8</v>
      </c>
      <c r="E1153" s="16">
        <v>44078</v>
      </c>
      <c r="F1153" s="17" t="s">
        <v>25</v>
      </c>
    </row>
    <row r="1154" spans="1:6">
      <c r="A1154" s="13">
        <v>44081</v>
      </c>
      <c r="B1154" s="15">
        <v>766.25</v>
      </c>
      <c r="C1154" s="15"/>
      <c r="D1154" s="15">
        <v>14192.59</v>
      </c>
      <c r="E1154" s="16">
        <v>44081</v>
      </c>
      <c r="F1154" s="17" t="s">
        <v>25</v>
      </c>
    </row>
    <row r="1155" spans="1:6">
      <c r="A1155" s="13">
        <v>44082</v>
      </c>
      <c r="B1155" s="15">
        <v>759.12</v>
      </c>
      <c r="C1155" s="15"/>
      <c r="D1155" s="15">
        <v>14118.09</v>
      </c>
      <c r="E1155" s="16">
        <v>44082</v>
      </c>
      <c r="F1155" s="17" t="s">
        <v>25</v>
      </c>
    </row>
    <row r="1156" spans="1:6">
      <c r="A1156" s="13">
        <v>44083</v>
      </c>
      <c r="B1156" s="15">
        <v>755.3</v>
      </c>
      <c r="C1156" s="15"/>
      <c r="D1156" s="15">
        <v>14058.29</v>
      </c>
      <c r="E1156" s="16">
        <v>44083</v>
      </c>
      <c r="F1156" s="17" t="s">
        <v>25</v>
      </c>
    </row>
    <row r="1157" spans="1:6">
      <c r="A1157" s="13">
        <v>44084</v>
      </c>
      <c r="B1157" s="15">
        <v>759.35</v>
      </c>
      <c r="C1157" s="15"/>
      <c r="D1157" s="15">
        <v>14255.36</v>
      </c>
      <c r="E1157" s="16">
        <v>44084</v>
      </c>
      <c r="F1157" s="17" t="s">
        <v>25</v>
      </c>
    </row>
    <row r="1158" spans="1:6">
      <c r="A1158" s="13">
        <v>44085</v>
      </c>
      <c r="B1158" s="15">
        <v>761.73</v>
      </c>
      <c r="C1158" s="15"/>
      <c r="D1158" s="15">
        <v>14295.07</v>
      </c>
      <c r="E1158" s="16">
        <v>44085</v>
      </c>
      <c r="F1158" s="17" t="s">
        <v>25</v>
      </c>
    </row>
    <row r="1159" spans="1:6">
      <c r="A1159" s="13">
        <v>44088</v>
      </c>
      <c r="B1159" s="15">
        <v>767.4</v>
      </c>
      <c r="C1159" s="15"/>
      <c r="D1159" s="15">
        <v>14366.63</v>
      </c>
      <c r="E1159" s="16">
        <v>44088</v>
      </c>
      <c r="F1159" s="17" t="s">
        <v>25</v>
      </c>
    </row>
    <row r="1160" spans="1:6">
      <c r="A1160" s="13">
        <v>44089</v>
      </c>
      <c r="B1160" s="15">
        <v>777.31</v>
      </c>
      <c r="C1160" s="15"/>
      <c r="D1160" s="15">
        <v>14488.25</v>
      </c>
      <c r="E1160" s="16">
        <v>44089</v>
      </c>
      <c r="F1160" s="17" t="s">
        <v>25</v>
      </c>
    </row>
    <row r="1161" spans="1:6">
      <c r="A1161" s="13">
        <v>44090</v>
      </c>
      <c r="B1161" s="15">
        <v>784.29</v>
      </c>
      <c r="C1161" s="15"/>
      <c r="D1161" s="15">
        <v>14578.07</v>
      </c>
      <c r="E1161" s="16">
        <v>44090</v>
      </c>
      <c r="F1161" s="17" t="s">
        <v>25</v>
      </c>
    </row>
    <row r="1162" spans="1:6">
      <c r="A1162" s="13">
        <v>44091</v>
      </c>
      <c r="B1162" s="15">
        <v>782.47</v>
      </c>
      <c r="C1162" s="15"/>
      <c r="D1162" s="15">
        <v>14479.79</v>
      </c>
      <c r="E1162" s="16">
        <v>44091</v>
      </c>
      <c r="F1162" s="17" t="s">
        <v>25</v>
      </c>
    </row>
    <row r="1163" spans="1:6">
      <c r="A1163" s="13">
        <v>44092</v>
      </c>
      <c r="B1163" s="15">
        <v>784.71</v>
      </c>
      <c r="C1163" s="15"/>
      <c r="D1163" s="15">
        <v>14468.91</v>
      </c>
      <c r="E1163" s="16">
        <v>44092</v>
      </c>
      <c r="F1163" s="17" t="s">
        <v>25</v>
      </c>
    </row>
    <row r="1164" spans="1:6">
      <c r="A1164" s="13">
        <v>44095</v>
      </c>
      <c r="B1164" s="15">
        <v>759.66</v>
      </c>
      <c r="C1164" s="15"/>
      <c r="D1164" s="15">
        <v>14096.2</v>
      </c>
      <c r="E1164" s="16">
        <v>44095</v>
      </c>
      <c r="F1164" s="17" t="s">
        <v>25</v>
      </c>
    </row>
    <row r="1165" spans="1:6">
      <c r="A1165" s="13">
        <v>44096</v>
      </c>
      <c r="B1165" s="15">
        <v>755.2</v>
      </c>
      <c r="C1165" s="15"/>
      <c r="D1165" s="15">
        <v>13946.28</v>
      </c>
      <c r="E1165" s="16">
        <v>44096</v>
      </c>
      <c r="F1165" s="17" t="s">
        <v>25</v>
      </c>
    </row>
    <row r="1166" spans="1:6">
      <c r="A1166" s="13">
        <v>44097</v>
      </c>
      <c r="B1166" s="15">
        <v>750.15</v>
      </c>
      <c r="C1166" s="15"/>
      <c r="D1166" s="15">
        <v>13916.67</v>
      </c>
      <c r="E1166" s="16">
        <v>44097</v>
      </c>
      <c r="F1166" s="17" t="s">
        <v>25</v>
      </c>
    </row>
    <row r="1167" spans="1:6">
      <c r="A1167" s="13">
        <v>44098</v>
      </c>
      <c r="B1167" s="15">
        <v>731.09</v>
      </c>
      <c r="C1167" s="15"/>
      <c r="D1167" s="15">
        <v>13538.89</v>
      </c>
      <c r="E1167" s="16">
        <v>44098</v>
      </c>
      <c r="F1167" s="17" t="s">
        <v>25</v>
      </c>
    </row>
    <row r="1168" spans="1:6">
      <c r="A1168" s="13">
        <v>44099</v>
      </c>
      <c r="B1168" s="15">
        <v>750.12</v>
      </c>
      <c r="C1168" s="15"/>
      <c r="D1168" s="15">
        <v>13858.78</v>
      </c>
      <c r="E1168" s="16">
        <v>44099</v>
      </c>
      <c r="F1168" s="17" t="s">
        <v>25</v>
      </c>
    </row>
    <row r="1169" spans="1:6">
      <c r="A1169" s="13">
        <v>44102</v>
      </c>
      <c r="B1169" s="15">
        <v>766.11</v>
      </c>
      <c r="C1169" s="15"/>
      <c r="D1169" s="15">
        <v>14122.42</v>
      </c>
      <c r="E1169" s="16">
        <v>44102</v>
      </c>
      <c r="F1169" s="17" t="s">
        <v>25</v>
      </c>
    </row>
    <row r="1170" spans="1:6">
      <c r="A1170" s="13">
        <v>44103</v>
      </c>
      <c r="B1170" s="15">
        <v>763.27</v>
      </c>
      <c r="C1170" s="15"/>
      <c r="D1170" s="15">
        <v>14106.45</v>
      </c>
      <c r="E1170" s="16">
        <v>44103</v>
      </c>
      <c r="F1170" s="17" t="s">
        <v>25</v>
      </c>
    </row>
    <row r="1171" spans="1:6">
      <c r="A1171" s="13">
        <v>44104</v>
      </c>
      <c r="B1171" s="15">
        <v>764.55</v>
      </c>
      <c r="C1171" s="15"/>
      <c r="D1171" s="15">
        <v>14139.78</v>
      </c>
      <c r="E1171" s="16">
        <v>44104</v>
      </c>
      <c r="F1171" s="17" t="s">
        <v>25</v>
      </c>
    </row>
    <row r="1172" spans="1:6">
      <c r="A1172" s="13">
        <v>44105</v>
      </c>
      <c r="B1172" s="15">
        <v>774.43</v>
      </c>
      <c r="C1172" s="15"/>
      <c r="D1172" s="15">
        <v>14321.32</v>
      </c>
      <c r="E1172" s="16">
        <v>44105</v>
      </c>
      <c r="F1172" s="17" t="s">
        <v>25</v>
      </c>
    </row>
    <row r="1173" spans="1:6">
      <c r="A1173" s="13">
        <v>44109</v>
      </c>
      <c r="B1173" s="15">
        <v>778.15</v>
      </c>
      <c r="C1173" s="15"/>
      <c r="D1173" s="15">
        <v>14403.97</v>
      </c>
      <c r="E1173" s="16">
        <v>44109</v>
      </c>
      <c r="F1173" s="17" t="s">
        <v>25</v>
      </c>
    </row>
    <row r="1174" spans="1:6">
      <c r="A1174" s="13">
        <v>44110</v>
      </c>
      <c r="B1174" s="15">
        <v>784.66</v>
      </c>
      <c r="C1174" s="15"/>
      <c r="D1174" s="15">
        <v>14564.5</v>
      </c>
      <c r="E1174" s="16">
        <v>44110</v>
      </c>
      <c r="F1174" s="17" t="s">
        <v>25</v>
      </c>
    </row>
    <row r="1175" spans="1:6">
      <c r="A1175" s="13">
        <v>44111</v>
      </c>
      <c r="B1175" s="15">
        <v>786.09</v>
      </c>
      <c r="C1175" s="15"/>
      <c r="D1175" s="15">
        <v>14613.15</v>
      </c>
      <c r="E1175" s="16">
        <v>44111</v>
      </c>
      <c r="F1175" s="17" t="s">
        <v>25</v>
      </c>
    </row>
    <row r="1176" spans="1:6">
      <c r="A1176" s="13">
        <v>44112</v>
      </c>
      <c r="B1176" s="15">
        <v>790.98</v>
      </c>
      <c r="C1176" s="15"/>
      <c r="D1176" s="15">
        <v>14699.94</v>
      </c>
      <c r="E1176" s="16">
        <v>44112</v>
      </c>
      <c r="F1176" s="17" t="s">
        <v>25</v>
      </c>
    </row>
    <row r="1177" spans="1:6">
      <c r="A1177" s="13">
        <v>44113</v>
      </c>
      <c r="B1177" s="15">
        <v>795.24</v>
      </c>
      <c r="C1177" s="15"/>
      <c r="D1177" s="15">
        <v>14757.92</v>
      </c>
      <c r="E1177" s="16">
        <v>44113</v>
      </c>
      <c r="F1177" s="17" t="s">
        <v>25</v>
      </c>
    </row>
    <row r="1178" spans="1:6">
      <c r="A1178" s="13">
        <v>44116</v>
      </c>
      <c r="B1178" s="15">
        <v>794.51</v>
      </c>
      <c r="C1178" s="15"/>
      <c r="D1178" s="15">
        <v>14750.66</v>
      </c>
      <c r="E1178" s="16">
        <v>44116</v>
      </c>
      <c r="F1178" s="17" t="s">
        <v>25</v>
      </c>
    </row>
    <row r="1179" spans="1:6">
      <c r="A1179" s="13">
        <v>44117</v>
      </c>
      <c r="B1179" s="15">
        <v>792.29</v>
      </c>
      <c r="C1179" s="15"/>
      <c r="D1179" s="15">
        <v>14737.25</v>
      </c>
      <c r="E1179" s="16">
        <v>44117</v>
      </c>
      <c r="F1179" s="17" t="s">
        <v>25</v>
      </c>
    </row>
    <row r="1180" spans="1:6">
      <c r="A1180" s="13">
        <v>44118</v>
      </c>
      <c r="B1180" s="15">
        <v>795.57</v>
      </c>
      <c r="C1180" s="15"/>
      <c r="D1180" s="15">
        <v>14780.59</v>
      </c>
      <c r="E1180" s="16">
        <v>44118</v>
      </c>
      <c r="F1180" s="17" t="s">
        <v>25</v>
      </c>
    </row>
    <row r="1181" spans="1:6">
      <c r="A1181" s="13">
        <v>44119</v>
      </c>
      <c r="B1181" s="15">
        <v>778.75</v>
      </c>
      <c r="C1181" s="15"/>
      <c r="D1181" s="15">
        <v>14457.62</v>
      </c>
      <c r="E1181" s="16">
        <v>44119</v>
      </c>
      <c r="F1181" s="17" t="s">
        <v>25</v>
      </c>
    </row>
    <row r="1182" spans="1:6">
      <c r="A1182" s="13">
        <v>44120</v>
      </c>
      <c r="B1182" s="15">
        <v>786.43</v>
      </c>
      <c r="C1182" s="15"/>
      <c r="D1182" s="15">
        <v>14572.95</v>
      </c>
      <c r="E1182" s="16">
        <v>44120</v>
      </c>
      <c r="F1182" s="17" t="s">
        <v>25</v>
      </c>
    </row>
    <row r="1183" spans="1:6">
      <c r="A1183" s="13">
        <v>44123</v>
      </c>
      <c r="B1183" s="15">
        <v>792.74</v>
      </c>
      <c r="C1183" s="15"/>
      <c r="D1183" s="15">
        <v>14698.7</v>
      </c>
      <c r="E1183" s="16">
        <v>44123</v>
      </c>
      <c r="F1183" s="17" t="s">
        <v>25</v>
      </c>
    </row>
    <row r="1184" spans="1:6">
      <c r="A1184" s="13">
        <v>44124</v>
      </c>
      <c r="B1184" s="15">
        <v>798.05</v>
      </c>
      <c r="C1184" s="15"/>
      <c r="D1184" s="15">
        <v>14734.59</v>
      </c>
      <c r="E1184" s="16">
        <v>44124</v>
      </c>
      <c r="F1184" s="17" t="s">
        <v>25</v>
      </c>
    </row>
    <row r="1185" spans="1:6">
      <c r="A1185" s="13">
        <v>44125</v>
      </c>
      <c r="B1185" s="15">
        <v>801.88</v>
      </c>
      <c r="C1185" s="15"/>
      <c r="D1185" s="15">
        <v>14770.31</v>
      </c>
      <c r="E1185" s="16">
        <v>44125</v>
      </c>
      <c r="F1185" s="17" t="s">
        <v>25</v>
      </c>
    </row>
    <row r="1186" spans="1:6">
      <c r="A1186" s="13">
        <v>44126</v>
      </c>
      <c r="B1186" s="15">
        <v>801.58</v>
      </c>
      <c r="C1186" s="15"/>
      <c r="D1186" s="15">
        <v>14753.69</v>
      </c>
      <c r="E1186" s="16">
        <v>44126</v>
      </c>
      <c r="F1186" s="17" t="s">
        <v>25</v>
      </c>
    </row>
    <row r="1187" spans="1:6">
      <c r="A1187" s="13">
        <v>44127</v>
      </c>
      <c r="B1187" s="15">
        <v>805.07</v>
      </c>
      <c r="C1187" s="15"/>
      <c r="D1187" s="15">
        <v>14816.06</v>
      </c>
      <c r="E1187" s="16">
        <v>44127</v>
      </c>
      <c r="F1187" s="17" t="s">
        <v>25</v>
      </c>
    </row>
    <row r="1188" spans="1:6">
      <c r="A1188" s="13">
        <v>44130</v>
      </c>
      <c r="B1188" s="15">
        <v>794.34</v>
      </c>
      <c r="C1188" s="15"/>
      <c r="D1188" s="15">
        <v>14615.15</v>
      </c>
      <c r="E1188" s="16">
        <v>44130</v>
      </c>
      <c r="F1188" s="17" t="s">
        <v>25</v>
      </c>
    </row>
    <row r="1189" spans="1:6">
      <c r="A1189" s="13">
        <v>44131</v>
      </c>
      <c r="B1189" s="15">
        <v>804.01</v>
      </c>
      <c r="C1189" s="15"/>
      <c r="D1189" s="15">
        <v>14767.77</v>
      </c>
      <c r="E1189" s="16">
        <v>44131</v>
      </c>
      <c r="F1189" s="17" t="s">
        <v>25</v>
      </c>
    </row>
    <row r="1190" spans="1:6">
      <c r="A1190" s="13">
        <v>44132</v>
      </c>
      <c r="B1190" s="15">
        <v>794.81</v>
      </c>
      <c r="C1190" s="15"/>
      <c r="D1190" s="15">
        <v>14594.96</v>
      </c>
      <c r="E1190" s="16">
        <v>44132</v>
      </c>
      <c r="F1190" s="17" t="s">
        <v>25</v>
      </c>
    </row>
    <row r="1191" spans="1:6">
      <c r="A1191" s="13">
        <v>44133</v>
      </c>
      <c r="B1191" s="15">
        <v>791.38</v>
      </c>
      <c r="C1191" s="15"/>
      <c r="D1191" s="15">
        <v>14539.33</v>
      </c>
      <c r="E1191" s="16">
        <v>44133</v>
      </c>
      <c r="F1191" s="17" t="s">
        <v>25</v>
      </c>
    </row>
    <row r="1192" spans="1:6">
      <c r="A1192" s="13">
        <v>44134</v>
      </c>
      <c r="B1192" s="15">
        <v>788.5</v>
      </c>
      <c r="C1192" s="15"/>
      <c r="D1192" s="15">
        <v>14521.56</v>
      </c>
      <c r="E1192" s="16">
        <v>44134</v>
      </c>
      <c r="F1192" s="17" t="s">
        <v>25</v>
      </c>
    </row>
    <row r="1193" spans="1:6">
      <c r="A1193" s="13">
        <v>44137</v>
      </c>
      <c r="B1193" s="15">
        <v>795.32</v>
      </c>
      <c r="C1193" s="15"/>
      <c r="D1193" s="15">
        <v>14543.26</v>
      </c>
      <c r="E1193" s="16">
        <v>44137</v>
      </c>
      <c r="F1193" s="17" t="s">
        <v>25</v>
      </c>
    </row>
    <row r="1194" spans="1:6">
      <c r="A1194" s="13">
        <v>44138</v>
      </c>
      <c r="B1194" s="15">
        <v>804.35</v>
      </c>
      <c r="C1194" s="15"/>
      <c r="D1194" s="15">
        <v>14695.59</v>
      </c>
      <c r="E1194" s="16">
        <v>44138</v>
      </c>
      <c r="F1194" s="17" t="s">
        <v>25</v>
      </c>
    </row>
    <row r="1195" spans="1:6">
      <c r="A1195" s="13">
        <v>44139</v>
      </c>
      <c r="B1195" s="15">
        <v>809.48</v>
      </c>
      <c r="C1195" s="15"/>
      <c r="D1195" s="15">
        <v>14803.64</v>
      </c>
      <c r="E1195" s="16">
        <v>44139</v>
      </c>
      <c r="F1195" s="17" t="s">
        <v>25</v>
      </c>
    </row>
    <row r="1196" spans="1:6">
      <c r="A1196" s="13">
        <v>44140</v>
      </c>
      <c r="B1196" s="15">
        <v>824.04</v>
      </c>
      <c r="C1196" s="15"/>
      <c r="D1196" s="15">
        <v>15063.26</v>
      </c>
      <c r="E1196" s="16">
        <v>44140</v>
      </c>
      <c r="F1196" s="17" t="s">
        <v>25</v>
      </c>
    </row>
    <row r="1197" spans="1:6">
      <c r="A1197" s="13">
        <v>44141</v>
      </c>
      <c r="B1197" s="15">
        <v>829.32</v>
      </c>
      <c r="C1197" s="15"/>
      <c r="D1197" s="15">
        <v>15212.07</v>
      </c>
      <c r="E1197" s="16">
        <v>44141</v>
      </c>
      <c r="F1197" s="17" t="s">
        <v>25</v>
      </c>
    </row>
    <row r="1198" spans="1:6">
      <c r="A1198" s="13">
        <v>44144</v>
      </c>
      <c r="B1198" s="15">
        <v>843.54</v>
      </c>
      <c r="C1198" s="15"/>
      <c r="D1198" s="15">
        <v>15428.84</v>
      </c>
      <c r="E1198" s="16">
        <v>44144</v>
      </c>
      <c r="F1198" s="17" t="s">
        <v>25</v>
      </c>
    </row>
    <row r="1199" spans="1:6">
      <c r="A1199" s="13">
        <v>44145</v>
      </c>
      <c r="B1199" s="15">
        <v>845.68</v>
      </c>
      <c r="C1199" s="15"/>
      <c r="D1199" s="15">
        <v>15569.44</v>
      </c>
      <c r="E1199" s="16">
        <v>44145</v>
      </c>
      <c r="F1199" s="17" t="s">
        <v>25</v>
      </c>
    </row>
    <row r="1200" spans="1:6">
      <c r="A1200" s="13">
        <v>44146</v>
      </c>
      <c r="B1200" s="15">
        <v>855.59</v>
      </c>
      <c r="C1200" s="15"/>
      <c r="D1200" s="15">
        <v>15702.39</v>
      </c>
      <c r="E1200" s="16">
        <v>44146</v>
      </c>
      <c r="F1200" s="17" t="s">
        <v>25</v>
      </c>
    </row>
    <row r="1201" spans="1:6">
      <c r="A1201" s="13">
        <v>44147</v>
      </c>
      <c r="B1201" s="15">
        <v>853.02</v>
      </c>
      <c r="C1201" s="15"/>
      <c r="D1201" s="15">
        <v>15681.98</v>
      </c>
      <c r="E1201" s="16">
        <v>44147</v>
      </c>
      <c r="F1201" s="17" t="s">
        <v>25</v>
      </c>
    </row>
    <row r="1202" spans="1:6">
      <c r="A1202" s="13">
        <v>44148</v>
      </c>
      <c r="B1202" s="15">
        <v>859.48</v>
      </c>
      <c r="C1202" s="15"/>
      <c r="D1202" s="15">
        <v>15749.74</v>
      </c>
      <c r="E1202" s="16">
        <v>44148</v>
      </c>
      <c r="F1202" s="17" t="s">
        <v>25</v>
      </c>
    </row>
    <row r="1203" spans="1:6">
      <c r="A1203" s="13">
        <v>44152</v>
      </c>
      <c r="B1203" s="15">
        <v>871.99</v>
      </c>
      <c r="C1203" s="15"/>
      <c r="D1203" s="15">
        <v>15957.28</v>
      </c>
      <c r="E1203" s="16">
        <v>44152</v>
      </c>
      <c r="F1203" s="17" t="s">
        <v>25</v>
      </c>
    </row>
    <row r="1204" spans="1:6">
      <c r="A1204" s="13">
        <v>44153</v>
      </c>
      <c r="B1204" s="15">
        <v>874.83</v>
      </c>
      <c r="C1204" s="15"/>
      <c r="D1204" s="15">
        <v>16055.59</v>
      </c>
      <c r="E1204" s="16">
        <v>44153</v>
      </c>
      <c r="F1204" s="17" t="s">
        <v>25</v>
      </c>
    </row>
    <row r="1205" spans="1:6">
      <c r="A1205" s="13">
        <v>44154</v>
      </c>
      <c r="B1205" s="15">
        <v>866.11</v>
      </c>
      <c r="C1205" s="15"/>
      <c r="D1205" s="15">
        <v>15887.85</v>
      </c>
      <c r="E1205" s="16">
        <v>44154</v>
      </c>
      <c r="F1205" s="17" t="s">
        <v>25</v>
      </c>
    </row>
    <row r="1206" spans="1:6">
      <c r="A1206" s="13">
        <v>44155</v>
      </c>
      <c r="B1206" s="15">
        <v>874.93</v>
      </c>
      <c r="C1206" s="15"/>
      <c r="D1206" s="15">
        <v>16013.83</v>
      </c>
      <c r="E1206" s="16">
        <v>44155</v>
      </c>
      <c r="F1206" s="17" t="s">
        <v>25</v>
      </c>
    </row>
    <row r="1207" spans="1:6">
      <c r="A1207" s="13">
        <v>44158</v>
      </c>
      <c r="B1207" s="15">
        <v>881.11</v>
      </c>
      <c r="C1207" s="15"/>
      <c r="D1207" s="15">
        <v>16129.46</v>
      </c>
      <c r="E1207" s="16">
        <v>44158</v>
      </c>
      <c r="F1207" s="17" t="s">
        <v>25</v>
      </c>
    </row>
    <row r="1208" spans="1:6">
      <c r="A1208" s="13">
        <v>44159</v>
      </c>
      <c r="B1208" s="15">
        <v>891.96</v>
      </c>
      <c r="C1208" s="15"/>
      <c r="D1208" s="15">
        <v>16277.69</v>
      </c>
      <c r="E1208" s="16">
        <v>44159</v>
      </c>
      <c r="F1208" s="17" t="s">
        <v>25</v>
      </c>
    </row>
    <row r="1209" spans="1:6">
      <c r="A1209" s="13">
        <v>44160</v>
      </c>
      <c r="B1209" s="15">
        <v>876.38</v>
      </c>
      <c r="C1209" s="15"/>
      <c r="D1209" s="15">
        <v>16037.11</v>
      </c>
      <c r="E1209" s="16">
        <v>44160</v>
      </c>
      <c r="F1209" s="17" t="s">
        <v>25</v>
      </c>
    </row>
    <row r="1210" spans="1:6">
      <c r="A1210" s="13">
        <v>44161</v>
      </c>
      <c r="B1210" s="15">
        <v>886.98</v>
      </c>
      <c r="C1210" s="15"/>
      <c r="D1210" s="15">
        <v>16187.4</v>
      </c>
      <c r="E1210" s="16">
        <v>44161</v>
      </c>
      <c r="F1210" s="17" t="s">
        <v>25</v>
      </c>
    </row>
    <row r="1211" spans="1:6">
      <c r="A1211" s="13">
        <v>44162</v>
      </c>
      <c r="B1211" s="15">
        <v>891.11</v>
      </c>
      <c r="C1211" s="15"/>
      <c r="D1211" s="15">
        <v>16255.62</v>
      </c>
      <c r="E1211" s="16">
        <v>44162</v>
      </c>
      <c r="F1211" s="17" t="s">
        <v>25</v>
      </c>
    </row>
    <row r="1212" spans="1:6">
      <c r="A1212" s="13">
        <v>44166</v>
      </c>
      <c r="B1212" s="15">
        <v>901.24</v>
      </c>
      <c r="C1212" s="15"/>
      <c r="D1212" s="15">
        <v>16431.79</v>
      </c>
      <c r="E1212" s="16">
        <v>44166</v>
      </c>
      <c r="F1212" s="17" t="s">
        <v>25</v>
      </c>
    </row>
    <row r="1213" spans="1:6">
      <c r="A1213" s="13">
        <v>44167</v>
      </c>
      <c r="B1213" s="15">
        <v>902.93</v>
      </c>
      <c r="C1213" s="15"/>
      <c r="D1213" s="15">
        <v>16466.7</v>
      </c>
      <c r="E1213" s="16">
        <v>44167</v>
      </c>
      <c r="F1213" s="17" t="s">
        <v>25</v>
      </c>
    </row>
    <row r="1214" spans="1:6">
      <c r="A1214" s="13">
        <v>44168</v>
      </c>
      <c r="B1214" s="15">
        <v>905.15</v>
      </c>
      <c r="C1214" s="15"/>
      <c r="D1214" s="15">
        <v>16520.43</v>
      </c>
      <c r="E1214" s="16">
        <v>44168</v>
      </c>
      <c r="F1214" s="17" t="s">
        <v>25</v>
      </c>
    </row>
    <row r="1215" spans="1:6">
      <c r="A1215" s="13">
        <v>44169</v>
      </c>
      <c r="B1215" s="15">
        <v>914.37</v>
      </c>
      <c r="C1215" s="15"/>
      <c r="D1215" s="15">
        <v>16649.759999999998</v>
      </c>
      <c r="E1215" s="16">
        <v>44169</v>
      </c>
      <c r="F1215" s="17" t="s">
        <v>25</v>
      </c>
    </row>
    <row r="1216" spans="1:6">
      <c r="A1216" s="13">
        <v>44172</v>
      </c>
      <c r="B1216" s="15">
        <v>921.08</v>
      </c>
      <c r="C1216" s="15"/>
      <c r="D1216" s="15">
        <v>16788.330000000002</v>
      </c>
      <c r="E1216" s="16">
        <v>44172</v>
      </c>
      <c r="F1216" s="17" t="s">
        <v>25</v>
      </c>
    </row>
    <row r="1217" spans="1:6">
      <c r="A1217" s="13">
        <v>44173</v>
      </c>
      <c r="B1217" s="15">
        <v>921.22</v>
      </c>
      <c r="C1217" s="15"/>
      <c r="D1217" s="15">
        <v>16816.259999999998</v>
      </c>
      <c r="E1217" s="16">
        <v>44173</v>
      </c>
      <c r="F1217" s="17" t="s">
        <v>25</v>
      </c>
    </row>
    <row r="1218" spans="1:6">
      <c r="A1218" s="13">
        <v>44174</v>
      </c>
      <c r="B1218" s="15">
        <v>927.78</v>
      </c>
      <c r="C1218" s="15"/>
      <c r="D1218" s="15">
        <v>16956.62</v>
      </c>
      <c r="E1218" s="16">
        <v>44174</v>
      </c>
      <c r="F1218" s="17" t="s">
        <v>25</v>
      </c>
    </row>
    <row r="1219" spans="1:6">
      <c r="A1219" s="13">
        <v>44175</v>
      </c>
      <c r="B1219" s="15">
        <v>921.23</v>
      </c>
      <c r="C1219" s="15"/>
      <c r="D1219" s="15">
        <v>16896.14</v>
      </c>
      <c r="E1219" s="16">
        <v>44175</v>
      </c>
      <c r="F1219" s="17" t="s">
        <v>25</v>
      </c>
    </row>
    <row r="1220" spans="1:6">
      <c r="A1220" s="13">
        <v>44176</v>
      </c>
      <c r="B1220" s="15">
        <v>922.6</v>
      </c>
      <c r="C1220" s="15"/>
      <c r="D1220" s="15">
        <v>16941.77</v>
      </c>
      <c r="E1220" s="16">
        <v>44176</v>
      </c>
      <c r="F1220" s="17" t="s">
        <v>25</v>
      </c>
    </row>
    <row r="1221" spans="1:6">
      <c r="A1221" s="13">
        <v>44179</v>
      </c>
      <c r="B1221" s="15">
        <v>927.61</v>
      </c>
      <c r="C1221" s="15"/>
      <c r="D1221" s="15">
        <v>17008.25</v>
      </c>
      <c r="E1221" s="16">
        <v>44179</v>
      </c>
      <c r="F1221" s="17" t="s">
        <v>25</v>
      </c>
    </row>
    <row r="1222" spans="1:6">
      <c r="A1222" s="13">
        <v>44180</v>
      </c>
      <c r="B1222" s="15">
        <v>927.27</v>
      </c>
      <c r="C1222" s="15"/>
      <c r="D1222" s="15">
        <v>17021.37</v>
      </c>
      <c r="E1222" s="16">
        <v>44180</v>
      </c>
      <c r="F1222" s="17" t="s">
        <v>25</v>
      </c>
    </row>
    <row r="1223" spans="1:6">
      <c r="A1223" s="13">
        <v>44181</v>
      </c>
      <c r="B1223" s="15">
        <v>932.42</v>
      </c>
      <c r="C1223" s="15"/>
      <c r="D1223" s="15">
        <v>17167.23</v>
      </c>
      <c r="E1223" s="16">
        <v>44181</v>
      </c>
      <c r="F1223" s="17" t="s">
        <v>25</v>
      </c>
    </row>
    <row r="1224" spans="1:6">
      <c r="A1224" s="13">
        <v>44182</v>
      </c>
      <c r="B1224" s="15">
        <v>933.1</v>
      </c>
      <c r="C1224" s="15"/>
      <c r="D1224" s="15">
        <v>17209.96</v>
      </c>
      <c r="E1224" s="16">
        <v>44182</v>
      </c>
      <c r="F1224" s="17" t="s">
        <v>25</v>
      </c>
    </row>
    <row r="1225" spans="1:6">
      <c r="A1225" s="13">
        <v>44183</v>
      </c>
      <c r="B1225" s="15">
        <v>935.93</v>
      </c>
      <c r="C1225" s="15"/>
      <c r="D1225" s="15">
        <v>17223.02</v>
      </c>
      <c r="E1225" s="16">
        <v>44183</v>
      </c>
      <c r="F1225" s="17" t="s">
        <v>25</v>
      </c>
    </row>
    <row r="1226" spans="1:6">
      <c r="A1226" s="13">
        <v>44186</v>
      </c>
      <c r="B1226" s="15">
        <v>902.51</v>
      </c>
      <c r="C1226" s="15"/>
      <c r="D1226" s="15">
        <v>16630.400000000001</v>
      </c>
      <c r="E1226" s="16">
        <v>44186</v>
      </c>
      <c r="F1226" s="17" t="s">
        <v>25</v>
      </c>
    </row>
    <row r="1227" spans="1:6">
      <c r="A1227" s="13">
        <v>44187</v>
      </c>
      <c r="B1227" s="15">
        <v>913.32</v>
      </c>
      <c r="C1227" s="15"/>
      <c r="D1227" s="15">
        <v>16799.490000000002</v>
      </c>
      <c r="E1227" s="16">
        <v>44187</v>
      </c>
      <c r="F1227" s="17" t="s">
        <v>25</v>
      </c>
    </row>
    <row r="1228" spans="1:6">
      <c r="A1228" s="13">
        <v>44188</v>
      </c>
      <c r="B1228" s="15">
        <v>928.89</v>
      </c>
      <c r="C1228" s="15"/>
      <c r="D1228" s="15">
        <v>17026.8</v>
      </c>
      <c r="E1228" s="16">
        <v>44188</v>
      </c>
      <c r="F1228" s="17" t="s">
        <v>25</v>
      </c>
    </row>
    <row r="1229" spans="1:6">
      <c r="A1229" s="13">
        <v>44189</v>
      </c>
      <c r="B1229" s="15">
        <v>936.68</v>
      </c>
      <c r="C1229" s="15"/>
      <c r="D1229" s="15">
        <v>17178.02</v>
      </c>
      <c r="E1229" s="16">
        <v>44189</v>
      </c>
      <c r="F1229" s="17" t="s">
        <v>25</v>
      </c>
    </row>
    <row r="1230" spans="1:6">
      <c r="A1230" s="13">
        <v>44193</v>
      </c>
      <c r="B1230" s="15">
        <v>945.45</v>
      </c>
      <c r="C1230" s="15"/>
      <c r="D1230" s="15">
        <v>17343.97</v>
      </c>
      <c r="E1230" s="16">
        <v>44193</v>
      </c>
      <c r="F1230" s="17" t="s">
        <v>25</v>
      </c>
    </row>
    <row r="1231" spans="1:6">
      <c r="A1231" s="13">
        <v>44194</v>
      </c>
      <c r="B1231" s="15">
        <v>947.19</v>
      </c>
      <c r="C1231" s="15"/>
      <c r="D1231" s="15">
        <v>17392.96</v>
      </c>
      <c r="E1231" s="16">
        <v>44194</v>
      </c>
      <c r="F1231" s="17" t="s">
        <v>25</v>
      </c>
    </row>
    <row r="1232" spans="1:6">
      <c r="A1232" s="13">
        <v>44195</v>
      </c>
      <c r="B1232" s="15">
        <v>950.28</v>
      </c>
      <c r="C1232" s="15"/>
      <c r="D1232" s="15">
        <v>17457.650000000001</v>
      </c>
      <c r="E1232" s="16">
        <v>44195</v>
      </c>
      <c r="F1232" s="17" t="s">
        <v>25</v>
      </c>
    </row>
    <row r="1233" spans="1:6">
      <c r="A1233" s="13">
        <v>44196</v>
      </c>
      <c r="B1233" s="15">
        <v>952.95</v>
      </c>
      <c r="C1233" s="15"/>
      <c r="D1233" s="15">
        <v>17470.79</v>
      </c>
      <c r="E1233" s="16">
        <v>44196</v>
      </c>
      <c r="F1233" s="17" t="s">
        <v>25</v>
      </c>
    </row>
    <row r="1234" spans="1:6">
      <c r="A1234" s="13">
        <v>44197</v>
      </c>
      <c r="B1234" s="15">
        <v>956.61</v>
      </c>
      <c r="C1234" s="15"/>
      <c r="D1234" s="15">
        <v>17556.560000000001</v>
      </c>
      <c r="E1234" s="16">
        <v>44197</v>
      </c>
      <c r="F1234" s="17" t="s">
        <v>25</v>
      </c>
    </row>
    <row r="1235" spans="1:6">
      <c r="A1235" s="13">
        <v>44200</v>
      </c>
      <c r="B1235" s="15">
        <v>970.18</v>
      </c>
      <c r="C1235" s="15"/>
      <c r="D1235" s="15">
        <v>17733.95</v>
      </c>
      <c r="E1235" s="16">
        <v>44200</v>
      </c>
      <c r="F1235" s="17" t="s">
        <v>25</v>
      </c>
    </row>
    <row r="1236" spans="1:6">
      <c r="A1236" s="13">
        <v>44201</v>
      </c>
      <c r="B1236" s="15">
        <v>977.63</v>
      </c>
      <c r="C1236" s="15"/>
      <c r="D1236" s="15">
        <v>17848.060000000001</v>
      </c>
      <c r="E1236" s="16">
        <v>44201</v>
      </c>
      <c r="F1236" s="17" t="s">
        <v>25</v>
      </c>
    </row>
    <row r="1237" spans="1:6">
      <c r="A1237" s="13">
        <v>44202</v>
      </c>
      <c r="B1237" s="15">
        <v>979.64</v>
      </c>
      <c r="C1237" s="15"/>
      <c r="D1237" s="15">
        <v>17803.919999999998</v>
      </c>
      <c r="E1237" s="16">
        <v>44202</v>
      </c>
      <c r="F1237" s="17" t="s">
        <v>25</v>
      </c>
    </row>
    <row r="1238" spans="1:6">
      <c r="A1238" s="13">
        <v>44203</v>
      </c>
      <c r="B1238" s="15">
        <v>984.06</v>
      </c>
      <c r="C1238" s="15"/>
      <c r="D1238" s="15">
        <v>17846.66</v>
      </c>
      <c r="E1238" s="16">
        <v>44203</v>
      </c>
      <c r="F1238" s="17" t="s">
        <v>25</v>
      </c>
    </row>
    <row r="1239" spans="1:6">
      <c r="A1239" s="13">
        <v>44204</v>
      </c>
      <c r="B1239" s="15">
        <v>994.06</v>
      </c>
      <c r="C1239" s="15"/>
      <c r="D1239" s="15">
        <v>18088.64</v>
      </c>
      <c r="E1239" s="16">
        <v>44204</v>
      </c>
      <c r="F1239" s="17" t="s">
        <v>25</v>
      </c>
    </row>
    <row r="1240" spans="1:6">
      <c r="A1240" s="13">
        <v>44207</v>
      </c>
      <c r="B1240" s="15">
        <v>1002.15</v>
      </c>
      <c r="C1240" s="15"/>
      <c r="D1240" s="15">
        <v>18211.34</v>
      </c>
      <c r="E1240" s="16">
        <v>44207</v>
      </c>
      <c r="F1240" s="17" t="s">
        <v>25</v>
      </c>
    </row>
    <row r="1241" spans="1:6">
      <c r="A1241" s="13">
        <v>44208</v>
      </c>
      <c r="B1241" s="15">
        <v>1006.03</v>
      </c>
      <c r="C1241" s="15"/>
      <c r="D1241" s="15">
        <v>18290.03</v>
      </c>
      <c r="E1241" s="16">
        <v>44208</v>
      </c>
      <c r="F1241" s="17" t="s">
        <v>25</v>
      </c>
    </row>
    <row r="1242" spans="1:6">
      <c r="A1242" s="13">
        <v>44209</v>
      </c>
      <c r="B1242" s="15">
        <v>1005.96</v>
      </c>
      <c r="C1242" s="15"/>
      <c r="D1242" s="15">
        <v>18263.91</v>
      </c>
      <c r="E1242" s="16">
        <v>44209</v>
      </c>
      <c r="F1242" s="17" t="s">
        <v>25</v>
      </c>
    </row>
    <row r="1243" spans="1:6">
      <c r="A1243" s="13">
        <v>44210</v>
      </c>
      <c r="B1243" s="15">
        <v>1004.55</v>
      </c>
      <c r="C1243" s="15"/>
      <c r="D1243" s="15">
        <v>18308.29</v>
      </c>
      <c r="E1243" s="16">
        <v>44210</v>
      </c>
      <c r="F1243" s="17" t="s">
        <v>25</v>
      </c>
    </row>
    <row r="1244" spans="1:6">
      <c r="A1244" s="13">
        <v>44211</v>
      </c>
      <c r="B1244" s="15">
        <v>995.14</v>
      </c>
      <c r="C1244" s="15"/>
      <c r="D1244" s="15">
        <v>18098.509999999998</v>
      </c>
      <c r="E1244" s="16">
        <v>44211</v>
      </c>
      <c r="F1244" s="17" t="s">
        <v>25</v>
      </c>
    </row>
    <row r="1245" spans="1:6">
      <c r="A1245" s="13">
        <v>44214</v>
      </c>
      <c r="B1245" s="15">
        <v>978.84</v>
      </c>
      <c r="C1245" s="15"/>
      <c r="D1245" s="15">
        <v>17863.349999999999</v>
      </c>
      <c r="E1245" s="16">
        <v>44214</v>
      </c>
      <c r="F1245" s="17" t="s">
        <v>25</v>
      </c>
    </row>
    <row r="1246" spans="1:6">
      <c r="A1246" s="13">
        <v>44215</v>
      </c>
      <c r="B1246" s="15">
        <v>993.99</v>
      </c>
      <c r="C1246" s="15"/>
      <c r="D1246" s="15">
        <v>18175.28</v>
      </c>
      <c r="E1246" s="16">
        <v>44215</v>
      </c>
      <c r="F1246" s="17" t="s">
        <v>25</v>
      </c>
    </row>
    <row r="1247" spans="1:6">
      <c r="A1247" s="13">
        <v>44216</v>
      </c>
      <c r="B1247" s="15">
        <v>1000.36</v>
      </c>
      <c r="C1247" s="15"/>
      <c r="D1247" s="15">
        <v>18321.73</v>
      </c>
      <c r="E1247" s="16">
        <v>44216</v>
      </c>
      <c r="F1247" s="17" t="s">
        <v>25</v>
      </c>
    </row>
    <row r="1248" spans="1:6">
      <c r="A1248" s="13">
        <v>44217</v>
      </c>
      <c r="B1248" s="15">
        <v>992.16</v>
      </c>
      <c r="C1248" s="15"/>
      <c r="D1248" s="15">
        <v>18227.91</v>
      </c>
      <c r="E1248" s="16">
        <v>44217</v>
      </c>
      <c r="F1248" s="17" t="s">
        <v>25</v>
      </c>
    </row>
    <row r="1249" spans="1:6">
      <c r="A1249" s="13">
        <v>44218</v>
      </c>
      <c r="B1249" s="15">
        <v>978.89</v>
      </c>
      <c r="C1249" s="15"/>
      <c r="D1249" s="15">
        <v>17983.28</v>
      </c>
      <c r="E1249" s="16">
        <v>44218</v>
      </c>
      <c r="F1249" s="17" t="s">
        <v>25</v>
      </c>
    </row>
    <row r="1250" spans="1:6">
      <c r="A1250" s="13">
        <v>44221</v>
      </c>
      <c r="B1250" s="15">
        <v>972.94</v>
      </c>
      <c r="C1250" s="15"/>
      <c r="D1250" s="15">
        <v>17815.21</v>
      </c>
      <c r="E1250" s="16">
        <v>44221</v>
      </c>
      <c r="F1250" s="17" t="s">
        <v>25</v>
      </c>
    </row>
    <row r="1251" spans="1:6">
      <c r="A1251" s="13">
        <v>44223</v>
      </c>
      <c r="B1251" s="15">
        <v>954.6</v>
      </c>
      <c r="C1251" s="15"/>
      <c r="D1251" s="15">
        <v>17516.93</v>
      </c>
      <c r="E1251" s="16">
        <v>44223</v>
      </c>
      <c r="F1251" s="17" t="s">
        <v>25</v>
      </c>
    </row>
    <row r="1252" spans="1:6">
      <c r="A1252" s="13">
        <v>44224</v>
      </c>
      <c r="B1252" s="15">
        <v>947.44</v>
      </c>
      <c r="C1252" s="15"/>
      <c r="D1252" s="15">
        <v>17359.8</v>
      </c>
      <c r="E1252" s="16">
        <v>44224</v>
      </c>
      <c r="F1252" s="17" t="s">
        <v>25</v>
      </c>
    </row>
    <row r="1253" spans="1:6">
      <c r="A1253" s="13">
        <v>44225</v>
      </c>
      <c r="B1253" s="15">
        <v>936.54</v>
      </c>
      <c r="C1253" s="15"/>
      <c r="D1253" s="15">
        <v>17147.27</v>
      </c>
      <c r="E1253" s="16">
        <v>44225</v>
      </c>
      <c r="F1253" s="17" t="s">
        <v>25</v>
      </c>
    </row>
    <row r="1254" spans="1:6">
      <c r="A1254" s="13">
        <v>44228</v>
      </c>
      <c r="B1254" s="15">
        <v>972.2</v>
      </c>
      <c r="C1254" s="15"/>
      <c r="D1254" s="15">
        <v>17857.07</v>
      </c>
      <c r="E1254" s="16">
        <v>44228</v>
      </c>
      <c r="F1254" s="17" t="s">
        <v>25</v>
      </c>
    </row>
    <row r="1255" spans="1:6">
      <c r="A1255" s="13">
        <v>44229</v>
      </c>
      <c r="B1255" s="15">
        <v>995.61</v>
      </c>
      <c r="C1255" s="15"/>
      <c r="D1255" s="15">
        <v>18286.87</v>
      </c>
      <c r="E1255" s="16">
        <v>44229</v>
      </c>
      <c r="F1255" s="17" t="s">
        <v>25</v>
      </c>
    </row>
    <row r="1256" spans="1:6">
      <c r="A1256" s="13">
        <v>44230</v>
      </c>
      <c r="B1256" s="15">
        <v>1007.04</v>
      </c>
      <c r="C1256" s="15"/>
      <c r="D1256" s="15">
        <v>18470.150000000001</v>
      </c>
      <c r="E1256" s="16">
        <v>44230</v>
      </c>
      <c r="F1256" s="17" t="s">
        <v>25</v>
      </c>
    </row>
    <row r="1257" spans="1:6">
      <c r="A1257" s="13">
        <v>44231</v>
      </c>
      <c r="B1257" s="15">
        <v>1012.33</v>
      </c>
      <c r="C1257" s="15"/>
      <c r="D1257" s="15">
        <v>18640.59</v>
      </c>
      <c r="E1257" s="16">
        <v>44231</v>
      </c>
      <c r="F1257" s="17" t="s">
        <v>25</v>
      </c>
    </row>
    <row r="1258" spans="1:6">
      <c r="A1258" s="13">
        <v>44232</v>
      </c>
      <c r="B1258" s="15">
        <v>1007.53</v>
      </c>
      <c r="C1258" s="15"/>
      <c r="D1258" s="15">
        <v>18631.61</v>
      </c>
      <c r="E1258" s="16">
        <v>44232</v>
      </c>
      <c r="F1258" s="17" t="s">
        <v>25</v>
      </c>
    </row>
    <row r="1259" spans="1:6">
      <c r="A1259" s="13">
        <v>44235</v>
      </c>
      <c r="B1259" s="15">
        <v>1022.46</v>
      </c>
      <c r="C1259" s="15"/>
      <c r="D1259" s="15">
        <v>18876.939999999999</v>
      </c>
      <c r="E1259" s="16">
        <v>44235</v>
      </c>
      <c r="F1259" s="17" t="s">
        <v>25</v>
      </c>
    </row>
    <row r="1260" spans="1:6">
      <c r="A1260" s="13">
        <v>44236</v>
      </c>
      <c r="B1260" s="15">
        <v>1022.03</v>
      </c>
      <c r="C1260" s="15"/>
      <c r="D1260" s="15">
        <v>18867.87</v>
      </c>
      <c r="E1260" s="16">
        <v>44236</v>
      </c>
      <c r="F1260" s="17" t="s">
        <v>25</v>
      </c>
    </row>
    <row r="1261" spans="1:6">
      <c r="A1261" s="13">
        <v>44237</v>
      </c>
      <c r="B1261" s="15">
        <v>1021.69</v>
      </c>
      <c r="C1261" s="15"/>
      <c r="D1261" s="15">
        <v>18896</v>
      </c>
      <c r="E1261" s="16">
        <v>44237</v>
      </c>
      <c r="F1261" s="17" t="s">
        <v>25</v>
      </c>
    </row>
    <row r="1262" spans="1:6">
      <c r="A1262" s="13">
        <v>44238</v>
      </c>
      <c r="B1262" s="15">
        <v>1025.77</v>
      </c>
      <c r="C1262" s="15"/>
      <c r="D1262" s="15">
        <v>18993.38</v>
      </c>
      <c r="E1262" s="16">
        <v>44238</v>
      </c>
      <c r="F1262" s="17" t="s">
        <v>25</v>
      </c>
    </row>
    <row r="1263" spans="1:6">
      <c r="A1263" s="13">
        <v>44239</v>
      </c>
      <c r="B1263" s="15">
        <v>1028.6099999999999</v>
      </c>
      <c r="C1263" s="15"/>
      <c r="D1263" s="15">
        <v>18984.95</v>
      </c>
      <c r="E1263" s="16">
        <v>44239</v>
      </c>
      <c r="F1263" s="17" t="s">
        <v>25</v>
      </c>
    </row>
    <row r="1264" spans="1:6">
      <c r="A1264" s="13">
        <v>44242</v>
      </c>
      <c r="B1264" s="15">
        <v>1041.58</v>
      </c>
      <c r="C1264" s="15"/>
      <c r="D1264" s="15">
        <v>19174.53</v>
      </c>
      <c r="E1264" s="16">
        <v>44242</v>
      </c>
      <c r="F1264" s="17" t="s">
        <v>25</v>
      </c>
    </row>
    <row r="1265" spans="1:6">
      <c r="A1265" s="13">
        <v>44243</v>
      </c>
      <c r="B1265" s="15">
        <v>1038.98</v>
      </c>
      <c r="C1265" s="15"/>
      <c r="D1265" s="15">
        <v>19197.73</v>
      </c>
      <c r="E1265" s="16">
        <v>44243</v>
      </c>
      <c r="F1265" s="17" t="s">
        <v>25</v>
      </c>
    </row>
    <row r="1266" spans="1:6">
      <c r="A1266" s="13">
        <v>44244</v>
      </c>
      <c r="B1266" s="15">
        <v>1035.03</v>
      </c>
      <c r="C1266" s="15"/>
      <c r="D1266" s="15">
        <v>19127.05</v>
      </c>
      <c r="E1266" s="16">
        <v>44244</v>
      </c>
      <c r="F1266" s="17" t="s">
        <v>25</v>
      </c>
    </row>
    <row r="1267" spans="1:6">
      <c r="A1267" s="13">
        <v>44245</v>
      </c>
      <c r="B1267" s="15">
        <v>1030.1099999999999</v>
      </c>
      <c r="C1267" s="15"/>
      <c r="D1267" s="15">
        <v>19079.009999999998</v>
      </c>
      <c r="E1267" s="16">
        <v>44245</v>
      </c>
      <c r="F1267" s="17" t="s">
        <v>25</v>
      </c>
    </row>
    <row r="1268" spans="1:6">
      <c r="A1268" s="13">
        <v>44246</v>
      </c>
      <c r="B1268" s="15">
        <v>1016.49</v>
      </c>
      <c r="C1268" s="15"/>
      <c r="D1268" s="15">
        <v>18886.34</v>
      </c>
      <c r="E1268" s="16">
        <v>44246</v>
      </c>
      <c r="F1268" s="17" t="s">
        <v>25</v>
      </c>
    </row>
    <row r="1269" spans="1:6">
      <c r="A1269" s="13">
        <v>44249</v>
      </c>
      <c r="B1269" s="15">
        <v>1001.08</v>
      </c>
      <c r="C1269" s="15"/>
      <c r="D1269" s="15">
        <v>18551.849999999999</v>
      </c>
      <c r="E1269" s="16">
        <v>44249</v>
      </c>
      <c r="F1269" s="17" t="s">
        <v>25</v>
      </c>
    </row>
    <row r="1270" spans="1:6">
      <c r="A1270" s="13">
        <v>44250</v>
      </c>
      <c r="B1270" s="15">
        <v>1004.99</v>
      </c>
      <c r="C1270" s="15"/>
      <c r="D1270" s="15">
        <v>18629.78</v>
      </c>
      <c r="E1270" s="16">
        <v>44250</v>
      </c>
      <c r="F1270" s="17" t="s">
        <v>25</v>
      </c>
    </row>
    <row r="1271" spans="1:6">
      <c r="A1271" s="13">
        <v>44251</v>
      </c>
      <c r="B1271" s="15">
        <v>1017.94</v>
      </c>
      <c r="C1271" s="15"/>
      <c r="D1271" s="15">
        <v>18920.72</v>
      </c>
      <c r="E1271" s="16">
        <v>44251</v>
      </c>
      <c r="F1271" s="17" t="s">
        <v>25</v>
      </c>
    </row>
    <row r="1272" spans="1:6">
      <c r="A1272" s="13">
        <v>44252</v>
      </c>
      <c r="B1272" s="15">
        <v>1028.33</v>
      </c>
      <c r="C1272" s="15"/>
      <c r="D1272" s="15">
        <v>19091.93</v>
      </c>
      <c r="E1272" s="16">
        <v>44252</v>
      </c>
      <c r="F1272" s="17" t="s">
        <v>25</v>
      </c>
    </row>
    <row r="1273" spans="1:6">
      <c r="A1273" s="13">
        <v>44253</v>
      </c>
      <c r="B1273" s="15">
        <v>999.22</v>
      </c>
      <c r="C1273" s="15"/>
      <c r="D1273" s="15">
        <v>18504.86</v>
      </c>
      <c r="E1273" s="16">
        <v>44253</v>
      </c>
      <c r="F1273" s="17" t="s">
        <v>25</v>
      </c>
    </row>
    <row r="1274" spans="1:6">
      <c r="A1274" s="13">
        <v>44256</v>
      </c>
      <c r="B1274" s="15">
        <v>1013.63</v>
      </c>
      <c r="C1274" s="15"/>
      <c r="D1274" s="15">
        <v>18788.79</v>
      </c>
      <c r="E1274" s="16">
        <v>44256</v>
      </c>
      <c r="F1274" s="17" t="s">
        <v>25</v>
      </c>
    </row>
    <row r="1275" spans="1:6">
      <c r="A1275" s="13">
        <v>44257</v>
      </c>
      <c r="B1275" s="15">
        <v>1028.4100000000001</v>
      </c>
      <c r="C1275" s="15"/>
      <c r="D1275" s="15">
        <v>19018.349999999999</v>
      </c>
      <c r="E1275" s="16">
        <v>44257</v>
      </c>
      <c r="F1275" s="17" t="s">
        <v>25</v>
      </c>
    </row>
    <row r="1276" spans="1:6">
      <c r="A1276" s="13">
        <v>44258</v>
      </c>
      <c r="B1276" s="15">
        <v>1046.3900000000001</v>
      </c>
      <c r="C1276" s="15"/>
      <c r="D1276" s="15">
        <v>19391.150000000001</v>
      </c>
      <c r="E1276" s="16">
        <v>44258</v>
      </c>
      <c r="F1276" s="17" t="s">
        <v>25</v>
      </c>
    </row>
    <row r="1277" spans="1:6">
      <c r="A1277" s="13">
        <v>44259</v>
      </c>
      <c r="B1277" s="15">
        <v>1040.3</v>
      </c>
      <c r="C1277" s="15"/>
      <c r="D1277" s="15">
        <v>19275.759999999998</v>
      </c>
      <c r="E1277" s="16">
        <v>44259</v>
      </c>
      <c r="F1277" s="17" t="s">
        <v>25</v>
      </c>
    </row>
    <row r="1278" spans="1:6">
      <c r="A1278" s="13">
        <v>44260</v>
      </c>
      <c r="B1278" s="15">
        <v>1025.33</v>
      </c>
      <c r="C1278" s="15"/>
      <c r="D1278" s="15">
        <v>19048.330000000002</v>
      </c>
      <c r="E1278" s="16">
        <v>44260</v>
      </c>
      <c r="F1278" s="17" t="s">
        <v>25</v>
      </c>
    </row>
    <row r="1279" spans="1:6">
      <c r="A1279" s="13">
        <v>44263</v>
      </c>
      <c r="B1279" s="15">
        <v>1028.04</v>
      </c>
      <c r="C1279" s="15"/>
      <c r="D1279" s="15">
        <v>19080.72</v>
      </c>
      <c r="E1279" s="16">
        <v>44263</v>
      </c>
      <c r="F1279" s="17" t="s">
        <v>25</v>
      </c>
    </row>
    <row r="1280" spans="1:6">
      <c r="A1280" s="13">
        <v>44264</v>
      </c>
      <c r="B1280" s="15">
        <v>1031.43</v>
      </c>
      <c r="C1280" s="15"/>
      <c r="D1280" s="15">
        <v>19169.29</v>
      </c>
      <c r="E1280" s="16">
        <v>44264</v>
      </c>
      <c r="F1280" s="17" t="s">
        <v>25</v>
      </c>
    </row>
    <row r="1281" spans="1:6">
      <c r="A1281" s="13">
        <v>44265</v>
      </c>
      <c r="B1281" s="15">
        <v>1038.49</v>
      </c>
      <c r="C1281" s="15"/>
      <c r="D1281" s="15">
        <v>19282.39</v>
      </c>
      <c r="E1281" s="16">
        <v>44265</v>
      </c>
      <c r="F1281" s="17" t="s">
        <v>25</v>
      </c>
    </row>
    <row r="1282" spans="1:6">
      <c r="A1282" s="13">
        <v>44267</v>
      </c>
      <c r="B1282" s="15">
        <v>1029.76</v>
      </c>
      <c r="C1282" s="15"/>
      <c r="D1282" s="15">
        <v>19134.34</v>
      </c>
      <c r="E1282" s="16">
        <v>44267</v>
      </c>
      <c r="F1282" s="17" t="s">
        <v>25</v>
      </c>
    </row>
    <row r="1283" spans="1:6">
      <c r="A1283" s="13">
        <v>44270</v>
      </c>
      <c r="B1283" s="15">
        <v>1021.89</v>
      </c>
      <c r="C1283" s="15"/>
      <c r="D1283" s="15">
        <v>19009.240000000002</v>
      </c>
      <c r="E1283" s="16">
        <v>44270</v>
      </c>
      <c r="F1283" s="17" t="s">
        <v>25</v>
      </c>
    </row>
    <row r="1284" spans="1:6">
      <c r="A1284" s="13">
        <v>44271</v>
      </c>
      <c r="B1284" s="15">
        <v>1023.28</v>
      </c>
      <c r="C1284" s="15"/>
      <c r="D1284" s="15">
        <v>19013.09</v>
      </c>
      <c r="E1284" s="16">
        <v>44271</v>
      </c>
      <c r="F1284" s="17" t="s">
        <v>25</v>
      </c>
    </row>
    <row r="1285" spans="1:6">
      <c r="A1285" s="13">
        <v>44272</v>
      </c>
      <c r="B1285" s="15">
        <v>1007.43</v>
      </c>
      <c r="C1285" s="15"/>
      <c r="D1285" s="15">
        <v>18720.14</v>
      </c>
      <c r="E1285" s="16">
        <v>44272</v>
      </c>
      <c r="F1285" s="17" t="s">
        <v>25</v>
      </c>
    </row>
    <row r="1286" spans="1:6">
      <c r="A1286" s="13">
        <v>44273</v>
      </c>
      <c r="B1286" s="15">
        <v>991.14</v>
      </c>
      <c r="C1286" s="15"/>
      <c r="D1286" s="15">
        <v>18500.439999999999</v>
      </c>
      <c r="E1286" s="16">
        <v>44273</v>
      </c>
      <c r="F1286" s="17" t="s">
        <v>25</v>
      </c>
    </row>
    <row r="1287" spans="1:6">
      <c r="A1287" s="13">
        <v>44274</v>
      </c>
      <c r="B1287" s="15">
        <v>1001.12</v>
      </c>
      <c r="C1287" s="15"/>
      <c r="D1287" s="15">
        <v>18713.400000000001</v>
      </c>
      <c r="E1287" s="16">
        <v>44274</v>
      </c>
      <c r="F1287" s="17" t="s">
        <v>25</v>
      </c>
    </row>
    <row r="1288" spans="1:6">
      <c r="A1288" s="13">
        <v>44277</v>
      </c>
      <c r="B1288" s="15">
        <v>1004.46</v>
      </c>
      <c r="C1288" s="15"/>
      <c r="D1288" s="15">
        <v>18751.47</v>
      </c>
      <c r="E1288" s="16">
        <v>44277</v>
      </c>
      <c r="F1288" s="17" t="s">
        <v>25</v>
      </c>
    </row>
    <row r="1289" spans="1:6">
      <c r="A1289" s="13">
        <v>44278</v>
      </c>
      <c r="B1289" s="15">
        <v>1012.3</v>
      </c>
      <c r="C1289" s="15"/>
      <c r="D1289" s="15">
        <v>18872.96</v>
      </c>
      <c r="E1289" s="16">
        <v>44278</v>
      </c>
      <c r="F1289" s="17" t="s">
        <v>25</v>
      </c>
    </row>
    <row r="1290" spans="1:6">
      <c r="A1290" s="13">
        <v>44279</v>
      </c>
      <c r="B1290" s="15">
        <v>995.34</v>
      </c>
      <c r="C1290" s="15"/>
      <c r="D1290" s="15">
        <v>18538.400000000001</v>
      </c>
      <c r="E1290" s="16">
        <v>44279</v>
      </c>
      <c r="F1290" s="17" t="s">
        <v>25</v>
      </c>
    </row>
    <row r="1291" spans="1:6">
      <c r="A1291" s="13">
        <v>44280</v>
      </c>
      <c r="B1291" s="15">
        <v>981.45</v>
      </c>
      <c r="C1291" s="15"/>
      <c r="D1291" s="15">
        <v>18229.330000000002</v>
      </c>
      <c r="E1291" s="16">
        <v>44280</v>
      </c>
      <c r="F1291" s="17" t="s">
        <v>25</v>
      </c>
    </row>
    <row r="1292" spans="1:6">
      <c r="A1292" s="13">
        <v>44281</v>
      </c>
      <c r="B1292" s="15">
        <v>997.09</v>
      </c>
      <c r="C1292" s="15"/>
      <c r="D1292" s="15">
        <v>18465.849999999999</v>
      </c>
      <c r="E1292" s="16">
        <v>44281</v>
      </c>
      <c r="F1292" s="17" t="s">
        <v>25</v>
      </c>
    </row>
    <row r="1293" spans="1:6">
      <c r="A1293" s="13">
        <v>44285</v>
      </c>
      <c r="B1293" s="15">
        <v>1016.92</v>
      </c>
      <c r="C1293" s="15"/>
      <c r="D1293" s="15">
        <v>18830.03</v>
      </c>
      <c r="E1293" s="16">
        <v>44285</v>
      </c>
      <c r="F1293" s="17" t="s">
        <v>25</v>
      </c>
    </row>
    <row r="1294" spans="1:6">
      <c r="A1294" s="13">
        <v>44286</v>
      </c>
      <c r="B1294" s="15">
        <v>1009.97</v>
      </c>
      <c r="C1294" s="15"/>
      <c r="D1294" s="15">
        <v>18717.240000000002</v>
      </c>
      <c r="E1294" s="16">
        <v>44286</v>
      </c>
      <c r="F1294" s="17" t="s">
        <v>25</v>
      </c>
    </row>
    <row r="1295" spans="1:6">
      <c r="A1295" s="13">
        <v>44287</v>
      </c>
      <c r="B1295" s="15">
        <v>1023.76</v>
      </c>
      <c r="C1295" s="15"/>
      <c r="D1295" s="15">
        <v>18968.55</v>
      </c>
      <c r="E1295" s="16">
        <v>44287</v>
      </c>
      <c r="F1295" s="17" t="s">
        <v>25</v>
      </c>
    </row>
    <row r="1296" spans="1:6">
      <c r="A1296" s="13">
        <v>44291</v>
      </c>
      <c r="B1296" s="15">
        <v>1011.77</v>
      </c>
      <c r="C1296" s="15"/>
      <c r="D1296" s="15">
        <v>18694.759999999998</v>
      </c>
      <c r="E1296" s="16">
        <v>44291</v>
      </c>
      <c r="F1296" s="17" t="s">
        <v>25</v>
      </c>
    </row>
    <row r="1297" spans="1:6">
      <c r="A1297" s="13">
        <v>44292</v>
      </c>
      <c r="B1297" s="15">
        <v>1012.68</v>
      </c>
      <c r="C1297" s="15"/>
      <c r="D1297" s="15">
        <v>18785.23</v>
      </c>
      <c r="E1297" s="16">
        <v>44292</v>
      </c>
      <c r="F1297" s="17" t="s">
        <v>25</v>
      </c>
    </row>
    <row r="1298" spans="1:6">
      <c r="A1298" s="13">
        <v>44293</v>
      </c>
      <c r="B1298" s="15">
        <v>1025.92</v>
      </c>
      <c r="C1298" s="15"/>
      <c r="D1298" s="15">
        <v>18972.599999999999</v>
      </c>
      <c r="E1298" s="16">
        <v>44293</v>
      </c>
      <c r="F1298" s="17" t="s">
        <v>25</v>
      </c>
    </row>
    <row r="1299" spans="1:6">
      <c r="A1299" s="13">
        <v>44294</v>
      </c>
      <c r="B1299" s="15">
        <v>1031.74</v>
      </c>
      <c r="C1299" s="15"/>
      <c r="D1299" s="15">
        <v>19065.82</v>
      </c>
      <c r="E1299" s="16">
        <v>44294</v>
      </c>
      <c r="F1299" s="17" t="s">
        <v>25</v>
      </c>
    </row>
    <row r="1300" spans="1:6">
      <c r="A1300" s="13">
        <v>44295</v>
      </c>
      <c r="B1300" s="15">
        <v>1030.6600000000001</v>
      </c>
      <c r="C1300" s="15"/>
      <c r="D1300" s="15">
        <v>19044.22</v>
      </c>
      <c r="E1300" s="16">
        <v>44295</v>
      </c>
      <c r="F1300" s="17" t="s">
        <v>25</v>
      </c>
    </row>
    <row r="1301" spans="1:6">
      <c r="A1301" s="13">
        <v>44298</v>
      </c>
      <c r="B1301" s="15">
        <v>993.38</v>
      </c>
      <c r="C1301" s="15"/>
      <c r="D1301" s="15">
        <v>18279.05</v>
      </c>
      <c r="E1301" s="16">
        <v>44298</v>
      </c>
      <c r="F1301" s="17" t="s">
        <v>25</v>
      </c>
    </row>
    <row r="1302" spans="1:6">
      <c r="A1302" s="13">
        <v>44299</v>
      </c>
      <c r="B1302" s="15">
        <v>1003.08</v>
      </c>
      <c r="C1302" s="15"/>
      <c r="D1302" s="15">
        <v>18526.240000000002</v>
      </c>
      <c r="E1302" s="16">
        <v>44299</v>
      </c>
      <c r="F1302" s="17" t="s">
        <v>25</v>
      </c>
    </row>
    <row r="1303" spans="1:6">
      <c r="A1303" s="13">
        <v>44301</v>
      </c>
      <c r="B1303" s="15">
        <v>1006.43</v>
      </c>
      <c r="C1303" s="15"/>
      <c r="D1303" s="15">
        <v>18603.68</v>
      </c>
      <c r="E1303" s="16">
        <v>44301</v>
      </c>
      <c r="F1303" s="17" t="s">
        <v>25</v>
      </c>
    </row>
    <row r="1304" spans="1:6">
      <c r="A1304" s="13">
        <v>44302</v>
      </c>
      <c r="B1304" s="15">
        <v>1012.83</v>
      </c>
      <c r="C1304" s="15"/>
      <c r="D1304" s="15">
        <v>18695.580000000002</v>
      </c>
      <c r="E1304" s="16">
        <v>44302</v>
      </c>
      <c r="F1304" s="17" t="s">
        <v>25</v>
      </c>
    </row>
    <row r="1305" spans="1:6">
      <c r="A1305" s="13">
        <v>44305</v>
      </c>
      <c r="B1305" s="15">
        <v>998.27</v>
      </c>
      <c r="C1305" s="15"/>
      <c r="D1305" s="15">
        <v>18359.48</v>
      </c>
      <c r="E1305" s="16">
        <v>44305</v>
      </c>
      <c r="F1305" s="17" t="s">
        <v>25</v>
      </c>
    </row>
    <row r="1306" spans="1:6">
      <c r="A1306" s="13">
        <v>44306</v>
      </c>
      <c r="B1306" s="15">
        <v>1001.13</v>
      </c>
      <c r="C1306" s="15"/>
      <c r="D1306" s="15">
        <v>18327.47</v>
      </c>
      <c r="E1306" s="16">
        <v>44306</v>
      </c>
      <c r="F1306" s="17" t="s">
        <v>25</v>
      </c>
    </row>
    <row r="1307" spans="1:6">
      <c r="A1307" s="13">
        <v>44308</v>
      </c>
      <c r="B1307" s="15">
        <v>1008.73</v>
      </c>
      <c r="C1307" s="15"/>
      <c r="D1307" s="15">
        <v>18444.73</v>
      </c>
      <c r="E1307" s="16">
        <v>44308</v>
      </c>
      <c r="F1307" s="17" t="s">
        <v>25</v>
      </c>
    </row>
    <row r="1308" spans="1:6">
      <c r="A1308" s="13">
        <v>44309</v>
      </c>
      <c r="B1308" s="15">
        <v>1004.78</v>
      </c>
      <c r="C1308" s="15"/>
      <c r="D1308" s="15">
        <v>18404.47</v>
      </c>
      <c r="E1308" s="16">
        <v>44309</v>
      </c>
      <c r="F1308" s="17" t="s">
        <v>25</v>
      </c>
    </row>
    <row r="1309" spans="1:6">
      <c r="A1309" s="13">
        <v>44312</v>
      </c>
      <c r="B1309" s="15">
        <v>1014.8</v>
      </c>
      <c r="C1309" s="15"/>
      <c r="D1309" s="15">
        <v>18573.669999999998</v>
      </c>
      <c r="E1309" s="16">
        <v>44312</v>
      </c>
      <c r="F1309" s="17" t="s">
        <v>25</v>
      </c>
    </row>
    <row r="1310" spans="1:6">
      <c r="A1310" s="13">
        <v>44313</v>
      </c>
      <c r="B1310" s="15">
        <v>1028.01</v>
      </c>
      <c r="C1310" s="15"/>
      <c r="D1310" s="15">
        <v>18795.169999999998</v>
      </c>
      <c r="E1310" s="16">
        <v>44313</v>
      </c>
      <c r="F1310" s="17" t="s">
        <v>25</v>
      </c>
    </row>
    <row r="1311" spans="1:6">
      <c r="A1311" s="13">
        <v>44314</v>
      </c>
      <c r="B1311" s="15">
        <v>1041.04</v>
      </c>
      <c r="C1311" s="15"/>
      <c r="D1311" s="15">
        <v>19031.439999999999</v>
      </c>
      <c r="E1311" s="16">
        <v>44314</v>
      </c>
      <c r="F1311" s="17" t="s">
        <v>25</v>
      </c>
    </row>
    <row r="1312" spans="1:6">
      <c r="A1312" s="13">
        <v>44315</v>
      </c>
      <c r="B1312" s="15">
        <v>1046.0999999999999</v>
      </c>
      <c r="C1312" s="15"/>
      <c r="D1312" s="15">
        <v>19058.16</v>
      </c>
      <c r="E1312" s="16">
        <v>44315</v>
      </c>
      <c r="F1312" s="17" t="s">
        <v>25</v>
      </c>
    </row>
    <row r="1313" spans="1:6">
      <c r="A1313" s="13">
        <v>44316</v>
      </c>
      <c r="B1313" s="15">
        <v>1035.49</v>
      </c>
      <c r="C1313" s="15"/>
      <c r="D1313" s="15">
        <v>18802.03</v>
      </c>
      <c r="E1313" s="16">
        <v>44316</v>
      </c>
      <c r="F1313" s="17" t="s">
        <v>25</v>
      </c>
    </row>
    <row r="1314" spans="1:6">
      <c r="A1314" s="13">
        <v>44319</v>
      </c>
      <c r="B1314" s="15">
        <v>1039.29</v>
      </c>
      <c r="C1314" s="15"/>
      <c r="D1314" s="15">
        <v>18848.97</v>
      </c>
      <c r="E1314" s="16">
        <v>44319</v>
      </c>
      <c r="F1314" s="17" t="s">
        <v>25</v>
      </c>
    </row>
    <row r="1315" spans="1:6">
      <c r="A1315" s="13">
        <v>44320</v>
      </c>
      <c r="B1315" s="15">
        <v>1029.6099999999999</v>
      </c>
      <c r="C1315" s="15"/>
      <c r="D1315" s="15">
        <v>18704.849999999999</v>
      </c>
      <c r="E1315" s="16">
        <v>44320</v>
      </c>
      <c r="F1315" s="17" t="s">
        <v>25</v>
      </c>
    </row>
    <row r="1316" spans="1:6">
      <c r="A1316" s="13">
        <v>44321</v>
      </c>
      <c r="B1316" s="15">
        <v>1043.18</v>
      </c>
      <c r="C1316" s="15"/>
      <c r="D1316" s="15">
        <v>18876.03</v>
      </c>
      <c r="E1316" s="16">
        <v>44321</v>
      </c>
      <c r="F1316" s="17" t="s">
        <v>25</v>
      </c>
    </row>
    <row r="1317" spans="1:6">
      <c r="A1317" s="13">
        <v>44322</v>
      </c>
      <c r="B1317" s="15">
        <v>1052.8599999999999</v>
      </c>
      <c r="C1317" s="15"/>
      <c r="D1317" s="15">
        <v>19011.169999999998</v>
      </c>
      <c r="E1317" s="16">
        <v>44322</v>
      </c>
      <c r="F1317" s="17" t="s">
        <v>25</v>
      </c>
    </row>
    <row r="1318" spans="1:6">
      <c r="A1318" s="13">
        <v>44323</v>
      </c>
      <c r="B1318" s="15">
        <v>1055.32</v>
      </c>
      <c r="C1318" s="15"/>
      <c r="D1318" s="15">
        <v>19104.240000000002</v>
      </c>
      <c r="E1318" s="16">
        <v>44323</v>
      </c>
      <c r="F1318" s="17" t="s">
        <v>25</v>
      </c>
    </row>
    <row r="1319" spans="1:6">
      <c r="A1319" s="13">
        <v>44326</v>
      </c>
      <c r="B1319" s="15">
        <v>1066.07</v>
      </c>
      <c r="C1319" s="15"/>
      <c r="D1319" s="15">
        <v>19266.669999999998</v>
      </c>
      <c r="E1319" s="16">
        <v>44326</v>
      </c>
      <c r="F1319" s="17" t="s">
        <v>25</v>
      </c>
    </row>
    <row r="1320" spans="1:6">
      <c r="A1320" s="13">
        <v>44327</v>
      </c>
      <c r="B1320" s="15">
        <v>1064.5999999999999</v>
      </c>
      <c r="C1320" s="15"/>
      <c r="D1320" s="15">
        <v>19225.099999999999</v>
      </c>
      <c r="E1320" s="16">
        <v>44327</v>
      </c>
      <c r="F1320" s="17" t="s">
        <v>25</v>
      </c>
    </row>
    <row r="1321" spans="1:6">
      <c r="A1321" s="13">
        <v>44328</v>
      </c>
      <c r="B1321" s="15">
        <v>1055.52</v>
      </c>
      <c r="C1321" s="15"/>
      <c r="D1321" s="15">
        <v>19066.54</v>
      </c>
      <c r="E1321" s="16">
        <v>44328</v>
      </c>
      <c r="F1321" s="17" t="s">
        <v>25</v>
      </c>
    </row>
    <row r="1322" spans="1:6">
      <c r="A1322" s="13">
        <v>44330</v>
      </c>
      <c r="B1322" s="15">
        <v>1045.6099999999999</v>
      </c>
      <c r="C1322" s="15"/>
      <c r="D1322" s="15">
        <v>18966.490000000002</v>
      </c>
      <c r="E1322" s="16">
        <v>44330</v>
      </c>
      <c r="F1322" s="17" t="s">
        <v>25</v>
      </c>
    </row>
    <row r="1323" spans="1:6">
      <c r="A1323" s="13">
        <v>44333</v>
      </c>
      <c r="B1323" s="15">
        <v>1058.6500000000001</v>
      </c>
      <c r="C1323" s="15"/>
      <c r="D1323" s="15">
        <v>19270.53</v>
      </c>
      <c r="E1323" s="16">
        <v>44333</v>
      </c>
      <c r="F1323" s="17" t="s">
        <v>25</v>
      </c>
    </row>
    <row r="1324" spans="1:6">
      <c r="A1324" s="13">
        <v>44334</v>
      </c>
      <c r="B1324" s="15">
        <v>1070.48</v>
      </c>
      <c r="C1324" s="15"/>
      <c r="D1324" s="15">
        <v>19524.650000000001</v>
      </c>
      <c r="E1324" s="16">
        <v>44334</v>
      </c>
      <c r="F1324" s="17" t="s">
        <v>25</v>
      </c>
    </row>
    <row r="1325" spans="1:6">
      <c r="A1325" s="13">
        <v>44335</v>
      </c>
      <c r="B1325" s="15">
        <v>1067.1400000000001</v>
      </c>
      <c r="C1325" s="15"/>
      <c r="D1325" s="15">
        <v>19478.900000000001</v>
      </c>
      <c r="E1325" s="16">
        <v>44335</v>
      </c>
      <c r="F1325" s="17" t="s">
        <v>25</v>
      </c>
    </row>
    <row r="1326" spans="1:6">
      <c r="A1326" s="13">
        <v>44336</v>
      </c>
      <c r="B1326" s="15">
        <v>1062.28</v>
      </c>
      <c r="C1326" s="15"/>
      <c r="D1326" s="15">
        <v>19368.54</v>
      </c>
      <c r="E1326" s="16">
        <v>44336</v>
      </c>
      <c r="F1326" s="17" t="s">
        <v>25</v>
      </c>
    </row>
    <row r="1327" spans="1:6">
      <c r="A1327" s="13">
        <v>44337</v>
      </c>
      <c r="B1327" s="15">
        <v>1075.72</v>
      </c>
      <c r="C1327" s="15"/>
      <c r="D1327" s="15">
        <v>19644.37</v>
      </c>
      <c r="E1327" s="16">
        <v>44337</v>
      </c>
      <c r="F1327" s="17" t="s">
        <v>25</v>
      </c>
    </row>
    <row r="1328" spans="1:6">
      <c r="A1328" s="13">
        <v>44340</v>
      </c>
      <c r="B1328" s="15">
        <v>1079.49</v>
      </c>
      <c r="C1328" s="15"/>
      <c r="D1328" s="15">
        <v>19712.23</v>
      </c>
      <c r="E1328" s="16">
        <v>44340</v>
      </c>
      <c r="F1328" s="17" t="s">
        <v>25</v>
      </c>
    </row>
    <row r="1329" spans="1:6">
      <c r="A1329" s="13">
        <v>44341</v>
      </c>
      <c r="B1329" s="15">
        <v>1080.93</v>
      </c>
      <c r="C1329" s="15"/>
      <c r="D1329" s="15">
        <v>19717.29</v>
      </c>
      <c r="E1329" s="16">
        <v>44341</v>
      </c>
      <c r="F1329" s="17" t="s">
        <v>25</v>
      </c>
    </row>
    <row r="1330" spans="1:6">
      <c r="A1330" s="13">
        <v>44342</v>
      </c>
      <c r="B1330" s="15">
        <v>1085.42</v>
      </c>
      <c r="C1330" s="15"/>
      <c r="D1330" s="15">
        <v>19807.349999999999</v>
      </c>
      <c r="E1330" s="16">
        <v>44342</v>
      </c>
      <c r="F1330" s="17" t="s">
        <v>25</v>
      </c>
    </row>
    <row r="1331" spans="1:6">
      <c r="A1331" s="13">
        <v>44343</v>
      </c>
      <c r="B1331" s="15">
        <v>1087.6500000000001</v>
      </c>
      <c r="C1331" s="15"/>
      <c r="D1331" s="15">
        <v>19874.32</v>
      </c>
      <c r="E1331" s="16">
        <v>44343</v>
      </c>
      <c r="F1331" s="17" t="s">
        <v>25</v>
      </c>
    </row>
    <row r="1332" spans="1:6">
      <c r="A1332" s="13">
        <v>44344</v>
      </c>
      <c r="B1332" s="15">
        <v>1087.78</v>
      </c>
      <c r="C1332" s="15"/>
      <c r="D1332" s="15">
        <v>19952.29</v>
      </c>
      <c r="E1332" s="16">
        <v>44344</v>
      </c>
      <c r="F1332" s="17" t="s">
        <v>25</v>
      </c>
    </row>
    <row r="1333" spans="1:6">
      <c r="A1333" s="13">
        <v>44347</v>
      </c>
      <c r="B1333" s="15">
        <v>1097.18</v>
      </c>
      <c r="C1333" s="15"/>
      <c r="D1333" s="15">
        <v>20138.099999999999</v>
      </c>
      <c r="E1333" s="16">
        <v>44347</v>
      </c>
      <c r="F1333" s="17" t="s">
        <v>25</v>
      </c>
    </row>
    <row r="1334" spans="1:6">
      <c r="A1334" s="13">
        <v>44348</v>
      </c>
      <c r="B1334" s="15">
        <v>1093.47</v>
      </c>
      <c r="C1334" s="15"/>
      <c r="D1334" s="15">
        <v>20113.79</v>
      </c>
      <c r="E1334" s="16">
        <v>44348</v>
      </c>
      <c r="F1334" s="17" t="s">
        <v>25</v>
      </c>
    </row>
    <row r="1335" spans="1:6">
      <c r="A1335" s="13">
        <v>44349</v>
      </c>
      <c r="B1335" s="15">
        <v>1096.06</v>
      </c>
      <c r="C1335" s="15"/>
      <c r="D1335" s="15">
        <v>20210.990000000002</v>
      </c>
      <c r="E1335" s="16">
        <v>44349</v>
      </c>
      <c r="F1335" s="17" t="s">
        <v>25</v>
      </c>
    </row>
    <row r="1336" spans="1:6">
      <c r="A1336" s="13">
        <v>44350</v>
      </c>
      <c r="B1336" s="15">
        <v>1102.79</v>
      </c>
      <c r="C1336" s="15"/>
      <c r="D1336" s="15">
        <v>20376.14</v>
      </c>
      <c r="E1336" s="16">
        <v>44350</v>
      </c>
      <c r="F1336" s="17" t="s">
        <v>25</v>
      </c>
    </row>
    <row r="1337" spans="1:6">
      <c r="A1337" s="13">
        <v>44351</v>
      </c>
      <c r="B1337" s="15">
        <v>1104.5899999999999</v>
      </c>
      <c r="C1337" s="15"/>
      <c r="D1337" s="15">
        <v>20396.669999999998</v>
      </c>
      <c r="E1337" s="16">
        <v>44351</v>
      </c>
      <c r="F1337" s="17" t="s">
        <v>25</v>
      </c>
    </row>
    <row r="1338" spans="1:6">
      <c r="A1338" s="13">
        <v>44354</v>
      </c>
      <c r="B1338" s="15">
        <v>1114.8900000000001</v>
      </c>
      <c r="C1338" s="15"/>
      <c r="D1338" s="15">
        <v>20527.27</v>
      </c>
      <c r="E1338" s="16">
        <v>44354</v>
      </c>
      <c r="F1338" s="17" t="s">
        <v>25</v>
      </c>
    </row>
    <row r="1339" spans="1:6">
      <c r="A1339" s="13">
        <v>44355</v>
      </c>
      <c r="B1339" s="15">
        <v>1119.68</v>
      </c>
      <c r="C1339" s="15"/>
      <c r="D1339" s="15">
        <v>20553.02</v>
      </c>
      <c r="E1339" s="16">
        <v>44355</v>
      </c>
      <c r="F1339" s="17" t="s">
        <v>25</v>
      </c>
    </row>
    <row r="1340" spans="1:6">
      <c r="A1340" s="13">
        <v>44356</v>
      </c>
      <c r="B1340" s="15">
        <v>1110.1300000000001</v>
      </c>
      <c r="C1340" s="15"/>
      <c r="D1340" s="15">
        <v>20400.55</v>
      </c>
      <c r="E1340" s="16">
        <v>44356</v>
      </c>
      <c r="F1340" s="17" t="s">
        <v>25</v>
      </c>
    </row>
    <row r="1341" spans="1:6">
      <c r="A1341" s="13">
        <v>44357</v>
      </c>
      <c r="B1341" s="15">
        <v>1122.8499999999999</v>
      </c>
      <c r="C1341" s="15"/>
      <c r="D1341" s="15">
        <v>20596.64</v>
      </c>
      <c r="E1341" s="16">
        <v>44357</v>
      </c>
      <c r="F1341" s="17" t="s">
        <v>25</v>
      </c>
    </row>
    <row r="1342" spans="1:6">
      <c r="A1342" s="13">
        <v>44358</v>
      </c>
      <c r="B1342" s="15">
        <v>1127.8399999999999</v>
      </c>
      <c r="C1342" s="15"/>
      <c r="D1342" s="15">
        <v>20672.330000000002</v>
      </c>
      <c r="E1342" s="16">
        <v>44358</v>
      </c>
      <c r="F1342" s="17" t="s">
        <v>25</v>
      </c>
    </row>
    <row r="1343" spans="1:6">
      <c r="A1343" s="13">
        <v>44361</v>
      </c>
      <c r="B1343" s="15">
        <v>1127.45</v>
      </c>
      <c r="C1343" s="15"/>
      <c r="D1343" s="15">
        <v>20660.97</v>
      </c>
      <c r="E1343" s="16">
        <v>44361</v>
      </c>
      <c r="F1343" s="17" t="s">
        <v>25</v>
      </c>
    </row>
    <row r="1344" spans="1:6">
      <c r="A1344" s="13">
        <v>44362</v>
      </c>
      <c r="B1344" s="15">
        <v>1134.43</v>
      </c>
      <c r="C1344" s="15"/>
      <c r="D1344" s="15">
        <v>20742.75</v>
      </c>
      <c r="E1344" s="16">
        <v>44362</v>
      </c>
      <c r="F1344" s="17" t="s">
        <v>25</v>
      </c>
    </row>
    <row r="1345" spans="1:6">
      <c r="A1345" s="13">
        <v>44363</v>
      </c>
      <c r="B1345" s="15">
        <v>1128.7</v>
      </c>
      <c r="C1345" s="15"/>
      <c r="D1345" s="15">
        <v>20595.05</v>
      </c>
      <c r="E1345" s="16">
        <v>44363</v>
      </c>
      <c r="F1345" s="17" t="s">
        <v>25</v>
      </c>
    </row>
    <row r="1346" spans="1:6">
      <c r="A1346" s="13">
        <v>44364</v>
      </c>
      <c r="B1346" s="15">
        <v>1121.4000000000001</v>
      </c>
      <c r="C1346" s="15"/>
      <c r="D1346" s="15">
        <v>20470.400000000001</v>
      </c>
      <c r="E1346" s="16">
        <v>44364</v>
      </c>
      <c r="F1346" s="17" t="s">
        <v>25</v>
      </c>
    </row>
    <row r="1347" spans="1:6">
      <c r="A1347" s="13">
        <v>44365</v>
      </c>
      <c r="B1347" s="15">
        <v>1120.0999999999999</v>
      </c>
      <c r="C1347" s="15"/>
      <c r="D1347" s="15">
        <v>20411.66</v>
      </c>
      <c r="E1347" s="16">
        <v>44365</v>
      </c>
      <c r="F1347" s="17" t="s">
        <v>25</v>
      </c>
    </row>
    <row r="1348" spans="1:6">
      <c r="A1348" s="13">
        <v>44368</v>
      </c>
      <c r="B1348" s="15">
        <v>1124.01</v>
      </c>
      <c r="C1348" s="15"/>
      <c r="D1348" s="15">
        <v>20518.07</v>
      </c>
      <c r="E1348" s="16">
        <v>44368</v>
      </c>
      <c r="F1348" s="17" t="s">
        <v>25</v>
      </c>
    </row>
    <row r="1349" spans="1:6">
      <c r="A1349" s="13">
        <v>44369</v>
      </c>
      <c r="B1349" s="15">
        <v>1125.67</v>
      </c>
      <c r="C1349" s="15"/>
      <c r="D1349" s="15">
        <v>20571.439999999999</v>
      </c>
      <c r="E1349" s="16">
        <v>44369</v>
      </c>
      <c r="F1349" s="17" t="s">
        <v>25</v>
      </c>
    </row>
    <row r="1350" spans="1:6">
      <c r="A1350" s="13">
        <v>44370</v>
      </c>
      <c r="B1350" s="15">
        <v>1122.07</v>
      </c>
      <c r="C1350" s="15"/>
      <c r="D1350" s="15">
        <v>20468.099999999999</v>
      </c>
      <c r="E1350" s="16">
        <v>44370</v>
      </c>
      <c r="F1350" s="17" t="s">
        <v>25</v>
      </c>
    </row>
    <row r="1351" spans="1:6">
      <c r="A1351" s="13">
        <v>44371</v>
      </c>
      <c r="B1351" s="15">
        <v>1127.3900000000001</v>
      </c>
      <c r="C1351" s="15"/>
      <c r="D1351" s="15">
        <v>20537.580000000002</v>
      </c>
      <c r="E1351" s="16">
        <v>44371</v>
      </c>
      <c r="F1351" s="17" t="s">
        <v>25</v>
      </c>
    </row>
    <row r="1352" spans="1:6">
      <c r="A1352" s="13">
        <v>44372</v>
      </c>
      <c r="B1352" s="15">
        <v>1137.24</v>
      </c>
      <c r="C1352" s="15"/>
      <c r="D1352" s="15">
        <v>20646.099999999999</v>
      </c>
      <c r="E1352" s="16">
        <v>44372</v>
      </c>
      <c r="F1352" s="17" t="s">
        <v>25</v>
      </c>
    </row>
    <row r="1353" spans="1:6">
      <c r="A1353" s="13">
        <v>44375</v>
      </c>
      <c r="B1353" s="15">
        <v>1139.1400000000001</v>
      </c>
      <c r="C1353" s="15"/>
      <c r="D1353" s="15">
        <v>20636.45</v>
      </c>
      <c r="E1353" s="16">
        <v>44375</v>
      </c>
      <c r="F1353" s="17" t="s">
        <v>25</v>
      </c>
    </row>
    <row r="1354" spans="1:6">
      <c r="A1354" s="13">
        <v>44376</v>
      </c>
      <c r="B1354" s="15">
        <v>1134.28</v>
      </c>
      <c r="C1354" s="15"/>
      <c r="D1354" s="15">
        <v>20564.62</v>
      </c>
      <c r="E1354" s="16">
        <v>44376</v>
      </c>
      <c r="F1354" s="17" t="s">
        <v>25</v>
      </c>
    </row>
    <row r="1355" spans="1:6">
      <c r="A1355" s="13">
        <v>44377</v>
      </c>
      <c r="B1355" s="15">
        <v>1133.0899999999999</v>
      </c>
      <c r="C1355" s="15"/>
      <c r="D1355" s="15">
        <v>20552.2</v>
      </c>
      <c r="E1355" s="16">
        <v>44377</v>
      </c>
      <c r="F1355" s="17" t="s">
        <v>25</v>
      </c>
    </row>
    <row r="1356" spans="1:6">
      <c r="A1356" s="13">
        <v>44378</v>
      </c>
      <c r="B1356" s="15">
        <v>1133.3699999999999</v>
      </c>
      <c r="C1356" s="15"/>
      <c r="D1356" s="15">
        <v>20524.09</v>
      </c>
      <c r="E1356" s="16">
        <v>44378</v>
      </c>
      <c r="F1356" s="17" t="s">
        <v>25</v>
      </c>
    </row>
    <row r="1357" spans="1:6">
      <c r="A1357" s="13">
        <v>44379</v>
      </c>
      <c r="B1357" s="15">
        <v>1138.55</v>
      </c>
      <c r="C1357" s="15"/>
      <c r="D1357" s="15">
        <v>20585.64</v>
      </c>
      <c r="E1357" s="16">
        <v>44379</v>
      </c>
      <c r="F1357" s="17" t="s">
        <v>25</v>
      </c>
    </row>
    <row r="1358" spans="1:6">
      <c r="A1358" s="13">
        <v>44382</v>
      </c>
      <c r="B1358" s="15">
        <v>1145.99</v>
      </c>
      <c r="C1358" s="15"/>
      <c r="D1358" s="15">
        <v>20726.43</v>
      </c>
      <c r="E1358" s="16">
        <v>44382</v>
      </c>
      <c r="F1358" s="17" t="s">
        <v>25</v>
      </c>
    </row>
    <row r="1359" spans="1:6">
      <c r="A1359" s="13">
        <v>44383</v>
      </c>
      <c r="B1359" s="15">
        <v>1147.74</v>
      </c>
      <c r="C1359" s="15"/>
      <c r="D1359" s="15">
        <v>20709.59</v>
      </c>
      <c r="E1359" s="16">
        <v>44383</v>
      </c>
      <c r="F1359" s="17" t="s">
        <v>25</v>
      </c>
    </row>
    <row r="1360" spans="1:6">
      <c r="A1360" s="13">
        <v>44384</v>
      </c>
      <c r="B1360" s="15">
        <v>1153.25</v>
      </c>
      <c r="C1360" s="15"/>
      <c r="D1360" s="15">
        <v>20796.330000000002</v>
      </c>
      <c r="E1360" s="16">
        <v>44384</v>
      </c>
      <c r="F1360" s="17" t="s">
        <v>25</v>
      </c>
    </row>
    <row r="1361" spans="1:6">
      <c r="A1361" s="13">
        <v>44385</v>
      </c>
      <c r="B1361" s="15">
        <v>1144.8900000000001</v>
      </c>
      <c r="C1361" s="15"/>
      <c r="D1361" s="15">
        <v>20651.57</v>
      </c>
      <c r="E1361" s="16">
        <v>44385</v>
      </c>
      <c r="F1361" s="17" t="s">
        <v>25</v>
      </c>
    </row>
    <row r="1362" spans="1:6">
      <c r="A1362" s="13">
        <v>44386</v>
      </c>
      <c r="B1362" s="15">
        <v>1149.02</v>
      </c>
      <c r="C1362" s="15"/>
      <c r="D1362" s="15">
        <v>20645.03</v>
      </c>
      <c r="E1362" s="16">
        <v>44386</v>
      </c>
      <c r="F1362" s="17" t="s">
        <v>25</v>
      </c>
    </row>
    <row r="1363" spans="1:6">
      <c r="A1363" s="13">
        <v>44389</v>
      </c>
      <c r="B1363" s="15">
        <v>1149.92</v>
      </c>
      <c r="C1363" s="15"/>
      <c r="D1363" s="15">
        <v>20677.41</v>
      </c>
      <c r="E1363" s="16">
        <v>44389</v>
      </c>
      <c r="F1363" s="17" t="s">
        <v>25</v>
      </c>
    </row>
    <row r="1364" spans="1:6">
      <c r="A1364" s="13">
        <v>44390</v>
      </c>
      <c r="B1364" s="15">
        <v>1154.94</v>
      </c>
      <c r="C1364" s="15"/>
      <c r="D1364" s="15">
        <v>20799.349999999999</v>
      </c>
      <c r="E1364" s="16">
        <v>44390</v>
      </c>
      <c r="F1364" s="17" t="s">
        <v>25</v>
      </c>
    </row>
    <row r="1365" spans="1:6">
      <c r="A1365" s="13">
        <v>44391</v>
      </c>
      <c r="B1365" s="15">
        <v>1157.97</v>
      </c>
      <c r="C1365" s="15"/>
      <c r="D1365" s="15">
        <v>20849.7</v>
      </c>
      <c r="E1365" s="16">
        <v>44391</v>
      </c>
      <c r="F1365" s="17" t="s">
        <v>25</v>
      </c>
    </row>
    <row r="1366" spans="1:6">
      <c r="A1366" s="13">
        <v>44392</v>
      </c>
      <c r="B1366" s="15">
        <v>1162.53</v>
      </c>
      <c r="C1366" s="15"/>
      <c r="D1366" s="15">
        <v>20944.04</v>
      </c>
      <c r="E1366" s="16">
        <v>44392</v>
      </c>
      <c r="F1366" s="17" t="s">
        <v>25</v>
      </c>
    </row>
    <row r="1367" spans="1:6">
      <c r="A1367" s="13">
        <v>44393</v>
      </c>
      <c r="B1367" s="15">
        <v>1163.32</v>
      </c>
      <c r="C1367" s="15"/>
      <c r="D1367" s="15">
        <v>20977.88</v>
      </c>
      <c r="E1367" s="16">
        <v>44393</v>
      </c>
      <c r="F1367" s="17" t="s">
        <v>25</v>
      </c>
    </row>
    <row r="1368" spans="1:6">
      <c r="A1368" s="13">
        <v>44396</v>
      </c>
      <c r="B1368" s="15">
        <v>1154.32</v>
      </c>
      <c r="C1368" s="15"/>
      <c r="D1368" s="15">
        <v>20791.939999999999</v>
      </c>
      <c r="E1368" s="16">
        <v>44396</v>
      </c>
      <c r="F1368" s="17" t="s">
        <v>25</v>
      </c>
    </row>
    <row r="1369" spans="1:6">
      <c r="A1369" s="13">
        <v>44397</v>
      </c>
      <c r="B1369" s="15">
        <v>1139.1099999999999</v>
      </c>
      <c r="C1369" s="15"/>
      <c r="D1369" s="15">
        <v>20602.8</v>
      </c>
      <c r="E1369" s="16">
        <v>44397</v>
      </c>
      <c r="F1369" s="17" t="s">
        <v>25</v>
      </c>
    </row>
    <row r="1370" spans="1:6">
      <c r="A1370" s="13">
        <v>44399</v>
      </c>
      <c r="B1370" s="15">
        <v>1156.82</v>
      </c>
      <c r="C1370" s="15"/>
      <c r="D1370" s="15">
        <v>20871.080000000002</v>
      </c>
      <c r="E1370" s="16">
        <v>44399</v>
      </c>
      <c r="F1370" s="17" t="s">
        <v>25</v>
      </c>
    </row>
    <row r="1371" spans="1:6">
      <c r="A1371" s="13">
        <v>44400</v>
      </c>
      <c r="B1371" s="15">
        <v>1162.5899999999999</v>
      </c>
      <c r="C1371" s="15"/>
      <c r="D1371" s="15">
        <v>20900.63</v>
      </c>
      <c r="E1371" s="16">
        <v>44400</v>
      </c>
      <c r="F1371" s="17" t="s">
        <v>25</v>
      </c>
    </row>
    <row r="1372" spans="1:6">
      <c r="A1372" s="13">
        <v>44403</v>
      </c>
      <c r="B1372" s="15">
        <v>1162.99</v>
      </c>
      <c r="C1372" s="15"/>
      <c r="D1372" s="15">
        <v>20882.53</v>
      </c>
      <c r="E1372" s="16">
        <v>44403</v>
      </c>
      <c r="F1372" s="17" t="s">
        <v>25</v>
      </c>
    </row>
    <row r="1373" spans="1:6">
      <c r="A1373" s="13">
        <v>44404</v>
      </c>
      <c r="B1373" s="15">
        <v>1152.8800000000001</v>
      </c>
      <c r="C1373" s="15"/>
      <c r="D1373" s="15">
        <v>20785.77</v>
      </c>
      <c r="E1373" s="16">
        <v>44404</v>
      </c>
      <c r="F1373" s="17" t="s">
        <v>25</v>
      </c>
    </row>
    <row r="1374" spans="1:6">
      <c r="A1374" s="13">
        <v>44405</v>
      </c>
      <c r="B1374" s="15">
        <v>1153.92</v>
      </c>
      <c r="C1374" s="15"/>
      <c r="D1374" s="15">
        <v>20742.919999999998</v>
      </c>
      <c r="E1374" s="16">
        <v>44405</v>
      </c>
      <c r="F1374" s="17" t="s">
        <v>25</v>
      </c>
    </row>
    <row r="1375" spans="1:6">
      <c r="A1375" s="13">
        <v>44406</v>
      </c>
      <c r="B1375" s="15">
        <v>1165.31</v>
      </c>
      <c r="C1375" s="15"/>
      <c r="D1375" s="15">
        <v>20845.169999999998</v>
      </c>
      <c r="E1375" s="16">
        <v>44406</v>
      </c>
      <c r="F1375" s="17" t="s">
        <v>25</v>
      </c>
    </row>
    <row r="1376" spans="1:6">
      <c r="A1376" s="13">
        <v>44407</v>
      </c>
      <c r="B1376" s="15">
        <v>1166.6600000000001</v>
      </c>
      <c r="C1376" s="15"/>
      <c r="D1376" s="15">
        <v>20876.599999999999</v>
      </c>
      <c r="E1376" s="16">
        <v>44407</v>
      </c>
      <c r="F1376" s="17" t="s">
        <v>25</v>
      </c>
    </row>
    <row r="1377" spans="1:6">
      <c r="A1377" s="13">
        <v>44410</v>
      </c>
      <c r="B1377" s="15">
        <v>1173.28</v>
      </c>
      <c r="C1377" s="15"/>
      <c r="D1377" s="15">
        <v>21060.19</v>
      </c>
      <c r="E1377" s="16">
        <v>44410</v>
      </c>
      <c r="F1377" s="17" t="s">
        <v>25</v>
      </c>
    </row>
    <row r="1378" spans="1:6">
      <c r="A1378" s="13">
        <v>44411</v>
      </c>
      <c r="B1378" s="15">
        <v>1183.02</v>
      </c>
      <c r="C1378" s="15"/>
      <c r="D1378" s="15">
        <v>21297.96</v>
      </c>
      <c r="E1378" s="16">
        <v>44411</v>
      </c>
      <c r="F1378" s="17" t="s">
        <v>25</v>
      </c>
    </row>
    <row r="1379" spans="1:6">
      <c r="A1379" s="13">
        <v>44412</v>
      </c>
      <c r="B1379" s="15">
        <v>1183.9100000000001</v>
      </c>
      <c r="C1379" s="15"/>
      <c r="D1379" s="15">
        <v>21344.42</v>
      </c>
      <c r="E1379" s="16">
        <v>44412</v>
      </c>
      <c r="F1379" s="17" t="s">
        <v>25</v>
      </c>
    </row>
    <row r="1380" spans="1:6">
      <c r="A1380" s="13">
        <v>44413</v>
      </c>
      <c r="B1380" s="15">
        <v>1185.31</v>
      </c>
      <c r="C1380" s="15"/>
      <c r="D1380" s="15">
        <v>21365.73</v>
      </c>
      <c r="E1380" s="16">
        <v>44413</v>
      </c>
      <c r="F1380" s="17" t="s">
        <v>25</v>
      </c>
    </row>
    <row r="1381" spans="1:6">
      <c r="A1381" s="13">
        <v>44414</v>
      </c>
      <c r="B1381" s="15">
        <v>1183.21</v>
      </c>
      <c r="C1381" s="15"/>
      <c r="D1381" s="15">
        <v>21324.85</v>
      </c>
      <c r="E1381" s="16">
        <v>44414</v>
      </c>
      <c r="F1381" s="17" t="s">
        <v>25</v>
      </c>
    </row>
    <row r="1382" spans="1:6">
      <c r="A1382" s="13">
        <v>44417</v>
      </c>
      <c r="B1382" s="15">
        <v>1180.48</v>
      </c>
      <c r="C1382" s="15"/>
      <c r="D1382" s="15">
        <v>21296.21</v>
      </c>
      <c r="E1382" s="16">
        <v>44417</v>
      </c>
      <c r="F1382" s="17" t="s">
        <v>25</v>
      </c>
    </row>
    <row r="1383" spans="1:6">
      <c r="A1383" s="13">
        <v>44418</v>
      </c>
      <c r="B1383" s="15">
        <v>1177.1199999999999</v>
      </c>
      <c r="C1383" s="15"/>
      <c r="D1383" s="15">
        <v>21232.02</v>
      </c>
      <c r="E1383" s="16">
        <v>44418</v>
      </c>
      <c r="F1383" s="17" t="s">
        <v>25</v>
      </c>
    </row>
    <row r="1384" spans="1:6">
      <c r="A1384" s="13">
        <v>44419</v>
      </c>
      <c r="B1384" s="15">
        <v>1175.1099999999999</v>
      </c>
      <c r="C1384" s="15"/>
      <c r="D1384" s="15">
        <v>21208.2</v>
      </c>
      <c r="E1384" s="16">
        <v>44419</v>
      </c>
      <c r="F1384" s="17" t="s">
        <v>25</v>
      </c>
    </row>
    <row r="1385" spans="1:6">
      <c r="A1385" s="13">
        <v>44420</v>
      </c>
      <c r="B1385" s="15">
        <v>1184.57</v>
      </c>
      <c r="C1385" s="15"/>
      <c r="D1385" s="15">
        <v>21355.83</v>
      </c>
      <c r="E1385" s="16">
        <v>44420</v>
      </c>
      <c r="F1385" s="17" t="s">
        <v>25</v>
      </c>
    </row>
    <row r="1386" spans="1:6">
      <c r="A1386" s="13">
        <v>44421</v>
      </c>
      <c r="B1386" s="15">
        <v>1191.3399999999999</v>
      </c>
      <c r="C1386" s="15"/>
      <c r="D1386" s="15">
        <v>21498.959999999999</v>
      </c>
      <c r="E1386" s="16">
        <v>44421</v>
      </c>
      <c r="F1386" s="17" t="s">
        <v>25</v>
      </c>
    </row>
    <row r="1387" spans="1:6">
      <c r="A1387" s="13">
        <v>44424</v>
      </c>
      <c r="B1387" s="15">
        <v>1190.3499999999999</v>
      </c>
      <c r="C1387" s="15"/>
      <c r="D1387" s="15">
        <v>21507.33</v>
      </c>
      <c r="E1387" s="16">
        <v>44424</v>
      </c>
      <c r="F1387" s="17" t="s">
        <v>25</v>
      </c>
    </row>
    <row r="1388" spans="1:6">
      <c r="A1388" s="13">
        <v>44425</v>
      </c>
      <c r="B1388" s="15">
        <v>1194.8800000000001</v>
      </c>
      <c r="C1388" s="15"/>
      <c r="D1388" s="15">
        <v>21573.22</v>
      </c>
      <c r="E1388" s="16">
        <v>44425</v>
      </c>
      <c r="F1388" s="17" t="s">
        <v>25</v>
      </c>
    </row>
    <row r="1389" spans="1:6">
      <c r="A1389" s="13">
        <v>44426</v>
      </c>
      <c r="B1389" s="15">
        <v>1195.04</v>
      </c>
      <c r="C1389" s="15"/>
      <c r="D1389" s="15">
        <v>21547.14</v>
      </c>
      <c r="E1389" s="16">
        <v>44426</v>
      </c>
      <c r="F1389" s="17" t="s">
        <v>25</v>
      </c>
    </row>
    <row r="1390" spans="1:6">
      <c r="A1390" s="13">
        <v>44428</v>
      </c>
      <c r="B1390" s="15">
        <v>1174.46</v>
      </c>
      <c r="C1390" s="15"/>
      <c r="D1390" s="15">
        <v>21315.55</v>
      </c>
      <c r="E1390" s="16">
        <v>44428</v>
      </c>
      <c r="F1390" s="17" t="s">
        <v>25</v>
      </c>
    </row>
    <row r="1391" spans="1:6">
      <c r="A1391" s="13">
        <v>44431</v>
      </c>
      <c r="B1391" s="15">
        <v>1173.18</v>
      </c>
      <c r="C1391" s="15"/>
      <c r="D1391" s="15">
        <v>21296</v>
      </c>
      <c r="E1391" s="16">
        <v>44431</v>
      </c>
      <c r="F1391" s="17" t="s">
        <v>25</v>
      </c>
    </row>
    <row r="1392" spans="1:6">
      <c r="A1392" s="13">
        <v>44432</v>
      </c>
      <c r="B1392" s="15">
        <v>1184.93</v>
      </c>
      <c r="C1392" s="15"/>
      <c r="D1392" s="15">
        <v>21499</v>
      </c>
      <c r="E1392" s="16">
        <v>44432</v>
      </c>
      <c r="F1392" s="17" t="s">
        <v>25</v>
      </c>
    </row>
    <row r="1393" spans="1:6">
      <c r="A1393" s="13">
        <v>44433</v>
      </c>
      <c r="B1393" s="15">
        <v>1182.8800000000001</v>
      </c>
      <c r="C1393" s="15"/>
      <c r="D1393" s="15">
        <v>21545.48</v>
      </c>
      <c r="E1393" s="16">
        <v>44433</v>
      </c>
      <c r="F1393" s="17" t="s">
        <v>25</v>
      </c>
    </row>
    <row r="1394" spans="1:6">
      <c r="A1394" s="13">
        <v>44434</v>
      </c>
      <c r="B1394" s="15">
        <v>1180.1600000000001</v>
      </c>
      <c r="C1394" s="15"/>
      <c r="D1394" s="15">
        <v>21566.38</v>
      </c>
      <c r="E1394" s="16">
        <v>44434</v>
      </c>
      <c r="F1394" s="17" t="s">
        <v>25</v>
      </c>
    </row>
    <row r="1395" spans="1:6">
      <c r="A1395" s="13">
        <v>44435</v>
      </c>
      <c r="B1395" s="15">
        <v>1188.17</v>
      </c>
      <c r="C1395" s="15"/>
      <c r="D1395" s="15">
        <v>21697.34</v>
      </c>
      <c r="E1395" s="16">
        <v>44435</v>
      </c>
      <c r="F1395" s="17" t="s">
        <v>25</v>
      </c>
    </row>
    <row r="1396" spans="1:6">
      <c r="A1396" s="13">
        <v>44438</v>
      </c>
      <c r="B1396" s="15">
        <v>1207.71</v>
      </c>
      <c r="C1396" s="15"/>
      <c r="D1396" s="15">
        <v>22011.32</v>
      </c>
      <c r="E1396" s="16">
        <v>44438</v>
      </c>
      <c r="F1396" s="17" t="s">
        <v>25</v>
      </c>
    </row>
    <row r="1397" spans="1:6">
      <c r="A1397" s="13">
        <v>44439</v>
      </c>
      <c r="B1397" s="15">
        <v>1222.45</v>
      </c>
      <c r="C1397" s="15"/>
      <c r="D1397" s="15">
        <v>22253.61</v>
      </c>
      <c r="E1397" s="16">
        <v>44439</v>
      </c>
      <c r="F1397" s="17" t="s">
        <v>25</v>
      </c>
    </row>
    <row r="1398" spans="1:6">
      <c r="A1398" s="13">
        <v>44440</v>
      </c>
      <c r="B1398" s="15">
        <v>1224.99</v>
      </c>
      <c r="C1398" s="15"/>
      <c r="D1398" s="15">
        <v>22246.76</v>
      </c>
      <c r="E1398" s="16">
        <v>44440</v>
      </c>
      <c r="F1398" s="17" t="s">
        <v>25</v>
      </c>
    </row>
    <row r="1399" spans="1:6">
      <c r="A1399" s="13">
        <v>44441</v>
      </c>
      <c r="B1399" s="15">
        <v>1235.45</v>
      </c>
      <c r="C1399" s="15"/>
      <c r="D1399" s="15">
        <v>22452</v>
      </c>
      <c r="E1399" s="16">
        <v>44441</v>
      </c>
      <c r="F1399" s="17" t="s">
        <v>25</v>
      </c>
    </row>
    <row r="1400" spans="1:6">
      <c r="A1400" s="13">
        <v>44442</v>
      </c>
      <c r="B1400" s="15">
        <v>1240.6300000000001</v>
      </c>
      <c r="C1400" s="15"/>
      <c r="D1400" s="15">
        <v>22566.65</v>
      </c>
      <c r="E1400" s="16">
        <v>44442</v>
      </c>
      <c r="F1400" s="17" t="s">
        <v>25</v>
      </c>
    </row>
    <row r="1401" spans="1:6">
      <c r="A1401" s="13">
        <v>44445</v>
      </c>
      <c r="B1401" s="15">
        <v>1244.27</v>
      </c>
      <c r="C1401" s="15"/>
      <c r="D1401" s="15">
        <v>22637.89</v>
      </c>
      <c r="E1401" s="16">
        <v>44445</v>
      </c>
      <c r="F1401" s="17" t="s">
        <v>25</v>
      </c>
    </row>
    <row r="1402" spans="1:6">
      <c r="A1402" s="13">
        <v>44446</v>
      </c>
      <c r="B1402" s="15">
        <v>1242.6199999999999</v>
      </c>
      <c r="C1402" s="15"/>
      <c r="D1402" s="15">
        <v>22604.92</v>
      </c>
      <c r="E1402" s="16">
        <v>44446</v>
      </c>
      <c r="F1402" s="17" t="s">
        <v>25</v>
      </c>
    </row>
    <row r="1403" spans="1:6">
      <c r="A1403" s="13">
        <v>44447</v>
      </c>
      <c r="B1403" s="15">
        <v>1244.58</v>
      </c>
      <c r="C1403" s="15"/>
      <c r="D1403" s="15">
        <v>22641.43</v>
      </c>
      <c r="E1403" s="16">
        <v>44447</v>
      </c>
      <c r="F1403" s="17" t="s">
        <v>25</v>
      </c>
    </row>
    <row r="1404" spans="1:6">
      <c r="A1404" s="13">
        <v>44448</v>
      </c>
      <c r="B1404" s="15">
        <v>1248.53</v>
      </c>
      <c r="C1404" s="15"/>
      <c r="D1404" s="15">
        <v>22691.66</v>
      </c>
      <c r="E1404" s="16">
        <v>44448</v>
      </c>
      <c r="F1404" s="17" t="s">
        <v>25</v>
      </c>
    </row>
    <row r="1405" spans="1:6">
      <c r="A1405" s="13">
        <v>44452</v>
      </c>
      <c r="B1405" s="15">
        <v>1253.52</v>
      </c>
      <c r="C1405" s="15"/>
      <c r="D1405" s="15">
        <v>22716.99</v>
      </c>
      <c r="E1405" s="16">
        <v>44452</v>
      </c>
      <c r="F1405" s="17" t="s">
        <v>25</v>
      </c>
    </row>
    <row r="1406" spans="1:6">
      <c r="A1406" s="13">
        <v>44453</v>
      </c>
      <c r="B1406" s="15">
        <v>1259.8599999999999</v>
      </c>
      <c r="C1406" s="15"/>
      <c r="D1406" s="15">
        <v>22797.33</v>
      </c>
      <c r="E1406" s="16">
        <v>44453</v>
      </c>
      <c r="F1406" s="17" t="s">
        <v>25</v>
      </c>
    </row>
    <row r="1407" spans="1:6">
      <c r="A1407" s="13">
        <v>44454</v>
      </c>
      <c r="B1407" s="15">
        <v>1271.6099999999999</v>
      </c>
      <c r="C1407" s="15"/>
      <c r="D1407" s="15">
        <v>22975.200000000001</v>
      </c>
      <c r="E1407" s="16">
        <v>44454</v>
      </c>
      <c r="F1407" s="17" t="s">
        <v>25</v>
      </c>
    </row>
    <row r="1408" spans="1:6">
      <c r="A1408" s="13">
        <v>44455</v>
      </c>
      <c r="B1408" s="15">
        <v>1274.07</v>
      </c>
      <c r="C1408" s="15"/>
      <c r="D1408" s="15">
        <v>23106.080000000002</v>
      </c>
      <c r="E1408" s="16">
        <v>44455</v>
      </c>
      <c r="F1408" s="17" t="s">
        <v>25</v>
      </c>
    </row>
    <row r="1409" spans="1:6">
      <c r="A1409" s="13">
        <v>44456</v>
      </c>
      <c r="B1409" s="15">
        <v>1269.75</v>
      </c>
      <c r="C1409" s="15"/>
      <c r="D1409" s="15">
        <v>22987.759999999998</v>
      </c>
      <c r="E1409" s="16">
        <v>44456</v>
      </c>
      <c r="F1409" s="17" t="s">
        <v>25</v>
      </c>
    </row>
    <row r="1410" spans="1:6">
      <c r="A1410" s="13">
        <v>44459</v>
      </c>
      <c r="B1410" s="15">
        <v>1251.97</v>
      </c>
      <c r="C1410" s="15"/>
      <c r="D1410" s="15">
        <v>22681.84</v>
      </c>
      <c r="E1410" s="16">
        <v>44459</v>
      </c>
      <c r="F1410" s="17" t="s">
        <v>25</v>
      </c>
    </row>
    <row r="1411" spans="1:6">
      <c r="A1411" s="13">
        <v>44460</v>
      </c>
      <c r="B1411" s="15">
        <v>1259.75</v>
      </c>
      <c r="C1411" s="15"/>
      <c r="D1411" s="15">
        <v>22865.1</v>
      </c>
      <c r="E1411" s="16">
        <v>44460</v>
      </c>
      <c r="F1411" s="17" t="s">
        <v>25</v>
      </c>
    </row>
    <row r="1412" spans="1:6">
      <c r="A1412" s="13">
        <v>44461</v>
      </c>
      <c r="B1412" s="15">
        <v>1265.01</v>
      </c>
      <c r="C1412" s="15"/>
      <c r="D1412" s="15">
        <v>22932.93</v>
      </c>
      <c r="E1412" s="16">
        <v>44461</v>
      </c>
      <c r="F1412" s="17" t="s">
        <v>25</v>
      </c>
    </row>
    <row r="1413" spans="1:6">
      <c r="A1413" s="13">
        <v>44462</v>
      </c>
      <c r="B1413" s="15">
        <v>1279.78</v>
      </c>
      <c r="C1413" s="15"/>
      <c r="D1413" s="15">
        <v>23261.84</v>
      </c>
      <c r="E1413" s="16">
        <v>44462</v>
      </c>
      <c r="F1413" s="17" t="s">
        <v>25</v>
      </c>
    </row>
    <row r="1414" spans="1:6">
      <c r="A1414" s="13">
        <v>44463</v>
      </c>
      <c r="B1414" s="15">
        <v>1279.81</v>
      </c>
      <c r="C1414" s="15"/>
      <c r="D1414" s="15">
        <v>23241.27</v>
      </c>
      <c r="E1414" s="16">
        <v>44463</v>
      </c>
      <c r="F1414" s="17" t="s">
        <v>25</v>
      </c>
    </row>
    <row r="1415" spans="1:6">
      <c r="A1415" s="13">
        <v>44466</v>
      </c>
      <c r="B1415" s="15">
        <v>1274.8800000000001</v>
      </c>
      <c r="C1415" s="15"/>
      <c r="D1415" s="15">
        <v>23236.799999999999</v>
      </c>
      <c r="E1415" s="16">
        <v>44466</v>
      </c>
      <c r="F1415" s="17" t="s">
        <v>25</v>
      </c>
    </row>
    <row r="1416" spans="1:6">
      <c r="A1416" s="13">
        <v>44467</v>
      </c>
      <c r="B1416" s="15">
        <v>1262.6199999999999</v>
      </c>
      <c r="C1416" s="15"/>
      <c r="D1416" s="15">
        <v>23094.75</v>
      </c>
      <c r="E1416" s="16">
        <v>44467</v>
      </c>
      <c r="F1416" s="17" t="s">
        <v>25</v>
      </c>
    </row>
    <row r="1417" spans="1:6">
      <c r="A1417" s="13">
        <v>44468</v>
      </c>
      <c r="B1417" s="15">
        <v>1264.4000000000001</v>
      </c>
      <c r="C1417" s="15"/>
      <c r="D1417" s="15">
        <v>23081.51</v>
      </c>
      <c r="E1417" s="16">
        <v>44468</v>
      </c>
      <c r="F1417" s="17" t="s">
        <v>25</v>
      </c>
    </row>
    <row r="1418" spans="1:6">
      <c r="A1418" s="13">
        <v>44469</v>
      </c>
      <c r="B1418" s="15">
        <v>1261.94</v>
      </c>
      <c r="C1418" s="15"/>
      <c r="D1418" s="15">
        <v>23029.08</v>
      </c>
      <c r="E1418" s="16">
        <v>44469</v>
      </c>
      <c r="F1418" s="17" t="s">
        <v>25</v>
      </c>
    </row>
    <row r="1419" spans="1:6">
      <c r="A1419" s="13">
        <v>44470</v>
      </c>
      <c r="B1419" s="15">
        <v>1258.8599999999999</v>
      </c>
      <c r="C1419" s="15"/>
      <c r="D1419" s="15">
        <v>22969.86</v>
      </c>
      <c r="E1419" s="16">
        <v>44470</v>
      </c>
      <c r="F1419" s="17" t="s">
        <v>25</v>
      </c>
    </row>
    <row r="1420" spans="1:6">
      <c r="A1420" s="13">
        <v>44473</v>
      </c>
      <c r="B1420" s="15">
        <v>1274.21</v>
      </c>
      <c r="C1420" s="15"/>
      <c r="D1420" s="15">
        <v>23225.63</v>
      </c>
      <c r="E1420" s="16">
        <v>44473</v>
      </c>
      <c r="F1420" s="17" t="s">
        <v>25</v>
      </c>
    </row>
    <row r="1421" spans="1:6">
      <c r="A1421" s="13">
        <v>44474</v>
      </c>
      <c r="B1421" s="15">
        <v>1279.27</v>
      </c>
      <c r="C1421" s="15"/>
      <c r="D1421" s="15">
        <v>23377.08</v>
      </c>
      <c r="E1421" s="16">
        <v>44474</v>
      </c>
      <c r="F1421" s="17" t="s">
        <v>25</v>
      </c>
    </row>
    <row r="1422" spans="1:6">
      <c r="A1422" s="13">
        <v>44475</v>
      </c>
      <c r="B1422" s="15">
        <v>1268.27</v>
      </c>
      <c r="C1422" s="15"/>
      <c r="D1422" s="15">
        <v>23154.34</v>
      </c>
      <c r="E1422" s="16">
        <v>44475</v>
      </c>
      <c r="F1422" s="17" t="s">
        <v>25</v>
      </c>
    </row>
    <row r="1423" spans="1:6">
      <c r="A1423" s="13">
        <v>44476</v>
      </c>
      <c r="B1423" s="15">
        <v>1282.3599999999999</v>
      </c>
      <c r="C1423" s="15"/>
      <c r="D1423" s="15">
        <v>23392.45</v>
      </c>
      <c r="E1423" s="16">
        <v>44476</v>
      </c>
      <c r="F1423" s="17" t="s">
        <v>25</v>
      </c>
    </row>
    <row r="1424" spans="1:6">
      <c r="A1424" s="13">
        <v>44477</v>
      </c>
      <c r="B1424" s="15">
        <v>1286.81</v>
      </c>
      <c r="C1424" s="15"/>
      <c r="D1424" s="15">
        <v>23507.21</v>
      </c>
      <c r="E1424" s="16">
        <v>44477</v>
      </c>
      <c r="F1424" s="17" t="s">
        <v>25</v>
      </c>
    </row>
    <row r="1425" spans="1:6">
      <c r="A1425" s="13">
        <v>44480</v>
      </c>
      <c r="B1425" s="15">
        <v>1292.9100000000001</v>
      </c>
      <c r="C1425" s="15"/>
      <c r="D1425" s="15">
        <v>23603.3</v>
      </c>
      <c r="E1425" s="16">
        <v>44480</v>
      </c>
      <c r="F1425" s="17" t="s">
        <v>25</v>
      </c>
    </row>
    <row r="1426" spans="1:6">
      <c r="A1426" s="13">
        <v>44481</v>
      </c>
      <c r="B1426" s="15">
        <v>1295.57</v>
      </c>
      <c r="C1426" s="15"/>
      <c r="D1426" s="15">
        <v>23685.8</v>
      </c>
      <c r="E1426" s="16">
        <v>44481</v>
      </c>
      <c r="F1426" s="17" t="s">
        <v>25</v>
      </c>
    </row>
    <row r="1427" spans="1:6">
      <c r="A1427" s="13">
        <v>44482</v>
      </c>
      <c r="B1427" s="15">
        <v>1302.57</v>
      </c>
      <c r="C1427" s="15"/>
      <c r="D1427" s="15">
        <v>23914.47</v>
      </c>
      <c r="E1427" s="16">
        <v>44482</v>
      </c>
      <c r="F1427" s="17" t="s">
        <v>25</v>
      </c>
    </row>
    <row r="1428" spans="1:6">
      <c r="A1428" s="13">
        <v>44483</v>
      </c>
      <c r="B1428" s="15">
        <v>1308.7</v>
      </c>
      <c r="C1428" s="15"/>
      <c r="D1428" s="15">
        <v>24126.87</v>
      </c>
      <c r="E1428" s="16">
        <v>44483</v>
      </c>
      <c r="F1428" s="17" t="s">
        <v>25</v>
      </c>
    </row>
    <row r="1429" spans="1:6">
      <c r="A1429" s="13">
        <v>44487</v>
      </c>
      <c r="B1429" s="15">
        <v>1316.83</v>
      </c>
      <c r="C1429" s="15"/>
      <c r="D1429" s="15">
        <v>24305.72</v>
      </c>
      <c r="E1429" s="16">
        <v>44487</v>
      </c>
      <c r="F1429" s="17" t="s">
        <v>25</v>
      </c>
    </row>
    <row r="1430" spans="1:6">
      <c r="A1430" s="13">
        <v>44488</v>
      </c>
      <c r="B1430" s="15">
        <v>1308.24</v>
      </c>
      <c r="C1430" s="15"/>
      <c r="D1430" s="15">
        <v>24109.39</v>
      </c>
      <c r="E1430" s="16">
        <v>44488</v>
      </c>
      <c r="F1430" s="17" t="s">
        <v>25</v>
      </c>
    </row>
    <row r="1431" spans="1:6">
      <c r="A1431" s="13">
        <v>44489</v>
      </c>
      <c r="B1431" s="15">
        <v>1296.33</v>
      </c>
      <c r="C1431" s="15"/>
      <c r="D1431" s="15">
        <v>23820</v>
      </c>
      <c r="E1431" s="16">
        <v>44489</v>
      </c>
      <c r="F1431" s="17" t="s">
        <v>25</v>
      </c>
    </row>
    <row r="1432" spans="1:6">
      <c r="A1432" s="13">
        <v>44490</v>
      </c>
      <c r="B1432" s="15">
        <v>1289.23</v>
      </c>
      <c r="C1432" s="15"/>
      <c r="D1432" s="15">
        <v>23698.38</v>
      </c>
      <c r="E1432" s="16">
        <v>44490</v>
      </c>
      <c r="F1432" s="17" t="s">
        <v>25</v>
      </c>
    </row>
    <row r="1433" spans="1:6">
      <c r="A1433" s="13">
        <v>44491</v>
      </c>
      <c r="B1433" s="15">
        <v>1281.46</v>
      </c>
      <c r="C1433" s="15"/>
      <c r="D1433" s="15">
        <v>23563.8</v>
      </c>
      <c r="E1433" s="16">
        <v>44491</v>
      </c>
      <c r="F1433" s="17" t="s">
        <v>25</v>
      </c>
    </row>
    <row r="1434" spans="1:6">
      <c r="A1434" s="13">
        <v>44494</v>
      </c>
      <c r="B1434" s="15">
        <v>1282.58</v>
      </c>
      <c r="C1434" s="15"/>
      <c r="D1434" s="15">
        <v>23463.94</v>
      </c>
      <c r="E1434" s="16">
        <v>44494</v>
      </c>
      <c r="F1434" s="17" t="s">
        <v>25</v>
      </c>
    </row>
    <row r="1435" spans="1:6">
      <c r="A1435" s="13">
        <v>44495</v>
      </c>
      <c r="B1435" s="15">
        <v>1296.72</v>
      </c>
      <c r="C1435" s="15"/>
      <c r="D1435" s="15">
        <v>23731.73</v>
      </c>
      <c r="E1435" s="16">
        <v>44495</v>
      </c>
      <c r="F1435" s="17" t="s">
        <v>25</v>
      </c>
    </row>
    <row r="1436" spans="1:6">
      <c r="A1436" s="13">
        <v>44496</v>
      </c>
      <c r="B1436" s="15">
        <v>1297.97</v>
      </c>
      <c r="C1436" s="15"/>
      <c r="D1436" s="15">
        <v>23708.68</v>
      </c>
      <c r="E1436" s="16">
        <v>44496</v>
      </c>
      <c r="F1436" s="17" t="s">
        <v>25</v>
      </c>
    </row>
    <row r="1437" spans="1:6">
      <c r="A1437" s="13">
        <v>44497</v>
      </c>
      <c r="B1437" s="15">
        <v>1273.78</v>
      </c>
      <c r="C1437" s="15"/>
      <c r="D1437" s="15">
        <v>23259.72</v>
      </c>
      <c r="E1437" s="16">
        <v>44497</v>
      </c>
      <c r="F1437" s="17" t="s">
        <v>25</v>
      </c>
    </row>
    <row r="1438" spans="1:6">
      <c r="A1438" s="13">
        <v>44498</v>
      </c>
      <c r="B1438" s="15">
        <v>1269.77</v>
      </c>
      <c r="C1438" s="15"/>
      <c r="D1438" s="15">
        <v>23100.97</v>
      </c>
      <c r="E1438" s="16">
        <v>44498</v>
      </c>
      <c r="F1438" s="17" t="s">
        <v>25</v>
      </c>
    </row>
    <row r="1439" spans="1:6">
      <c r="A1439" s="13">
        <v>44501</v>
      </c>
      <c r="B1439" s="15">
        <v>1290.3599999999999</v>
      </c>
      <c r="C1439" s="15"/>
      <c r="D1439" s="15">
        <v>23431.96</v>
      </c>
      <c r="E1439" s="16">
        <v>44501</v>
      </c>
      <c r="F1439" s="17" t="s">
        <v>25</v>
      </c>
    </row>
    <row r="1440" spans="1:6">
      <c r="A1440" s="13">
        <v>44502</v>
      </c>
      <c r="B1440" s="15">
        <v>1288.22</v>
      </c>
      <c r="C1440" s="15"/>
      <c r="D1440" s="15">
        <v>23452.89</v>
      </c>
      <c r="E1440" s="16">
        <v>44502</v>
      </c>
      <c r="F1440" s="17" t="s">
        <v>25</v>
      </c>
    </row>
    <row r="1441" spans="1:6">
      <c r="A1441" s="13">
        <v>44503</v>
      </c>
      <c r="B1441" s="15">
        <v>1278.44</v>
      </c>
      <c r="C1441" s="15"/>
      <c r="D1441" s="15">
        <v>23404.31</v>
      </c>
      <c r="E1441" s="16">
        <v>44503</v>
      </c>
      <c r="F1441" s="17" t="s">
        <v>25</v>
      </c>
    </row>
    <row r="1442" spans="1:6">
      <c r="A1442" s="13">
        <v>44508</v>
      </c>
      <c r="B1442" s="15">
        <v>1299.5899999999999</v>
      </c>
      <c r="C1442" s="15"/>
      <c r="D1442" s="15">
        <v>23768.47</v>
      </c>
      <c r="E1442" s="16">
        <v>44508</v>
      </c>
      <c r="F1442" s="17" t="s">
        <v>25</v>
      </c>
    </row>
    <row r="1443" spans="1:6">
      <c r="A1443" s="13">
        <v>44509</v>
      </c>
      <c r="B1443" s="15">
        <v>1302.1300000000001</v>
      </c>
      <c r="C1443" s="15"/>
      <c r="D1443" s="15">
        <v>23803.67</v>
      </c>
      <c r="E1443" s="16">
        <v>44509</v>
      </c>
      <c r="F1443" s="17" t="s">
        <v>25</v>
      </c>
    </row>
    <row r="1444" spans="1:6">
      <c r="A1444" s="13">
        <v>44510</v>
      </c>
      <c r="B1444" s="15">
        <v>1299.1400000000001</v>
      </c>
      <c r="C1444" s="15"/>
      <c r="D1444" s="15">
        <v>23772.02</v>
      </c>
      <c r="E1444" s="16">
        <v>44510</v>
      </c>
      <c r="F1444" s="17" t="s">
        <v>25</v>
      </c>
    </row>
    <row r="1445" spans="1:6">
      <c r="A1445" s="13">
        <v>44511</v>
      </c>
      <c r="B1445" s="15">
        <v>1286.18</v>
      </c>
      <c r="C1445" s="15"/>
      <c r="D1445" s="15">
        <v>23608.35</v>
      </c>
      <c r="E1445" s="16">
        <v>44511</v>
      </c>
      <c r="F1445" s="17" t="s">
        <v>25</v>
      </c>
    </row>
    <row r="1446" spans="1:6">
      <c r="A1446" s="13">
        <v>44512</v>
      </c>
      <c r="B1446" s="15">
        <v>1297.33</v>
      </c>
      <c r="C1446" s="15"/>
      <c r="D1446" s="15">
        <v>23865.63</v>
      </c>
      <c r="E1446" s="16">
        <v>44512</v>
      </c>
      <c r="F1446" s="17" t="s">
        <v>25</v>
      </c>
    </row>
    <row r="1447" spans="1:6">
      <c r="A1447" s="13">
        <v>44515</v>
      </c>
      <c r="B1447" s="15">
        <v>1297.77</v>
      </c>
      <c r="C1447" s="15"/>
      <c r="D1447" s="15">
        <v>23886.54</v>
      </c>
      <c r="E1447" s="16">
        <v>44515</v>
      </c>
      <c r="F1447" s="17" t="s">
        <v>25</v>
      </c>
    </row>
    <row r="1448" spans="1:6">
      <c r="A1448" s="13">
        <v>44516</v>
      </c>
      <c r="B1448" s="15">
        <v>1288.44</v>
      </c>
      <c r="C1448" s="15"/>
      <c r="D1448" s="15">
        <v>23783.599999999999</v>
      </c>
      <c r="E1448" s="16">
        <v>44516</v>
      </c>
      <c r="F1448" s="17" t="s">
        <v>25</v>
      </c>
    </row>
    <row r="1449" spans="1:6">
      <c r="A1449" s="13">
        <v>44517</v>
      </c>
      <c r="B1449" s="15">
        <v>1282.18</v>
      </c>
      <c r="C1449" s="15"/>
      <c r="D1449" s="15">
        <v>23677.24</v>
      </c>
      <c r="E1449" s="16">
        <v>44517</v>
      </c>
      <c r="F1449" s="17" t="s">
        <v>25</v>
      </c>
    </row>
    <row r="1450" spans="1:6">
      <c r="A1450" s="13">
        <v>44518</v>
      </c>
      <c r="B1450" s="15">
        <v>1265.17</v>
      </c>
      <c r="C1450" s="15"/>
      <c r="D1450" s="15">
        <v>23443.759999999998</v>
      </c>
      <c r="E1450" s="16">
        <v>44518</v>
      </c>
      <c r="F1450" s="17" t="s">
        <v>25</v>
      </c>
    </row>
    <row r="1451" spans="1:6">
      <c r="A1451" s="13">
        <v>44522</v>
      </c>
      <c r="B1451" s="15">
        <v>1238.81</v>
      </c>
      <c r="C1451" s="15"/>
      <c r="D1451" s="15">
        <v>22948.81</v>
      </c>
      <c r="E1451" s="16">
        <v>44522</v>
      </c>
      <c r="F1451" s="17" t="s">
        <v>25</v>
      </c>
    </row>
    <row r="1452" spans="1:6">
      <c r="A1452" s="13">
        <v>44523</v>
      </c>
      <c r="B1452" s="15">
        <v>1251.97</v>
      </c>
      <c r="C1452" s="15"/>
      <c r="D1452" s="15">
        <v>23150.31</v>
      </c>
      <c r="E1452" s="16">
        <v>44523</v>
      </c>
      <c r="F1452" s="17" t="s">
        <v>25</v>
      </c>
    </row>
    <row r="1453" spans="1:6">
      <c r="A1453" s="13">
        <v>44524</v>
      </c>
      <c r="B1453" s="15">
        <v>1251.26</v>
      </c>
      <c r="C1453" s="15"/>
      <c r="D1453" s="15">
        <v>23057.77</v>
      </c>
      <c r="E1453" s="16">
        <v>44524</v>
      </c>
      <c r="F1453" s="17" t="s">
        <v>25</v>
      </c>
    </row>
    <row r="1454" spans="1:6">
      <c r="A1454" s="13">
        <v>44525</v>
      </c>
      <c r="B1454" s="15">
        <v>1255.6300000000001</v>
      </c>
      <c r="C1454" s="15"/>
      <c r="D1454" s="15">
        <v>23217.37</v>
      </c>
      <c r="E1454" s="16">
        <v>44525</v>
      </c>
      <c r="F1454" s="17" t="s">
        <v>25</v>
      </c>
    </row>
    <row r="1455" spans="1:6">
      <c r="A1455" s="13">
        <v>44526</v>
      </c>
      <c r="B1455" s="15">
        <v>1219.75</v>
      </c>
      <c r="C1455" s="15"/>
      <c r="D1455" s="15">
        <v>22537.919999999998</v>
      </c>
      <c r="E1455" s="16">
        <v>44526</v>
      </c>
      <c r="F1455" s="17" t="s">
        <v>25</v>
      </c>
    </row>
    <row r="1456" spans="1:6">
      <c r="A1456" s="13">
        <v>44529</v>
      </c>
      <c r="B1456" s="15">
        <v>1216.9100000000001</v>
      </c>
      <c r="C1456" s="15"/>
      <c r="D1456" s="15">
        <v>22460.1</v>
      </c>
      <c r="E1456" s="16">
        <v>44529</v>
      </c>
      <c r="F1456" s="17" t="s">
        <v>25</v>
      </c>
    </row>
    <row r="1457" spans="1:6">
      <c r="A1457" s="13">
        <v>44530</v>
      </c>
      <c r="B1457" s="15">
        <v>1218.49</v>
      </c>
      <c r="C1457" s="15"/>
      <c r="D1457" s="15">
        <v>22447.74</v>
      </c>
      <c r="E1457" s="16">
        <v>44530</v>
      </c>
      <c r="F1457" s="17" t="s">
        <v>25</v>
      </c>
    </row>
    <row r="1458" spans="1:6">
      <c r="A1458" s="13">
        <v>44531</v>
      </c>
      <c r="B1458" s="15">
        <v>1222.05</v>
      </c>
      <c r="C1458" s="15"/>
      <c r="D1458" s="15">
        <v>22656.71</v>
      </c>
      <c r="E1458" s="16">
        <v>44531</v>
      </c>
      <c r="F1458" s="17" t="s">
        <v>25</v>
      </c>
    </row>
    <row r="1459" spans="1:6">
      <c r="A1459" s="13">
        <v>44532</v>
      </c>
      <c r="B1459" s="15">
        <v>1237.1300000000001</v>
      </c>
      <c r="C1459" s="15"/>
      <c r="D1459" s="15">
        <v>22946.71</v>
      </c>
      <c r="E1459" s="16">
        <v>44532</v>
      </c>
      <c r="F1459" s="17" t="s">
        <v>25</v>
      </c>
    </row>
    <row r="1460" spans="1:6">
      <c r="A1460" s="13">
        <v>44533</v>
      </c>
      <c r="B1460" s="15">
        <v>1228.7</v>
      </c>
      <c r="C1460" s="15"/>
      <c r="D1460" s="15">
        <v>22766.46</v>
      </c>
      <c r="E1460" s="16">
        <v>44533</v>
      </c>
      <c r="F1460" s="17" t="s">
        <v>25</v>
      </c>
    </row>
    <row r="1461" spans="1:6">
      <c r="A1461" s="13">
        <v>44536</v>
      </c>
      <c r="B1461" s="15">
        <v>1207.8399999999999</v>
      </c>
      <c r="C1461" s="15"/>
      <c r="D1461" s="15">
        <v>22401.81</v>
      </c>
      <c r="E1461" s="16">
        <v>44536</v>
      </c>
      <c r="F1461" s="17" t="s">
        <v>25</v>
      </c>
    </row>
    <row r="1462" spans="1:6">
      <c r="A1462" s="13">
        <v>44537</v>
      </c>
      <c r="B1462" s="15">
        <v>1224.52</v>
      </c>
      <c r="C1462" s="15"/>
      <c r="D1462" s="15">
        <v>22733.040000000001</v>
      </c>
      <c r="E1462" s="16">
        <v>44537</v>
      </c>
      <c r="F1462" s="17" t="s">
        <v>25</v>
      </c>
    </row>
    <row r="1463" spans="1:6">
      <c r="A1463" s="13">
        <v>44538</v>
      </c>
      <c r="B1463" s="15">
        <v>1245.6600000000001</v>
      </c>
      <c r="C1463" s="15"/>
      <c r="D1463" s="15">
        <v>23098.91</v>
      </c>
      <c r="E1463" s="16">
        <v>44538</v>
      </c>
      <c r="F1463" s="17" t="s">
        <v>25</v>
      </c>
    </row>
    <row r="1464" spans="1:6">
      <c r="A1464" s="13">
        <v>44539</v>
      </c>
      <c r="B1464" s="15">
        <v>1248.8900000000001</v>
      </c>
      <c r="C1464" s="15"/>
      <c r="D1464" s="15">
        <v>23180.65</v>
      </c>
      <c r="E1464" s="16">
        <v>44539</v>
      </c>
      <c r="F1464" s="17" t="s">
        <v>25</v>
      </c>
    </row>
    <row r="1465" spans="1:6">
      <c r="A1465" s="13">
        <v>44540</v>
      </c>
      <c r="B1465" s="15">
        <v>1247.68</v>
      </c>
      <c r="C1465" s="15"/>
      <c r="D1465" s="15">
        <v>23224.15</v>
      </c>
      <c r="E1465" s="16">
        <v>44540</v>
      </c>
      <c r="F1465" s="17" t="s">
        <v>25</v>
      </c>
    </row>
    <row r="1466" spans="1:6">
      <c r="A1466" s="13">
        <v>44543</v>
      </c>
      <c r="B1466" s="15">
        <v>1242.47</v>
      </c>
      <c r="C1466" s="15"/>
      <c r="D1466" s="15">
        <v>23085.13</v>
      </c>
      <c r="E1466" s="16">
        <v>44543</v>
      </c>
      <c r="F1466" s="17" t="s">
        <v>25</v>
      </c>
    </row>
    <row r="1467" spans="1:6">
      <c r="A1467" s="13">
        <v>44544</v>
      </c>
      <c r="B1467" s="15">
        <v>1239.29</v>
      </c>
      <c r="C1467" s="15"/>
      <c r="D1467" s="15">
        <v>23052.95</v>
      </c>
      <c r="E1467" s="16">
        <v>44544</v>
      </c>
      <c r="F1467" s="17" t="s">
        <v>25</v>
      </c>
    </row>
    <row r="1468" spans="1:6">
      <c r="A1468" s="13">
        <v>44545</v>
      </c>
      <c r="B1468" s="15">
        <v>1230.69</v>
      </c>
      <c r="C1468" s="15"/>
      <c r="D1468" s="15">
        <v>22914.799999999999</v>
      </c>
      <c r="E1468" s="16">
        <v>44545</v>
      </c>
      <c r="F1468" s="17" t="s">
        <v>25</v>
      </c>
    </row>
    <row r="1469" spans="1:6">
      <c r="A1469" s="13">
        <v>44546</v>
      </c>
      <c r="B1469" s="15">
        <v>1229.05</v>
      </c>
      <c r="C1469" s="15"/>
      <c r="D1469" s="15">
        <v>22889.27</v>
      </c>
      <c r="E1469" s="16">
        <v>44546</v>
      </c>
      <c r="F1469" s="17" t="s">
        <v>25</v>
      </c>
    </row>
    <row r="1470" spans="1:6">
      <c r="A1470" s="13">
        <v>44547</v>
      </c>
      <c r="B1470" s="15">
        <v>1210.08</v>
      </c>
      <c r="C1470" s="15"/>
      <c r="D1470" s="15">
        <v>22489.29</v>
      </c>
      <c r="E1470" s="16">
        <v>44547</v>
      </c>
      <c r="F1470" s="17" t="s">
        <v>25</v>
      </c>
    </row>
    <row r="1471" spans="1:6">
      <c r="A1471" s="13">
        <v>44550</v>
      </c>
      <c r="B1471" s="15">
        <v>1181.01</v>
      </c>
      <c r="C1471" s="15"/>
      <c r="D1471" s="15">
        <v>21918.48</v>
      </c>
      <c r="E1471" s="16">
        <v>44550</v>
      </c>
      <c r="F1471" s="17" t="s">
        <v>25</v>
      </c>
    </row>
    <row r="1472" spans="1:6">
      <c r="A1472" s="13">
        <v>44551</v>
      </c>
      <c r="B1472" s="15">
        <v>1197.6199999999999</v>
      </c>
      <c r="C1472" s="15"/>
      <c r="D1472" s="15">
        <v>22164.77</v>
      </c>
      <c r="E1472" s="16">
        <v>44551</v>
      </c>
      <c r="F1472" s="17" t="s">
        <v>25</v>
      </c>
    </row>
    <row r="1473" spans="1:6">
      <c r="A1473" s="13">
        <v>44552</v>
      </c>
      <c r="B1473" s="15">
        <v>1215.57</v>
      </c>
      <c r="C1473" s="15"/>
      <c r="D1473" s="15">
        <v>22442.93</v>
      </c>
      <c r="E1473" s="16">
        <v>44552</v>
      </c>
      <c r="F1473" s="17" t="s">
        <v>25</v>
      </c>
    </row>
    <row r="1474" spans="1:6">
      <c r="A1474" s="13">
        <v>44553</v>
      </c>
      <c r="B1474" s="15">
        <v>1224.98</v>
      </c>
      <c r="C1474" s="15"/>
      <c r="D1474" s="15">
        <v>22614.17</v>
      </c>
      <c r="E1474" s="16">
        <v>44553</v>
      </c>
      <c r="F1474" s="17" t="s">
        <v>25</v>
      </c>
    </row>
    <row r="1475" spans="1:6">
      <c r="A1475" s="13">
        <v>44554</v>
      </c>
      <c r="B1475" s="15">
        <v>1220.02</v>
      </c>
      <c r="C1475" s="15"/>
      <c r="D1475" s="15">
        <v>22481.33</v>
      </c>
      <c r="E1475" s="16">
        <v>44554</v>
      </c>
      <c r="F1475" s="17" t="s">
        <v>25</v>
      </c>
    </row>
    <row r="1476" spans="1:6">
      <c r="A1476" s="13">
        <v>44557</v>
      </c>
      <c r="B1476" s="15">
        <v>1225.5899999999999</v>
      </c>
      <c r="C1476" s="15"/>
      <c r="D1476" s="15">
        <v>22577.599999999999</v>
      </c>
      <c r="E1476" s="16">
        <v>44557</v>
      </c>
      <c r="F1476" s="17" t="s">
        <v>25</v>
      </c>
    </row>
    <row r="1477" spans="1:6">
      <c r="A1477" s="13">
        <v>44558</v>
      </c>
      <c r="B1477" s="15">
        <v>1237.72</v>
      </c>
      <c r="C1477" s="15"/>
      <c r="D1477" s="15">
        <v>22792.66</v>
      </c>
      <c r="E1477" s="16">
        <v>44558</v>
      </c>
      <c r="F1477" s="17" t="s">
        <v>25</v>
      </c>
    </row>
    <row r="1478" spans="1:6">
      <c r="A1478" s="13">
        <v>44559</v>
      </c>
      <c r="B1478" s="15">
        <v>1238.6099999999999</v>
      </c>
      <c r="C1478" s="15"/>
      <c r="D1478" s="15">
        <v>22785.85</v>
      </c>
      <c r="E1478" s="16">
        <v>44559</v>
      </c>
      <c r="F1478" s="17" t="s">
        <v>25</v>
      </c>
    </row>
    <row r="1479" spans="1:6">
      <c r="A1479" s="13">
        <v>44560</v>
      </c>
      <c r="B1479" s="15">
        <v>1239.23</v>
      </c>
      <c r="C1479" s="15"/>
      <c r="D1479" s="15">
        <v>22754.58</v>
      </c>
      <c r="E1479" s="16">
        <v>44560</v>
      </c>
      <c r="F1479" s="17" t="s">
        <v>25</v>
      </c>
    </row>
    <row r="1480" spans="1:6">
      <c r="A1480" s="13">
        <v>44561</v>
      </c>
      <c r="B1480" s="15">
        <v>1251.97</v>
      </c>
      <c r="C1480" s="15"/>
      <c r="D1480" s="15">
        <v>22990.880000000001</v>
      </c>
      <c r="E1480" s="16">
        <v>44561</v>
      </c>
      <c r="F1480" s="17" t="s">
        <v>25</v>
      </c>
    </row>
    <row r="1481" spans="1:6">
      <c r="A1481" s="13">
        <v>44564</v>
      </c>
      <c r="B1481" s="15">
        <v>1267.29</v>
      </c>
      <c r="C1481" s="15"/>
      <c r="D1481" s="15">
        <v>23310.38</v>
      </c>
      <c r="E1481" s="16">
        <v>44564</v>
      </c>
      <c r="F1481" s="17" t="s">
        <v>25</v>
      </c>
    </row>
    <row r="1482" spans="1:6">
      <c r="A1482" s="13">
        <v>44565</v>
      </c>
      <c r="B1482" s="15">
        <v>1272.6099999999999</v>
      </c>
      <c r="C1482" s="15"/>
      <c r="D1482" s="15">
        <v>23485.37</v>
      </c>
      <c r="E1482" s="16">
        <v>44565</v>
      </c>
      <c r="F1482" s="17" t="s">
        <v>25</v>
      </c>
    </row>
    <row r="1483" spans="1:6">
      <c r="A1483" s="13">
        <v>44566</v>
      </c>
      <c r="B1483" s="15">
        <v>1277.73</v>
      </c>
      <c r="C1483" s="15"/>
      <c r="D1483" s="15">
        <v>23604.46</v>
      </c>
      <c r="E1483" s="16">
        <v>44566</v>
      </c>
      <c r="F1483" s="17" t="s">
        <v>25</v>
      </c>
    </row>
    <row r="1484" spans="1:6">
      <c r="A1484" s="13">
        <v>44567</v>
      </c>
      <c r="B1484" s="15">
        <v>1270.71</v>
      </c>
      <c r="C1484" s="15"/>
      <c r="D1484" s="15">
        <v>23441.51</v>
      </c>
      <c r="E1484" s="16">
        <v>44567</v>
      </c>
      <c r="F1484" s="17" t="s">
        <v>25</v>
      </c>
    </row>
    <row r="1485" spans="1:6">
      <c r="A1485" s="13">
        <v>44568</v>
      </c>
      <c r="B1485" s="15">
        <v>1273.71</v>
      </c>
      <c r="C1485" s="15"/>
      <c r="D1485" s="15">
        <v>23531.13</v>
      </c>
      <c r="E1485" s="16">
        <v>44568</v>
      </c>
      <c r="F1485" s="17" t="s">
        <v>25</v>
      </c>
    </row>
    <row r="1486" spans="1:6">
      <c r="A1486" s="13">
        <v>44571</v>
      </c>
      <c r="B1486" s="15">
        <v>1285.3599999999999</v>
      </c>
      <c r="C1486" s="15"/>
      <c r="D1486" s="15">
        <v>23756.45</v>
      </c>
      <c r="E1486" s="16">
        <v>44571</v>
      </c>
      <c r="F1486" s="17" t="s">
        <v>25</v>
      </c>
    </row>
    <row r="1487" spans="1:6">
      <c r="A1487" s="13">
        <v>44572</v>
      </c>
      <c r="B1487" s="15">
        <v>1287.18</v>
      </c>
      <c r="C1487" s="15"/>
      <c r="D1487" s="15">
        <v>23810.11</v>
      </c>
      <c r="E1487" s="16">
        <v>44572</v>
      </c>
      <c r="F1487" s="17" t="s">
        <v>25</v>
      </c>
    </row>
    <row r="1488" spans="1:6">
      <c r="A1488" s="13">
        <v>44573</v>
      </c>
      <c r="B1488" s="15">
        <v>1300.27</v>
      </c>
      <c r="C1488" s="15"/>
      <c r="D1488" s="15">
        <v>24020.69</v>
      </c>
      <c r="E1488" s="16">
        <v>44573</v>
      </c>
      <c r="F1488" s="17" t="s">
        <v>25</v>
      </c>
    </row>
    <row r="1489" spans="1:6">
      <c r="A1489" s="13">
        <v>44574</v>
      </c>
      <c r="B1489" s="15">
        <v>1305.58</v>
      </c>
      <c r="C1489" s="15"/>
      <c r="D1489" s="15">
        <v>24102.2</v>
      </c>
      <c r="E1489" s="16">
        <v>44574</v>
      </c>
      <c r="F1489" s="17" t="s">
        <v>25</v>
      </c>
    </row>
    <row r="1490" spans="1:6">
      <c r="A1490" s="13">
        <v>44575</v>
      </c>
      <c r="B1490" s="15">
        <v>1307.3499999999999</v>
      </c>
      <c r="C1490" s="15"/>
      <c r="D1490" s="15">
        <v>24116.52</v>
      </c>
      <c r="E1490" s="16">
        <v>44575</v>
      </c>
      <c r="F1490" s="17" t="s">
        <v>25</v>
      </c>
    </row>
    <row r="1491" spans="1:6">
      <c r="A1491" s="13">
        <v>44578</v>
      </c>
      <c r="B1491" s="15">
        <v>1306.02</v>
      </c>
      <c r="C1491" s="15"/>
      <c r="D1491" s="15">
        <v>24194.84</v>
      </c>
      <c r="E1491" s="16">
        <v>44578</v>
      </c>
      <c r="F1491" s="17" t="s">
        <v>25</v>
      </c>
    </row>
    <row r="1492" spans="1:6">
      <c r="A1492" s="13">
        <v>44579</v>
      </c>
      <c r="B1492" s="15">
        <v>1288.1600000000001</v>
      </c>
      <c r="C1492" s="15"/>
      <c r="D1492" s="15">
        <v>23875.7</v>
      </c>
      <c r="E1492" s="16">
        <v>44579</v>
      </c>
      <c r="F1492" s="17" t="s">
        <v>25</v>
      </c>
    </row>
    <row r="1493" spans="1:6">
      <c r="A1493" s="13">
        <v>44580</v>
      </c>
      <c r="B1493" s="15">
        <v>1275.07</v>
      </c>
      <c r="C1493" s="15"/>
      <c r="D1493" s="15">
        <v>23722.89</v>
      </c>
      <c r="E1493" s="16">
        <v>44580</v>
      </c>
      <c r="F1493" s="17" t="s">
        <v>25</v>
      </c>
    </row>
    <row r="1494" spans="1:6">
      <c r="A1494" s="13">
        <v>44581</v>
      </c>
      <c r="B1494" s="15">
        <v>1268.05</v>
      </c>
      <c r="C1494" s="15"/>
      <c r="D1494" s="15">
        <v>23554.44</v>
      </c>
      <c r="E1494" s="16">
        <v>44581</v>
      </c>
      <c r="F1494" s="17" t="s">
        <v>25</v>
      </c>
    </row>
    <row r="1495" spans="1:6">
      <c r="A1495" s="13">
        <v>44582</v>
      </c>
      <c r="B1495" s="15">
        <v>1249.6199999999999</v>
      </c>
      <c r="C1495" s="15"/>
      <c r="D1495" s="15">
        <v>23278.25</v>
      </c>
      <c r="E1495" s="16">
        <v>44582</v>
      </c>
      <c r="F1495" s="17" t="s">
        <v>25</v>
      </c>
    </row>
    <row r="1496" spans="1:6">
      <c r="A1496" s="13">
        <v>44585</v>
      </c>
      <c r="B1496" s="15">
        <v>1212.8800000000001</v>
      </c>
      <c r="C1496" s="15"/>
      <c r="D1496" s="15">
        <v>22560.17</v>
      </c>
      <c r="E1496" s="16">
        <v>44585</v>
      </c>
      <c r="F1496" s="17" t="s">
        <v>25</v>
      </c>
    </row>
    <row r="1497" spans="1:6">
      <c r="A1497" s="13">
        <v>44586</v>
      </c>
      <c r="B1497" s="15">
        <v>1224.29</v>
      </c>
      <c r="C1497" s="15"/>
      <c r="D1497" s="15">
        <v>22744.48</v>
      </c>
      <c r="E1497" s="16">
        <v>44586</v>
      </c>
      <c r="F1497" s="17" t="s">
        <v>25</v>
      </c>
    </row>
    <row r="1498" spans="1:6">
      <c r="A1498" s="13">
        <v>44588</v>
      </c>
      <c r="B1498" s="15">
        <v>1208.17</v>
      </c>
      <c r="C1498" s="15"/>
      <c r="D1498" s="15">
        <v>22510.82</v>
      </c>
      <c r="E1498" s="16">
        <v>44588</v>
      </c>
      <c r="F1498" s="17" t="s">
        <v>25</v>
      </c>
    </row>
    <row r="1499" spans="1:6">
      <c r="A1499" s="13">
        <v>44589</v>
      </c>
      <c r="B1499" s="15">
        <v>1214.1199999999999</v>
      </c>
      <c r="C1499" s="15"/>
      <c r="D1499" s="15">
        <v>22577.57</v>
      </c>
      <c r="E1499" s="16">
        <v>44589</v>
      </c>
      <c r="F1499" s="17" t="s">
        <v>25</v>
      </c>
    </row>
    <row r="1500" spans="1:6">
      <c r="A1500" s="13">
        <v>44592</v>
      </c>
      <c r="B1500" s="15">
        <v>1227.76</v>
      </c>
      <c r="C1500" s="15"/>
      <c r="D1500" s="15">
        <v>22881.58</v>
      </c>
      <c r="E1500" s="16">
        <v>44592</v>
      </c>
      <c r="F1500" s="17" t="s">
        <v>25</v>
      </c>
    </row>
    <row r="1501" spans="1:6">
      <c r="A1501" s="13">
        <v>44593</v>
      </c>
      <c r="B1501" s="15">
        <v>1248.04</v>
      </c>
      <c r="C1501" s="15"/>
      <c r="D1501" s="15">
        <v>23180.44</v>
      </c>
      <c r="E1501" s="16">
        <v>44593</v>
      </c>
      <c r="F1501" s="17" t="s">
        <v>25</v>
      </c>
    </row>
    <row r="1502" spans="1:6">
      <c r="A1502" s="13">
        <v>44594</v>
      </c>
      <c r="B1502" s="15">
        <v>1261.68</v>
      </c>
      <c r="C1502" s="15"/>
      <c r="D1502" s="15">
        <v>23452.49</v>
      </c>
      <c r="E1502" s="16">
        <v>44594</v>
      </c>
      <c r="F1502" s="17" t="s">
        <v>25</v>
      </c>
    </row>
    <row r="1503" spans="1:6">
      <c r="A1503" s="13">
        <v>44595</v>
      </c>
      <c r="B1503" s="15">
        <v>1249.1300000000001</v>
      </c>
      <c r="C1503" s="15"/>
      <c r="D1503" s="15">
        <v>23215.34</v>
      </c>
      <c r="E1503" s="16">
        <v>44595</v>
      </c>
      <c r="F1503" s="17" t="s">
        <v>25</v>
      </c>
    </row>
    <row r="1504" spans="1:6">
      <c r="A1504" s="13">
        <v>44596</v>
      </c>
      <c r="B1504" s="15">
        <v>1247.44</v>
      </c>
      <c r="C1504" s="15"/>
      <c r="D1504" s="15">
        <v>23138.74</v>
      </c>
      <c r="E1504" s="16">
        <v>44596</v>
      </c>
      <c r="F1504" s="17" t="s">
        <v>25</v>
      </c>
    </row>
    <row r="1505" spans="1:6">
      <c r="A1505" s="13">
        <v>44599</v>
      </c>
      <c r="B1505" s="15">
        <v>1227.1199999999999</v>
      </c>
      <c r="C1505" s="15"/>
      <c r="D1505" s="15">
        <v>22809.5</v>
      </c>
      <c r="E1505" s="16">
        <v>44599</v>
      </c>
      <c r="F1505" s="17" t="s">
        <v>25</v>
      </c>
    </row>
    <row r="1506" spans="1:6">
      <c r="A1506" s="13">
        <v>44600</v>
      </c>
      <c r="B1506" s="15">
        <v>1227.04</v>
      </c>
      <c r="C1506" s="15"/>
      <c r="D1506" s="15">
        <v>22788.92</v>
      </c>
      <c r="E1506" s="16">
        <v>44600</v>
      </c>
      <c r="F1506" s="17" t="s">
        <v>25</v>
      </c>
    </row>
    <row r="1507" spans="1:6">
      <c r="A1507" s="13">
        <v>44601</v>
      </c>
      <c r="B1507" s="15">
        <v>1243.94</v>
      </c>
      <c r="C1507" s="15"/>
      <c r="D1507" s="15">
        <v>23037.24</v>
      </c>
      <c r="E1507" s="16">
        <v>44601</v>
      </c>
      <c r="F1507" s="17" t="s">
        <v>25</v>
      </c>
    </row>
    <row r="1508" spans="1:6">
      <c r="A1508" s="13">
        <v>44602</v>
      </c>
      <c r="B1508" s="15">
        <v>1252.57</v>
      </c>
      <c r="C1508" s="15"/>
      <c r="D1508" s="15">
        <v>23186.39</v>
      </c>
      <c r="E1508" s="16">
        <v>44602</v>
      </c>
      <c r="F1508" s="17" t="s">
        <v>25</v>
      </c>
    </row>
    <row r="1509" spans="1:6">
      <c r="A1509" s="13">
        <v>44603</v>
      </c>
      <c r="B1509" s="15">
        <v>1232.74</v>
      </c>
      <c r="C1509" s="15"/>
      <c r="D1509" s="15">
        <v>22847.57</v>
      </c>
      <c r="E1509" s="16">
        <v>44603</v>
      </c>
      <c r="F1509" s="17" t="s">
        <v>25</v>
      </c>
    </row>
    <row r="1510" spans="1:6">
      <c r="A1510" s="13">
        <v>44606</v>
      </c>
      <c r="B1510" s="15">
        <v>1191.06</v>
      </c>
      <c r="C1510" s="15"/>
      <c r="D1510" s="15">
        <v>22103.72</v>
      </c>
      <c r="E1510" s="16">
        <v>44606</v>
      </c>
      <c r="F1510" s="17" t="s">
        <v>25</v>
      </c>
    </row>
    <row r="1511" spans="1:6">
      <c r="A1511" s="13">
        <v>44607</v>
      </c>
      <c r="B1511" s="15">
        <v>1221.48</v>
      </c>
      <c r="C1511" s="15"/>
      <c r="D1511" s="15">
        <v>22726.82</v>
      </c>
      <c r="E1511" s="16">
        <v>44607</v>
      </c>
      <c r="F1511" s="17" t="s">
        <v>25</v>
      </c>
    </row>
    <row r="1512" spans="1:6">
      <c r="A1512" s="13">
        <v>44608</v>
      </c>
      <c r="B1512" s="15">
        <v>1219.08</v>
      </c>
      <c r="C1512" s="15"/>
      <c r="D1512" s="15">
        <v>22706.7</v>
      </c>
      <c r="E1512" s="16">
        <v>44608</v>
      </c>
      <c r="F1512" s="17" t="s">
        <v>25</v>
      </c>
    </row>
    <row r="1513" spans="1:6">
      <c r="A1513" s="13">
        <v>44609</v>
      </c>
      <c r="B1513" s="15">
        <v>1212.6600000000001</v>
      </c>
      <c r="C1513" s="15"/>
      <c r="D1513" s="15">
        <v>22682.48</v>
      </c>
      <c r="E1513" s="16">
        <v>44609</v>
      </c>
      <c r="F1513" s="17" t="s">
        <v>25</v>
      </c>
    </row>
    <row r="1514" spans="1:6">
      <c r="A1514" s="13">
        <v>44610</v>
      </c>
      <c r="B1514" s="15">
        <v>1207.94</v>
      </c>
      <c r="C1514" s="15"/>
      <c r="D1514" s="15">
        <v>22588.37</v>
      </c>
      <c r="E1514" s="16">
        <v>44610</v>
      </c>
      <c r="F1514" s="17" t="s">
        <v>25</v>
      </c>
    </row>
    <row r="1515" spans="1:6">
      <c r="A1515" s="13">
        <v>44613</v>
      </c>
      <c r="B1515" s="15">
        <v>1202.1600000000001</v>
      </c>
      <c r="C1515" s="15"/>
      <c r="D1515" s="15">
        <v>22419.75</v>
      </c>
      <c r="E1515" s="16">
        <v>44613</v>
      </c>
      <c r="F1515" s="17" t="s">
        <v>25</v>
      </c>
    </row>
    <row r="1516" spans="1:6">
      <c r="A1516" s="13">
        <v>44614</v>
      </c>
      <c r="B1516" s="15">
        <v>1193.8499999999999</v>
      </c>
      <c r="C1516" s="15"/>
      <c r="D1516" s="15">
        <v>22254.97</v>
      </c>
      <c r="E1516" s="16">
        <v>44614</v>
      </c>
      <c r="F1516" s="17" t="s">
        <v>25</v>
      </c>
    </row>
    <row r="1517" spans="1:6">
      <c r="A1517" s="13">
        <v>44615</v>
      </c>
      <c r="B1517" s="15">
        <v>1196.1400000000001</v>
      </c>
      <c r="C1517" s="15"/>
      <c r="D1517" s="15">
        <v>22282.639999999999</v>
      </c>
      <c r="E1517" s="16">
        <v>44615</v>
      </c>
      <c r="F1517" s="17" t="s">
        <v>25</v>
      </c>
    </row>
    <row r="1518" spans="1:6">
      <c r="A1518" s="13">
        <v>44616</v>
      </c>
      <c r="B1518" s="15">
        <v>1142.01</v>
      </c>
      <c r="C1518" s="15"/>
      <c r="D1518" s="15">
        <v>21159.69</v>
      </c>
      <c r="E1518" s="16">
        <v>44616</v>
      </c>
      <c r="F1518" s="17" t="s">
        <v>25</v>
      </c>
    </row>
    <row r="1519" spans="1:6">
      <c r="A1519" s="13">
        <v>44617</v>
      </c>
      <c r="B1519" s="15">
        <v>1177.43</v>
      </c>
      <c r="C1519" s="15"/>
      <c r="D1519" s="15">
        <v>21793.49</v>
      </c>
      <c r="E1519" s="16">
        <v>44617</v>
      </c>
      <c r="F1519" s="17" t="s">
        <v>25</v>
      </c>
    </row>
    <row r="1520" spans="1:6">
      <c r="A1520" s="13">
        <v>44620</v>
      </c>
      <c r="B1520" s="15">
        <v>1184.3800000000001</v>
      </c>
      <c r="C1520" s="15"/>
      <c r="D1520" s="15">
        <v>21978.65</v>
      </c>
      <c r="E1520" s="16">
        <v>44620</v>
      </c>
      <c r="F1520" s="17" t="s">
        <v>25</v>
      </c>
    </row>
    <row r="1521" spans="1:6">
      <c r="A1521" s="13">
        <v>44622</v>
      </c>
      <c r="B1521" s="15">
        <v>1170.55</v>
      </c>
      <c r="C1521" s="15"/>
      <c r="D1521" s="15">
        <v>21812.5</v>
      </c>
      <c r="E1521" s="16">
        <v>44622</v>
      </c>
      <c r="F1521" s="17" t="s">
        <v>25</v>
      </c>
    </row>
    <row r="1522" spans="1:6">
      <c r="A1522" s="13">
        <v>44623</v>
      </c>
      <c r="B1522" s="15">
        <v>1161.1600000000001</v>
      </c>
      <c r="C1522" s="15"/>
      <c r="D1522" s="15">
        <v>21714.47</v>
      </c>
      <c r="E1522" s="16">
        <v>44623</v>
      </c>
      <c r="F1522" s="17" t="s">
        <v>25</v>
      </c>
    </row>
    <row r="1523" spans="1:6">
      <c r="A1523" s="13">
        <v>44624</v>
      </c>
      <c r="B1523" s="15">
        <v>1144.92</v>
      </c>
      <c r="C1523" s="15"/>
      <c r="D1523" s="15">
        <v>21341.5</v>
      </c>
      <c r="E1523" s="16">
        <v>44624</v>
      </c>
      <c r="F1523" s="17" t="s">
        <v>25</v>
      </c>
    </row>
    <row r="1524" spans="1:6">
      <c r="A1524" s="13">
        <v>44627</v>
      </c>
      <c r="B1524" s="15">
        <v>1126.93</v>
      </c>
      <c r="C1524" s="15"/>
      <c r="D1524" s="15">
        <v>20836.23</v>
      </c>
      <c r="E1524" s="16">
        <v>44627</v>
      </c>
      <c r="F1524" s="17" t="s">
        <v>25</v>
      </c>
    </row>
    <row r="1525" spans="1:6">
      <c r="A1525" s="13">
        <v>44628</v>
      </c>
      <c r="B1525" s="15">
        <v>1141.3499999999999</v>
      </c>
      <c r="C1525" s="15"/>
      <c r="D1525" s="15">
        <v>21055.17</v>
      </c>
      <c r="E1525" s="16">
        <v>44628</v>
      </c>
      <c r="F1525" s="17" t="s">
        <v>25</v>
      </c>
    </row>
    <row r="1526" spans="1:6">
      <c r="A1526" s="13">
        <v>44629</v>
      </c>
      <c r="B1526" s="15">
        <v>1161.04</v>
      </c>
      <c r="C1526" s="15"/>
      <c r="D1526" s="15">
        <v>21477.68</v>
      </c>
      <c r="E1526" s="16">
        <v>44629</v>
      </c>
      <c r="F1526" s="17" t="s">
        <v>25</v>
      </c>
    </row>
    <row r="1527" spans="1:6">
      <c r="A1527" s="13">
        <v>44630</v>
      </c>
      <c r="B1527" s="15">
        <v>1176.3399999999999</v>
      </c>
      <c r="C1527" s="15"/>
      <c r="D1527" s="15">
        <v>21799.49</v>
      </c>
      <c r="E1527" s="16">
        <v>44630</v>
      </c>
      <c r="F1527" s="17" t="s">
        <v>25</v>
      </c>
    </row>
    <row r="1528" spans="1:6">
      <c r="A1528" s="13">
        <v>44631</v>
      </c>
      <c r="B1528" s="15">
        <v>1180.3499999999999</v>
      </c>
      <c r="C1528" s="15"/>
      <c r="D1528" s="15">
        <v>21873.99</v>
      </c>
      <c r="E1528" s="16">
        <v>44631</v>
      </c>
      <c r="F1528" s="17" t="s">
        <v>25</v>
      </c>
    </row>
    <row r="1529" spans="1:6">
      <c r="A1529" s="13">
        <v>44634</v>
      </c>
      <c r="B1529" s="15">
        <v>1192.3900000000001</v>
      </c>
      <c r="C1529" s="15"/>
      <c r="D1529" s="15">
        <v>22085.19</v>
      </c>
      <c r="E1529" s="16">
        <v>44634</v>
      </c>
      <c r="F1529" s="17" t="s">
        <v>25</v>
      </c>
    </row>
    <row r="1530" spans="1:6">
      <c r="A1530" s="13">
        <v>44635</v>
      </c>
      <c r="B1530" s="15">
        <v>1179.06</v>
      </c>
      <c r="C1530" s="15"/>
      <c r="D1530" s="15">
        <v>21841.279999999999</v>
      </c>
      <c r="E1530" s="16">
        <v>44635</v>
      </c>
      <c r="F1530" s="17" t="s">
        <v>25</v>
      </c>
    </row>
    <row r="1531" spans="1:6">
      <c r="A1531" s="13">
        <v>44636</v>
      </c>
      <c r="B1531" s="15">
        <v>1200.08</v>
      </c>
      <c r="C1531" s="15"/>
      <c r="D1531" s="15">
        <v>22250.14</v>
      </c>
      <c r="E1531" s="16">
        <v>44636</v>
      </c>
      <c r="F1531" s="17" t="s">
        <v>25</v>
      </c>
    </row>
    <row r="1532" spans="1:6">
      <c r="A1532" s="13">
        <v>44637</v>
      </c>
      <c r="B1532" s="15">
        <v>1217.6099999999999</v>
      </c>
      <c r="C1532" s="15"/>
      <c r="D1532" s="15">
        <v>22618.83</v>
      </c>
      <c r="E1532" s="16">
        <v>44637</v>
      </c>
      <c r="F1532" s="17" t="s">
        <v>25</v>
      </c>
    </row>
    <row r="1533" spans="1:6">
      <c r="A1533" s="13">
        <v>44641</v>
      </c>
      <c r="B1533" s="15">
        <v>1208.17</v>
      </c>
      <c r="C1533" s="15"/>
      <c r="D1533" s="15">
        <v>22437.279999999999</v>
      </c>
      <c r="E1533" s="16">
        <v>44641</v>
      </c>
      <c r="F1533" s="17" t="s">
        <v>25</v>
      </c>
    </row>
    <row r="1534" spans="1:6">
      <c r="A1534" s="13">
        <v>44642</v>
      </c>
      <c r="B1534" s="15">
        <v>1217.25</v>
      </c>
      <c r="C1534" s="15"/>
      <c r="D1534" s="15">
        <v>22624.23</v>
      </c>
      <c r="E1534" s="16">
        <v>44642</v>
      </c>
      <c r="F1534" s="17" t="s">
        <v>25</v>
      </c>
    </row>
    <row r="1535" spans="1:6">
      <c r="A1535" s="13">
        <v>44643</v>
      </c>
      <c r="B1535" s="15">
        <v>1215.3399999999999</v>
      </c>
      <c r="C1535" s="15"/>
      <c r="D1535" s="15">
        <v>22579.87</v>
      </c>
      <c r="E1535" s="16">
        <v>44643</v>
      </c>
      <c r="F1535" s="17" t="s">
        <v>25</v>
      </c>
    </row>
    <row r="1536" spans="1:6">
      <c r="A1536" s="13">
        <v>44644</v>
      </c>
      <c r="B1536" s="15">
        <v>1221.18</v>
      </c>
      <c r="C1536" s="15"/>
      <c r="D1536" s="15">
        <v>22586.94</v>
      </c>
      <c r="E1536" s="16">
        <v>44644</v>
      </c>
      <c r="F1536" s="17" t="s">
        <v>25</v>
      </c>
    </row>
    <row r="1537" spans="1:6">
      <c r="A1537" s="13">
        <v>44645</v>
      </c>
      <c r="B1537" s="15">
        <v>1216.3599999999999</v>
      </c>
      <c r="C1537" s="15"/>
      <c r="D1537" s="15">
        <v>22513.87</v>
      </c>
      <c r="E1537" s="16">
        <v>44645</v>
      </c>
      <c r="F1537" s="17" t="s">
        <v>25</v>
      </c>
    </row>
    <row r="1538" spans="1:6">
      <c r="A1538" s="13">
        <v>44648</v>
      </c>
      <c r="B1538" s="15">
        <v>1218.27</v>
      </c>
      <c r="C1538" s="15"/>
      <c r="D1538" s="15">
        <v>22551.67</v>
      </c>
      <c r="E1538" s="16">
        <v>44648</v>
      </c>
      <c r="F1538" s="17" t="s">
        <v>25</v>
      </c>
    </row>
    <row r="1539" spans="1:6">
      <c r="A1539" s="13">
        <v>44649</v>
      </c>
      <c r="B1539" s="15">
        <v>1226.54</v>
      </c>
      <c r="C1539" s="15"/>
      <c r="D1539" s="15">
        <v>22684.14</v>
      </c>
      <c r="E1539" s="16">
        <v>44649</v>
      </c>
      <c r="F1539" s="17" t="s">
        <v>25</v>
      </c>
    </row>
    <row r="1540" spans="1:6">
      <c r="A1540" s="13">
        <v>44650</v>
      </c>
      <c r="B1540" s="15">
        <v>1237.5999999999999</v>
      </c>
      <c r="C1540" s="15"/>
      <c r="D1540" s="15">
        <v>22892.81</v>
      </c>
      <c r="E1540" s="16">
        <v>44650</v>
      </c>
      <c r="F1540" s="17" t="s">
        <v>25</v>
      </c>
    </row>
    <row r="1541" spans="1:6">
      <c r="A1541" s="13">
        <v>44651</v>
      </c>
      <c r="B1541" s="15">
        <v>1235.47</v>
      </c>
      <c r="C1541" s="15"/>
      <c r="D1541" s="15">
        <v>22889.14</v>
      </c>
      <c r="E1541" s="16">
        <v>44651</v>
      </c>
      <c r="F1541" s="17" t="s">
        <v>25</v>
      </c>
    </row>
    <row r="1542" spans="1:6">
      <c r="A1542" s="13">
        <v>44652</v>
      </c>
      <c r="B1542" s="15">
        <v>1244.7</v>
      </c>
      <c r="C1542" s="15"/>
      <c r="D1542" s="15">
        <v>23185.39</v>
      </c>
      <c r="E1542" s="16">
        <v>44652</v>
      </c>
      <c r="F1542" s="17" t="s">
        <v>25</v>
      </c>
    </row>
    <row r="1543" spans="1:6">
      <c r="A1543" s="13">
        <v>44655</v>
      </c>
      <c r="B1543" s="15">
        <v>1264.95</v>
      </c>
      <c r="C1543" s="15"/>
      <c r="D1543" s="15">
        <v>23642.61</v>
      </c>
      <c r="E1543" s="16">
        <v>44655</v>
      </c>
      <c r="F1543" s="17" t="s">
        <v>25</v>
      </c>
    </row>
    <row r="1544" spans="1:6">
      <c r="A1544" s="13">
        <v>44656</v>
      </c>
      <c r="B1544" s="15">
        <v>1265.9100000000001</v>
      </c>
      <c r="C1544" s="15"/>
      <c r="D1544" s="15">
        <v>23653.78</v>
      </c>
      <c r="E1544" s="16">
        <v>44656</v>
      </c>
      <c r="F1544" s="17" t="s">
        <v>25</v>
      </c>
    </row>
    <row r="1545" spans="1:6">
      <c r="A1545" s="13">
        <v>44657</v>
      </c>
      <c r="B1545" s="15">
        <v>1258.7</v>
      </c>
      <c r="C1545" s="15"/>
      <c r="D1545" s="15">
        <v>23557.599999999999</v>
      </c>
      <c r="E1545" s="16">
        <v>44657</v>
      </c>
      <c r="F1545" s="17" t="s">
        <v>25</v>
      </c>
    </row>
    <row r="1546" spans="1:6">
      <c r="A1546" s="13">
        <v>44658</v>
      </c>
      <c r="B1546" s="15">
        <v>1255.79</v>
      </c>
      <c r="C1546" s="15"/>
      <c r="D1546" s="15">
        <v>23362.93</v>
      </c>
      <c r="E1546" s="16">
        <v>44658</v>
      </c>
      <c r="F1546" s="17" t="s">
        <v>25</v>
      </c>
    </row>
    <row r="1547" spans="1:6">
      <c r="A1547" s="13">
        <v>44659</v>
      </c>
      <c r="B1547" s="15">
        <v>1265.45</v>
      </c>
      <c r="C1547" s="15"/>
      <c r="D1547" s="15">
        <v>23579.95</v>
      </c>
      <c r="E1547" s="16">
        <v>44659</v>
      </c>
      <c r="F1547" s="17" t="s">
        <v>25</v>
      </c>
    </row>
    <row r="1548" spans="1:6">
      <c r="A1548" s="13">
        <v>44662</v>
      </c>
      <c r="B1548" s="15">
        <v>1259.3</v>
      </c>
      <c r="C1548" s="15"/>
      <c r="D1548" s="15">
        <v>23553.95</v>
      </c>
      <c r="E1548" s="16">
        <v>44662</v>
      </c>
      <c r="F1548" s="17" t="s">
        <v>25</v>
      </c>
    </row>
    <row r="1549" spans="1:6">
      <c r="A1549" s="13">
        <v>44663</v>
      </c>
      <c r="B1549" s="15">
        <v>1248.5</v>
      </c>
      <c r="C1549" s="15"/>
      <c r="D1549" s="15">
        <v>23306.86</v>
      </c>
      <c r="E1549" s="16">
        <v>44663</v>
      </c>
      <c r="F1549" s="17" t="s">
        <v>25</v>
      </c>
    </row>
    <row r="1550" spans="1:6">
      <c r="A1550" s="13">
        <v>44664</v>
      </c>
      <c r="B1550" s="15">
        <v>1245.1600000000001</v>
      </c>
      <c r="C1550" s="15"/>
      <c r="D1550" s="15">
        <v>23266.65</v>
      </c>
      <c r="E1550" s="16">
        <v>44664</v>
      </c>
      <c r="F1550" s="17" t="s">
        <v>25</v>
      </c>
    </row>
    <row r="1551" spans="1:6">
      <c r="A1551" s="13">
        <v>44669</v>
      </c>
      <c r="B1551" s="15">
        <v>1225.8800000000001</v>
      </c>
      <c r="C1551" s="15"/>
      <c r="D1551" s="15">
        <v>22940.09</v>
      </c>
      <c r="E1551" s="16">
        <v>44669</v>
      </c>
      <c r="F1551" s="17" t="s">
        <v>25</v>
      </c>
    </row>
    <row r="1552" spans="1:6">
      <c r="A1552" s="13">
        <v>44670</v>
      </c>
      <c r="B1552" s="15">
        <v>1210.42</v>
      </c>
      <c r="C1552" s="15"/>
      <c r="D1552" s="15">
        <v>22634.01</v>
      </c>
      <c r="E1552" s="16">
        <v>44670</v>
      </c>
      <c r="F1552" s="17" t="s">
        <v>25</v>
      </c>
    </row>
    <row r="1553" spans="1:6">
      <c r="A1553" s="13">
        <v>44671</v>
      </c>
      <c r="B1553" s="15">
        <v>1215.8399999999999</v>
      </c>
      <c r="C1553" s="15"/>
      <c r="D1553" s="15">
        <v>22824.1</v>
      </c>
      <c r="E1553" s="16">
        <v>44671</v>
      </c>
      <c r="F1553" s="17" t="s">
        <v>25</v>
      </c>
    </row>
    <row r="1554" spans="1:6">
      <c r="A1554" s="13">
        <v>44672</v>
      </c>
      <c r="B1554" s="15">
        <v>1227.8399999999999</v>
      </c>
      <c r="C1554" s="15"/>
      <c r="D1554" s="15">
        <v>23137.67</v>
      </c>
      <c r="E1554" s="16">
        <v>44672</v>
      </c>
      <c r="F1554" s="17" t="s">
        <v>25</v>
      </c>
    </row>
    <row r="1555" spans="1:6">
      <c r="A1555" s="13">
        <v>44673</v>
      </c>
      <c r="B1555" s="15">
        <v>1212.25</v>
      </c>
      <c r="C1555" s="15"/>
      <c r="D1555" s="15">
        <v>22893.200000000001</v>
      </c>
      <c r="E1555" s="16">
        <v>44673</v>
      </c>
      <c r="F1555" s="17" t="s">
        <v>25</v>
      </c>
    </row>
    <row r="1556" spans="1:6">
      <c r="A1556" s="13">
        <v>44676</v>
      </c>
      <c r="B1556" s="15">
        <v>1195.6199999999999</v>
      </c>
      <c r="C1556" s="15"/>
      <c r="D1556" s="15">
        <v>22552.63</v>
      </c>
      <c r="E1556" s="16">
        <v>44676</v>
      </c>
      <c r="F1556" s="17" t="s">
        <v>25</v>
      </c>
    </row>
    <row r="1557" spans="1:6">
      <c r="A1557" s="13">
        <v>44677</v>
      </c>
      <c r="B1557" s="15">
        <v>1210.2</v>
      </c>
      <c r="C1557" s="15"/>
      <c r="D1557" s="15">
        <v>22899.02</v>
      </c>
      <c r="E1557" s="16">
        <v>44677</v>
      </c>
      <c r="F1557" s="17" t="s">
        <v>25</v>
      </c>
    </row>
    <row r="1558" spans="1:6">
      <c r="A1558" s="13">
        <v>44678</v>
      </c>
      <c r="B1558" s="15">
        <v>1195.92</v>
      </c>
      <c r="C1558" s="15"/>
      <c r="D1558" s="15">
        <v>22680.26</v>
      </c>
      <c r="E1558" s="16">
        <v>44678</v>
      </c>
      <c r="F1558" s="17" t="s">
        <v>25</v>
      </c>
    </row>
    <row r="1559" spans="1:6">
      <c r="A1559" s="13">
        <v>44679</v>
      </c>
      <c r="B1559" s="15">
        <v>1205.48</v>
      </c>
      <c r="C1559" s="15"/>
      <c r="D1559" s="15">
        <v>22926.74</v>
      </c>
      <c r="E1559" s="16">
        <v>44679</v>
      </c>
      <c r="F1559" s="17" t="s">
        <v>25</v>
      </c>
    </row>
    <row r="1560" spans="1:6">
      <c r="A1560" s="13">
        <v>44680</v>
      </c>
      <c r="B1560" s="15">
        <v>1197.6500000000001</v>
      </c>
      <c r="C1560" s="15"/>
      <c r="D1560" s="15">
        <v>22726.01</v>
      </c>
      <c r="E1560" s="16">
        <v>44680</v>
      </c>
      <c r="F1560" s="17" t="s">
        <v>25</v>
      </c>
    </row>
    <row r="1561" spans="1:6">
      <c r="A1561" s="13">
        <v>44683</v>
      </c>
      <c r="B1561" s="15">
        <v>1190.1600000000001</v>
      </c>
      <c r="C1561" s="15"/>
      <c r="D1561" s="15">
        <v>22653.68</v>
      </c>
      <c r="E1561" s="16">
        <v>44683</v>
      </c>
      <c r="F1561" s="17" t="s">
        <v>25</v>
      </c>
    </row>
    <row r="1562" spans="1:6">
      <c r="A1562" s="13">
        <v>44685</v>
      </c>
      <c r="B1562" s="15">
        <v>1161.6600000000001</v>
      </c>
      <c r="C1562" s="15"/>
      <c r="D1562" s="15">
        <v>22126.53</v>
      </c>
      <c r="E1562" s="16">
        <v>44685</v>
      </c>
      <c r="F1562" s="17" t="s">
        <v>25</v>
      </c>
    </row>
    <row r="1563" spans="1:6">
      <c r="A1563" s="13">
        <v>44686</v>
      </c>
      <c r="B1563" s="15">
        <v>1163.77</v>
      </c>
      <c r="C1563" s="15"/>
      <c r="D1563" s="15">
        <v>22130.39</v>
      </c>
      <c r="E1563" s="16">
        <v>44686</v>
      </c>
      <c r="F1563" s="17" t="s">
        <v>25</v>
      </c>
    </row>
    <row r="1564" spans="1:6">
      <c r="A1564" s="13">
        <v>44687</v>
      </c>
      <c r="B1564" s="15">
        <v>1141.28</v>
      </c>
      <c r="C1564" s="15"/>
      <c r="D1564" s="15">
        <v>21746.45</v>
      </c>
      <c r="E1564" s="16">
        <v>44687</v>
      </c>
      <c r="F1564" s="17" t="s">
        <v>25</v>
      </c>
    </row>
    <row r="1565" spans="1:6">
      <c r="A1565" s="13">
        <v>44690</v>
      </c>
      <c r="B1565" s="15">
        <v>1134.56</v>
      </c>
      <c r="C1565" s="15"/>
      <c r="D1565" s="15">
        <v>21509.71</v>
      </c>
      <c r="E1565" s="16">
        <v>44690</v>
      </c>
      <c r="F1565" s="17" t="s">
        <v>25</v>
      </c>
    </row>
    <row r="1566" spans="1:6">
      <c r="A1566" s="13">
        <v>44691</v>
      </c>
      <c r="B1566" s="15">
        <v>1126.22</v>
      </c>
      <c r="C1566" s="15"/>
      <c r="D1566" s="15">
        <v>21301.05</v>
      </c>
      <c r="E1566" s="16">
        <v>44691</v>
      </c>
      <c r="F1566" s="17" t="s">
        <v>25</v>
      </c>
    </row>
    <row r="1567" spans="1:6">
      <c r="A1567" s="13">
        <v>44692</v>
      </c>
      <c r="B1567" s="15">
        <v>1121.1600000000001</v>
      </c>
      <c r="C1567" s="15"/>
      <c r="D1567" s="15">
        <v>21171.75</v>
      </c>
      <c r="E1567" s="16">
        <v>44692</v>
      </c>
      <c r="F1567" s="17" t="s">
        <v>25</v>
      </c>
    </row>
    <row r="1568" spans="1:6">
      <c r="A1568" s="13">
        <v>44693</v>
      </c>
      <c r="B1568" s="15">
        <v>1098.29</v>
      </c>
      <c r="C1568" s="15"/>
      <c r="D1568" s="15">
        <v>20714.03</v>
      </c>
      <c r="E1568" s="16">
        <v>44693</v>
      </c>
      <c r="F1568" s="17" t="s">
        <v>25</v>
      </c>
    </row>
    <row r="1569" spans="1:6">
      <c r="A1569" s="13">
        <v>44694</v>
      </c>
      <c r="B1569" s="15">
        <v>1097.47</v>
      </c>
      <c r="C1569" s="15"/>
      <c r="D1569" s="15">
        <v>20723.68</v>
      </c>
      <c r="E1569" s="16">
        <v>44694</v>
      </c>
      <c r="F1569" s="17" t="s">
        <v>25</v>
      </c>
    </row>
    <row r="1570" spans="1:6">
      <c r="A1570" s="13">
        <v>44697</v>
      </c>
      <c r="B1570" s="15">
        <v>1104.9000000000001</v>
      </c>
      <c r="C1570" s="15"/>
      <c r="D1570" s="15">
        <v>20877.04</v>
      </c>
      <c r="E1570" s="16">
        <v>44697</v>
      </c>
      <c r="F1570" s="17" t="s">
        <v>25</v>
      </c>
    </row>
    <row r="1571" spans="1:6">
      <c r="A1571" s="13">
        <v>44698</v>
      </c>
      <c r="B1571" s="15">
        <v>1129.93</v>
      </c>
      <c r="C1571" s="15"/>
      <c r="D1571" s="15">
        <v>21423.03</v>
      </c>
      <c r="E1571" s="16">
        <v>44698</v>
      </c>
      <c r="F1571" s="17" t="s">
        <v>25</v>
      </c>
    </row>
    <row r="1572" spans="1:6">
      <c r="A1572" s="13">
        <v>44699</v>
      </c>
      <c r="B1572" s="15">
        <v>1127.29</v>
      </c>
      <c r="C1572" s="15"/>
      <c r="D1572" s="15">
        <v>21410.98</v>
      </c>
      <c r="E1572" s="16">
        <v>44699</v>
      </c>
      <c r="F1572" s="17" t="s">
        <v>25</v>
      </c>
    </row>
    <row r="1573" spans="1:6">
      <c r="A1573" s="13">
        <v>44700</v>
      </c>
      <c r="B1573" s="15">
        <v>1094.3699999999999</v>
      </c>
      <c r="C1573" s="15"/>
      <c r="D1573" s="15">
        <v>20845.900000000001</v>
      </c>
      <c r="E1573" s="16">
        <v>44700</v>
      </c>
      <c r="F1573" s="17" t="s">
        <v>25</v>
      </c>
    </row>
    <row r="1574" spans="1:6">
      <c r="A1574" s="13">
        <v>44701</v>
      </c>
      <c r="B1574" s="15">
        <v>1121.74</v>
      </c>
      <c r="C1574" s="15"/>
      <c r="D1574" s="15">
        <v>21375.43</v>
      </c>
      <c r="E1574" s="16">
        <v>44701</v>
      </c>
      <c r="F1574" s="17" t="s">
        <v>25</v>
      </c>
    </row>
    <row r="1575" spans="1:6">
      <c r="A1575" s="13">
        <v>44704</v>
      </c>
      <c r="B1575" s="15">
        <v>1115.56</v>
      </c>
      <c r="C1575" s="15"/>
      <c r="D1575" s="15">
        <v>21284.62</v>
      </c>
      <c r="E1575" s="16">
        <v>44704</v>
      </c>
      <c r="F1575" s="17" t="s">
        <v>25</v>
      </c>
    </row>
    <row r="1576" spans="1:6">
      <c r="A1576" s="13">
        <v>44705</v>
      </c>
      <c r="B1576" s="15">
        <v>1107.79</v>
      </c>
      <c r="C1576" s="15"/>
      <c r="D1576" s="15">
        <v>21148.400000000001</v>
      </c>
      <c r="E1576" s="16">
        <v>44705</v>
      </c>
      <c r="F1576" s="17" t="s">
        <v>25</v>
      </c>
    </row>
    <row r="1577" spans="1:6">
      <c r="A1577" s="13">
        <v>44706</v>
      </c>
      <c r="B1577" s="15">
        <v>1098.46</v>
      </c>
      <c r="C1577" s="15"/>
      <c r="D1577" s="15">
        <v>20912.97</v>
      </c>
      <c r="E1577" s="16">
        <v>44706</v>
      </c>
      <c r="F1577" s="17" t="s">
        <v>25</v>
      </c>
    </row>
    <row r="1578" spans="1:6">
      <c r="A1578" s="13">
        <v>44707</v>
      </c>
      <c r="B1578" s="15">
        <v>1111.8599999999999</v>
      </c>
      <c r="C1578" s="15"/>
      <c r="D1578" s="15">
        <v>21131.35</v>
      </c>
      <c r="E1578" s="16">
        <v>44707</v>
      </c>
      <c r="F1578" s="17" t="s">
        <v>25</v>
      </c>
    </row>
    <row r="1579" spans="1:6">
      <c r="A1579" s="13">
        <v>44708</v>
      </c>
      <c r="B1579" s="15">
        <v>1127.7</v>
      </c>
      <c r="C1579" s="15"/>
      <c r="D1579" s="15">
        <v>21363.35</v>
      </c>
      <c r="E1579" s="16">
        <v>44708</v>
      </c>
      <c r="F1579" s="17" t="s">
        <v>25</v>
      </c>
    </row>
    <row r="1580" spans="1:6">
      <c r="A1580" s="13">
        <v>44711</v>
      </c>
      <c r="B1580" s="15">
        <v>1148.25</v>
      </c>
      <c r="C1580" s="15"/>
      <c r="D1580" s="15">
        <v>21797.25</v>
      </c>
      <c r="E1580" s="16">
        <v>44711</v>
      </c>
      <c r="F1580" s="17" t="s">
        <v>25</v>
      </c>
    </row>
    <row r="1581" spans="1:6">
      <c r="A1581" s="13">
        <v>44712</v>
      </c>
      <c r="B1581" s="15">
        <v>1143.6400000000001</v>
      </c>
      <c r="C1581" s="15"/>
      <c r="D1581" s="15">
        <v>21765.82</v>
      </c>
      <c r="E1581" s="16">
        <v>44712</v>
      </c>
      <c r="F1581" s="17" t="s">
        <v>25</v>
      </c>
    </row>
    <row r="1582" spans="1:6">
      <c r="A1582" s="13">
        <v>44713</v>
      </c>
      <c r="B1582" s="15">
        <v>1137.02</v>
      </c>
      <c r="C1582" s="15"/>
      <c r="D1582" s="15">
        <v>21709.49</v>
      </c>
      <c r="E1582" s="16">
        <v>44713</v>
      </c>
      <c r="F1582" s="17" t="s">
        <v>25</v>
      </c>
    </row>
    <row r="1583" spans="1:6">
      <c r="A1583" s="13">
        <v>44714</v>
      </c>
      <c r="B1583" s="15">
        <v>1144.08</v>
      </c>
      <c r="C1583" s="15"/>
      <c r="D1583" s="15">
        <v>21841.16</v>
      </c>
      <c r="E1583" s="16">
        <v>44714</v>
      </c>
      <c r="F1583" s="17" t="s">
        <v>25</v>
      </c>
    </row>
    <row r="1584" spans="1:6">
      <c r="A1584" s="13">
        <v>44715</v>
      </c>
      <c r="B1584" s="15">
        <v>1136.6600000000001</v>
      </c>
      <c r="C1584" s="15"/>
      <c r="D1584" s="15">
        <v>21702.58</v>
      </c>
      <c r="E1584" s="16">
        <v>44715</v>
      </c>
      <c r="F1584" s="17" t="s">
        <v>25</v>
      </c>
    </row>
    <row r="1585" spans="1:6">
      <c r="A1585" s="13">
        <v>44718</v>
      </c>
      <c r="B1585" s="15">
        <v>1133.3</v>
      </c>
      <c r="C1585" s="15"/>
      <c r="D1585" s="15">
        <v>21666.17</v>
      </c>
      <c r="E1585" s="16">
        <v>44718</v>
      </c>
      <c r="F1585" s="17" t="s">
        <v>25</v>
      </c>
    </row>
    <row r="1586" spans="1:6">
      <c r="A1586" s="13">
        <v>44719</v>
      </c>
      <c r="B1586" s="15">
        <v>1119.69</v>
      </c>
      <c r="C1586" s="15"/>
      <c r="D1586" s="15">
        <v>21483.599999999999</v>
      </c>
      <c r="E1586" s="16">
        <v>44719</v>
      </c>
      <c r="F1586" s="17" t="s">
        <v>25</v>
      </c>
    </row>
    <row r="1587" spans="1:6">
      <c r="A1587" s="13">
        <v>44720</v>
      </c>
      <c r="B1587" s="15">
        <v>1118.93</v>
      </c>
      <c r="C1587" s="15"/>
      <c r="D1587" s="15">
        <v>21408.54</v>
      </c>
      <c r="E1587" s="16">
        <v>44720</v>
      </c>
      <c r="F1587" s="17" t="s">
        <v>25</v>
      </c>
    </row>
    <row r="1588" spans="1:6">
      <c r="A1588" s="13">
        <v>44721</v>
      </c>
      <c r="B1588" s="15">
        <v>1126.67</v>
      </c>
      <c r="C1588" s="15"/>
      <c r="D1588" s="15">
        <v>21551</v>
      </c>
      <c r="E1588" s="16">
        <v>44721</v>
      </c>
      <c r="F1588" s="17" t="s">
        <v>25</v>
      </c>
    </row>
    <row r="1589" spans="1:6">
      <c r="A1589" s="13">
        <v>44722</v>
      </c>
      <c r="B1589" s="15">
        <v>1112.01</v>
      </c>
      <c r="C1589" s="15"/>
      <c r="D1589" s="15">
        <v>21250.32</v>
      </c>
      <c r="E1589" s="16">
        <v>44722</v>
      </c>
      <c r="F1589" s="17" t="s">
        <v>25</v>
      </c>
    </row>
    <row r="1590" spans="1:6">
      <c r="A1590" s="13">
        <v>44725</v>
      </c>
      <c r="B1590" s="15">
        <v>1081.31</v>
      </c>
      <c r="C1590" s="15"/>
      <c r="D1590" s="15">
        <v>20687.8</v>
      </c>
      <c r="E1590" s="16">
        <v>44725</v>
      </c>
      <c r="F1590" s="17" t="s">
        <v>25</v>
      </c>
    </row>
    <row r="1591" spans="1:6">
      <c r="A1591" s="13">
        <v>44726</v>
      </c>
      <c r="B1591" s="15">
        <v>1083.02</v>
      </c>
      <c r="C1591" s="15"/>
      <c r="D1591" s="15">
        <v>20644.23</v>
      </c>
      <c r="E1591" s="16">
        <v>44726</v>
      </c>
      <c r="F1591" s="17" t="s">
        <v>25</v>
      </c>
    </row>
    <row r="1592" spans="1:6">
      <c r="A1592" s="13">
        <v>44727</v>
      </c>
      <c r="B1592" s="15">
        <v>1086.27</v>
      </c>
      <c r="C1592" s="15"/>
      <c r="D1592" s="15">
        <v>20646.77</v>
      </c>
      <c r="E1592" s="16">
        <v>44727</v>
      </c>
      <c r="F1592" s="17" t="s">
        <v>25</v>
      </c>
    </row>
    <row r="1593" spans="1:6">
      <c r="A1593" s="13">
        <v>44728</v>
      </c>
      <c r="B1593" s="15">
        <v>1061.1500000000001</v>
      </c>
      <c r="C1593" s="15"/>
      <c r="D1593" s="15">
        <v>20197</v>
      </c>
      <c r="E1593" s="16">
        <v>44728</v>
      </c>
      <c r="F1593" s="17" t="s">
        <v>25</v>
      </c>
    </row>
    <row r="1594" spans="1:6">
      <c r="A1594" s="13">
        <v>44729</v>
      </c>
      <c r="B1594" s="15">
        <v>1055.8</v>
      </c>
      <c r="C1594" s="15"/>
      <c r="D1594" s="15">
        <v>20052.330000000002</v>
      </c>
      <c r="E1594" s="16">
        <v>44729</v>
      </c>
      <c r="F1594" s="17" t="s">
        <v>25</v>
      </c>
    </row>
    <row r="1595" spans="1:6">
      <c r="A1595" s="13">
        <v>44732</v>
      </c>
      <c r="B1595" s="15">
        <v>1052.96</v>
      </c>
      <c r="C1595" s="15"/>
      <c r="D1595" s="15">
        <v>19985.84</v>
      </c>
      <c r="E1595" s="16">
        <v>44732</v>
      </c>
      <c r="F1595" s="17" t="s">
        <v>25</v>
      </c>
    </row>
    <row r="1596" spans="1:6">
      <c r="A1596" s="13">
        <v>44733</v>
      </c>
      <c r="B1596" s="15">
        <v>1074.8699999999999</v>
      </c>
      <c r="C1596" s="15"/>
      <c r="D1596" s="15">
        <v>20435.5</v>
      </c>
      <c r="E1596" s="16">
        <v>44733</v>
      </c>
      <c r="F1596" s="17" t="s">
        <v>25</v>
      </c>
    </row>
    <row r="1597" spans="1:6">
      <c r="A1597" s="13">
        <v>44734</v>
      </c>
      <c r="B1597" s="15">
        <v>1059.27</v>
      </c>
      <c r="C1597" s="15"/>
      <c r="D1597" s="15">
        <v>20136.400000000001</v>
      </c>
      <c r="E1597" s="16">
        <v>44734</v>
      </c>
      <c r="F1597" s="17" t="s">
        <v>25</v>
      </c>
    </row>
    <row r="1598" spans="1:6">
      <c r="A1598" s="13">
        <v>44735</v>
      </c>
      <c r="B1598" s="15">
        <v>1071.81</v>
      </c>
      <c r="C1598" s="15"/>
      <c r="D1598" s="15">
        <v>20339.150000000001</v>
      </c>
      <c r="E1598" s="16">
        <v>44735</v>
      </c>
      <c r="F1598" s="17" t="s">
        <v>25</v>
      </c>
    </row>
    <row r="1599" spans="1:6">
      <c r="A1599" s="13">
        <v>44736</v>
      </c>
      <c r="B1599" s="15">
        <v>1082.8499999999999</v>
      </c>
      <c r="C1599" s="15"/>
      <c r="D1599" s="15">
        <v>20561.02</v>
      </c>
      <c r="E1599" s="16">
        <v>44736</v>
      </c>
      <c r="F1599" s="17" t="s">
        <v>25</v>
      </c>
    </row>
    <row r="1600" spans="1:6">
      <c r="A1600" s="13">
        <v>44739</v>
      </c>
      <c r="B1600" s="15">
        <v>1093.6400000000001</v>
      </c>
      <c r="C1600" s="15"/>
      <c r="D1600" s="15">
        <v>20749.400000000001</v>
      </c>
      <c r="E1600" s="16">
        <v>44739</v>
      </c>
      <c r="F1600" s="17" t="s">
        <v>25</v>
      </c>
    </row>
    <row r="1601" spans="1:6">
      <c r="A1601" s="13">
        <v>44740</v>
      </c>
      <c r="B1601" s="15">
        <v>1094.6300000000001</v>
      </c>
      <c r="C1601" s="15"/>
      <c r="D1601" s="15">
        <v>20779.919999999998</v>
      </c>
      <c r="E1601" s="16">
        <v>44740</v>
      </c>
      <c r="F1601" s="17" t="s">
        <v>25</v>
      </c>
    </row>
    <row r="1602" spans="1:6">
      <c r="A1602" s="13">
        <v>44741</v>
      </c>
      <c r="B1602" s="15">
        <v>1088.18</v>
      </c>
      <c r="C1602" s="15"/>
      <c r="D1602" s="15">
        <v>20708.330000000002</v>
      </c>
      <c r="E1602" s="16">
        <v>44741</v>
      </c>
      <c r="F1602" s="17" t="s">
        <v>25</v>
      </c>
    </row>
    <row r="1603" spans="1:6">
      <c r="A1603" s="13">
        <v>44742</v>
      </c>
      <c r="B1603" s="15">
        <v>1085.75</v>
      </c>
      <c r="C1603" s="15"/>
      <c r="D1603" s="15">
        <v>20667.27</v>
      </c>
      <c r="E1603" s="16">
        <v>44742</v>
      </c>
      <c r="F1603" s="17" t="s">
        <v>25</v>
      </c>
    </row>
    <row r="1604" spans="1:6">
      <c r="A1604" s="13">
        <v>44743</v>
      </c>
      <c r="B1604" s="15">
        <v>1090.03</v>
      </c>
      <c r="C1604" s="15"/>
      <c r="D1604" s="15">
        <v>20678.080000000002</v>
      </c>
      <c r="E1604" s="16">
        <v>44743</v>
      </c>
      <c r="F1604" s="17" t="s">
        <v>25</v>
      </c>
    </row>
    <row r="1605" spans="1:6">
      <c r="A1605" s="13">
        <v>44746</v>
      </c>
      <c r="B1605" s="15">
        <v>1097.1099999999999</v>
      </c>
      <c r="C1605" s="15"/>
      <c r="D1605" s="15">
        <v>20802.77</v>
      </c>
      <c r="E1605" s="16">
        <v>44746</v>
      </c>
      <c r="F1605" s="17" t="s">
        <v>25</v>
      </c>
    </row>
    <row r="1606" spans="1:6">
      <c r="A1606" s="13">
        <v>44747</v>
      </c>
      <c r="B1606" s="15">
        <v>1096.31</v>
      </c>
      <c r="C1606" s="15"/>
      <c r="D1606" s="15">
        <v>20787.259999999998</v>
      </c>
      <c r="E1606" s="16">
        <v>44747</v>
      </c>
      <c r="F1606" s="17" t="s">
        <v>25</v>
      </c>
    </row>
    <row r="1607" spans="1:6">
      <c r="A1607" s="13">
        <v>44748</v>
      </c>
      <c r="B1607" s="15">
        <v>1109.53</v>
      </c>
      <c r="C1607" s="15"/>
      <c r="D1607" s="15">
        <v>21048.95</v>
      </c>
      <c r="E1607" s="16">
        <v>44748</v>
      </c>
      <c r="F1607" s="17" t="s">
        <v>25</v>
      </c>
    </row>
    <row r="1608" spans="1:6">
      <c r="A1608" s="13">
        <v>44749</v>
      </c>
      <c r="B1608" s="15">
        <v>1120.96</v>
      </c>
      <c r="C1608" s="15"/>
      <c r="D1608" s="15">
        <v>21257.79</v>
      </c>
      <c r="E1608" s="16">
        <v>44749</v>
      </c>
      <c r="F1608" s="17" t="s">
        <v>25</v>
      </c>
    </row>
    <row r="1609" spans="1:6">
      <c r="A1609" s="13">
        <v>44750</v>
      </c>
      <c r="B1609" s="15">
        <v>1125.9100000000001</v>
      </c>
      <c r="C1609" s="15"/>
      <c r="D1609" s="15">
        <v>21355.42</v>
      </c>
      <c r="E1609" s="16">
        <v>44750</v>
      </c>
      <c r="F1609" s="17" t="s">
        <v>25</v>
      </c>
    </row>
    <row r="1610" spans="1:6">
      <c r="A1610" s="13">
        <v>44753</v>
      </c>
      <c r="B1610" s="15">
        <v>1126.56</v>
      </c>
      <c r="C1610" s="15"/>
      <c r="D1610" s="15">
        <v>21446.79</v>
      </c>
      <c r="E1610" s="16">
        <v>44753</v>
      </c>
      <c r="F1610" s="17" t="s">
        <v>25</v>
      </c>
    </row>
    <row r="1611" spans="1:6">
      <c r="A1611" s="13">
        <v>44754</v>
      </c>
      <c r="B1611" s="15">
        <v>1114.3399999999999</v>
      </c>
      <c r="C1611" s="15"/>
      <c r="D1611" s="15">
        <v>21281.05</v>
      </c>
      <c r="E1611" s="16">
        <v>44754</v>
      </c>
      <c r="F1611" s="17" t="s">
        <v>25</v>
      </c>
    </row>
    <row r="1612" spans="1:6">
      <c r="A1612" s="13">
        <v>44755</v>
      </c>
      <c r="B1612" s="15">
        <v>1111.18</v>
      </c>
      <c r="C1612" s="15"/>
      <c r="D1612" s="15">
        <v>21200.87</v>
      </c>
      <c r="E1612" s="16">
        <v>44755</v>
      </c>
      <c r="F1612" s="17" t="s">
        <v>25</v>
      </c>
    </row>
    <row r="1613" spans="1:6">
      <c r="A1613" s="13">
        <v>44756</v>
      </c>
      <c r="B1613" s="15">
        <v>1110.1099999999999</v>
      </c>
      <c r="C1613" s="15"/>
      <c r="D1613" s="15">
        <v>21171.19</v>
      </c>
      <c r="E1613" s="16">
        <v>44756</v>
      </c>
      <c r="F1613" s="17" t="s">
        <v>25</v>
      </c>
    </row>
    <row r="1614" spans="1:6">
      <c r="A1614" s="13">
        <v>44757</v>
      </c>
      <c r="B1614" s="15">
        <v>1112.67</v>
      </c>
      <c r="C1614" s="15"/>
      <c r="D1614" s="15">
        <v>21306.94</v>
      </c>
      <c r="E1614" s="16">
        <v>44757</v>
      </c>
      <c r="F1614" s="17" t="s">
        <v>25</v>
      </c>
    </row>
    <row r="1615" spans="1:6">
      <c r="A1615" s="13">
        <v>44760</v>
      </c>
      <c r="B1615" s="15">
        <v>1130.79</v>
      </c>
      <c r="C1615" s="15"/>
      <c r="D1615" s="15">
        <v>21606.99</v>
      </c>
      <c r="E1615" s="16">
        <v>44760</v>
      </c>
      <c r="F1615" s="17" t="s">
        <v>25</v>
      </c>
    </row>
    <row r="1616" spans="1:6">
      <c r="A1616" s="13">
        <v>44761</v>
      </c>
      <c r="B1616" s="15">
        <v>1135.47</v>
      </c>
      <c r="C1616" s="15"/>
      <c r="D1616" s="15">
        <v>21714.15</v>
      </c>
      <c r="E1616" s="16">
        <v>44761</v>
      </c>
      <c r="F1616" s="17" t="s">
        <v>25</v>
      </c>
    </row>
    <row r="1617" spans="1:6">
      <c r="A1617" s="13">
        <v>44762</v>
      </c>
      <c r="B1617" s="15">
        <v>1141.1300000000001</v>
      </c>
      <c r="C1617" s="15"/>
      <c r="D1617" s="15">
        <v>21888.95</v>
      </c>
      <c r="E1617" s="16">
        <v>44762</v>
      </c>
      <c r="F1617" s="17" t="s">
        <v>25</v>
      </c>
    </row>
    <row r="1618" spans="1:6">
      <c r="A1618" s="13">
        <v>44763</v>
      </c>
      <c r="B1618" s="15">
        <v>1149.8699999999999</v>
      </c>
      <c r="C1618" s="15"/>
      <c r="D1618" s="15">
        <v>22064.83</v>
      </c>
      <c r="E1618" s="16">
        <v>44763</v>
      </c>
      <c r="F1618" s="17" t="s">
        <v>25</v>
      </c>
    </row>
    <row r="1619" spans="1:6">
      <c r="A1619" s="13">
        <v>44764</v>
      </c>
      <c r="B1619" s="15">
        <v>1155.73</v>
      </c>
      <c r="C1619" s="15"/>
      <c r="D1619" s="15">
        <v>22165.119999999999</v>
      </c>
      <c r="E1619" s="16">
        <v>44764</v>
      </c>
      <c r="F1619" s="17" t="s">
        <v>25</v>
      </c>
    </row>
    <row r="1620" spans="1:6">
      <c r="A1620" s="13">
        <v>44767</v>
      </c>
      <c r="B1620" s="15">
        <v>1155.6300000000001</v>
      </c>
      <c r="C1620" s="15"/>
      <c r="D1620" s="15">
        <v>22077.13</v>
      </c>
      <c r="E1620" s="16">
        <v>44767</v>
      </c>
      <c r="F1620" s="17" t="s">
        <v>25</v>
      </c>
    </row>
    <row r="1621" spans="1:6">
      <c r="A1621" s="13">
        <v>44768</v>
      </c>
      <c r="B1621" s="15">
        <v>1142.1600000000001</v>
      </c>
      <c r="C1621" s="15"/>
      <c r="D1621" s="15">
        <v>21864.15</v>
      </c>
      <c r="E1621" s="16">
        <v>44768</v>
      </c>
      <c r="F1621" s="17" t="s">
        <v>25</v>
      </c>
    </row>
    <row r="1622" spans="1:6">
      <c r="A1622" s="13">
        <v>44769</v>
      </c>
      <c r="B1622" s="15">
        <v>1152.24</v>
      </c>
      <c r="C1622" s="15"/>
      <c r="D1622" s="15">
        <v>22053.68</v>
      </c>
      <c r="E1622" s="16">
        <v>44769</v>
      </c>
      <c r="F1622" s="17" t="s">
        <v>25</v>
      </c>
    </row>
    <row r="1623" spans="1:6">
      <c r="A1623" s="13">
        <v>44770</v>
      </c>
      <c r="B1623" s="15">
        <v>1168.52</v>
      </c>
      <c r="C1623" s="15"/>
      <c r="D1623" s="15">
        <v>22374.32</v>
      </c>
      <c r="E1623" s="16">
        <v>44770</v>
      </c>
      <c r="F1623" s="17" t="s">
        <v>25</v>
      </c>
    </row>
    <row r="1624" spans="1:6">
      <c r="A1624" s="13">
        <v>44771</v>
      </c>
      <c r="B1624" s="15">
        <v>1183.3900000000001</v>
      </c>
      <c r="C1624" s="15"/>
      <c r="D1624" s="15">
        <v>22678.29</v>
      </c>
      <c r="E1624" s="16">
        <v>44771</v>
      </c>
      <c r="F1624" s="17" t="s">
        <v>25</v>
      </c>
    </row>
    <row r="1625" spans="1:6">
      <c r="A1625" s="13">
        <v>44774</v>
      </c>
      <c r="B1625" s="15">
        <v>1194.9100000000001</v>
      </c>
      <c r="C1625" s="15"/>
      <c r="D1625" s="15">
        <v>22960.55</v>
      </c>
      <c r="E1625" s="16">
        <v>44774</v>
      </c>
      <c r="F1625" s="17" t="s">
        <v>25</v>
      </c>
    </row>
    <row r="1626" spans="1:6">
      <c r="A1626" s="13">
        <v>44775</v>
      </c>
      <c r="B1626" s="15">
        <v>1193.22</v>
      </c>
      <c r="C1626" s="15"/>
      <c r="D1626" s="15">
        <v>23008.71</v>
      </c>
      <c r="E1626" s="16">
        <v>44775</v>
      </c>
      <c r="F1626" s="17" t="s">
        <v>25</v>
      </c>
    </row>
    <row r="1627" spans="1:6">
      <c r="A1627" s="13">
        <v>44776</v>
      </c>
      <c r="B1627" s="15">
        <v>1194.32</v>
      </c>
      <c r="C1627" s="15"/>
      <c r="D1627" s="15">
        <v>23012.66</v>
      </c>
      <c r="E1627" s="16">
        <v>44776</v>
      </c>
      <c r="F1627" s="17" t="s">
        <v>25</v>
      </c>
    </row>
    <row r="1628" spans="1:6">
      <c r="A1628" s="13">
        <v>44777</v>
      </c>
      <c r="B1628" s="15">
        <v>1197.53</v>
      </c>
      <c r="C1628" s="15"/>
      <c r="D1628" s="15">
        <v>23035.97</v>
      </c>
      <c r="E1628" s="16">
        <v>44777</v>
      </c>
      <c r="F1628" s="17" t="s">
        <v>25</v>
      </c>
    </row>
    <row r="1629" spans="1:6">
      <c r="A1629" s="13">
        <v>44778</v>
      </c>
      <c r="B1629" s="15">
        <v>1200.8699999999999</v>
      </c>
      <c r="C1629" s="15"/>
      <c r="D1629" s="15">
        <v>23048.31</v>
      </c>
      <c r="E1629" s="16">
        <v>44778</v>
      </c>
      <c r="F1629" s="17" t="s">
        <v>25</v>
      </c>
    </row>
    <row r="1630" spans="1:6">
      <c r="A1630" s="13">
        <v>44781</v>
      </c>
      <c r="B1630" s="15">
        <v>1207.3800000000001</v>
      </c>
      <c r="C1630" s="15"/>
      <c r="D1630" s="15">
        <v>23199.97</v>
      </c>
      <c r="E1630" s="16">
        <v>44781</v>
      </c>
      <c r="F1630" s="17" t="s">
        <v>25</v>
      </c>
    </row>
    <row r="1631" spans="1:6">
      <c r="A1631" s="13">
        <v>44783</v>
      </c>
      <c r="B1631" s="15">
        <v>1209.79</v>
      </c>
      <c r="C1631" s="15"/>
      <c r="D1631" s="15">
        <v>23191.7</v>
      </c>
      <c r="E1631" s="16">
        <v>44783</v>
      </c>
      <c r="F1631" s="17" t="s">
        <v>25</v>
      </c>
    </row>
    <row r="1632" spans="1:6">
      <c r="A1632" s="13">
        <v>44784</v>
      </c>
      <c r="B1632" s="15">
        <v>1219.18</v>
      </c>
      <c r="C1632" s="15"/>
      <c r="D1632" s="15">
        <v>23369.29</v>
      </c>
      <c r="E1632" s="16">
        <v>44784</v>
      </c>
      <c r="F1632" s="17" t="s">
        <v>25</v>
      </c>
    </row>
    <row r="1633" spans="1:6">
      <c r="A1633" s="13">
        <v>44785</v>
      </c>
      <c r="B1633" s="15">
        <v>1220.6099999999999</v>
      </c>
      <c r="C1633" s="15"/>
      <c r="D1633" s="15">
        <v>23440.39</v>
      </c>
      <c r="E1633" s="16">
        <v>44785</v>
      </c>
      <c r="F1633" s="17" t="s">
        <v>25</v>
      </c>
    </row>
    <row r="1634" spans="1:6">
      <c r="A1634" s="13">
        <v>44789</v>
      </c>
      <c r="B1634" s="15">
        <v>1226.6500000000001</v>
      </c>
      <c r="C1634" s="15"/>
      <c r="D1634" s="15">
        <v>23657</v>
      </c>
      <c r="E1634" s="16">
        <v>44789</v>
      </c>
      <c r="F1634" s="17" t="s">
        <v>25</v>
      </c>
    </row>
    <row r="1635" spans="1:6">
      <c r="A1635" s="13">
        <v>44790</v>
      </c>
      <c r="B1635" s="15">
        <v>1237.19</v>
      </c>
      <c r="C1635" s="15"/>
      <c r="D1635" s="15">
        <v>23809.95</v>
      </c>
      <c r="E1635" s="16">
        <v>44790</v>
      </c>
      <c r="F1635" s="17" t="s">
        <v>25</v>
      </c>
    </row>
    <row r="1636" spans="1:6">
      <c r="A1636" s="13">
        <v>44791</v>
      </c>
      <c r="B1636" s="15">
        <v>1237.05</v>
      </c>
      <c r="C1636" s="15"/>
      <c r="D1636" s="15">
        <v>23858.77</v>
      </c>
      <c r="E1636" s="16">
        <v>44791</v>
      </c>
      <c r="F1636" s="17" t="s">
        <v>25</v>
      </c>
    </row>
    <row r="1637" spans="1:6">
      <c r="A1637" s="13">
        <v>44792</v>
      </c>
      <c r="B1637" s="15">
        <v>1221.33</v>
      </c>
      <c r="C1637" s="15"/>
      <c r="D1637" s="15">
        <v>23602.41</v>
      </c>
      <c r="E1637" s="16">
        <v>44792</v>
      </c>
      <c r="F1637" s="17" t="s">
        <v>25</v>
      </c>
    </row>
    <row r="1638" spans="1:6">
      <c r="A1638" s="13">
        <v>44795</v>
      </c>
      <c r="B1638" s="15">
        <v>1200.52</v>
      </c>
      <c r="C1638" s="15"/>
      <c r="D1638" s="15">
        <v>23238.86</v>
      </c>
      <c r="E1638" s="16">
        <v>44795</v>
      </c>
      <c r="F1638" s="17" t="s">
        <v>25</v>
      </c>
    </row>
    <row r="1639" spans="1:6">
      <c r="A1639" s="13">
        <v>44796</v>
      </c>
      <c r="B1639" s="15">
        <v>1209.17</v>
      </c>
      <c r="C1639" s="15"/>
      <c r="D1639" s="15">
        <v>23376.55</v>
      </c>
      <c r="E1639" s="16">
        <v>44796</v>
      </c>
      <c r="F1639" s="17" t="s">
        <v>25</v>
      </c>
    </row>
    <row r="1640" spans="1:6">
      <c r="A1640" s="13">
        <v>44797</v>
      </c>
      <c r="B1640" s="15">
        <v>1212.71</v>
      </c>
      <c r="C1640" s="15"/>
      <c r="D1640" s="15">
        <v>23453.99</v>
      </c>
      <c r="E1640" s="16">
        <v>44797</v>
      </c>
      <c r="F1640" s="17" t="s">
        <v>25</v>
      </c>
    </row>
    <row r="1641" spans="1:6">
      <c r="A1641" s="13">
        <v>44798</v>
      </c>
      <c r="B1641" s="15">
        <v>1211.21</v>
      </c>
      <c r="C1641" s="15"/>
      <c r="D1641" s="15">
        <v>23392.71</v>
      </c>
      <c r="E1641" s="16">
        <v>44798</v>
      </c>
      <c r="F1641" s="17" t="s">
        <v>25</v>
      </c>
    </row>
    <row r="1642" spans="1:6">
      <c r="A1642" s="13">
        <v>44799</v>
      </c>
      <c r="B1642" s="15">
        <v>1213.79</v>
      </c>
      <c r="C1642" s="15"/>
      <c r="D1642" s="15">
        <v>23465.33</v>
      </c>
      <c r="E1642" s="16">
        <v>44799</v>
      </c>
      <c r="F1642" s="17" t="s">
        <v>25</v>
      </c>
    </row>
    <row r="1643" spans="1:6">
      <c r="A1643" s="13">
        <v>44802</v>
      </c>
      <c r="B1643" s="15">
        <v>1197.45</v>
      </c>
      <c r="C1643" s="15"/>
      <c r="D1643" s="15">
        <v>23194.58</v>
      </c>
      <c r="E1643" s="16">
        <v>44802</v>
      </c>
      <c r="F1643" s="17" t="s">
        <v>25</v>
      </c>
    </row>
    <row r="1644" spans="1:6">
      <c r="A1644" s="13">
        <v>44803</v>
      </c>
      <c r="B1644" s="15">
        <v>1221.83</v>
      </c>
      <c r="C1644" s="15"/>
      <c r="D1644" s="15">
        <v>23740.37</v>
      </c>
      <c r="E1644" s="16">
        <v>44803</v>
      </c>
      <c r="F1644" s="17" t="s">
        <v>25</v>
      </c>
    </row>
    <row r="1645" spans="1:6">
      <c r="A1645" s="13">
        <v>44805</v>
      </c>
      <c r="B1645" s="15">
        <v>1213.48</v>
      </c>
      <c r="C1645" s="15"/>
      <c r="D1645" s="15">
        <v>23564.7</v>
      </c>
      <c r="E1645" s="16">
        <v>44805</v>
      </c>
      <c r="F1645" s="17" t="s">
        <v>25</v>
      </c>
    </row>
    <row r="1646" spans="1:6">
      <c r="A1646" s="13">
        <v>44806</v>
      </c>
      <c r="B1646" s="15">
        <v>1212.31</v>
      </c>
      <c r="C1646" s="15"/>
      <c r="D1646" s="15">
        <v>23550.07</v>
      </c>
      <c r="E1646" s="16">
        <v>44806</v>
      </c>
      <c r="F1646" s="17" t="s">
        <v>25</v>
      </c>
    </row>
    <row r="1647" spans="1:6">
      <c r="A1647" s="13">
        <v>44809</v>
      </c>
      <c r="B1647" s="15">
        <v>1222.51</v>
      </c>
      <c r="C1647" s="15"/>
      <c r="D1647" s="15">
        <v>23693.79</v>
      </c>
      <c r="E1647" s="16">
        <v>44809</v>
      </c>
      <c r="F1647" s="17" t="s">
        <v>25</v>
      </c>
    </row>
    <row r="1648" spans="1:6">
      <c r="A1648" s="13">
        <v>44810</v>
      </c>
      <c r="B1648" s="15">
        <v>1224.6600000000001</v>
      </c>
      <c r="C1648" s="15"/>
      <c r="D1648" s="15">
        <v>23722.71</v>
      </c>
      <c r="E1648" s="16">
        <v>44810</v>
      </c>
      <c r="F1648" s="17" t="s">
        <v>25</v>
      </c>
    </row>
    <row r="1649" spans="1:6">
      <c r="A1649" s="13">
        <v>44811</v>
      </c>
      <c r="B1649" s="15">
        <v>1224.06</v>
      </c>
      <c r="C1649" s="15"/>
      <c r="D1649" s="15">
        <v>23732.85</v>
      </c>
      <c r="E1649" s="16">
        <v>44811</v>
      </c>
      <c r="F1649" s="17" t="s">
        <v>25</v>
      </c>
    </row>
    <row r="1650" spans="1:6">
      <c r="A1650" s="13">
        <v>44812</v>
      </c>
      <c r="B1650" s="15">
        <v>1233.0899999999999</v>
      </c>
      <c r="C1650" s="15"/>
      <c r="D1650" s="15">
        <v>23921</v>
      </c>
      <c r="E1650" s="16">
        <v>44812</v>
      </c>
      <c r="F1650" s="17" t="s">
        <v>25</v>
      </c>
    </row>
    <row r="1651" spans="1:6">
      <c r="A1651" s="13">
        <v>44813</v>
      </c>
      <c r="B1651" s="15">
        <v>1237.45</v>
      </c>
      <c r="C1651" s="15"/>
      <c r="D1651" s="15">
        <v>23962.62</v>
      </c>
      <c r="E1651" s="16">
        <v>44813</v>
      </c>
      <c r="F1651" s="17" t="s">
        <v>25</v>
      </c>
    </row>
    <row r="1652" spans="1:6">
      <c r="A1652" s="13">
        <v>44816</v>
      </c>
      <c r="B1652" s="15">
        <v>1251.6600000000001</v>
      </c>
      <c r="C1652" s="15"/>
      <c r="D1652" s="15">
        <v>24133.13</v>
      </c>
      <c r="E1652" s="16">
        <v>44816</v>
      </c>
      <c r="F1652" s="17" t="s">
        <v>25</v>
      </c>
    </row>
    <row r="1653" spans="1:6">
      <c r="A1653" s="13">
        <v>44817</v>
      </c>
      <c r="B1653" s="15">
        <v>1257.78</v>
      </c>
      <c r="C1653" s="15"/>
      <c r="D1653" s="15">
        <v>24276.42</v>
      </c>
      <c r="E1653" s="16">
        <v>44817</v>
      </c>
      <c r="F1653" s="17" t="s">
        <v>25</v>
      </c>
    </row>
    <row r="1654" spans="1:6">
      <c r="A1654" s="13">
        <v>44818</v>
      </c>
      <c r="B1654" s="15">
        <v>1254.42</v>
      </c>
      <c r="C1654" s="15"/>
      <c r="D1654" s="15">
        <v>24215.82</v>
      </c>
      <c r="E1654" s="16">
        <v>44818</v>
      </c>
      <c r="F1654" s="17" t="s">
        <v>25</v>
      </c>
    </row>
    <row r="1655" spans="1:6">
      <c r="A1655" s="13">
        <v>44819</v>
      </c>
      <c r="B1655" s="15">
        <v>1244.23</v>
      </c>
      <c r="C1655" s="15"/>
      <c r="D1655" s="15">
        <v>24139.94</v>
      </c>
      <c r="E1655" s="16">
        <v>44819</v>
      </c>
      <c r="F1655" s="17" t="s">
        <v>25</v>
      </c>
    </row>
    <row r="1656" spans="1:6">
      <c r="A1656" s="13">
        <v>44820</v>
      </c>
      <c r="B1656" s="15">
        <v>1218.33</v>
      </c>
      <c r="C1656" s="15"/>
      <c r="D1656" s="15">
        <v>23618.75</v>
      </c>
      <c r="E1656" s="16">
        <v>44820</v>
      </c>
      <c r="F1656" s="17" t="s">
        <v>25</v>
      </c>
    </row>
    <row r="1657" spans="1:6">
      <c r="A1657" s="13">
        <v>44823</v>
      </c>
      <c r="B1657" s="15">
        <v>1220.8800000000001</v>
      </c>
      <c r="C1657" s="15"/>
      <c r="D1657" s="15">
        <v>23696.71</v>
      </c>
      <c r="E1657" s="16">
        <v>44823</v>
      </c>
      <c r="F1657" s="17" t="s">
        <v>25</v>
      </c>
    </row>
    <row r="1658" spans="1:6">
      <c r="A1658" s="13">
        <v>44824</v>
      </c>
      <c r="B1658" s="15">
        <v>1240.56</v>
      </c>
      <c r="C1658" s="15"/>
      <c r="D1658" s="15">
        <v>23971.119999999999</v>
      </c>
      <c r="E1658" s="16">
        <v>44824</v>
      </c>
      <c r="F1658" s="17" t="s">
        <v>25</v>
      </c>
    </row>
    <row r="1659" spans="1:6">
      <c r="A1659" s="13">
        <v>44825</v>
      </c>
      <c r="B1659" s="15">
        <v>1234.23</v>
      </c>
      <c r="C1659" s="15"/>
      <c r="D1659" s="15">
        <v>23802.29</v>
      </c>
      <c r="E1659" s="16">
        <v>44825</v>
      </c>
      <c r="F1659" s="17" t="s">
        <v>25</v>
      </c>
    </row>
    <row r="1660" spans="1:6">
      <c r="A1660" s="13">
        <v>44826</v>
      </c>
      <c r="B1660" s="15">
        <v>1231.33</v>
      </c>
      <c r="C1660" s="15"/>
      <c r="D1660" s="15">
        <v>23763.439999999999</v>
      </c>
      <c r="E1660" s="16">
        <v>44826</v>
      </c>
      <c r="F1660" s="17" t="s">
        <v>25</v>
      </c>
    </row>
    <row r="1661" spans="1:6">
      <c r="A1661" s="13">
        <v>44827</v>
      </c>
      <c r="B1661" s="15">
        <v>1209.06</v>
      </c>
      <c r="C1661" s="15"/>
      <c r="D1661" s="15">
        <v>23333.25</v>
      </c>
      <c r="E1661" s="16">
        <v>44827</v>
      </c>
      <c r="F1661" s="17" t="s">
        <v>25</v>
      </c>
    </row>
    <row r="1662" spans="1:6">
      <c r="A1662" s="13">
        <v>44830</v>
      </c>
      <c r="B1662" s="15">
        <v>1183.98</v>
      </c>
      <c r="C1662" s="15"/>
      <c r="D1662" s="15">
        <v>22818.87</v>
      </c>
      <c r="E1662" s="16">
        <v>44830</v>
      </c>
      <c r="F1662" s="17" t="s">
        <v>25</v>
      </c>
    </row>
    <row r="1663" spans="1:6">
      <c r="A1663" s="13">
        <v>44831</v>
      </c>
      <c r="B1663" s="15">
        <v>1182.73</v>
      </c>
      <c r="C1663" s="15"/>
      <c r="D1663" s="15">
        <v>22821.33</v>
      </c>
      <c r="E1663" s="16">
        <v>44831</v>
      </c>
      <c r="F1663" s="17" t="s">
        <v>25</v>
      </c>
    </row>
    <row r="1664" spans="1:6">
      <c r="A1664" s="13">
        <v>44832</v>
      </c>
      <c r="B1664" s="15">
        <v>1177.27</v>
      </c>
      <c r="C1664" s="15"/>
      <c r="D1664" s="15">
        <v>22656</v>
      </c>
      <c r="E1664" s="16">
        <v>44832</v>
      </c>
      <c r="F1664" s="17" t="s">
        <v>25</v>
      </c>
    </row>
    <row r="1665" spans="1:6">
      <c r="A1665" s="13">
        <v>44833</v>
      </c>
      <c r="B1665" s="15">
        <v>1178.3499999999999</v>
      </c>
      <c r="C1665" s="15"/>
      <c r="D1665" s="15">
        <v>22627.96</v>
      </c>
      <c r="E1665" s="16">
        <v>44833</v>
      </c>
      <c r="F1665" s="17" t="s">
        <v>25</v>
      </c>
    </row>
    <row r="1666" spans="1:6">
      <c r="A1666" s="13">
        <v>44834</v>
      </c>
      <c r="B1666" s="15">
        <v>1198.43</v>
      </c>
      <c r="C1666" s="15"/>
      <c r="D1666" s="15">
        <v>22979.45</v>
      </c>
      <c r="E1666" s="16">
        <v>44834</v>
      </c>
      <c r="F1666" s="17" t="s">
        <v>25</v>
      </c>
    </row>
    <row r="1667" spans="1:6">
      <c r="A1667" s="13">
        <v>44837</v>
      </c>
      <c r="B1667" s="15">
        <v>1186.68</v>
      </c>
      <c r="C1667" s="15"/>
      <c r="D1667" s="15">
        <v>22683.759999999998</v>
      </c>
      <c r="E1667" s="16">
        <v>44837</v>
      </c>
      <c r="F1667" s="17" t="s">
        <v>25</v>
      </c>
    </row>
    <row r="1668" spans="1:6">
      <c r="A1668" s="13">
        <v>44838</v>
      </c>
      <c r="B1668" s="15">
        <v>1211.53</v>
      </c>
      <c r="C1668" s="15"/>
      <c r="D1668" s="15">
        <v>23190.95</v>
      </c>
      <c r="E1668" s="16">
        <v>44838</v>
      </c>
      <c r="F1668" s="17" t="s">
        <v>25</v>
      </c>
    </row>
    <row r="1669" spans="1:6">
      <c r="A1669" s="13">
        <v>44840</v>
      </c>
      <c r="B1669" s="15">
        <v>1220.46</v>
      </c>
      <c r="C1669" s="15"/>
      <c r="D1669" s="15">
        <v>23326.09</v>
      </c>
      <c r="E1669" s="16">
        <v>44840</v>
      </c>
      <c r="F1669" s="17" t="s">
        <v>25</v>
      </c>
    </row>
    <row r="1670" spans="1:6">
      <c r="A1670" s="13">
        <v>44841</v>
      </c>
      <c r="B1670" s="15">
        <v>1218.0999999999999</v>
      </c>
      <c r="C1670" s="15"/>
      <c r="D1670" s="15">
        <v>23300.77</v>
      </c>
      <c r="E1670" s="16">
        <v>44841</v>
      </c>
      <c r="F1670" s="17" t="s">
        <v>25</v>
      </c>
    </row>
    <row r="1671" spans="1:6">
      <c r="A1671" s="13">
        <v>44844</v>
      </c>
      <c r="B1671" s="15">
        <v>1214.22</v>
      </c>
      <c r="C1671" s="15"/>
      <c r="D1671" s="15">
        <v>23168.98</v>
      </c>
      <c r="E1671" s="16">
        <v>44844</v>
      </c>
      <c r="F1671" s="17" t="s">
        <v>25</v>
      </c>
    </row>
    <row r="1672" spans="1:6">
      <c r="A1672" s="13">
        <v>44845</v>
      </c>
      <c r="B1672" s="15">
        <v>1194.72</v>
      </c>
      <c r="C1672" s="15"/>
      <c r="D1672" s="15">
        <v>22812.98</v>
      </c>
      <c r="E1672" s="16">
        <v>44845</v>
      </c>
      <c r="F1672" s="17" t="s">
        <v>25</v>
      </c>
    </row>
    <row r="1673" spans="1:6">
      <c r="A1673" s="13">
        <v>44846</v>
      </c>
      <c r="B1673" s="15">
        <v>1202.4000000000001</v>
      </c>
      <c r="C1673" s="15"/>
      <c r="D1673" s="15">
        <v>22980.400000000001</v>
      </c>
      <c r="E1673" s="16">
        <v>44846</v>
      </c>
      <c r="F1673" s="17" t="s">
        <v>25</v>
      </c>
    </row>
    <row r="1674" spans="1:6">
      <c r="A1674" s="13">
        <v>44847</v>
      </c>
      <c r="B1674" s="15">
        <v>1196.6099999999999</v>
      </c>
      <c r="C1674" s="15"/>
      <c r="D1674" s="15">
        <v>22825.98</v>
      </c>
      <c r="E1674" s="16">
        <v>44847</v>
      </c>
      <c r="F1674" s="17" t="s">
        <v>25</v>
      </c>
    </row>
    <row r="1675" spans="1:6">
      <c r="A1675" s="13">
        <v>44848</v>
      </c>
      <c r="B1675" s="15">
        <v>1206.82</v>
      </c>
      <c r="C1675" s="15"/>
      <c r="D1675" s="15">
        <v>22957.38</v>
      </c>
      <c r="E1675" s="16">
        <v>44848</v>
      </c>
      <c r="F1675" s="17" t="s">
        <v>25</v>
      </c>
    </row>
    <row r="1676" spans="1:6">
      <c r="A1676" s="13">
        <v>44851</v>
      </c>
      <c r="B1676" s="15">
        <v>1213.6300000000001</v>
      </c>
      <c r="C1676" s="15"/>
      <c r="D1676" s="15">
        <v>23100.15</v>
      </c>
      <c r="E1676" s="16">
        <v>44851</v>
      </c>
      <c r="F1676" s="17" t="s">
        <v>25</v>
      </c>
    </row>
    <row r="1677" spans="1:6">
      <c r="A1677" s="13">
        <v>44852</v>
      </c>
      <c r="B1677" s="15">
        <v>1224.1600000000001</v>
      </c>
      <c r="C1677" s="15"/>
      <c r="D1677" s="15">
        <v>23333.17</v>
      </c>
      <c r="E1677" s="16">
        <v>44852</v>
      </c>
      <c r="F1677" s="17" t="s">
        <v>25</v>
      </c>
    </row>
    <row r="1678" spans="1:6">
      <c r="A1678" s="13">
        <v>44853</v>
      </c>
      <c r="B1678" s="15">
        <v>1222.8499999999999</v>
      </c>
      <c r="C1678" s="15"/>
      <c r="D1678" s="15">
        <v>23354.01</v>
      </c>
      <c r="E1678" s="16">
        <v>44853</v>
      </c>
      <c r="F1678" s="17" t="s">
        <v>25</v>
      </c>
    </row>
    <row r="1679" spans="1:6">
      <c r="A1679" s="13">
        <v>44854</v>
      </c>
      <c r="B1679" s="15">
        <v>1225.42</v>
      </c>
      <c r="C1679" s="15"/>
      <c r="D1679" s="15">
        <v>23421.439999999999</v>
      </c>
      <c r="E1679" s="16">
        <v>44854</v>
      </c>
      <c r="F1679" s="17" t="s">
        <v>25</v>
      </c>
    </row>
    <row r="1680" spans="1:6">
      <c r="A1680" s="13">
        <v>44855</v>
      </c>
      <c r="B1680" s="15">
        <v>1226.05</v>
      </c>
      <c r="C1680" s="15"/>
      <c r="D1680" s="15">
        <v>23373.43</v>
      </c>
      <c r="E1680" s="16">
        <v>44855</v>
      </c>
      <c r="F1680" s="17" t="s">
        <v>25</v>
      </c>
    </row>
    <row r="1681" spans="1:6">
      <c r="A1681" s="13">
        <v>44859</v>
      </c>
      <c r="B1681" s="15">
        <v>1234.81</v>
      </c>
      <c r="C1681" s="15"/>
      <c r="D1681" s="15">
        <v>23492.95</v>
      </c>
      <c r="E1681" s="16">
        <v>44859</v>
      </c>
      <c r="F1681" s="17" t="s">
        <v>25</v>
      </c>
    </row>
    <row r="1682" spans="1:6">
      <c r="A1682" s="13">
        <v>44861</v>
      </c>
      <c r="B1682" s="15">
        <v>1245.48</v>
      </c>
      <c r="C1682" s="15"/>
      <c r="D1682" s="15">
        <v>23638.82</v>
      </c>
      <c r="E1682" s="16">
        <v>44861</v>
      </c>
      <c r="F1682" s="17" t="s">
        <v>25</v>
      </c>
    </row>
    <row r="1683" spans="1:6">
      <c r="A1683" s="13">
        <v>44862</v>
      </c>
      <c r="B1683" s="15">
        <v>1239.76</v>
      </c>
      <c r="C1683" s="15"/>
      <c r="D1683" s="15">
        <v>23634.83</v>
      </c>
      <c r="E1683" s="16">
        <v>44862</v>
      </c>
      <c r="F1683" s="17" t="s">
        <v>25</v>
      </c>
    </row>
    <row r="1684" spans="1:6">
      <c r="A1684" s="13">
        <v>44865</v>
      </c>
      <c r="B1684" s="15">
        <v>1251.6099999999999</v>
      </c>
      <c r="C1684" s="15"/>
      <c r="D1684" s="15">
        <v>23919.759999999998</v>
      </c>
      <c r="E1684" s="16">
        <v>44865</v>
      </c>
      <c r="F1684" s="17" t="s">
        <v>25</v>
      </c>
    </row>
    <row r="1685" spans="1:6">
      <c r="A1685" s="13">
        <v>44866</v>
      </c>
      <c r="B1685" s="15">
        <v>1260.46</v>
      </c>
      <c r="C1685" s="15"/>
      <c r="D1685" s="15">
        <v>24098.84</v>
      </c>
      <c r="E1685" s="16">
        <v>44866</v>
      </c>
      <c r="F1685" s="17" t="s">
        <v>25</v>
      </c>
    </row>
    <row r="1686" spans="1:6">
      <c r="A1686" s="13">
        <v>44867</v>
      </c>
      <c r="B1686" s="15">
        <v>1256.8399999999999</v>
      </c>
      <c r="C1686" s="15"/>
      <c r="D1686" s="15">
        <v>24037.05</v>
      </c>
      <c r="E1686" s="16">
        <v>44867</v>
      </c>
      <c r="F1686" s="17" t="s">
        <v>25</v>
      </c>
    </row>
    <row r="1687" spans="1:6">
      <c r="A1687" s="13">
        <v>44868</v>
      </c>
      <c r="B1687" s="15">
        <v>1257.82</v>
      </c>
      <c r="C1687" s="15"/>
      <c r="D1687" s="15">
        <v>24017.67</v>
      </c>
      <c r="E1687" s="16">
        <v>44868</v>
      </c>
      <c r="F1687" s="17" t="s">
        <v>25</v>
      </c>
    </row>
    <row r="1688" spans="1:6">
      <c r="A1688" s="13">
        <v>44869</v>
      </c>
      <c r="B1688" s="15">
        <v>1259.17</v>
      </c>
      <c r="C1688" s="15"/>
      <c r="D1688" s="15">
        <v>24089.43</v>
      </c>
      <c r="E1688" s="16">
        <v>44869</v>
      </c>
      <c r="F1688" s="17" t="s">
        <v>25</v>
      </c>
    </row>
    <row r="1689" spans="1:6">
      <c r="A1689" s="13">
        <v>44872</v>
      </c>
      <c r="B1689" s="15">
        <v>1263.81</v>
      </c>
      <c r="C1689" s="15"/>
      <c r="D1689" s="15">
        <v>24220.28</v>
      </c>
      <c r="E1689" s="16">
        <v>44872</v>
      </c>
      <c r="F1689" s="17" t="s">
        <v>25</v>
      </c>
    </row>
    <row r="1690" spans="1:6">
      <c r="A1690" s="13">
        <v>44874</v>
      </c>
      <c r="B1690" s="15">
        <v>1257.3499999999999</v>
      </c>
      <c r="C1690" s="15"/>
      <c r="D1690" s="15">
        <v>24148.28</v>
      </c>
      <c r="E1690" s="16">
        <v>44874</v>
      </c>
      <c r="F1690" s="17" t="s">
        <v>25</v>
      </c>
    </row>
    <row r="1691" spans="1:6">
      <c r="A1691" s="13">
        <v>44875</v>
      </c>
      <c r="B1691" s="15">
        <v>1248.4000000000001</v>
      </c>
      <c r="C1691" s="15"/>
      <c r="D1691" s="15">
        <v>23950.94</v>
      </c>
      <c r="E1691" s="16">
        <v>44875</v>
      </c>
      <c r="F1691" s="17" t="s">
        <v>25</v>
      </c>
    </row>
    <row r="1692" spans="1:6">
      <c r="A1692" s="13">
        <v>44876</v>
      </c>
      <c r="B1692" s="15">
        <v>1265.1199999999999</v>
      </c>
      <c r="C1692" s="15"/>
      <c r="D1692" s="15">
        <v>24275.37</v>
      </c>
      <c r="E1692" s="16">
        <v>44876</v>
      </c>
      <c r="F1692" s="17" t="s">
        <v>25</v>
      </c>
    </row>
    <row r="1693" spans="1:6">
      <c r="A1693" s="13">
        <v>44879</v>
      </c>
      <c r="B1693" s="15">
        <v>1266.1500000000001</v>
      </c>
      <c r="C1693" s="15"/>
      <c r="D1693" s="15">
        <v>24277.119999999999</v>
      </c>
      <c r="E1693" s="16">
        <v>44879</v>
      </c>
      <c r="F1693" s="17" t="s">
        <v>25</v>
      </c>
    </row>
    <row r="1694" spans="1:6">
      <c r="A1694" s="13">
        <v>44880</v>
      </c>
      <c r="B1694" s="15">
        <v>1271.8599999999999</v>
      </c>
      <c r="C1694" s="15"/>
      <c r="D1694" s="15">
        <v>24345.02</v>
      </c>
      <c r="E1694" s="16">
        <v>44880</v>
      </c>
      <c r="F1694" s="17" t="s">
        <v>25</v>
      </c>
    </row>
    <row r="1695" spans="1:6">
      <c r="A1695" s="13">
        <v>44881</v>
      </c>
      <c r="B1695" s="15">
        <v>1267.0899999999999</v>
      </c>
      <c r="C1695" s="15"/>
      <c r="D1695" s="15">
        <v>24297.65</v>
      </c>
      <c r="E1695" s="16">
        <v>44881</v>
      </c>
      <c r="F1695" s="17" t="s">
        <v>25</v>
      </c>
    </row>
    <row r="1696" spans="1:6">
      <c r="A1696" s="13">
        <v>44882</v>
      </c>
      <c r="B1696" s="15">
        <v>1261.05</v>
      </c>
      <c r="C1696" s="15"/>
      <c r="D1696" s="15">
        <v>24195.57</v>
      </c>
      <c r="E1696" s="16">
        <v>44882</v>
      </c>
      <c r="F1696" s="17" t="s">
        <v>25</v>
      </c>
    </row>
    <row r="1697" spans="1:6">
      <c r="A1697" s="13">
        <v>44883</v>
      </c>
      <c r="B1697" s="15">
        <v>1258.69</v>
      </c>
      <c r="C1697" s="15"/>
      <c r="D1697" s="15">
        <v>24124.3</v>
      </c>
      <c r="E1697" s="16">
        <v>44883</v>
      </c>
      <c r="F1697" s="17" t="s">
        <v>25</v>
      </c>
    </row>
    <row r="1698" spans="1:6">
      <c r="A1698" s="13">
        <v>44886</v>
      </c>
      <c r="B1698" s="15">
        <v>1254.53</v>
      </c>
      <c r="C1698" s="15"/>
      <c r="D1698" s="15">
        <v>23973.98</v>
      </c>
      <c r="E1698" s="16">
        <v>44886</v>
      </c>
      <c r="F1698" s="17" t="s">
        <v>25</v>
      </c>
    </row>
    <row r="1699" spans="1:6">
      <c r="A1699" s="13">
        <v>44887</v>
      </c>
      <c r="B1699" s="15">
        <v>1259.22</v>
      </c>
      <c r="C1699" s="15"/>
      <c r="D1699" s="15">
        <v>24060.5</v>
      </c>
      <c r="E1699" s="16">
        <v>44887</v>
      </c>
      <c r="F1699" s="17" t="s">
        <v>25</v>
      </c>
    </row>
    <row r="1700" spans="1:6">
      <c r="A1700" s="13">
        <v>44888</v>
      </c>
      <c r="B1700" s="15">
        <v>1263.82</v>
      </c>
      <c r="C1700" s="15"/>
      <c r="D1700" s="15">
        <v>24105.439999999999</v>
      </c>
      <c r="E1700" s="16">
        <v>44888</v>
      </c>
      <c r="F1700" s="17" t="s">
        <v>25</v>
      </c>
    </row>
    <row r="1701" spans="1:6">
      <c r="A1701" s="13">
        <v>44889</v>
      </c>
      <c r="B1701" s="15">
        <v>1277.5899999999999</v>
      </c>
      <c r="C1701" s="15"/>
      <c r="D1701" s="15">
        <v>24326.89</v>
      </c>
      <c r="E1701" s="16">
        <v>44889</v>
      </c>
      <c r="F1701" s="17" t="s">
        <v>25</v>
      </c>
    </row>
    <row r="1702" spans="1:6">
      <c r="A1702" s="13">
        <v>44890</v>
      </c>
      <c r="B1702" s="15">
        <v>1280.32</v>
      </c>
      <c r="C1702" s="15"/>
      <c r="D1702" s="15">
        <v>24398.91</v>
      </c>
      <c r="E1702" s="16">
        <v>44890</v>
      </c>
      <c r="F1702" s="17" t="s">
        <v>25</v>
      </c>
    </row>
    <row r="1703" spans="1:6">
      <c r="A1703" s="13">
        <v>44893</v>
      </c>
      <c r="B1703" s="15">
        <v>1281.99</v>
      </c>
      <c r="C1703" s="15"/>
      <c r="D1703" s="15">
        <v>24487.63</v>
      </c>
      <c r="E1703" s="16">
        <v>44893</v>
      </c>
      <c r="F1703" s="17" t="s">
        <v>25</v>
      </c>
    </row>
    <row r="1704" spans="1:6">
      <c r="A1704" s="13">
        <v>44894</v>
      </c>
      <c r="B1704" s="15">
        <v>1284.52</v>
      </c>
      <c r="C1704" s="15"/>
      <c r="D1704" s="15">
        <v>24531.13</v>
      </c>
      <c r="E1704" s="16">
        <v>44894</v>
      </c>
      <c r="F1704" s="17" t="s">
        <v>25</v>
      </c>
    </row>
    <row r="1705" spans="1:6">
      <c r="A1705" s="13">
        <v>44895</v>
      </c>
      <c r="B1705" s="15">
        <v>1293.3</v>
      </c>
      <c r="C1705" s="15"/>
      <c r="D1705" s="15">
        <v>24738.49</v>
      </c>
      <c r="E1705" s="16">
        <v>44895</v>
      </c>
      <c r="F1705" s="17" t="s">
        <v>25</v>
      </c>
    </row>
    <row r="1706" spans="1:6">
      <c r="A1706" s="13">
        <v>44896</v>
      </c>
      <c r="B1706" s="15">
        <v>1299.76</v>
      </c>
      <c r="C1706" s="15"/>
      <c r="D1706" s="15">
        <v>24828.21</v>
      </c>
      <c r="E1706" s="16">
        <v>44896</v>
      </c>
      <c r="F1706" s="17" t="s">
        <v>25</v>
      </c>
    </row>
    <row r="1707" spans="1:6">
      <c r="A1707" s="13">
        <v>44897</v>
      </c>
      <c r="B1707" s="15">
        <v>1302.6199999999999</v>
      </c>
      <c r="C1707" s="15"/>
      <c r="D1707" s="15">
        <v>24765.439999999999</v>
      </c>
      <c r="E1707" s="16">
        <v>44897</v>
      </c>
      <c r="F1707" s="17" t="s">
        <v>25</v>
      </c>
    </row>
    <row r="1708" spans="1:6">
      <c r="A1708" s="13">
        <v>44900</v>
      </c>
      <c r="B1708" s="15">
        <v>1302.3499999999999</v>
      </c>
      <c r="C1708" s="15"/>
      <c r="D1708" s="15">
        <v>24771.15</v>
      </c>
      <c r="E1708" s="16">
        <v>44900</v>
      </c>
      <c r="F1708" s="17" t="s">
        <v>25</v>
      </c>
    </row>
    <row r="1709" spans="1:6">
      <c r="A1709" s="13">
        <v>44901</v>
      </c>
      <c r="B1709" s="15">
        <v>1291.99</v>
      </c>
      <c r="C1709" s="15"/>
      <c r="D1709" s="15">
        <v>24702.36</v>
      </c>
      <c r="E1709" s="16">
        <v>44901</v>
      </c>
      <c r="F1709" s="17" t="s">
        <v>25</v>
      </c>
    </row>
    <row r="1710" spans="1:6">
      <c r="A1710" s="13">
        <v>44902</v>
      </c>
      <c r="B1710" s="15">
        <v>1283.93</v>
      </c>
      <c r="C1710" s="15"/>
      <c r="D1710" s="15">
        <v>24608</v>
      </c>
      <c r="E1710" s="16">
        <v>44902</v>
      </c>
      <c r="F1710" s="17" t="s">
        <v>25</v>
      </c>
    </row>
    <row r="1711" spans="1:6">
      <c r="A1711" s="13">
        <v>44903</v>
      </c>
      <c r="B1711" s="15">
        <v>1288.92</v>
      </c>
      <c r="C1711" s="15"/>
      <c r="D1711" s="15">
        <v>24684.18</v>
      </c>
      <c r="E1711" s="16">
        <v>44903</v>
      </c>
      <c r="F1711" s="17" t="s">
        <v>25</v>
      </c>
    </row>
    <row r="1712" spans="1:6">
      <c r="A1712" s="13">
        <v>44904</v>
      </c>
      <c r="B1712" s="15">
        <v>1279.8399999999999</v>
      </c>
      <c r="C1712" s="15"/>
      <c r="D1712" s="15">
        <v>24531.62</v>
      </c>
      <c r="E1712" s="16">
        <v>44904</v>
      </c>
      <c r="F1712" s="17" t="s">
        <v>25</v>
      </c>
    </row>
    <row r="1713" spans="1:6">
      <c r="A1713" s="13">
        <v>44907</v>
      </c>
      <c r="B1713" s="15">
        <v>1279.1500000000001</v>
      </c>
      <c r="C1713" s="15"/>
      <c r="D1713" s="15">
        <v>24555.31</v>
      </c>
      <c r="E1713" s="16">
        <v>44907</v>
      </c>
      <c r="F1713" s="17" t="s">
        <v>25</v>
      </c>
    </row>
    <row r="1714" spans="1:6">
      <c r="A1714" s="13">
        <v>44908</v>
      </c>
      <c r="B1714" s="15">
        <v>1284.93</v>
      </c>
      <c r="C1714" s="15"/>
      <c r="D1714" s="15">
        <v>24673.99</v>
      </c>
      <c r="E1714" s="16">
        <v>44908</v>
      </c>
      <c r="F1714" s="17" t="s">
        <v>25</v>
      </c>
    </row>
    <row r="1715" spans="1:6">
      <c r="A1715" s="13">
        <v>44909</v>
      </c>
      <c r="B1715" s="15">
        <v>1289.44</v>
      </c>
      <c r="C1715" s="15"/>
      <c r="D1715" s="15">
        <v>24765.99</v>
      </c>
      <c r="E1715" s="16">
        <v>44909</v>
      </c>
      <c r="F1715" s="17" t="s">
        <v>25</v>
      </c>
    </row>
    <row r="1716" spans="1:6">
      <c r="A1716" s="13">
        <v>44910</v>
      </c>
      <c r="B1716" s="15">
        <v>1275.45</v>
      </c>
      <c r="C1716" s="15"/>
      <c r="D1716" s="15">
        <v>24486.799999999999</v>
      </c>
      <c r="E1716" s="16">
        <v>44910</v>
      </c>
      <c r="F1716" s="17" t="s">
        <v>25</v>
      </c>
    </row>
    <row r="1717" spans="1:6">
      <c r="A1717" s="13">
        <v>44911</v>
      </c>
      <c r="B1717" s="15">
        <v>1260.3</v>
      </c>
      <c r="C1717" s="15"/>
      <c r="D1717" s="15">
        <v>24258</v>
      </c>
      <c r="E1717" s="16">
        <v>44911</v>
      </c>
      <c r="F1717" s="17" t="s">
        <v>25</v>
      </c>
    </row>
    <row r="1718" spans="1:6">
      <c r="A1718" s="13">
        <v>44914</v>
      </c>
      <c r="B1718" s="15">
        <v>1267.81</v>
      </c>
      <c r="C1718" s="15"/>
      <c r="D1718" s="15">
        <v>24442.38</v>
      </c>
      <c r="E1718" s="16">
        <v>44914</v>
      </c>
      <c r="F1718" s="17" t="s">
        <v>25</v>
      </c>
    </row>
    <row r="1719" spans="1:6">
      <c r="A1719" s="13">
        <v>44915</v>
      </c>
      <c r="B1719" s="15">
        <v>1264.98</v>
      </c>
      <c r="C1719" s="15"/>
      <c r="D1719" s="15">
        <v>24397.439999999999</v>
      </c>
      <c r="E1719" s="16">
        <v>44915</v>
      </c>
      <c r="F1719" s="17" t="s">
        <v>25</v>
      </c>
    </row>
    <row r="1720" spans="1:6">
      <c r="A1720" s="13">
        <v>44916</v>
      </c>
      <c r="B1720" s="15">
        <v>1255.82</v>
      </c>
      <c r="C1720" s="15"/>
      <c r="D1720" s="15">
        <v>24089.23</v>
      </c>
      <c r="E1720" s="16">
        <v>44916</v>
      </c>
      <c r="F1720" s="17" t="s">
        <v>25</v>
      </c>
    </row>
    <row r="1721" spans="1:6">
      <c r="A1721" s="13">
        <v>44917</v>
      </c>
      <c r="B1721" s="15">
        <v>1250.21</v>
      </c>
      <c r="C1721" s="15"/>
      <c r="D1721" s="15">
        <v>23940.18</v>
      </c>
      <c r="E1721" s="16">
        <v>44917</v>
      </c>
      <c r="F1721" s="17" t="s">
        <v>25</v>
      </c>
    </row>
    <row r="1722" spans="1:6">
      <c r="A1722" s="13">
        <v>44918</v>
      </c>
      <c r="B1722" s="15">
        <v>1223.6099999999999</v>
      </c>
      <c r="C1722" s="15"/>
      <c r="D1722" s="15">
        <v>23342.13</v>
      </c>
      <c r="E1722" s="16">
        <v>44918</v>
      </c>
      <c r="F1722" s="17" t="s">
        <v>25</v>
      </c>
    </row>
    <row r="1723" spans="1:6">
      <c r="A1723" s="13">
        <v>44921</v>
      </c>
      <c r="B1723" s="15">
        <v>1239.3</v>
      </c>
      <c r="C1723" s="15"/>
      <c r="D1723" s="15">
        <v>23733.97</v>
      </c>
      <c r="E1723" s="16">
        <v>44921</v>
      </c>
      <c r="F1723" s="17" t="s">
        <v>25</v>
      </c>
    </row>
    <row r="1724" spans="1:6">
      <c r="A1724" s="13">
        <v>44922</v>
      </c>
      <c r="B1724" s="15">
        <v>1247.47</v>
      </c>
      <c r="C1724" s="15"/>
      <c r="D1724" s="15">
        <v>23919.81</v>
      </c>
      <c r="E1724" s="16">
        <v>44922</v>
      </c>
      <c r="F1724" s="17" t="s">
        <v>25</v>
      </c>
    </row>
    <row r="1725" spans="1:6">
      <c r="A1725" s="13">
        <v>44923</v>
      </c>
      <c r="B1725" s="15">
        <v>1246.1600000000001</v>
      </c>
      <c r="C1725" s="15"/>
      <c r="D1725" s="15">
        <v>23942.23</v>
      </c>
      <c r="E1725" s="16">
        <v>44923</v>
      </c>
      <c r="F1725" s="17" t="s">
        <v>25</v>
      </c>
    </row>
    <row r="1726" spans="1:6">
      <c r="A1726" s="13">
        <v>44924</v>
      </c>
      <c r="B1726" s="15">
        <v>1251.17</v>
      </c>
      <c r="C1726" s="15"/>
      <c r="D1726" s="15">
        <v>24023.53</v>
      </c>
      <c r="E1726" s="16">
        <v>44924</v>
      </c>
      <c r="F1726" s="17" t="s">
        <v>25</v>
      </c>
    </row>
    <row r="1727" spans="1:6">
      <c r="A1727" s="13">
        <v>44925</v>
      </c>
      <c r="B1727" s="15">
        <v>1248.56</v>
      </c>
      <c r="C1727" s="15"/>
      <c r="D1727" s="15">
        <v>23967.119999999999</v>
      </c>
      <c r="E1727" s="16">
        <v>44925</v>
      </c>
      <c r="F1727" s="17" t="s">
        <v>25</v>
      </c>
    </row>
    <row r="1728" spans="1:6">
      <c r="A1728" s="13">
        <v>44928</v>
      </c>
      <c r="B1728" s="15">
        <v>1256.3399999999999</v>
      </c>
      <c r="C1728" s="15"/>
      <c r="D1728" s="15">
        <v>24083.14</v>
      </c>
      <c r="E1728" s="16">
        <v>44928</v>
      </c>
      <c r="F1728" s="17" t="s">
        <v>25</v>
      </c>
    </row>
    <row r="1729" spans="1:6">
      <c r="A1729" s="13">
        <v>44929</v>
      </c>
      <c r="B1729" s="15">
        <v>1261.3499999999999</v>
      </c>
      <c r="C1729" s="15"/>
      <c r="D1729" s="15">
        <v>24136.79</v>
      </c>
      <c r="E1729" s="16">
        <v>44929</v>
      </c>
      <c r="F1729" s="17" t="s">
        <v>25</v>
      </c>
    </row>
    <row r="1730" spans="1:6">
      <c r="A1730" s="13">
        <v>44930</v>
      </c>
      <c r="B1730" s="15">
        <v>1248.48</v>
      </c>
      <c r="C1730" s="15"/>
      <c r="D1730" s="15">
        <v>23881.119999999999</v>
      </c>
      <c r="E1730" s="16">
        <v>44930</v>
      </c>
      <c r="F1730" s="17" t="s">
        <v>25</v>
      </c>
    </row>
    <row r="1731" spans="1:6">
      <c r="A1731" s="13">
        <v>44931</v>
      </c>
      <c r="B1731" s="15">
        <v>1242.6600000000001</v>
      </c>
      <c r="C1731" s="15"/>
      <c r="D1731" s="15">
        <v>23870.5</v>
      </c>
      <c r="E1731" s="16">
        <v>44931</v>
      </c>
      <c r="F1731" s="17" t="s">
        <v>25</v>
      </c>
    </row>
    <row r="1732" spans="1:6">
      <c r="A1732" s="13">
        <v>44932</v>
      </c>
      <c r="B1732" s="15">
        <v>1232.83</v>
      </c>
      <c r="C1732" s="15"/>
      <c r="D1732" s="15">
        <v>23693.33</v>
      </c>
      <c r="E1732" s="16">
        <v>44932</v>
      </c>
      <c r="F1732" s="17" t="s">
        <v>25</v>
      </c>
    </row>
    <row r="1733" spans="1:6">
      <c r="A1733" s="13">
        <v>44935</v>
      </c>
      <c r="B1733" s="15">
        <v>1246.04</v>
      </c>
      <c r="C1733" s="15"/>
      <c r="D1733" s="15">
        <v>23969.66</v>
      </c>
      <c r="E1733" s="16">
        <v>44935</v>
      </c>
      <c r="F1733" s="17" t="s">
        <v>25</v>
      </c>
    </row>
    <row r="1734" spans="1:6">
      <c r="A1734" s="13">
        <v>44936</v>
      </c>
      <c r="B1734" s="15">
        <v>1237.0899999999999</v>
      </c>
      <c r="C1734" s="15"/>
      <c r="D1734" s="15">
        <v>23775.95</v>
      </c>
      <c r="E1734" s="16">
        <v>44936</v>
      </c>
      <c r="F1734" s="17" t="s">
        <v>25</v>
      </c>
    </row>
    <row r="1735" spans="1:6">
      <c r="A1735" s="13">
        <v>44937</v>
      </c>
      <c r="B1735" s="15">
        <v>1235.43</v>
      </c>
      <c r="C1735" s="15"/>
      <c r="D1735" s="15">
        <v>23738.93</v>
      </c>
      <c r="E1735" s="16">
        <v>44937</v>
      </c>
      <c r="F1735" s="17" t="s">
        <v>25</v>
      </c>
    </row>
    <row r="1736" spans="1:6">
      <c r="A1736" s="13">
        <v>44938</v>
      </c>
      <c r="B1736" s="15">
        <v>1234.68</v>
      </c>
      <c r="C1736" s="15"/>
      <c r="D1736" s="15">
        <v>23705.17</v>
      </c>
      <c r="E1736" s="16">
        <v>44938</v>
      </c>
      <c r="F1736" s="17" t="s">
        <v>25</v>
      </c>
    </row>
    <row r="1737" spans="1:6">
      <c r="A1737" s="13">
        <v>44939</v>
      </c>
      <c r="B1737" s="15">
        <v>1240.6099999999999</v>
      </c>
      <c r="C1737" s="15"/>
      <c r="D1737" s="15">
        <v>23808.34</v>
      </c>
      <c r="E1737" s="16">
        <v>44939</v>
      </c>
      <c r="F1737" s="17" t="s">
        <v>25</v>
      </c>
    </row>
    <row r="1738" spans="1:6">
      <c r="A1738" s="13">
        <v>44942</v>
      </c>
      <c r="B1738" s="15">
        <v>1236.23</v>
      </c>
      <c r="C1738" s="15"/>
      <c r="D1738" s="15">
        <v>23745.24</v>
      </c>
      <c r="E1738" s="16">
        <v>44942</v>
      </c>
      <c r="F1738" s="17" t="s">
        <v>25</v>
      </c>
    </row>
    <row r="1739" spans="1:6">
      <c r="A1739" s="13">
        <v>44943</v>
      </c>
      <c r="B1739" s="15">
        <v>1241.01</v>
      </c>
      <c r="C1739" s="15"/>
      <c r="D1739" s="15">
        <v>23885.99</v>
      </c>
      <c r="E1739" s="16">
        <v>44943</v>
      </c>
      <c r="F1739" s="17" t="s">
        <v>25</v>
      </c>
    </row>
    <row r="1740" spans="1:6">
      <c r="A1740" s="13">
        <v>44944</v>
      </c>
      <c r="B1740" s="15">
        <v>1247.03</v>
      </c>
      <c r="C1740" s="15"/>
      <c r="D1740" s="15">
        <v>23994.91</v>
      </c>
      <c r="E1740" s="16">
        <v>44944</v>
      </c>
      <c r="F1740" s="17" t="s">
        <v>25</v>
      </c>
    </row>
    <row r="1741" spans="1:6">
      <c r="A1741" s="13">
        <v>44945</v>
      </c>
      <c r="B1741" s="15">
        <v>1244.18</v>
      </c>
      <c r="C1741" s="15"/>
      <c r="D1741" s="15">
        <v>23924.61</v>
      </c>
      <c r="E1741" s="16">
        <v>44945</v>
      </c>
      <c r="F1741" s="17" t="s">
        <v>25</v>
      </c>
    </row>
    <row r="1742" spans="1:6">
      <c r="A1742" s="13">
        <v>44946</v>
      </c>
      <c r="B1742" s="15">
        <v>1236.71</v>
      </c>
      <c r="C1742" s="15"/>
      <c r="D1742" s="15">
        <v>23813.19</v>
      </c>
      <c r="E1742" s="16">
        <v>44946</v>
      </c>
      <c r="F1742" s="17" t="s">
        <v>25</v>
      </c>
    </row>
    <row r="1743" spans="1:6">
      <c r="A1743" s="13">
        <v>44949</v>
      </c>
      <c r="B1743" s="15">
        <v>1241.81</v>
      </c>
      <c r="C1743" s="15"/>
      <c r="D1743" s="15">
        <v>23899.01</v>
      </c>
      <c r="E1743" s="16">
        <v>44949</v>
      </c>
      <c r="F1743" s="17" t="s">
        <v>25</v>
      </c>
    </row>
    <row r="1744" spans="1:6">
      <c r="A1744" s="13">
        <v>44950</v>
      </c>
      <c r="B1744" s="15">
        <v>1238.33</v>
      </c>
      <c r="C1744" s="15"/>
      <c r="D1744" s="15">
        <v>23876.66</v>
      </c>
      <c r="E1744" s="16">
        <v>44950</v>
      </c>
      <c r="F1744" s="17" t="s">
        <v>25</v>
      </c>
    </row>
    <row r="1745" spans="1:6">
      <c r="A1745" s="13">
        <v>44951</v>
      </c>
      <c r="B1745" s="15">
        <v>1222.26</v>
      </c>
      <c r="C1745" s="15"/>
      <c r="D1745" s="15">
        <v>23541.16</v>
      </c>
      <c r="E1745" s="16">
        <v>44951</v>
      </c>
      <c r="F1745" s="17" t="s">
        <v>25</v>
      </c>
    </row>
    <row r="1746" spans="1:6">
      <c r="A1746" s="13">
        <v>44953</v>
      </c>
      <c r="B1746" s="15">
        <v>1205.47</v>
      </c>
      <c r="C1746" s="15"/>
      <c r="D1746" s="15">
        <v>23080.080000000002</v>
      </c>
      <c r="E1746" s="16">
        <v>44953</v>
      </c>
      <c r="F1746" s="17" t="s">
        <v>25</v>
      </c>
    </row>
    <row r="1747" spans="1:6">
      <c r="A1747" s="13">
        <v>44956</v>
      </c>
      <c r="B1747" s="15">
        <v>1210.3599999999999</v>
      </c>
      <c r="C1747" s="15"/>
      <c r="D1747" s="15">
        <v>23048.29</v>
      </c>
      <c r="E1747" s="16">
        <v>44956</v>
      </c>
      <c r="F1747" s="17" t="s">
        <v>25</v>
      </c>
    </row>
    <row r="1748" spans="1:6">
      <c r="A1748" s="13">
        <v>44957</v>
      </c>
      <c r="B1748" s="15">
        <v>1215.9000000000001</v>
      </c>
      <c r="C1748" s="15"/>
      <c r="D1748" s="15">
        <v>23175.05</v>
      </c>
      <c r="E1748" s="16">
        <v>44957</v>
      </c>
      <c r="F1748" s="17" t="s">
        <v>25</v>
      </c>
    </row>
    <row r="1749" spans="1:6">
      <c r="A1749" s="13">
        <v>44958</v>
      </c>
      <c r="B1749" s="15">
        <v>1213.51</v>
      </c>
      <c r="C1749" s="15"/>
      <c r="D1749" s="15">
        <v>23038.799999999999</v>
      </c>
      <c r="E1749" s="16">
        <v>44958</v>
      </c>
      <c r="F1749" s="17" t="s">
        <v>25</v>
      </c>
    </row>
    <row r="1750" spans="1:6">
      <c r="A1750" s="13">
        <v>44959</v>
      </c>
      <c r="B1750" s="15">
        <v>1218.67</v>
      </c>
      <c r="C1750" s="15"/>
      <c r="D1750" s="15">
        <v>23026.240000000002</v>
      </c>
      <c r="E1750" s="16">
        <v>44959</v>
      </c>
      <c r="F1750" s="17" t="s">
        <v>25</v>
      </c>
    </row>
    <row r="1751" spans="1:6">
      <c r="A1751" s="13">
        <v>44960</v>
      </c>
      <c r="B1751" s="15">
        <v>1230.17</v>
      </c>
      <c r="C1751" s="15"/>
      <c r="D1751" s="15">
        <v>23217.58</v>
      </c>
      <c r="E1751" s="16">
        <v>44960</v>
      </c>
      <c r="F1751" s="17" t="s">
        <v>25</v>
      </c>
    </row>
    <row r="1752" spans="1:6">
      <c r="A1752" s="13">
        <v>44963</v>
      </c>
      <c r="B1752" s="15">
        <v>1230.55</v>
      </c>
      <c r="C1752" s="15"/>
      <c r="D1752" s="15">
        <v>23174.09</v>
      </c>
      <c r="E1752" s="16">
        <v>44963</v>
      </c>
      <c r="F1752" s="17" t="s">
        <v>25</v>
      </c>
    </row>
    <row r="1753" spans="1:6">
      <c r="A1753" s="13">
        <v>44964</v>
      </c>
      <c r="B1753" s="15">
        <v>1223.1099999999999</v>
      </c>
      <c r="C1753" s="15"/>
      <c r="D1753" s="15">
        <v>23125.02</v>
      </c>
      <c r="E1753" s="16">
        <v>44964</v>
      </c>
      <c r="F1753" s="17" t="s">
        <v>25</v>
      </c>
    </row>
    <row r="1754" spans="1:6">
      <c r="A1754" s="13">
        <v>44965</v>
      </c>
      <c r="B1754" s="15">
        <v>1234.72</v>
      </c>
      <c r="C1754" s="15"/>
      <c r="D1754" s="15">
        <v>23322.639999999999</v>
      </c>
      <c r="E1754" s="16">
        <v>44965</v>
      </c>
      <c r="F1754" s="17" t="s">
        <v>25</v>
      </c>
    </row>
    <row r="1755" spans="1:6">
      <c r="A1755" s="13">
        <v>44966</v>
      </c>
      <c r="B1755" s="15">
        <v>1235.92</v>
      </c>
      <c r="C1755" s="15"/>
      <c r="D1755" s="15">
        <v>23325.42</v>
      </c>
      <c r="E1755" s="16">
        <v>44966</v>
      </c>
      <c r="F1755" s="17" t="s">
        <v>25</v>
      </c>
    </row>
    <row r="1756" spans="1:6">
      <c r="A1756" s="13">
        <v>44967</v>
      </c>
      <c r="B1756" s="15">
        <v>1233.3</v>
      </c>
      <c r="C1756" s="15"/>
      <c r="D1756" s="15">
        <v>23304.12</v>
      </c>
      <c r="E1756" s="16">
        <v>44967</v>
      </c>
      <c r="F1756" s="17" t="s">
        <v>25</v>
      </c>
    </row>
    <row r="1757" spans="1:6">
      <c r="A1757" s="13">
        <v>44970</v>
      </c>
      <c r="B1757" s="15">
        <v>1226.53</v>
      </c>
      <c r="C1757" s="15"/>
      <c r="D1757" s="15">
        <v>23125.41</v>
      </c>
      <c r="E1757" s="16">
        <v>44970</v>
      </c>
      <c r="F1757" s="17" t="s">
        <v>25</v>
      </c>
    </row>
    <row r="1758" spans="1:6">
      <c r="A1758" s="13">
        <v>44971</v>
      </c>
      <c r="B1758" s="15">
        <v>1231.32</v>
      </c>
      <c r="C1758" s="15"/>
      <c r="D1758" s="15">
        <v>23231.75</v>
      </c>
      <c r="E1758" s="16">
        <v>44971</v>
      </c>
      <c r="F1758" s="17" t="s">
        <v>25</v>
      </c>
    </row>
    <row r="1759" spans="1:6">
      <c r="A1759" s="13">
        <v>44972</v>
      </c>
      <c r="B1759" s="15">
        <v>1238.19</v>
      </c>
      <c r="C1759" s="15"/>
      <c r="D1759" s="15">
        <v>23352.25</v>
      </c>
      <c r="E1759" s="16">
        <v>44972</v>
      </c>
      <c r="F1759" s="17" t="s">
        <v>25</v>
      </c>
    </row>
    <row r="1760" spans="1:6">
      <c r="A1760" s="13">
        <v>44973</v>
      </c>
      <c r="B1760" s="15">
        <v>1243.24</v>
      </c>
      <c r="C1760" s="15"/>
      <c r="D1760" s="15">
        <v>23420.94</v>
      </c>
      <c r="E1760" s="16">
        <v>44973</v>
      </c>
      <c r="F1760" s="17" t="s">
        <v>25</v>
      </c>
    </row>
    <row r="1761" spans="1:6">
      <c r="A1761" s="13">
        <v>44974</v>
      </c>
      <c r="B1761" s="15">
        <v>1233.81</v>
      </c>
      <c r="C1761" s="15"/>
      <c r="D1761" s="15">
        <v>23298.25</v>
      </c>
      <c r="E1761" s="16">
        <v>44974</v>
      </c>
      <c r="F1761" s="17" t="s">
        <v>25</v>
      </c>
    </row>
    <row r="1762" spans="1:6">
      <c r="A1762" s="13">
        <v>44977</v>
      </c>
      <c r="B1762" s="15">
        <v>1229.2</v>
      </c>
      <c r="C1762" s="15"/>
      <c r="D1762" s="15">
        <v>23197</v>
      </c>
      <c r="E1762" s="16">
        <v>44977</v>
      </c>
      <c r="F1762" s="17" t="s">
        <v>25</v>
      </c>
    </row>
    <row r="1763" spans="1:6">
      <c r="A1763" s="13">
        <v>44978</v>
      </c>
      <c r="B1763" s="15">
        <v>1225.8800000000001</v>
      </c>
      <c r="C1763" s="15"/>
      <c r="D1763" s="15">
        <v>23158.959999999999</v>
      </c>
      <c r="E1763" s="16">
        <v>44978</v>
      </c>
      <c r="F1763" s="17" t="s">
        <v>25</v>
      </c>
    </row>
    <row r="1764" spans="1:6">
      <c r="A1764" s="13">
        <v>44979</v>
      </c>
      <c r="B1764" s="15">
        <v>1211.03</v>
      </c>
      <c r="C1764" s="15"/>
      <c r="D1764" s="15">
        <v>22830.35</v>
      </c>
      <c r="E1764" s="16">
        <v>44979</v>
      </c>
      <c r="F1764" s="17" t="s">
        <v>25</v>
      </c>
    </row>
    <row r="1765" spans="1:6">
      <c r="A1765" s="13">
        <v>44980</v>
      </c>
      <c r="B1765" s="15">
        <v>1209.4000000000001</v>
      </c>
      <c r="C1765" s="15"/>
      <c r="D1765" s="15">
        <v>22775.81</v>
      </c>
      <c r="E1765" s="16">
        <v>44980</v>
      </c>
      <c r="F1765" s="17" t="s">
        <v>25</v>
      </c>
    </row>
    <row r="1766" spans="1:6">
      <c r="A1766" s="13">
        <v>44981</v>
      </c>
      <c r="B1766" s="15">
        <v>1208.5899999999999</v>
      </c>
      <c r="C1766" s="15"/>
      <c r="D1766" s="15">
        <v>22719.84</v>
      </c>
      <c r="E1766" s="16">
        <v>44981</v>
      </c>
      <c r="F1766" s="17" t="s">
        <v>25</v>
      </c>
    </row>
    <row r="1767" spans="1:6">
      <c r="A1767" s="13">
        <v>44984</v>
      </c>
      <c r="B1767" s="15">
        <v>1201.76</v>
      </c>
      <c r="C1767" s="15"/>
      <c r="D1767" s="15">
        <v>22592.89</v>
      </c>
      <c r="E1767" s="16">
        <v>44984</v>
      </c>
      <c r="F1767" s="17" t="s">
        <v>25</v>
      </c>
    </row>
    <row r="1768" spans="1:6">
      <c r="A1768" s="13">
        <v>44985</v>
      </c>
      <c r="B1768" s="15">
        <v>1195.92</v>
      </c>
      <c r="C1768" s="15"/>
      <c r="D1768" s="15">
        <v>22546.35</v>
      </c>
      <c r="E1768" s="16">
        <v>44985</v>
      </c>
      <c r="F1768" s="17" t="s">
        <v>25</v>
      </c>
    </row>
    <row r="1769" spans="1:6">
      <c r="A1769" s="13">
        <v>44986</v>
      </c>
      <c r="B1769" s="15">
        <v>1206.8800000000001</v>
      </c>
      <c r="C1769" s="15"/>
      <c r="D1769" s="15">
        <v>22773.279999999999</v>
      </c>
      <c r="E1769" s="16">
        <v>44986</v>
      </c>
      <c r="F1769" s="17" t="s">
        <v>25</v>
      </c>
    </row>
    <row r="1770" spans="1:6">
      <c r="A1770" s="13">
        <v>44987</v>
      </c>
      <c r="B1770" s="15">
        <v>1199.5999999999999</v>
      </c>
      <c r="C1770" s="15"/>
      <c r="D1770" s="15">
        <v>22652.74</v>
      </c>
      <c r="E1770" s="16">
        <v>44987</v>
      </c>
      <c r="F1770" s="17" t="s">
        <v>25</v>
      </c>
    </row>
    <row r="1771" spans="1:6">
      <c r="A1771" s="13">
        <v>44988</v>
      </c>
      <c r="B1771" s="15">
        <v>1213.68</v>
      </c>
      <c r="C1771" s="15"/>
      <c r="D1771" s="15">
        <v>22943.96</v>
      </c>
      <c r="E1771" s="16">
        <v>44988</v>
      </c>
      <c r="F1771" s="17" t="s">
        <v>25</v>
      </c>
    </row>
    <row r="1772" spans="1:6">
      <c r="A1772" s="13">
        <v>44991</v>
      </c>
      <c r="B1772" s="15">
        <v>1219.71</v>
      </c>
      <c r="C1772" s="15"/>
      <c r="D1772" s="15">
        <v>23108.97</v>
      </c>
      <c r="E1772" s="16">
        <v>44991</v>
      </c>
      <c r="F1772" s="17" t="s">
        <v>25</v>
      </c>
    </row>
    <row r="1773" spans="1:6">
      <c r="A1773" s="13">
        <v>44993</v>
      </c>
      <c r="B1773" s="15">
        <v>1219.72</v>
      </c>
      <c r="C1773" s="15"/>
      <c r="D1773" s="15">
        <v>23172.99</v>
      </c>
      <c r="E1773" s="16">
        <v>44993</v>
      </c>
      <c r="F1773" s="17" t="s">
        <v>25</v>
      </c>
    </row>
    <row r="1774" spans="1:6">
      <c r="A1774" s="13">
        <v>44994</v>
      </c>
      <c r="B1774" s="15">
        <v>1212.2</v>
      </c>
      <c r="C1774" s="15"/>
      <c r="D1774" s="15">
        <v>22989.73</v>
      </c>
      <c r="E1774" s="16">
        <v>44994</v>
      </c>
      <c r="F1774" s="17" t="s">
        <v>25</v>
      </c>
    </row>
    <row r="1775" spans="1:6">
      <c r="A1775" s="13">
        <v>44995</v>
      </c>
      <c r="B1775" s="15">
        <v>1200.68</v>
      </c>
      <c r="C1775" s="15"/>
      <c r="D1775" s="15">
        <v>22797.01</v>
      </c>
      <c r="E1775" s="16">
        <v>44995</v>
      </c>
      <c r="F1775" s="17" t="s">
        <v>25</v>
      </c>
    </row>
    <row r="1776" spans="1:6">
      <c r="A1776" s="13">
        <v>44998</v>
      </c>
      <c r="B1776" s="15">
        <v>1180.8800000000001</v>
      </c>
      <c r="C1776" s="15"/>
      <c r="D1776" s="15">
        <v>22446.97</v>
      </c>
      <c r="E1776" s="16">
        <v>44998</v>
      </c>
      <c r="F1776" s="17" t="s">
        <v>25</v>
      </c>
    </row>
    <row r="1777" spans="1:6">
      <c r="A1777" s="13">
        <v>44999</v>
      </c>
      <c r="B1777" s="15">
        <v>1176.4000000000001</v>
      </c>
      <c r="C1777" s="15"/>
      <c r="D1777" s="15">
        <v>22298.04</v>
      </c>
      <c r="E1777" s="16">
        <v>44999</v>
      </c>
      <c r="F1777" s="17" t="s">
        <v>25</v>
      </c>
    </row>
    <row r="1778" spans="1:6">
      <c r="A1778" s="13">
        <v>45000</v>
      </c>
      <c r="B1778" s="15">
        <v>1175.01</v>
      </c>
      <c r="C1778" s="15"/>
      <c r="D1778" s="15">
        <v>22238.83</v>
      </c>
      <c r="E1778" s="16">
        <v>45000</v>
      </c>
      <c r="F1778" s="17" t="s">
        <v>25</v>
      </c>
    </row>
    <row r="1779" spans="1:6">
      <c r="A1779" s="13">
        <v>45001</v>
      </c>
      <c r="B1779" s="15">
        <v>1174.51</v>
      </c>
      <c r="C1779" s="15"/>
      <c r="D1779" s="15">
        <v>22254.68</v>
      </c>
      <c r="E1779" s="16">
        <v>45001</v>
      </c>
      <c r="F1779" s="17" t="s">
        <v>25</v>
      </c>
    </row>
    <row r="1780" spans="1:6">
      <c r="A1780" s="13">
        <v>45002</v>
      </c>
      <c r="B1780" s="15">
        <v>1186.42</v>
      </c>
      <c r="C1780" s="15"/>
      <c r="D1780" s="15">
        <v>22395.26</v>
      </c>
      <c r="E1780" s="16">
        <v>45002</v>
      </c>
      <c r="F1780" s="17" t="s">
        <v>25</v>
      </c>
    </row>
    <row r="1781" spans="1:6">
      <c r="A1781" s="13">
        <v>45005</v>
      </c>
      <c r="B1781" s="15">
        <v>1176.47</v>
      </c>
      <c r="C1781" s="15"/>
      <c r="D1781" s="15">
        <v>22234.47</v>
      </c>
      <c r="E1781" s="16">
        <v>45005</v>
      </c>
      <c r="F1781" s="17" t="s">
        <v>25</v>
      </c>
    </row>
    <row r="1782" spans="1:6">
      <c r="A1782" s="13">
        <v>45006</v>
      </c>
      <c r="B1782" s="15">
        <v>1182.51</v>
      </c>
      <c r="C1782" s="15"/>
      <c r="D1782" s="15">
        <v>22380.86</v>
      </c>
      <c r="E1782" s="16">
        <v>45006</v>
      </c>
      <c r="F1782" s="17" t="s">
        <v>25</v>
      </c>
    </row>
    <row r="1783" spans="1:6">
      <c r="A1783" s="13">
        <v>45007</v>
      </c>
      <c r="B1783" s="15">
        <v>1186.24</v>
      </c>
      <c r="C1783" s="15"/>
      <c r="D1783" s="15">
        <v>22456.46</v>
      </c>
      <c r="E1783" s="16">
        <v>45007</v>
      </c>
      <c r="F1783" s="17" t="s">
        <v>25</v>
      </c>
    </row>
    <row r="1784" spans="1:6">
      <c r="A1784" s="13">
        <v>45008</v>
      </c>
      <c r="B1784" s="15">
        <v>1180.44</v>
      </c>
      <c r="C1784" s="15"/>
      <c r="D1784" s="15">
        <v>22368.83</v>
      </c>
      <c r="E1784" s="16">
        <v>45008</v>
      </c>
      <c r="F1784" s="17" t="s">
        <v>25</v>
      </c>
    </row>
    <row r="1785" spans="1:6">
      <c r="A1785" s="13">
        <v>45009</v>
      </c>
      <c r="B1785" s="15">
        <v>1170.4000000000001</v>
      </c>
      <c r="C1785" s="15"/>
      <c r="D1785" s="15">
        <v>22176.11</v>
      </c>
      <c r="E1785" s="16">
        <v>45009</v>
      </c>
      <c r="F1785" s="17" t="s">
        <v>25</v>
      </c>
    </row>
    <row r="1786" spans="1:6">
      <c r="A1786" s="13">
        <v>45012</v>
      </c>
      <c r="B1786" s="15">
        <v>1169.31</v>
      </c>
      <c r="C1786" s="15"/>
      <c r="D1786" s="15">
        <v>22150.83</v>
      </c>
      <c r="E1786" s="16">
        <v>45012</v>
      </c>
      <c r="F1786" s="17" t="s">
        <v>25</v>
      </c>
    </row>
    <row r="1787" spans="1:6">
      <c r="A1787" s="13">
        <v>45013</v>
      </c>
      <c r="B1787" s="15">
        <v>1166.8599999999999</v>
      </c>
      <c r="C1787" s="15"/>
      <c r="D1787" s="15">
        <v>22071.73</v>
      </c>
      <c r="E1787" s="16">
        <v>45013</v>
      </c>
      <c r="F1787" s="17" t="s">
        <v>25</v>
      </c>
    </row>
    <row r="1788" spans="1:6">
      <c r="A1788" s="13">
        <v>45014</v>
      </c>
      <c r="B1788" s="15">
        <v>1177.75</v>
      </c>
      <c r="C1788" s="15"/>
      <c r="D1788" s="15">
        <v>22279.71</v>
      </c>
      <c r="E1788" s="16">
        <v>45014</v>
      </c>
      <c r="F1788" s="17" t="s">
        <v>25</v>
      </c>
    </row>
    <row r="1789" spans="1:6">
      <c r="A1789" s="13">
        <v>45016</v>
      </c>
      <c r="B1789" s="15">
        <v>1194.32</v>
      </c>
      <c r="C1789" s="15"/>
      <c r="D1789" s="15">
        <v>22609.54</v>
      </c>
      <c r="E1789" s="16">
        <v>45016</v>
      </c>
      <c r="F1789" s="17" t="s">
        <v>25</v>
      </c>
    </row>
    <row r="1790" spans="1:6">
      <c r="A1790" s="13">
        <v>45019</v>
      </c>
      <c r="B1790" s="15">
        <v>1198.75</v>
      </c>
      <c r="C1790" s="15"/>
      <c r="D1790" s="15">
        <v>22678.03</v>
      </c>
      <c r="E1790" s="16">
        <v>45019</v>
      </c>
      <c r="F1790" s="17" t="s">
        <v>25</v>
      </c>
    </row>
    <row r="1791" spans="1:6">
      <c r="A1791" s="13">
        <v>45021</v>
      </c>
      <c r="B1791" s="15">
        <v>1204.83</v>
      </c>
      <c r="C1791" s="15"/>
      <c r="D1791" s="15">
        <v>22844.93</v>
      </c>
      <c r="E1791" s="16">
        <v>45021</v>
      </c>
      <c r="F1791" s="17" t="s">
        <v>25</v>
      </c>
    </row>
    <row r="1792" spans="1:6">
      <c r="A1792" s="13">
        <v>45022</v>
      </c>
      <c r="B1792" s="15">
        <v>1208.6400000000001</v>
      </c>
      <c r="C1792" s="15"/>
      <c r="D1792" s="15">
        <v>22922.21</v>
      </c>
      <c r="E1792" s="16">
        <v>45022</v>
      </c>
      <c r="F1792" s="17" t="s">
        <v>25</v>
      </c>
    </row>
    <row r="1793" spans="1:6">
      <c r="A1793" s="13">
        <v>45026</v>
      </c>
      <c r="B1793" s="15">
        <v>1207</v>
      </c>
      <c r="C1793" s="15"/>
      <c r="D1793" s="15">
        <v>22970.959999999999</v>
      </c>
      <c r="E1793" s="16">
        <v>45026</v>
      </c>
      <c r="F1793" s="17" t="s">
        <v>25</v>
      </c>
    </row>
    <row r="1794" spans="1:6">
      <c r="A1794" s="13">
        <v>45027</v>
      </c>
      <c r="B1794" s="15">
        <v>1211.3800000000001</v>
      </c>
      <c r="C1794" s="15"/>
      <c r="D1794" s="15">
        <v>23090.27</v>
      </c>
      <c r="E1794" s="16">
        <v>45027</v>
      </c>
      <c r="F1794" s="17" t="s">
        <v>25</v>
      </c>
    </row>
    <row r="1795" spans="1:6">
      <c r="A1795" s="13">
        <v>45028</v>
      </c>
      <c r="B1795" s="15">
        <v>1218.24</v>
      </c>
      <c r="C1795" s="15"/>
      <c r="D1795" s="15">
        <v>23205.72</v>
      </c>
      <c r="E1795" s="16">
        <v>45028</v>
      </c>
      <c r="F1795" s="17" t="s">
        <v>25</v>
      </c>
    </row>
    <row r="1796" spans="1:6">
      <c r="A1796" s="13">
        <v>45029</v>
      </c>
      <c r="B1796" s="15">
        <v>1218.46</v>
      </c>
      <c r="C1796" s="15"/>
      <c r="D1796" s="15">
        <v>23227.119999999999</v>
      </c>
      <c r="E1796" s="16">
        <v>45029</v>
      </c>
      <c r="F1796" s="17" t="s">
        <v>25</v>
      </c>
    </row>
    <row r="1797" spans="1:6">
      <c r="A1797" s="13">
        <v>45033</v>
      </c>
      <c r="B1797" s="15">
        <v>1211.83</v>
      </c>
      <c r="C1797" s="15"/>
      <c r="D1797" s="15">
        <v>23149.56</v>
      </c>
      <c r="E1797" s="16">
        <v>45033</v>
      </c>
      <c r="F1797" s="17" t="s">
        <v>25</v>
      </c>
    </row>
    <row r="1798" spans="1:6">
      <c r="A1798" s="13">
        <v>45034</v>
      </c>
      <c r="B1798" s="15">
        <v>1214.1099999999999</v>
      </c>
      <c r="C1798" s="15"/>
      <c r="D1798" s="15">
        <v>23138.2</v>
      </c>
      <c r="E1798" s="16">
        <v>45034</v>
      </c>
      <c r="F1798" s="17" t="s">
        <v>25</v>
      </c>
    </row>
    <row r="1799" spans="1:6">
      <c r="A1799" s="13">
        <v>45035</v>
      </c>
      <c r="B1799" s="15">
        <v>1208.6400000000001</v>
      </c>
      <c r="C1799" s="15"/>
      <c r="D1799" s="15">
        <v>23075.89</v>
      </c>
      <c r="E1799" s="16">
        <v>45035</v>
      </c>
      <c r="F1799" s="17" t="s">
        <v>25</v>
      </c>
    </row>
    <row r="1800" spans="1:6">
      <c r="A1800" s="13">
        <v>45036</v>
      </c>
      <c r="B1800" s="15">
        <v>1209.28</v>
      </c>
      <c r="C1800" s="15"/>
      <c r="D1800" s="15">
        <v>23083.439999999999</v>
      </c>
      <c r="E1800" s="16">
        <v>45036</v>
      </c>
      <c r="F1800" s="17" t="s">
        <v>25</v>
      </c>
    </row>
    <row r="1801" spans="1:6">
      <c r="A1801" s="13">
        <v>45037</v>
      </c>
      <c r="B1801" s="15">
        <v>1206.76</v>
      </c>
      <c r="C1801" s="15"/>
      <c r="D1801" s="15">
        <v>23061.48</v>
      </c>
      <c r="E1801" s="16">
        <v>45037</v>
      </c>
      <c r="F1801" s="17" t="s">
        <v>25</v>
      </c>
    </row>
    <row r="1802" spans="1:6">
      <c r="A1802" s="13">
        <v>45040</v>
      </c>
      <c r="B1802" s="15">
        <v>1213.9100000000001</v>
      </c>
      <c r="C1802" s="15"/>
      <c r="D1802" s="15">
        <v>23190.5</v>
      </c>
      <c r="E1802" s="16">
        <v>45040</v>
      </c>
      <c r="F1802" s="17" t="s">
        <v>25</v>
      </c>
    </row>
    <row r="1803" spans="1:6">
      <c r="A1803" s="13">
        <v>45041</v>
      </c>
      <c r="B1803" s="15">
        <v>1215.21</v>
      </c>
      <c r="C1803" s="15"/>
      <c r="D1803" s="15">
        <v>23230.2</v>
      </c>
      <c r="E1803" s="16">
        <v>45041</v>
      </c>
      <c r="F1803" s="17" t="s">
        <v>25</v>
      </c>
    </row>
    <row r="1804" spans="1:6">
      <c r="A1804" s="13">
        <v>45042</v>
      </c>
      <c r="B1804" s="15">
        <v>1218.8599999999999</v>
      </c>
      <c r="C1804" s="15"/>
      <c r="D1804" s="15">
        <v>23290.3</v>
      </c>
      <c r="E1804" s="16">
        <v>45042</v>
      </c>
      <c r="F1804" s="17" t="s">
        <v>25</v>
      </c>
    </row>
    <row r="1805" spans="1:6">
      <c r="A1805" s="13">
        <v>45043</v>
      </c>
      <c r="B1805" s="15">
        <v>1227.3900000000001</v>
      </c>
      <c r="C1805" s="15"/>
      <c r="D1805" s="15">
        <v>23415.66</v>
      </c>
      <c r="E1805" s="16">
        <v>45043</v>
      </c>
      <c r="F1805" s="17" t="s">
        <v>25</v>
      </c>
    </row>
    <row r="1806" spans="1:6">
      <c r="A1806" s="13">
        <v>45044</v>
      </c>
      <c r="B1806" s="15">
        <v>1237.1199999999999</v>
      </c>
      <c r="C1806" s="15"/>
      <c r="D1806" s="15">
        <v>23643.94</v>
      </c>
      <c r="E1806" s="16">
        <v>45044</v>
      </c>
      <c r="F1806" s="17" t="s">
        <v>25</v>
      </c>
    </row>
    <row r="1807" spans="1:6">
      <c r="A1807" s="13">
        <v>45048</v>
      </c>
      <c r="B1807" s="15">
        <v>1238.68</v>
      </c>
      <c r="C1807" s="15"/>
      <c r="D1807" s="15">
        <v>23770.12</v>
      </c>
      <c r="E1807" s="16">
        <v>45048</v>
      </c>
      <c r="F1807" s="17" t="s">
        <v>25</v>
      </c>
    </row>
    <row r="1808" spans="1:6">
      <c r="A1808" s="13">
        <v>45049</v>
      </c>
      <c r="B1808" s="15">
        <v>1235.8599999999999</v>
      </c>
      <c r="C1808" s="15"/>
      <c r="D1808" s="15">
        <v>23732.29</v>
      </c>
      <c r="E1808" s="16">
        <v>45049</v>
      </c>
      <c r="F1808" s="17" t="s">
        <v>25</v>
      </c>
    </row>
    <row r="1809" spans="1:6">
      <c r="A1809" s="13">
        <v>45050</v>
      </c>
      <c r="B1809" s="15">
        <v>1247.76</v>
      </c>
      <c r="C1809" s="15"/>
      <c r="D1809" s="15">
        <v>23932.9</v>
      </c>
      <c r="E1809" s="16">
        <v>45050</v>
      </c>
      <c r="F1809" s="17" t="s">
        <v>25</v>
      </c>
    </row>
    <row r="1810" spans="1:6">
      <c r="A1810" s="13">
        <v>45051</v>
      </c>
      <c r="B1810" s="15">
        <v>1238.96</v>
      </c>
      <c r="C1810" s="15"/>
      <c r="D1810" s="15">
        <v>23735.759999999998</v>
      </c>
      <c r="E1810" s="16">
        <v>45051</v>
      </c>
      <c r="F1810" s="17" t="s">
        <v>25</v>
      </c>
    </row>
    <row r="1811" spans="1:6">
      <c r="A1811" s="13">
        <v>45054</v>
      </c>
      <c r="B1811" s="15">
        <v>1253.27</v>
      </c>
      <c r="C1811" s="15"/>
      <c r="D1811" s="15">
        <v>23966.42</v>
      </c>
      <c r="E1811" s="16">
        <v>45054</v>
      </c>
      <c r="F1811" s="17" t="s">
        <v>25</v>
      </c>
    </row>
    <row r="1812" spans="1:6">
      <c r="A1812" s="13">
        <v>45055</v>
      </c>
      <c r="B1812" s="15">
        <v>1252.06</v>
      </c>
      <c r="C1812" s="15"/>
      <c r="D1812" s="15">
        <v>23956.36</v>
      </c>
      <c r="E1812" s="16">
        <v>45055</v>
      </c>
      <c r="F1812" s="17" t="s">
        <v>25</v>
      </c>
    </row>
    <row r="1813" spans="1:6">
      <c r="A1813" s="13">
        <v>45056</v>
      </c>
      <c r="B1813" s="15">
        <v>1252.48</v>
      </c>
      <c r="C1813" s="15"/>
      <c r="D1813" s="15">
        <v>24027.200000000001</v>
      </c>
      <c r="E1813" s="16">
        <v>45056</v>
      </c>
      <c r="F1813" s="17" t="s">
        <v>25</v>
      </c>
    </row>
    <row r="1814" spans="1:6">
      <c r="A1814" s="13">
        <v>45057</v>
      </c>
      <c r="B1814" s="15">
        <v>1254.2</v>
      </c>
      <c r="C1814" s="15"/>
      <c r="D1814" s="15">
        <v>24055.22</v>
      </c>
      <c r="E1814" s="16">
        <v>45057</v>
      </c>
      <c r="F1814" s="17" t="s">
        <v>25</v>
      </c>
    </row>
    <row r="1815" spans="1:6">
      <c r="A1815" s="13">
        <v>45058</v>
      </c>
      <c r="B1815" s="15">
        <v>1256.56</v>
      </c>
      <c r="C1815" s="15"/>
      <c r="D1815" s="15">
        <v>24044.99</v>
      </c>
      <c r="E1815" s="16">
        <v>45058</v>
      </c>
      <c r="F1815" s="17" t="s">
        <v>25</v>
      </c>
    </row>
    <row r="1816" spans="1:6">
      <c r="A1816" s="13">
        <v>45061</v>
      </c>
      <c r="B1816" s="15">
        <v>1261.8499999999999</v>
      </c>
      <c r="C1816" s="15"/>
      <c r="D1816" s="15">
        <v>24157.41</v>
      </c>
      <c r="E1816" s="16">
        <v>45061</v>
      </c>
      <c r="F1816" s="17" t="s">
        <v>25</v>
      </c>
    </row>
    <row r="1817" spans="1:6">
      <c r="A1817" s="13">
        <v>45062</v>
      </c>
      <c r="B1817" s="15">
        <v>1259.47</v>
      </c>
      <c r="C1817" s="15"/>
      <c r="D1817" s="15">
        <v>24100.95</v>
      </c>
      <c r="E1817" s="16">
        <v>45062</v>
      </c>
      <c r="F1817" s="17" t="s">
        <v>25</v>
      </c>
    </row>
    <row r="1818" spans="1:6">
      <c r="A1818" s="13">
        <v>45063</v>
      </c>
      <c r="B1818" s="15">
        <v>1253.42</v>
      </c>
      <c r="C1818" s="15"/>
      <c r="D1818" s="15">
        <v>23998.15</v>
      </c>
      <c r="E1818" s="16">
        <v>45063</v>
      </c>
      <c r="F1818" s="17" t="s">
        <v>25</v>
      </c>
    </row>
    <row r="1819" spans="1:6">
      <c r="A1819" s="13">
        <v>45064</v>
      </c>
      <c r="B1819" s="15">
        <v>1252.97</v>
      </c>
      <c r="C1819" s="15"/>
      <c r="D1819" s="15">
        <v>23897.439999999999</v>
      </c>
      <c r="E1819" s="16">
        <v>45064</v>
      </c>
      <c r="F1819" s="17" t="s">
        <v>25</v>
      </c>
    </row>
    <row r="1820" spans="1:6">
      <c r="A1820" s="13">
        <v>45065</v>
      </c>
      <c r="B1820" s="15">
        <v>1258.45</v>
      </c>
      <c r="C1820" s="15"/>
      <c r="D1820" s="15">
        <v>23970.65</v>
      </c>
      <c r="E1820" s="16">
        <v>45065</v>
      </c>
      <c r="F1820" s="17" t="s">
        <v>25</v>
      </c>
    </row>
    <row r="1821" spans="1:6">
      <c r="A1821" s="13">
        <v>45068</v>
      </c>
      <c r="B1821" s="15">
        <v>1264.7</v>
      </c>
      <c r="C1821" s="15"/>
      <c r="D1821" s="15">
        <v>24120.68</v>
      </c>
      <c r="E1821" s="16">
        <v>45068</v>
      </c>
      <c r="F1821" s="17" t="s">
        <v>25</v>
      </c>
    </row>
    <row r="1822" spans="1:6">
      <c r="A1822" s="13">
        <v>45069</v>
      </c>
      <c r="B1822" s="15">
        <v>1265.18</v>
      </c>
      <c r="C1822" s="15"/>
      <c r="D1822" s="15">
        <v>24184.07</v>
      </c>
      <c r="E1822" s="16">
        <v>45069</v>
      </c>
      <c r="F1822" s="17" t="s">
        <v>25</v>
      </c>
    </row>
    <row r="1823" spans="1:6">
      <c r="A1823" s="13">
        <v>45070</v>
      </c>
      <c r="B1823" s="15">
        <v>1262.33</v>
      </c>
      <c r="C1823" s="15"/>
      <c r="D1823" s="15">
        <v>24139.55</v>
      </c>
      <c r="E1823" s="16">
        <v>45070</v>
      </c>
      <c r="F1823" s="17" t="s">
        <v>25</v>
      </c>
    </row>
    <row r="1824" spans="1:6">
      <c r="A1824" s="13">
        <v>45071</v>
      </c>
      <c r="B1824" s="15">
        <v>1265.1500000000001</v>
      </c>
      <c r="C1824" s="15"/>
      <c r="D1824" s="15">
        <v>24200.87</v>
      </c>
      <c r="E1824" s="16">
        <v>45071</v>
      </c>
      <c r="F1824" s="17" t="s">
        <v>25</v>
      </c>
    </row>
    <row r="1825" spans="1:6">
      <c r="A1825" s="13">
        <v>45072</v>
      </c>
      <c r="B1825" s="15">
        <v>1277.98</v>
      </c>
      <c r="C1825" s="15"/>
      <c r="D1825" s="15">
        <v>24420.97</v>
      </c>
      <c r="E1825" s="16">
        <v>45072</v>
      </c>
      <c r="F1825" s="17" t="s">
        <v>25</v>
      </c>
    </row>
    <row r="1826" spans="1:6">
      <c r="A1826" s="13">
        <v>45075</v>
      </c>
      <c r="B1826" s="15">
        <v>1284.97</v>
      </c>
      <c r="C1826" s="15"/>
      <c r="D1826" s="15">
        <v>24538.66</v>
      </c>
      <c r="E1826" s="16">
        <v>45075</v>
      </c>
      <c r="F1826" s="17" t="s">
        <v>25</v>
      </c>
    </row>
    <row r="1827" spans="1:6">
      <c r="A1827" s="13">
        <v>45076</v>
      </c>
      <c r="B1827" s="15">
        <v>1285.9100000000001</v>
      </c>
      <c r="C1827" s="15"/>
      <c r="D1827" s="15">
        <v>24580.880000000001</v>
      </c>
      <c r="E1827" s="16">
        <v>45076</v>
      </c>
      <c r="F1827" s="17" t="s">
        <v>25</v>
      </c>
    </row>
    <row r="1828" spans="1:6">
      <c r="A1828" s="13">
        <v>45077</v>
      </c>
      <c r="B1828" s="15">
        <v>1287.6099999999999</v>
      </c>
      <c r="C1828" s="15"/>
      <c r="D1828" s="15">
        <v>24538.09</v>
      </c>
      <c r="E1828" s="16">
        <v>45077</v>
      </c>
      <c r="F1828" s="17" t="s">
        <v>25</v>
      </c>
    </row>
    <row r="1829" spans="1:6">
      <c r="A1829" s="13">
        <v>45078</v>
      </c>
      <c r="B1829" s="15">
        <v>1287.32</v>
      </c>
      <c r="C1829" s="15"/>
      <c r="D1829" s="15">
        <v>24528.9</v>
      </c>
      <c r="E1829" s="16">
        <v>45078</v>
      </c>
      <c r="F1829" s="17" t="s">
        <v>25</v>
      </c>
    </row>
    <row r="1830" spans="1:6">
      <c r="A1830" s="13">
        <v>45079</v>
      </c>
      <c r="B1830" s="15">
        <v>1293.19</v>
      </c>
      <c r="C1830" s="15"/>
      <c r="D1830" s="15">
        <v>24622.76</v>
      </c>
      <c r="E1830" s="16">
        <v>45079</v>
      </c>
      <c r="F1830" s="17" t="s">
        <v>25</v>
      </c>
    </row>
    <row r="1831" spans="1:6">
      <c r="A1831" s="13">
        <v>45082</v>
      </c>
      <c r="B1831" s="15">
        <v>1299.3599999999999</v>
      </c>
      <c r="C1831" s="15"/>
      <c r="D1831" s="15">
        <v>24698.02</v>
      </c>
      <c r="E1831" s="16">
        <v>45082</v>
      </c>
      <c r="F1831" s="17" t="s">
        <v>25</v>
      </c>
    </row>
    <row r="1832" spans="1:6">
      <c r="A1832" s="13">
        <v>45083</v>
      </c>
      <c r="B1832" s="15">
        <v>1298.6600000000001</v>
      </c>
      <c r="C1832" s="15"/>
      <c r="D1832" s="15">
        <v>24727.42</v>
      </c>
      <c r="E1832" s="16">
        <v>45083</v>
      </c>
      <c r="F1832" s="17" t="s">
        <v>25</v>
      </c>
    </row>
    <row r="1833" spans="1:6">
      <c r="A1833" s="13">
        <v>45084</v>
      </c>
      <c r="B1833" s="15">
        <v>1309.3</v>
      </c>
      <c r="C1833" s="15"/>
      <c r="D1833" s="15">
        <v>24927.81</v>
      </c>
      <c r="E1833" s="16">
        <v>45084</v>
      </c>
      <c r="F1833" s="17" t="s">
        <v>25</v>
      </c>
    </row>
    <row r="1834" spans="1:6">
      <c r="A1834" s="13">
        <v>45085</v>
      </c>
      <c r="B1834" s="15">
        <v>1299.54</v>
      </c>
      <c r="C1834" s="15"/>
      <c r="D1834" s="15">
        <v>24794.46</v>
      </c>
      <c r="E1834" s="16">
        <v>45085</v>
      </c>
      <c r="F1834" s="17" t="s">
        <v>25</v>
      </c>
    </row>
    <row r="1835" spans="1:6">
      <c r="A1835" s="13">
        <v>45086</v>
      </c>
      <c r="B1835" s="15">
        <v>1294.68</v>
      </c>
      <c r="C1835" s="15"/>
      <c r="D1835" s="15">
        <v>24728.83</v>
      </c>
      <c r="E1835" s="16">
        <v>45086</v>
      </c>
      <c r="F1835" s="17" t="s">
        <v>25</v>
      </c>
    </row>
    <row r="1836" spans="1:6">
      <c r="A1836" s="13">
        <v>45089</v>
      </c>
      <c r="B1836" s="15">
        <v>1299.28</v>
      </c>
      <c r="C1836" s="15"/>
      <c r="D1836" s="15">
        <v>24809.86</v>
      </c>
      <c r="E1836" s="16">
        <v>45089</v>
      </c>
      <c r="F1836" s="17" t="s">
        <v>25</v>
      </c>
    </row>
    <row r="1837" spans="1:6">
      <c r="A1837" s="13">
        <v>45090</v>
      </c>
      <c r="B1837" s="15">
        <v>1309.9000000000001</v>
      </c>
      <c r="C1837" s="15"/>
      <c r="D1837" s="15">
        <v>24995.38</v>
      </c>
      <c r="E1837" s="16">
        <v>45090</v>
      </c>
      <c r="F1837" s="17" t="s">
        <v>25</v>
      </c>
    </row>
    <row r="1838" spans="1:6">
      <c r="A1838" s="13">
        <v>45091</v>
      </c>
      <c r="B1838" s="15">
        <v>1311.6</v>
      </c>
      <c r="C1838" s="15"/>
      <c r="D1838" s="15">
        <v>25051.74</v>
      </c>
      <c r="E1838" s="16">
        <v>45091</v>
      </c>
      <c r="F1838" s="17" t="s">
        <v>25</v>
      </c>
    </row>
    <row r="1839" spans="1:6">
      <c r="A1839" s="13">
        <v>45092</v>
      </c>
      <c r="B1839" s="15">
        <v>1310.6500000000001</v>
      </c>
      <c r="C1839" s="15"/>
      <c r="D1839" s="15">
        <v>25016.49</v>
      </c>
      <c r="E1839" s="16">
        <v>45092</v>
      </c>
      <c r="F1839" s="17" t="s">
        <v>25</v>
      </c>
    </row>
    <row r="1840" spans="1:6">
      <c r="A1840" s="13">
        <v>45093</v>
      </c>
      <c r="B1840" s="15">
        <v>1321.35</v>
      </c>
      <c r="C1840" s="15"/>
      <c r="D1840" s="15">
        <v>25210.05</v>
      </c>
      <c r="E1840" s="16">
        <v>45093</v>
      </c>
      <c r="F1840" s="17" t="s">
        <v>25</v>
      </c>
    </row>
    <row r="1841" spans="1:6">
      <c r="A1841" s="13">
        <v>45096</v>
      </c>
      <c r="B1841" s="15">
        <v>1317.88</v>
      </c>
      <c r="C1841" s="15"/>
      <c r="D1841" s="15">
        <v>25152.76</v>
      </c>
      <c r="E1841" s="16">
        <v>45096</v>
      </c>
      <c r="F1841" s="17" t="s">
        <v>25</v>
      </c>
    </row>
    <row r="1842" spans="1:6">
      <c r="A1842" s="13">
        <v>45097</v>
      </c>
      <c r="B1842" s="15">
        <v>1322.04</v>
      </c>
      <c r="C1842" s="15"/>
      <c r="D1842" s="15">
        <v>25242.91</v>
      </c>
      <c r="E1842" s="16">
        <v>45097</v>
      </c>
      <c r="F1842" s="17" t="s">
        <v>25</v>
      </c>
    </row>
    <row r="1843" spans="1:6">
      <c r="A1843" s="13">
        <v>45098</v>
      </c>
      <c r="B1843" s="15">
        <v>1325.66</v>
      </c>
      <c r="C1843" s="15"/>
      <c r="D1843" s="15">
        <v>25307.38</v>
      </c>
      <c r="E1843" s="16">
        <v>45098</v>
      </c>
      <c r="F1843" s="17" t="s">
        <v>25</v>
      </c>
    </row>
    <row r="1844" spans="1:6">
      <c r="A1844" s="13">
        <v>45099</v>
      </c>
      <c r="B1844" s="15">
        <v>1318.24</v>
      </c>
      <c r="C1844" s="15"/>
      <c r="D1844" s="15">
        <v>25151.71</v>
      </c>
      <c r="E1844" s="16">
        <v>45099</v>
      </c>
      <c r="F1844" s="17" t="s">
        <v>25</v>
      </c>
    </row>
    <row r="1845" spans="1:6">
      <c r="A1845" s="13">
        <v>45100</v>
      </c>
      <c r="B1845" s="15">
        <v>1309.6199999999999</v>
      </c>
      <c r="C1845" s="15"/>
      <c r="D1845" s="15">
        <v>24951.37</v>
      </c>
      <c r="E1845" s="16">
        <v>45100</v>
      </c>
      <c r="F1845" s="17" t="s">
        <v>25</v>
      </c>
    </row>
    <row r="1846" spans="1:6">
      <c r="A1846" s="13">
        <v>45103</v>
      </c>
      <c r="B1846" s="15">
        <v>1314.06</v>
      </c>
      <c r="C1846" s="15"/>
      <c r="D1846" s="15">
        <v>25036.52</v>
      </c>
      <c r="E1846" s="16">
        <v>45103</v>
      </c>
      <c r="F1846" s="17" t="s">
        <v>25</v>
      </c>
    </row>
    <row r="1847" spans="1:6">
      <c r="A1847" s="13">
        <v>45104</v>
      </c>
      <c r="B1847" s="15">
        <v>1325.05</v>
      </c>
      <c r="C1847" s="15"/>
      <c r="D1847" s="15">
        <v>25188.25</v>
      </c>
      <c r="E1847" s="16">
        <v>45104</v>
      </c>
      <c r="F1847" s="17" t="s">
        <v>25</v>
      </c>
    </row>
    <row r="1848" spans="1:6">
      <c r="A1848" s="13">
        <v>45105</v>
      </c>
      <c r="B1848" s="15">
        <v>1332.74</v>
      </c>
      <c r="C1848" s="15"/>
      <c r="D1848" s="15">
        <v>25365.599999999999</v>
      </c>
      <c r="E1848" s="16">
        <v>45105</v>
      </c>
      <c r="F1848" s="17" t="s">
        <v>25</v>
      </c>
    </row>
    <row r="1849" spans="1:6">
      <c r="A1849" s="13">
        <v>45107</v>
      </c>
      <c r="B1849" s="15">
        <v>1346.33</v>
      </c>
      <c r="C1849" s="15"/>
      <c r="D1849" s="15">
        <v>25605.81</v>
      </c>
      <c r="E1849" s="16">
        <v>45107</v>
      </c>
      <c r="F1849" s="17" t="s">
        <v>25</v>
      </c>
    </row>
    <row r="1850" spans="1:6">
      <c r="A1850" s="13">
        <v>45110</v>
      </c>
      <c r="B1850" s="15">
        <v>1354.08</v>
      </c>
      <c r="C1850" s="15"/>
      <c r="D1850" s="15">
        <v>25758.55</v>
      </c>
      <c r="E1850" s="16">
        <v>45110</v>
      </c>
      <c r="F1850" s="17" t="s">
        <v>25</v>
      </c>
    </row>
    <row r="1851" spans="1:6">
      <c r="A1851" s="13">
        <v>45111</v>
      </c>
      <c r="B1851" s="15">
        <v>1358.98</v>
      </c>
      <c r="C1851" s="15"/>
      <c r="D1851" s="15">
        <v>25802.39</v>
      </c>
      <c r="E1851" s="16">
        <v>45111</v>
      </c>
      <c r="F1851" s="17" t="s">
        <v>25</v>
      </c>
    </row>
    <row r="1852" spans="1:6">
      <c r="A1852" s="13">
        <v>45112</v>
      </c>
      <c r="B1852" s="15">
        <v>1361.54</v>
      </c>
      <c r="C1852" s="15"/>
      <c r="D1852" s="15">
        <v>25866.77</v>
      </c>
      <c r="E1852" s="16">
        <v>45112</v>
      </c>
      <c r="F1852" s="17" t="s">
        <v>25</v>
      </c>
    </row>
    <row r="1853" spans="1:6">
      <c r="A1853" s="13">
        <v>45113</v>
      </c>
      <c r="B1853" s="15">
        <v>1366.58</v>
      </c>
      <c r="C1853" s="15"/>
      <c r="D1853" s="15">
        <v>26019.5</v>
      </c>
      <c r="E1853" s="16">
        <v>45113</v>
      </c>
      <c r="F1853" s="17" t="s">
        <v>25</v>
      </c>
    </row>
    <row r="1854" spans="1:6">
      <c r="A1854" s="13">
        <v>45114</v>
      </c>
      <c r="B1854" s="15">
        <v>1355.97</v>
      </c>
      <c r="C1854" s="15"/>
      <c r="D1854" s="15">
        <v>25819.68</v>
      </c>
      <c r="E1854" s="16">
        <v>45114</v>
      </c>
      <c r="F1854" s="17" t="s">
        <v>25</v>
      </c>
    </row>
    <row r="1855" spans="1:6">
      <c r="A1855" s="13">
        <v>45117</v>
      </c>
      <c r="B1855" s="15">
        <v>1352.34</v>
      </c>
      <c r="C1855" s="15"/>
      <c r="D1855" s="15">
        <v>25802.98</v>
      </c>
      <c r="E1855" s="16">
        <v>45117</v>
      </c>
      <c r="F1855" s="17" t="s">
        <v>25</v>
      </c>
    </row>
    <row r="1856" spans="1:6">
      <c r="A1856" s="13">
        <v>45118</v>
      </c>
      <c r="B1856" s="15">
        <v>1355.96</v>
      </c>
      <c r="C1856" s="15"/>
      <c r="D1856" s="15">
        <v>25951.75</v>
      </c>
      <c r="E1856" s="16">
        <v>45118</v>
      </c>
      <c r="F1856" s="17" t="s">
        <v>25</v>
      </c>
    </row>
    <row r="1857" spans="1:6">
      <c r="A1857" s="13">
        <v>45119</v>
      </c>
      <c r="B1857" s="15">
        <v>1357.97</v>
      </c>
      <c r="C1857" s="15"/>
      <c r="D1857" s="15">
        <v>25941.03</v>
      </c>
      <c r="E1857" s="16">
        <v>45119</v>
      </c>
      <c r="F1857" s="17" t="s">
        <v>25</v>
      </c>
    </row>
    <row r="1858" spans="1:6">
      <c r="A1858" s="13">
        <v>45120</v>
      </c>
      <c r="B1858" s="15">
        <v>1358.72</v>
      </c>
      <c r="C1858" s="15"/>
      <c r="D1858" s="15">
        <v>25915.16</v>
      </c>
      <c r="E1858" s="16">
        <v>45120</v>
      </c>
      <c r="F1858" s="17" t="s">
        <v>25</v>
      </c>
    </row>
    <row r="1859" spans="1:6">
      <c r="A1859" s="13">
        <v>45121</v>
      </c>
      <c r="B1859" s="15">
        <v>1374.22</v>
      </c>
      <c r="C1859" s="15"/>
      <c r="D1859" s="15">
        <v>26140.06</v>
      </c>
      <c r="E1859" s="16">
        <v>45121</v>
      </c>
      <c r="F1859" s="17" t="s">
        <v>25</v>
      </c>
    </row>
    <row r="1860" spans="1:6">
      <c r="A1860" s="13">
        <v>45124</v>
      </c>
      <c r="B1860" s="15">
        <v>1382.61</v>
      </c>
      <c r="C1860" s="15"/>
      <c r="D1860" s="15">
        <v>26306.400000000001</v>
      </c>
      <c r="E1860" s="16">
        <v>45124</v>
      </c>
      <c r="F1860" s="17" t="s">
        <v>25</v>
      </c>
    </row>
    <row r="1861" spans="1:6">
      <c r="A1861" s="13">
        <v>45125</v>
      </c>
      <c r="B1861" s="15">
        <v>1382.86</v>
      </c>
      <c r="C1861" s="15"/>
      <c r="D1861" s="15">
        <v>26306.44</v>
      </c>
      <c r="E1861" s="16">
        <v>45125</v>
      </c>
      <c r="F1861" s="17" t="s">
        <v>25</v>
      </c>
    </row>
    <row r="1862" spans="1:6">
      <c r="A1862" s="13">
        <v>45126</v>
      </c>
      <c r="B1862" s="15">
        <v>1387.47</v>
      </c>
      <c r="C1862" s="15"/>
      <c r="D1862" s="15">
        <v>26433.69</v>
      </c>
      <c r="E1862" s="16">
        <v>45126</v>
      </c>
      <c r="F1862" s="17" t="s">
        <v>25</v>
      </c>
    </row>
    <row r="1863" spans="1:6">
      <c r="A1863" s="13">
        <v>45127</v>
      </c>
      <c r="B1863" s="15">
        <v>1394.33</v>
      </c>
      <c r="C1863" s="15"/>
      <c r="D1863" s="15">
        <v>26576.66</v>
      </c>
      <c r="E1863" s="16">
        <v>45127</v>
      </c>
      <c r="F1863" s="17" t="s">
        <v>25</v>
      </c>
    </row>
    <row r="1864" spans="1:6">
      <c r="A1864" s="13">
        <v>45128</v>
      </c>
      <c r="B1864" s="15">
        <v>1386.75</v>
      </c>
      <c r="C1864" s="15"/>
      <c r="D1864" s="15">
        <v>26363.759999999998</v>
      </c>
      <c r="E1864" s="16">
        <v>45128</v>
      </c>
      <c r="F1864" s="17" t="s">
        <v>25</v>
      </c>
    </row>
    <row r="1865" spans="1:6">
      <c r="A1865" s="13">
        <v>45131</v>
      </c>
      <c r="B1865" s="15">
        <v>1383.61</v>
      </c>
      <c r="C1865" s="15"/>
      <c r="D1865" s="15">
        <v>26302.9</v>
      </c>
      <c r="E1865" s="16">
        <v>45131</v>
      </c>
      <c r="F1865" s="17" t="s">
        <v>25</v>
      </c>
    </row>
    <row r="1866" spans="1:6">
      <c r="A1866" s="13">
        <v>45132</v>
      </c>
      <c r="B1866" s="15">
        <v>1386.46</v>
      </c>
      <c r="C1866" s="15"/>
      <c r="D1866" s="15">
        <v>26352.58</v>
      </c>
      <c r="E1866" s="16">
        <v>45132</v>
      </c>
      <c r="F1866" s="17" t="s">
        <v>25</v>
      </c>
    </row>
    <row r="1867" spans="1:6">
      <c r="A1867" s="13">
        <v>45133</v>
      </c>
      <c r="B1867" s="15">
        <v>1390.7</v>
      </c>
      <c r="C1867" s="15"/>
      <c r="D1867" s="15">
        <v>26474.86</v>
      </c>
      <c r="E1867" s="16">
        <v>45133</v>
      </c>
      <c r="F1867" s="17" t="s">
        <v>25</v>
      </c>
    </row>
    <row r="1868" spans="1:6">
      <c r="A1868" s="13">
        <v>45134</v>
      </c>
      <c r="B1868" s="15">
        <v>1389.94</v>
      </c>
      <c r="C1868" s="15"/>
      <c r="D1868" s="15">
        <v>26390.080000000002</v>
      </c>
      <c r="E1868" s="16">
        <v>45134</v>
      </c>
      <c r="F1868" s="17" t="s">
        <v>25</v>
      </c>
    </row>
    <row r="1869" spans="1:6">
      <c r="A1869" s="13">
        <v>45135</v>
      </c>
      <c r="B1869" s="15">
        <v>1392.43</v>
      </c>
      <c r="C1869" s="15"/>
      <c r="D1869" s="15">
        <v>26439.89</v>
      </c>
      <c r="E1869" s="16">
        <v>45135</v>
      </c>
      <c r="F1869" s="17" t="s">
        <v>25</v>
      </c>
    </row>
    <row r="1870" spans="1:6">
      <c r="A1870" s="13">
        <v>45138</v>
      </c>
      <c r="B1870" s="15">
        <v>1401.27</v>
      </c>
      <c r="C1870" s="15"/>
      <c r="D1870" s="15">
        <v>26612.52</v>
      </c>
      <c r="E1870" s="16">
        <v>45138</v>
      </c>
      <c r="F1870" s="17" t="s">
        <v>25</v>
      </c>
    </row>
    <row r="1871" spans="1:6">
      <c r="A1871" s="13">
        <v>45139</v>
      </c>
      <c r="B1871" s="15">
        <v>1404.07</v>
      </c>
      <c r="C1871" s="15"/>
      <c r="D1871" s="15">
        <v>26600.66</v>
      </c>
      <c r="E1871" s="16">
        <v>45139</v>
      </c>
      <c r="F1871" s="17" t="s">
        <v>25</v>
      </c>
    </row>
    <row r="1872" spans="1:6">
      <c r="A1872" s="13">
        <v>45140</v>
      </c>
      <c r="B1872" s="15">
        <v>1384.13</v>
      </c>
      <c r="C1872" s="15"/>
      <c r="D1872" s="15">
        <v>26308.16</v>
      </c>
      <c r="E1872" s="16">
        <v>45140</v>
      </c>
      <c r="F1872" s="17" t="s">
        <v>25</v>
      </c>
    </row>
    <row r="1873" spans="1:6">
      <c r="A1873" s="13">
        <v>45141</v>
      </c>
      <c r="B1873" s="15">
        <v>1376.52</v>
      </c>
      <c r="C1873" s="15"/>
      <c r="D1873" s="15">
        <v>26176.98</v>
      </c>
      <c r="E1873" s="16">
        <v>45141</v>
      </c>
      <c r="F1873" s="17" t="s">
        <v>25</v>
      </c>
    </row>
    <row r="1874" spans="1:6">
      <c r="A1874" s="13">
        <v>45142</v>
      </c>
      <c r="B1874" s="15">
        <v>1386.61</v>
      </c>
      <c r="C1874" s="15"/>
      <c r="D1874" s="15">
        <v>26362.94</v>
      </c>
      <c r="E1874" s="16">
        <v>45142</v>
      </c>
      <c r="F1874" s="17" t="s">
        <v>25</v>
      </c>
    </row>
    <row r="1875" spans="1:6">
      <c r="A1875" s="13">
        <v>45145</v>
      </c>
      <c r="B1875" s="15">
        <v>1391.52</v>
      </c>
      <c r="C1875" s="15"/>
      <c r="D1875" s="15">
        <v>26465.57</v>
      </c>
      <c r="E1875" s="16">
        <v>45145</v>
      </c>
      <c r="F1875" s="17" t="s">
        <v>25</v>
      </c>
    </row>
    <row r="1876" spans="1:6">
      <c r="A1876" s="13">
        <v>45146</v>
      </c>
      <c r="B1876" s="15">
        <v>1392.72</v>
      </c>
      <c r="C1876" s="15"/>
      <c r="D1876" s="15">
        <v>26454.63</v>
      </c>
      <c r="E1876" s="16">
        <v>45146</v>
      </c>
      <c r="F1876" s="17" t="s">
        <v>25</v>
      </c>
    </row>
    <row r="1877" spans="1:6">
      <c r="A1877" s="13">
        <v>45147</v>
      </c>
      <c r="B1877" s="15">
        <v>1397.58</v>
      </c>
      <c r="C1877" s="15"/>
      <c r="D1877" s="15">
        <v>26551.16</v>
      </c>
      <c r="E1877" s="16">
        <v>45147</v>
      </c>
      <c r="F1877" s="17" t="s">
        <v>25</v>
      </c>
    </row>
    <row r="1878" spans="1:6">
      <c r="A1878" s="13">
        <v>45148</v>
      </c>
      <c r="B1878" s="15">
        <v>1391.36</v>
      </c>
      <c r="C1878" s="15"/>
      <c r="D1878" s="15">
        <v>26451.46</v>
      </c>
      <c r="E1878" s="16">
        <v>45148</v>
      </c>
      <c r="F1878" s="17" t="s">
        <v>25</v>
      </c>
    </row>
    <row r="1879" spans="1:6">
      <c r="A1879" s="13">
        <v>45149</v>
      </c>
      <c r="B1879" s="15">
        <v>1386.05</v>
      </c>
      <c r="C1879" s="15"/>
      <c r="D1879" s="15">
        <v>26335.87</v>
      </c>
      <c r="E1879" s="16">
        <v>45149</v>
      </c>
      <c r="F1879" s="17" t="s">
        <v>25</v>
      </c>
    </row>
    <row r="1880" spans="1:6">
      <c r="A1880" s="13">
        <v>45152</v>
      </c>
      <c r="B1880" s="15">
        <v>1382.57</v>
      </c>
      <c r="C1880" s="15"/>
      <c r="D1880" s="15">
        <v>26285.200000000001</v>
      </c>
      <c r="E1880" s="16">
        <v>45152</v>
      </c>
      <c r="F1880" s="17" t="s">
        <v>25</v>
      </c>
    </row>
    <row r="1881" spans="1:6">
      <c r="A1881" s="13">
        <v>45154</v>
      </c>
      <c r="B1881" s="15">
        <v>1381.19</v>
      </c>
      <c r="C1881" s="15"/>
      <c r="D1881" s="15">
        <v>26328.16</v>
      </c>
      <c r="E1881" s="16">
        <v>45154</v>
      </c>
      <c r="F1881" s="17" t="s">
        <v>25</v>
      </c>
    </row>
    <row r="1882" spans="1:6">
      <c r="A1882" s="13">
        <v>45155</v>
      </c>
      <c r="B1882" s="15">
        <v>1377.76</v>
      </c>
      <c r="C1882" s="15"/>
      <c r="D1882" s="15">
        <v>26249.46</v>
      </c>
      <c r="E1882" s="16">
        <v>45155</v>
      </c>
      <c r="F1882" s="17" t="s">
        <v>25</v>
      </c>
    </row>
    <row r="1883" spans="1:6">
      <c r="A1883" s="13">
        <v>45156</v>
      </c>
      <c r="B1883" s="15">
        <v>1371.45</v>
      </c>
      <c r="C1883" s="15"/>
      <c r="D1883" s="15">
        <v>26183.37</v>
      </c>
      <c r="E1883" s="16">
        <v>45156</v>
      </c>
      <c r="F1883" s="17" t="s">
        <v>25</v>
      </c>
    </row>
    <row r="1884" spans="1:6">
      <c r="A1884" s="13">
        <v>45159</v>
      </c>
      <c r="B1884" s="15">
        <v>1380.29</v>
      </c>
      <c r="C1884" s="15"/>
      <c r="D1884" s="15">
        <v>26337.03</v>
      </c>
      <c r="E1884" s="16">
        <v>45159</v>
      </c>
      <c r="F1884" s="17" t="s">
        <v>25</v>
      </c>
    </row>
    <row r="1885" spans="1:6">
      <c r="A1885" s="13">
        <v>45160</v>
      </c>
      <c r="B1885" s="15">
        <v>1385.38</v>
      </c>
      <c r="C1885" s="15"/>
      <c r="D1885" s="15">
        <v>26420.68</v>
      </c>
      <c r="E1885" s="16">
        <v>45160</v>
      </c>
      <c r="F1885" s="17" t="s">
        <v>25</v>
      </c>
    </row>
    <row r="1886" spans="1:6">
      <c r="A1886" s="13">
        <v>45161</v>
      </c>
      <c r="B1886" s="15">
        <v>1391.56</v>
      </c>
      <c r="C1886" s="15"/>
      <c r="D1886" s="15">
        <v>26491.09</v>
      </c>
      <c r="E1886" s="16">
        <v>45161</v>
      </c>
      <c r="F1886" s="17" t="s">
        <v>25</v>
      </c>
    </row>
    <row r="1887" spans="1:6">
      <c r="A1887" s="13">
        <v>45162</v>
      </c>
      <c r="B1887" s="15">
        <v>1392.25</v>
      </c>
      <c r="C1887" s="15"/>
      <c r="D1887" s="15">
        <v>26459.919999999998</v>
      </c>
      <c r="E1887" s="16">
        <v>45162</v>
      </c>
      <c r="F1887" s="17" t="s">
        <v>25</v>
      </c>
    </row>
    <row r="1888" spans="1:6">
      <c r="A1888" s="13">
        <v>45163</v>
      </c>
      <c r="B1888" s="15">
        <v>1385.14</v>
      </c>
      <c r="C1888" s="15"/>
      <c r="D1888" s="15">
        <v>26289.91</v>
      </c>
      <c r="E1888" s="16">
        <v>45163</v>
      </c>
      <c r="F1888" s="17" t="s">
        <v>25</v>
      </c>
    </row>
    <row r="1889" spans="1:6">
      <c r="A1889" s="13">
        <v>45166</v>
      </c>
      <c r="B1889" s="15">
        <v>1390.49</v>
      </c>
      <c r="C1889" s="15"/>
      <c r="D1889" s="15">
        <v>26374.959999999999</v>
      </c>
      <c r="E1889" s="16">
        <v>45166</v>
      </c>
      <c r="F1889" s="17" t="s">
        <v>25</v>
      </c>
    </row>
    <row r="1890" spans="1:6">
      <c r="A1890" s="13">
        <v>45167</v>
      </c>
      <c r="B1890" s="15">
        <v>1393.98</v>
      </c>
      <c r="C1890" s="15"/>
      <c r="D1890" s="15">
        <v>26456.41</v>
      </c>
      <c r="E1890" s="16">
        <v>45167</v>
      </c>
      <c r="F1890" s="17" t="s">
        <v>25</v>
      </c>
    </row>
    <row r="1891" spans="1:6">
      <c r="A1891" s="13">
        <v>45168</v>
      </c>
      <c r="B1891" s="15">
        <v>1399.04</v>
      </c>
      <c r="C1891" s="15"/>
      <c r="D1891" s="15">
        <v>26521.52</v>
      </c>
      <c r="E1891" s="16">
        <v>45168</v>
      </c>
      <c r="F1891" s="17" t="s">
        <v>25</v>
      </c>
    </row>
    <row r="1892" spans="1:6">
      <c r="A1892" s="13">
        <v>45169</v>
      </c>
      <c r="B1892" s="15">
        <v>1398.19</v>
      </c>
      <c r="C1892" s="15"/>
      <c r="D1892" s="15">
        <v>26451.77</v>
      </c>
      <c r="E1892" s="16">
        <v>45169</v>
      </c>
      <c r="F1892" s="17" t="s">
        <v>25</v>
      </c>
    </row>
    <row r="1893" spans="1:6">
      <c r="A1893" s="13">
        <v>45170</v>
      </c>
      <c r="B1893" s="15">
        <v>1410.93</v>
      </c>
      <c r="C1893" s="15"/>
      <c r="D1893" s="15">
        <v>26687.23</v>
      </c>
      <c r="E1893" s="16">
        <v>45170</v>
      </c>
      <c r="F1893" s="17" t="s">
        <v>25</v>
      </c>
    </row>
    <row r="1894" spans="1:6">
      <c r="A1894" s="13">
        <v>45173</v>
      </c>
      <c r="B1894" s="15">
        <v>1420.23</v>
      </c>
      <c r="C1894" s="15"/>
      <c r="D1894" s="15">
        <v>26853.57</v>
      </c>
      <c r="E1894" s="16">
        <v>45173</v>
      </c>
      <c r="F1894" s="17" t="s">
        <v>25</v>
      </c>
    </row>
    <row r="1895" spans="1:6">
      <c r="A1895" s="13">
        <v>45174</v>
      </c>
      <c r="B1895" s="15">
        <v>1431.19</v>
      </c>
      <c r="C1895" s="15"/>
      <c r="D1895" s="15">
        <v>26964.77</v>
      </c>
      <c r="E1895" s="16">
        <v>45174</v>
      </c>
      <c r="F1895" s="17" t="s">
        <v>25</v>
      </c>
    </row>
    <row r="1896" spans="1:6">
      <c r="A1896" s="13">
        <v>45175</v>
      </c>
      <c r="B1896" s="15">
        <v>1436.27</v>
      </c>
      <c r="C1896" s="15"/>
      <c r="D1896" s="15">
        <v>27015.63</v>
      </c>
      <c r="E1896" s="16">
        <v>45175</v>
      </c>
      <c r="F1896" s="17" t="s">
        <v>25</v>
      </c>
    </row>
    <row r="1897" spans="1:6">
      <c r="A1897" s="13">
        <v>45176</v>
      </c>
      <c r="B1897" s="15">
        <v>1441.09</v>
      </c>
      <c r="C1897" s="15"/>
      <c r="D1897" s="15">
        <v>27173.35</v>
      </c>
      <c r="E1897" s="16">
        <v>45176</v>
      </c>
      <c r="F1897" s="17" t="s">
        <v>25</v>
      </c>
    </row>
    <row r="1898" spans="1:6">
      <c r="A1898" s="13">
        <v>45177</v>
      </c>
      <c r="B1898" s="15">
        <v>1446.27</v>
      </c>
      <c r="C1898" s="15"/>
      <c r="D1898" s="15">
        <v>27333.040000000001</v>
      </c>
      <c r="E1898" s="16">
        <v>45177</v>
      </c>
      <c r="F1898" s="17" t="s">
        <v>25</v>
      </c>
    </row>
    <row r="1899" spans="1:6">
      <c r="A1899" s="13">
        <v>45180</v>
      </c>
      <c r="B1899" s="15">
        <v>1457.57</v>
      </c>
      <c r="C1899" s="15"/>
      <c r="D1899" s="15">
        <v>27592.63</v>
      </c>
      <c r="E1899" s="16">
        <v>45180</v>
      </c>
      <c r="F1899" s="17" t="s">
        <v>25</v>
      </c>
    </row>
    <row r="1900" spans="1:6">
      <c r="A1900" s="13">
        <v>45181</v>
      </c>
      <c r="B1900" s="15">
        <v>1443.27</v>
      </c>
      <c r="C1900" s="15"/>
      <c r="D1900" s="15">
        <v>27291.38</v>
      </c>
      <c r="E1900" s="16">
        <v>45181</v>
      </c>
      <c r="F1900" s="17" t="s">
        <v>25</v>
      </c>
    </row>
    <row r="1901" spans="1:6">
      <c r="A1901" s="13">
        <v>45182</v>
      </c>
      <c r="B1901" s="15">
        <v>1452.69</v>
      </c>
      <c r="C1901" s="15"/>
      <c r="D1901" s="15">
        <v>27394.9</v>
      </c>
      <c r="E1901" s="16">
        <v>45182</v>
      </c>
      <c r="F1901" s="17" t="s">
        <v>25</v>
      </c>
    </row>
    <row r="1902" spans="1:6">
      <c r="A1902" s="13">
        <v>45183</v>
      </c>
      <c r="B1902" s="15">
        <v>1461.95</v>
      </c>
      <c r="C1902" s="15"/>
      <c r="D1902" s="15">
        <v>27515.02</v>
      </c>
      <c r="E1902" s="16">
        <v>45183</v>
      </c>
      <c r="F1902" s="17" t="s">
        <v>25</v>
      </c>
    </row>
    <row r="1903" spans="1:6">
      <c r="A1903" s="13">
        <v>45184</v>
      </c>
      <c r="B1903" s="15">
        <v>1470.44</v>
      </c>
      <c r="C1903" s="15"/>
      <c r="D1903" s="15">
        <v>27612.99</v>
      </c>
      <c r="E1903" s="16">
        <v>45184</v>
      </c>
      <c r="F1903" s="17" t="s">
        <v>25</v>
      </c>
    </row>
    <row r="1904" spans="1:6">
      <c r="A1904" s="13">
        <v>45187</v>
      </c>
      <c r="B1904" s="15">
        <v>1461.93</v>
      </c>
      <c r="C1904" s="15"/>
      <c r="D1904" s="15">
        <v>27531.77</v>
      </c>
      <c r="E1904" s="16">
        <v>45187</v>
      </c>
      <c r="F1904" s="17" t="s">
        <v>25</v>
      </c>
    </row>
    <row r="1905" spans="1:6">
      <c r="A1905" s="13">
        <v>45189</v>
      </c>
      <c r="B1905" s="15">
        <v>1448.06</v>
      </c>
      <c r="C1905" s="15"/>
      <c r="D1905" s="15">
        <v>27275.34</v>
      </c>
      <c r="E1905" s="16">
        <v>45189</v>
      </c>
      <c r="F1905" s="17" t="s">
        <v>25</v>
      </c>
    </row>
    <row r="1906" spans="1:6">
      <c r="A1906" s="13">
        <v>45190</v>
      </c>
      <c r="B1906" s="15">
        <v>1433.63</v>
      </c>
      <c r="C1906" s="15"/>
      <c r="D1906" s="15">
        <v>27047.52</v>
      </c>
      <c r="E1906" s="16">
        <v>45190</v>
      </c>
      <c r="F1906" s="17" t="s">
        <v>25</v>
      </c>
    </row>
    <row r="1907" spans="1:6">
      <c r="A1907" s="13">
        <v>45191</v>
      </c>
      <c r="B1907" s="15">
        <v>1428.44</v>
      </c>
      <c r="C1907" s="15"/>
      <c r="D1907" s="15">
        <v>26981.05</v>
      </c>
      <c r="E1907" s="16">
        <v>45191</v>
      </c>
      <c r="F1907" s="17" t="s">
        <v>25</v>
      </c>
    </row>
    <row r="1908" spans="1:6">
      <c r="A1908" s="13">
        <v>45194</v>
      </c>
      <c r="B1908" s="15">
        <v>1430.63</v>
      </c>
      <c r="C1908" s="15"/>
      <c r="D1908" s="15">
        <v>26999.45</v>
      </c>
      <c r="E1908" s="16">
        <v>45194</v>
      </c>
      <c r="F1908" s="17" t="s">
        <v>25</v>
      </c>
    </row>
    <row r="1909" spans="1:6">
      <c r="A1909" s="13">
        <v>45195</v>
      </c>
      <c r="B1909" s="15">
        <v>1426.99</v>
      </c>
      <c r="C1909" s="15"/>
      <c r="D1909" s="15">
        <v>27006</v>
      </c>
      <c r="E1909" s="16">
        <v>45195</v>
      </c>
      <c r="F1909" s="17" t="s">
        <v>25</v>
      </c>
    </row>
    <row r="1910" spans="1:6">
      <c r="A1910" s="13">
        <v>45196</v>
      </c>
      <c r="B1910" s="15">
        <v>1430.37</v>
      </c>
      <c r="C1910" s="15"/>
      <c r="D1910" s="15">
        <v>27107.39</v>
      </c>
      <c r="E1910" s="16">
        <v>45196</v>
      </c>
      <c r="F1910" s="17" t="s">
        <v>25</v>
      </c>
    </row>
    <row r="1911" spans="1:6">
      <c r="A1911" s="13">
        <v>45198</v>
      </c>
      <c r="B1911" s="15">
        <v>1433.28</v>
      </c>
      <c r="C1911" s="15"/>
      <c r="D1911" s="15">
        <v>27031.74</v>
      </c>
      <c r="E1911" s="16">
        <v>45198</v>
      </c>
      <c r="F1911" s="17" t="s">
        <v>25</v>
      </c>
    </row>
    <row r="1912" spans="1:6">
      <c r="A1912" s="13">
        <v>45202</v>
      </c>
      <c r="B1912" s="15">
        <v>1428.57</v>
      </c>
      <c r="C1912" s="15"/>
      <c r="D1912" s="15">
        <v>26972.02</v>
      </c>
      <c r="E1912" s="16">
        <v>45202</v>
      </c>
      <c r="F1912" s="17" t="s">
        <v>25</v>
      </c>
    </row>
    <row r="1913" spans="1:6">
      <c r="A1913" s="13">
        <v>45203</v>
      </c>
      <c r="B1913" s="15">
        <v>1413.51</v>
      </c>
      <c r="C1913" s="15"/>
      <c r="D1913" s="15">
        <v>26766.76</v>
      </c>
      <c r="E1913" s="16">
        <v>45203</v>
      </c>
      <c r="F1913" s="17" t="s">
        <v>25</v>
      </c>
    </row>
    <row r="1914" spans="1:6">
      <c r="A1914" s="13">
        <v>45204</v>
      </c>
      <c r="B1914" s="15">
        <v>1419.04</v>
      </c>
      <c r="C1914" s="15"/>
      <c r="D1914" s="15">
        <v>26880.39</v>
      </c>
      <c r="E1914" s="16">
        <v>45204</v>
      </c>
      <c r="F1914" s="17" t="s">
        <v>25</v>
      </c>
    </row>
    <row r="1915" spans="1:6">
      <c r="A1915" s="13">
        <v>45205</v>
      </c>
      <c r="B1915" s="15">
        <v>1428.98</v>
      </c>
      <c r="C1915" s="15"/>
      <c r="D1915" s="15">
        <v>27033.29</v>
      </c>
      <c r="E1915" s="16">
        <v>45205</v>
      </c>
      <c r="F1915" s="17" t="s">
        <v>25</v>
      </c>
    </row>
    <row r="1916" spans="1:6">
      <c r="A1916" s="13">
        <v>45208</v>
      </c>
      <c r="B1916" s="15">
        <v>1417.01</v>
      </c>
      <c r="C1916" s="15"/>
      <c r="D1916" s="15">
        <v>26773.95</v>
      </c>
      <c r="E1916" s="16">
        <v>45208</v>
      </c>
      <c r="F1916" s="17" t="s">
        <v>25</v>
      </c>
    </row>
    <row r="1917" spans="1:6">
      <c r="A1917" s="13">
        <v>45209</v>
      </c>
      <c r="B1917" s="15">
        <v>1434.09</v>
      </c>
      <c r="C1917" s="15"/>
      <c r="D1917" s="15">
        <v>27048.54</v>
      </c>
      <c r="E1917" s="16">
        <v>45209</v>
      </c>
      <c r="F1917" s="17" t="s">
        <v>25</v>
      </c>
    </row>
    <row r="1918" spans="1:6">
      <c r="A1918" s="13">
        <v>45210</v>
      </c>
      <c r="B1918" s="15">
        <v>1440.71</v>
      </c>
      <c r="C1918" s="15"/>
      <c r="D1918" s="15">
        <v>27211.1</v>
      </c>
      <c r="E1918" s="16">
        <v>45210</v>
      </c>
      <c r="F1918" s="17" t="s">
        <v>25</v>
      </c>
    </row>
    <row r="1919" spans="1:6">
      <c r="A1919" s="13">
        <v>45211</v>
      </c>
      <c r="B1919" s="15">
        <v>1440.72</v>
      </c>
      <c r="C1919" s="15"/>
      <c r="D1919" s="15">
        <v>27230.45</v>
      </c>
      <c r="E1919" s="16">
        <v>45211</v>
      </c>
      <c r="F1919" s="17" t="s">
        <v>25</v>
      </c>
    </row>
    <row r="1920" spans="1:6">
      <c r="A1920" s="13">
        <v>45212</v>
      </c>
      <c r="B1920" s="15">
        <v>1439.71</v>
      </c>
      <c r="C1920" s="15"/>
      <c r="D1920" s="15">
        <v>27184.52</v>
      </c>
      <c r="E1920" s="16">
        <v>45212</v>
      </c>
      <c r="F1920" s="17" t="s">
        <v>25</v>
      </c>
    </row>
    <row r="1921" spans="1:6">
      <c r="A1921" s="13">
        <v>45215</v>
      </c>
      <c r="B1921" s="15">
        <v>1440.2</v>
      </c>
      <c r="C1921" s="15"/>
      <c r="D1921" s="15">
        <v>27188.68</v>
      </c>
      <c r="E1921" s="16">
        <v>45215</v>
      </c>
      <c r="F1921" s="17" t="s">
        <v>25</v>
      </c>
    </row>
    <row r="1922" spans="1:6">
      <c r="A1922" s="13">
        <v>45216</v>
      </c>
      <c r="B1922" s="15">
        <v>1444.73</v>
      </c>
      <c r="C1922" s="15"/>
      <c r="D1922" s="15">
        <v>27305.47</v>
      </c>
      <c r="E1922" s="16">
        <v>45216</v>
      </c>
      <c r="F1922" s="17" t="s">
        <v>25</v>
      </c>
    </row>
    <row r="1923" spans="1:6">
      <c r="A1923" s="13">
        <v>45217</v>
      </c>
      <c r="B1923" s="15">
        <v>1432.91</v>
      </c>
      <c r="C1923" s="15"/>
      <c r="D1923" s="15">
        <v>27112.09</v>
      </c>
      <c r="E1923" s="16">
        <v>45217</v>
      </c>
      <c r="F1923" s="17" t="s">
        <v>25</v>
      </c>
    </row>
    <row r="1924" spans="1:6">
      <c r="A1924" s="13">
        <v>45218</v>
      </c>
      <c r="B1924" s="15">
        <v>1427.02</v>
      </c>
      <c r="C1924" s="15"/>
      <c r="D1924" s="15">
        <v>27061.52</v>
      </c>
      <c r="E1924" s="16">
        <v>45218</v>
      </c>
      <c r="F1924" s="17" t="s">
        <v>25</v>
      </c>
    </row>
    <row r="1925" spans="1:6">
      <c r="A1925" s="13">
        <v>45219</v>
      </c>
      <c r="B1925" s="15">
        <v>1415.54</v>
      </c>
      <c r="C1925" s="15"/>
      <c r="D1925" s="15">
        <v>26905.17</v>
      </c>
      <c r="E1925" s="16">
        <v>45219</v>
      </c>
      <c r="F1925" s="17" t="s">
        <v>25</v>
      </c>
    </row>
    <row r="1926" spans="1:6">
      <c r="A1926" s="13">
        <v>45222</v>
      </c>
      <c r="B1926" s="15">
        <v>1392.26</v>
      </c>
      <c r="C1926" s="15"/>
      <c r="D1926" s="15">
        <v>26404.83</v>
      </c>
      <c r="E1926" s="16">
        <v>45222</v>
      </c>
      <c r="F1926" s="17" t="s">
        <v>25</v>
      </c>
    </row>
    <row r="1927" spans="1:6">
      <c r="A1927" s="13">
        <v>45224</v>
      </c>
      <c r="B1927" s="15">
        <v>1381.78</v>
      </c>
      <c r="C1927" s="15"/>
      <c r="D1927" s="15">
        <v>26217.58</v>
      </c>
      <c r="E1927" s="16">
        <v>45224</v>
      </c>
      <c r="F1927" s="17" t="s">
        <v>25</v>
      </c>
    </row>
    <row r="1928" spans="1:6">
      <c r="A1928" s="13">
        <v>45225</v>
      </c>
      <c r="B1928" s="15">
        <v>1365.93</v>
      </c>
      <c r="C1928" s="15"/>
      <c r="D1928" s="15">
        <v>25896.34</v>
      </c>
      <c r="E1928" s="16">
        <v>45225</v>
      </c>
      <c r="F1928" s="17" t="s">
        <v>25</v>
      </c>
    </row>
    <row r="1929" spans="1:6">
      <c r="A1929" s="13">
        <v>45226</v>
      </c>
      <c r="B1929" s="15">
        <v>1383.26</v>
      </c>
      <c r="C1929" s="15"/>
      <c r="D1929" s="15">
        <v>26225.88</v>
      </c>
      <c r="E1929" s="16">
        <v>45226</v>
      </c>
      <c r="F1929" s="17" t="s">
        <v>25</v>
      </c>
    </row>
    <row r="1930" spans="1:6">
      <c r="A1930" s="13">
        <v>45229</v>
      </c>
      <c r="B1930" s="15">
        <v>1387.71</v>
      </c>
      <c r="C1930" s="15"/>
      <c r="D1930" s="15">
        <v>26320.74</v>
      </c>
      <c r="E1930" s="16">
        <v>45229</v>
      </c>
      <c r="F1930" s="17" t="s">
        <v>25</v>
      </c>
    </row>
    <row r="1931" spans="1:6">
      <c r="A1931" s="13">
        <v>45230</v>
      </c>
      <c r="B1931" s="15">
        <v>1381.45</v>
      </c>
      <c r="C1931" s="15"/>
      <c r="D1931" s="15">
        <v>26281.759999999998</v>
      </c>
      <c r="E1931" s="16">
        <v>45230</v>
      </c>
      <c r="F1931" s="17" t="s">
        <v>25</v>
      </c>
    </row>
    <row r="1932" spans="1:6">
      <c r="A1932" s="13">
        <v>45231</v>
      </c>
      <c r="B1932" s="15">
        <v>1378.37</v>
      </c>
      <c r="C1932" s="15"/>
      <c r="D1932" s="15">
        <v>26176.34</v>
      </c>
      <c r="E1932" s="16">
        <v>45231</v>
      </c>
      <c r="F1932" s="17" t="s">
        <v>25</v>
      </c>
    </row>
    <row r="1933" spans="1:6">
      <c r="A1933" s="13">
        <v>45232</v>
      </c>
      <c r="B1933" s="15">
        <v>1394.46</v>
      </c>
      <c r="C1933" s="15"/>
      <c r="D1933" s="15">
        <v>26428.25</v>
      </c>
      <c r="E1933" s="16">
        <v>45232</v>
      </c>
      <c r="F1933" s="17" t="s">
        <v>25</v>
      </c>
    </row>
    <row r="1934" spans="1:6">
      <c r="A1934" s="13">
        <v>45233</v>
      </c>
      <c r="B1934" s="15">
        <v>1402.7</v>
      </c>
      <c r="C1934" s="15"/>
      <c r="D1934" s="15">
        <v>26603.200000000001</v>
      </c>
      <c r="E1934" s="16">
        <v>45233</v>
      </c>
      <c r="F1934" s="17" t="s">
        <v>25</v>
      </c>
    </row>
    <row r="1935" spans="1:6">
      <c r="A1935" s="13">
        <v>45236</v>
      </c>
      <c r="B1935" s="15">
        <v>1417.87</v>
      </c>
      <c r="C1935" s="15"/>
      <c r="D1935" s="15">
        <v>26852.91</v>
      </c>
      <c r="E1935" s="16">
        <v>45236</v>
      </c>
      <c r="F1935" s="17" t="s">
        <v>25</v>
      </c>
    </row>
    <row r="1936" spans="1:6">
      <c r="A1936" s="13">
        <v>45237</v>
      </c>
      <c r="B1936" s="15">
        <v>1420.46</v>
      </c>
      <c r="C1936" s="15"/>
      <c r="D1936" s="15">
        <v>26897.88</v>
      </c>
      <c r="E1936" s="16">
        <v>45237</v>
      </c>
      <c r="F1936" s="17" t="s">
        <v>25</v>
      </c>
    </row>
    <row r="1937" spans="1:6">
      <c r="A1937" s="13">
        <v>45238</v>
      </c>
      <c r="B1937" s="15">
        <v>1422.94</v>
      </c>
      <c r="C1937" s="15"/>
      <c r="D1937" s="15">
        <v>27010.76</v>
      </c>
      <c r="E1937" s="16">
        <v>45238</v>
      </c>
      <c r="F1937" s="17" t="s">
        <v>25</v>
      </c>
    </row>
    <row r="1938" spans="1:6">
      <c r="A1938" s="13">
        <v>45239</v>
      </c>
      <c r="B1938" s="15">
        <v>1422.22</v>
      </c>
      <c r="C1938" s="15"/>
      <c r="D1938" s="15">
        <v>26947.4</v>
      </c>
      <c r="E1938" s="16">
        <v>45239</v>
      </c>
      <c r="F1938" s="17" t="s">
        <v>25</v>
      </c>
    </row>
    <row r="1939" spans="1:6">
      <c r="A1939" s="13">
        <v>45240</v>
      </c>
      <c r="B1939" s="15">
        <v>1421.15</v>
      </c>
      <c r="C1939" s="15"/>
      <c r="D1939" s="15">
        <v>27007.31</v>
      </c>
      <c r="E1939" s="16">
        <v>45240</v>
      </c>
      <c r="F1939" s="17" t="s">
        <v>25</v>
      </c>
    </row>
    <row r="1940" spans="1:6">
      <c r="A1940" s="13">
        <v>45243</v>
      </c>
      <c r="B1940" s="15">
        <v>1421.04</v>
      </c>
      <c r="C1940" s="15"/>
      <c r="D1940" s="15">
        <v>27105.14</v>
      </c>
      <c r="E1940" s="16">
        <v>45243</v>
      </c>
      <c r="F1940" s="17" t="s">
        <v>25</v>
      </c>
    </row>
    <row r="1941" spans="1:6">
      <c r="A1941" s="13">
        <v>45245</v>
      </c>
      <c r="B1941" s="15">
        <v>1437</v>
      </c>
      <c r="C1941" s="15"/>
      <c r="D1941" s="15">
        <v>27402.22</v>
      </c>
      <c r="E1941" s="16">
        <v>45245</v>
      </c>
      <c r="F1941" s="17" t="s">
        <v>25</v>
      </c>
    </row>
    <row r="1942" spans="1:6">
      <c r="A1942" s="13">
        <v>45246</v>
      </c>
      <c r="B1942" s="15">
        <v>1446.62</v>
      </c>
      <c r="C1942" s="15"/>
      <c r="D1942" s="15">
        <v>27539.17</v>
      </c>
      <c r="E1942" s="16">
        <v>45246</v>
      </c>
      <c r="F1942" s="17" t="s">
        <v>25</v>
      </c>
    </row>
    <row r="1943" spans="1:6">
      <c r="A1943" s="13">
        <v>45247</v>
      </c>
      <c r="B1943" s="15">
        <v>1444.66</v>
      </c>
      <c r="C1943" s="15"/>
      <c r="D1943" s="15">
        <v>27551.74</v>
      </c>
      <c r="E1943" s="16">
        <v>45247</v>
      </c>
      <c r="F1943" s="17" t="s">
        <v>25</v>
      </c>
    </row>
    <row r="1944" spans="1:6">
      <c r="A1944" s="13">
        <v>45250</v>
      </c>
      <c r="B1944" s="15">
        <v>1443.5</v>
      </c>
      <c r="C1944" s="15"/>
      <c r="D1944" s="15">
        <v>27510.09</v>
      </c>
      <c r="E1944" s="16">
        <v>45250</v>
      </c>
      <c r="F1944" s="17" t="s">
        <v>25</v>
      </c>
    </row>
    <row r="1945" spans="1:6">
      <c r="A1945" s="13">
        <v>45251</v>
      </c>
      <c r="B1945" s="15">
        <v>1449.01</v>
      </c>
      <c r="C1945" s="15"/>
      <c r="D1945" s="15">
        <v>27594.87</v>
      </c>
      <c r="E1945" s="16">
        <v>45251</v>
      </c>
      <c r="F1945" s="17" t="s">
        <v>25</v>
      </c>
    </row>
    <row r="1946" spans="1:6">
      <c r="A1946" s="13">
        <v>45252</v>
      </c>
      <c r="B1946" s="15">
        <v>1449.1</v>
      </c>
      <c r="C1946" s="15"/>
      <c r="D1946" s="15">
        <v>27595.66</v>
      </c>
      <c r="E1946" s="16">
        <v>45252</v>
      </c>
      <c r="F1946" s="17" t="s">
        <v>25</v>
      </c>
    </row>
    <row r="1947" spans="1:6">
      <c r="A1947" s="13">
        <v>45253</v>
      </c>
      <c r="B1947" s="15">
        <v>1449.49</v>
      </c>
      <c r="C1947" s="15"/>
      <c r="D1947" s="15">
        <v>27614.05</v>
      </c>
      <c r="E1947" s="16">
        <v>45253</v>
      </c>
      <c r="F1947" s="17" t="s">
        <v>25</v>
      </c>
    </row>
    <row r="1948" spans="1:6">
      <c r="A1948" s="13">
        <v>45254</v>
      </c>
      <c r="B1948" s="15">
        <v>1447.99</v>
      </c>
      <c r="C1948" s="15"/>
      <c r="D1948" s="15">
        <v>27621.9</v>
      </c>
      <c r="E1948" s="16">
        <v>45254</v>
      </c>
      <c r="F1948" s="17" t="s">
        <v>25</v>
      </c>
    </row>
    <row r="1949" spans="1:6">
      <c r="A1949" s="13">
        <v>45258</v>
      </c>
      <c r="B1949" s="15">
        <v>1453.66</v>
      </c>
      <c r="C1949" s="15"/>
      <c r="D1949" s="15">
        <v>27775.75</v>
      </c>
      <c r="E1949" s="16">
        <v>45258</v>
      </c>
      <c r="F1949" s="17" t="s">
        <v>25</v>
      </c>
    </row>
    <row r="1950" spans="1:6">
      <c r="A1950" s="13">
        <v>45259</v>
      </c>
      <c r="B1950" s="15">
        <v>1468.2</v>
      </c>
      <c r="C1950" s="15"/>
      <c r="D1950" s="15">
        <v>28029.82</v>
      </c>
      <c r="E1950" s="16">
        <v>45259</v>
      </c>
      <c r="F1950" s="17" t="s">
        <v>25</v>
      </c>
    </row>
    <row r="1951" spans="1:6">
      <c r="A1951" s="13">
        <v>45260</v>
      </c>
      <c r="B1951" s="15">
        <v>1475.53</v>
      </c>
      <c r="C1951" s="15"/>
      <c r="D1951" s="15">
        <v>28161.16</v>
      </c>
      <c r="E1951" s="16">
        <v>45260</v>
      </c>
      <c r="F1951" s="17" t="s">
        <v>25</v>
      </c>
    </row>
    <row r="1952" spans="1:6">
      <c r="A1952" s="13">
        <v>45261</v>
      </c>
      <c r="B1952" s="15">
        <v>1485.23</v>
      </c>
      <c r="C1952" s="15"/>
      <c r="D1952" s="15">
        <v>28360.55</v>
      </c>
      <c r="E1952" s="16">
        <v>45261</v>
      </c>
      <c r="F1952" s="17" t="s">
        <v>25</v>
      </c>
    </row>
    <row r="1953" spans="1:6">
      <c r="A1953" s="13">
        <v>45264</v>
      </c>
      <c r="B1953" s="15">
        <v>1509.14</v>
      </c>
      <c r="C1953" s="15"/>
      <c r="D1953" s="15">
        <v>28882.17</v>
      </c>
      <c r="E1953" s="16">
        <v>45264</v>
      </c>
      <c r="F1953" s="17" t="s">
        <v>25</v>
      </c>
    </row>
    <row r="1954" spans="1:6">
      <c r="A1954" s="13">
        <v>45265</v>
      </c>
      <c r="B1954" s="15">
        <v>1516.29</v>
      </c>
      <c r="C1954" s="15"/>
      <c r="D1954" s="15">
        <v>29101.4</v>
      </c>
      <c r="E1954" s="16">
        <v>45265</v>
      </c>
      <c r="F1954" s="17" t="s">
        <v>25</v>
      </c>
    </row>
    <row r="1955" spans="1:6">
      <c r="A1955" s="13">
        <v>45266</v>
      </c>
      <c r="B1955" s="15">
        <v>1518.39</v>
      </c>
      <c r="C1955" s="15"/>
      <c r="D1955" s="15">
        <v>29244.57</v>
      </c>
      <c r="E1955" s="16">
        <v>45266</v>
      </c>
      <c r="F1955" s="17" t="s">
        <v>25</v>
      </c>
    </row>
    <row r="1956" spans="1:6">
      <c r="A1956" s="13">
        <v>45267</v>
      </c>
      <c r="B1956" s="15">
        <v>1514.63</v>
      </c>
      <c r="C1956" s="15"/>
      <c r="D1956" s="15">
        <v>29281.91</v>
      </c>
      <c r="E1956" s="16">
        <v>45267</v>
      </c>
      <c r="F1956" s="17" t="s">
        <v>25</v>
      </c>
    </row>
    <row r="1957" spans="1:6">
      <c r="A1957" s="13">
        <v>45268</v>
      </c>
      <c r="B1957" s="15">
        <v>1518.55</v>
      </c>
      <c r="C1957" s="15"/>
      <c r="D1957" s="15">
        <v>29281.34</v>
      </c>
      <c r="E1957" s="16">
        <v>45268</v>
      </c>
      <c r="F1957" s="17" t="s">
        <v>25</v>
      </c>
    </row>
    <row r="1958" spans="1:6">
      <c r="A1958" s="13">
        <v>45271</v>
      </c>
      <c r="B1958" s="15">
        <v>1527.06</v>
      </c>
      <c r="C1958" s="15"/>
      <c r="D1958" s="15">
        <v>29385.81</v>
      </c>
      <c r="E1958" s="16">
        <v>45271</v>
      </c>
      <c r="F1958" s="17" t="s">
        <v>25</v>
      </c>
    </row>
    <row r="1959" spans="1:6">
      <c r="A1959" s="13">
        <v>45272</v>
      </c>
      <c r="B1959" s="15">
        <v>1517.79</v>
      </c>
      <c r="C1959" s="15"/>
      <c r="D1959" s="15">
        <v>29255.200000000001</v>
      </c>
      <c r="E1959" s="16">
        <v>45272</v>
      </c>
      <c r="F1959" s="17" t="s">
        <v>25</v>
      </c>
    </row>
    <row r="1960" spans="1:6">
      <c r="A1960" s="13">
        <v>45273</v>
      </c>
      <c r="B1960" s="15">
        <v>1524.42</v>
      </c>
      <c r="C1960" s="15"/>
      <c r="D1960" s="15">
        <v>29356.39</v>
      </c>
      <c r="E1960" s="16">
        <v>45273</v>
      </c>
      <c r="F1960" s="17" t="s">
        <v>25</v>
      </c>
    </row>
    <row r="1961" spans="1:6">
      <c r="A1961" s="13">
        <v>45274</v>
      </c>
      <c r="B1961" s="15">
        <v>1545.29</v>
      </c>
      <c r="C1961" s="15"/>
      <c r="D1961" s="15">
        <v>29704.91</v>
      </c>
      <c r="E1961" s="16">
        <v>45274</v>
      </c>
      <c r="F1961" s="17" t="s">
        <v>25</v>
      </c>
    </row>
    <row r="1962" spans="1:6">
      <c r="A1962" s="13">
        <v>45275</v>
      </c>
      <c r="B1962" s="15">
        <v>1558.44</v>
      </c>
      <c r="C1962" s="15"/>
      <c r="D1962" s="15">
        <v>29972.97</v>
      </c>
      <c r="E1962" s="16">
        <v>45275</v>
      </c>
      <c r="F1962" s="17" t="s">
        <v>25</v>
      </c>
    </row>
    <row r="1963" spans="1:6">
      <c r="A1963" s="13">
        <v>45278</v>
      </c>
      <c r="B1963" s="15">
        <v>1559.37</v>
      </c>
      <c r="C1963" s="15"/>
      <c r="D1963" s="15">
        <v>29989.39</v>
      </c>
      <c r="E1963" s="16">
        <v>45278</v>
      </c>
      <c r="F1963" s="17" t="s">
        <v>25</v>
      </c>
    </row>
    <row r="1964" spans="1:6">
      <c r="A1964" s="13">
        <v>45279</v>
      </c>
      <c r="B1964" s="15">
        <v>1559.21</v>
      </c>
      <c r="C1964" s="15"/>
      <c r="D1964" s="15">
        <v>30010.85</v>
      </c>
      <c r="E1964" s="16">
        <v>45279</v>
      </c>
      <c r="F1964" s="17" t="s">
        <v>25</v>
      </c>
    </row>
    <row r="1965" spans="1:6">
      <c r="A1965" s="13">
        <v>45280</v>
      </c>
      <c r="B1965" s="15">
        <v>1528.62</v>
      </c>
      <c r="C1965" s="15"/>
      <c r="D1965" s="15">
        <v>29400.59</v>
      </c>
      <c r="E1965" s="16">
        <v>45280</v>
      </c>
      <c r="F1965" s="17" t="s">
        <v>25</v>
      </c>
    </row>
    <row r="1966" spans="1:6">
      <c r="A1966" s="13">
        <v>45281</v>
      </c>
      <c r="B1966" s="15">
        <v>1540.9</v>
      </c>
      <c r="C1966" s="15"/>
      <c r="D1966" s="15">
        <v>29654.71</v>
      </c>
      <c r="E1966" s="16">
        <v>45281</v>
      </c>
      <c r="F1966" s="17" t="s">
        <v>25</v>
      </c>
    </row>
    <row r="1967" spans="1:6">
      <c r="A1967" s="13">
        <v>45282</v>
      </c>
      <c r="B1967" s="15">
        <v>1553.97</v>
      </c>
      <c r="C1967" s="15"/>
      <c r="D1967" s="15">
        <v>29831.49</v>
      </c>
      <c r="E1967" s="16">
        <v>45282</v>
      </c>
      <c r="F1967" s="17" t="s">
        <v>25</v>
      </c>
    </row>
    <row r="1968" spans="1:6">
      <c r="A1968" s="13">
        <v>45286</v>
      </c>
      <c r="B1968" s="15">
        <v>1562.65</v>
      </c>
      <c r="C1968" s="15"/>
      <c r="D1968" s="15">
        <v>29978.9</v>
      </c>
      <c r="E1968" s="16">
        <v>45286</v>
      </c>
      <c r="F1968" s="17" t="s">
        <v>25</v>
      </c>
    </row>
    <row r="1969" spans="1:6">
      <c r="A1969" s="13">
        <v>45287</v>
      </c>
      <c r="B1969" s="15">
        <v>1576.79</v>
      </c>
      <c r="C1969" s="15"/>
      <c r="D1969" s="15">
        <v>30210.78</v>
      </c>
      <c r="E1969" s="16">
        <v>45287</v>
      </c>
      <c r="F1969" s="17" t="s">
        <v>25</v>
      </c>
    </row>
    <row r="1970" spans="1:6">
      <c r="A1970" s="13">
        <v>45288</v>
      </c>
      <c r="B1970" s="15">
        <v>1583.88</v>
      </c>
      <c r="C1970" s="15"/>
      <c r="D1970" s="15">
        <v>30370.94</v>
      </c>
      <c r="E1970" s="16">
        <v>45288</v>
      </c>
      <c r="F1970" s="17" t="s">
        <v>25</v>
      </c>
    </row>
    <row r="1971" spans="1:6">
      <c r="A1971" s="13">
        <v>45289</v>
      </c>
      <c r="B1971" s="15">
        <v>1585.57</v>
      </c>
      <c r="C1971" s="15"/>
      <c r="D1971" s="15">
        <v>30417.8</v>
      </c>
      <c r="E1971" s="16">
        <v>45289</v>
      </c>
      <c r="F1971" s="17" t="s">
        <v>25</v>
      </c>
    </row>
    <row r="1972" spans="1:6">
      <c r="A1972" s="13">
        <v>45292</v>
      </c>
      <c r="B1972" s="15">
        <v>1588.8</v>
      </c>
      <c r="C1972" s="15"/>
      <c r="D1972" s="15">
        <v>30480.99</v>
      </c>
      <c r="E1972" s="16">
        <v>45292</v>
      </c>
      <c r="F1972" s="17" t="s">
        <v>25</v>
      </c>
    </row>
    <row r="1973" spans="1:6">
      <c r="A1973" s="13">
        <v>45293</v>
      </c>
      <c r="B1973" s="15">
        <v>1586.05</v>
      </c>
      <c r="C1973" s="15"/>
      <c r="D1973" s="15">
        <v>30400.92</v>
      </c>
      <c r="E1973" s="16">
        <v>45293</v>
      </c>
      <c r="F1973" s="17" t="s">
        <v>25</v>
      </c>
    </row>
    <row r="1974" spans="1:6">
      <c r="A1974" s="13">
        <v>45294</v>
      </c>
      <c r="B1974" s="15">
        <v>1579.15</v>
      </c>
      <c r="C1974" s="15"/>
      <c r="D1974" s="15">
        <v>30320.7</v>
      </c>
      <c r="E1974" s="16">
        <v>45294</v>
      </c>
      <c r="F1974" s="17" t="s">
        <v>25</v>
      </c>
    </row>
    <row r="1975" spans="1:6">
      <c r="A1975" s="13">
        <v>45295</v>
      </c>
      <c r="B1975" s="15">
        <v>1598.19</v>
      </c>
      <c r="C1975" s="15"/>
      <c r="D1975" s="15">
        <v>30593.27</v>
      </c>
      <c r="E1975" s="16">
        <v>45295</v>
      </c>
      <c r="F1975" s="17" t="s">
        <v>25</v>
      </c>
    </row>
    <row r="1976" spans="1:6">
      <c r="A1976" s="13">
        <v>45296</v>
      </c>
      <c r="B1976" s="15">
        <v>1599.41</v>
      </c>
      <c r="C1976" s="15"/>
      <c r="D1976" s="15">
        <v>30670.51</v>
      </c>
      <c r="E1976" s="16">
        <v>45296</v>
      </c>
      <c r="F1976" s="17" t="s">
        <v>25</v>
      </c>
    </row>
    <row r="1977" spans="1:6">
      <c r="A1977" s="13">
        <v>45299</v>
      </c>
      <c r="B1977" s="15">
        <v>1586.51</v>
      </c>
      <c r="C1977" s="15"/>
      <c r="D1977" s="15">
        <v>30399.86</v>
      </c>
      <c r="E1977" s="16">
        <v>45299</v>
      </c>
      <c r="F1977" s="17" t="s">
        <v>25</v>
      </c>
    </row>
    <row r="1978" spans="1:6">
      <c r="A1978" s="13">
        <v>45300</v>
      </c>
      <c r="B1978" s="15">
        <v>1593.44</v>
      </c>
      <c r="C1978" s="15"/>
      <c r="D1978" s="15">
        <v>30465.39</v>
      </c>
      <c r="E1978" s="16">
        <v>45300</v>
      </c>
      <c r="F1978" s="17" t="s">
        <v>25</v>
      </c>
    </row>
    <row r="1979" spans="1:6">
      <c r="A1979" s="13">
        <v>45301</v>
      </c>
      <c r="B1979" s="15">
        <v>1598.46</v>
      </c>
      <c r="C1979" s="15"/>
      <c r="D1979" s="15">
        <v>30556.65</v>
      </c>
      <c r="E1979" s="16">
        <v>45301</v>
      </c>
      <c r="F1979" s="17" t="s">
        <v>25</v>
      </c>
    </row>
    <row r="1980" spans="1:6">
      <c r="A1980" s="13">
        <v>45302</v>
      </c>
      <c r="B1980" s="15">
        <v>1601.02</v>
      </c>
      <c r="C1980" s="15"/>
      <c r="D1980" s="15">
        <v>30660.78</v>
      </c>
      <c r="E1980" s="16">
        <v>45302</v>
      </c>
      <c r="F1980" s="17" t="s">
        <v>25</v>
      </c>
    </row>
    <row r="1981" spans="1:6">
      <c r="A1981" s="13">
        <v>45303</v>
      </c>
      <c r="B1981" s="15">
        <v>1613.33</v>
      </c>
      <c r="C1981" s="15"/>
      <c r="D1981" s="15">
        <v>30913.19</v>
      </c>
      <c r="E1981" s="16">
        <v>45303</v>
      </c>
      <c r="F1981" s="17" t="s">
        <v>25</v>
      </c>
    </row>
    <row r="1982" spans="1:6">
      <c r="A1982" s="13">
        <v>45306</v>
      </c>
      <c r="B1982" s="15">
        <v>1624.55</v>
      </c>
      <c r="C1982" s="15"/>
      <c r="D1982" s="15">
        <v>31132.31</v>
      </c>
      <c r="E1982" s="16">
        <v>45306</v>
      </c>
      <c r="F1982" s="17" t="s">
        <v>25</v>
      </c>
    </row>
    <row r="1983" spans="1:6">
      <c r="A1983" s="13">
        <v>45307</v>
      </c>
      <c r="B1983" s="15">
        <v>1617.17</v>
      </c>
      <c r="C1983" s="15"/>
      <c r="D1983" s="15">
        <v>31041.51</v>
      </c>
      <c r="E1983" s="16">
        <v>45307</v>
      </c>
      <c r="F1983" s="17" t="s">
        <v>25</v>
      </c>
    </row>
    <row r="1984" spans="1:6">
      <c r="A1984" s="13">
        <v>45308</v>
      </c>
      <c r="B1984" s="15">
        <v>1590.83</v>
      </c>
      <c r="C1984" s="15"/>
      <c r="D1984" s="15">
        <v>30509.29</v>
      </c>
      <c r="E1984" s="16">
        <v>45308</v>
      </c>
      <c r="F1984" s="17" t="s">
        <v>25</v>
      </c>
    </row>
    <row r="1985" spans="1:6">
      <c r="A1985" s="13">
        <v>45309</v>
      </c>
      <c r="B1985" s="15">
        <v>1587.45</v>
      </c>
      <c r="C1985" s="15"/>
      <c r="D1985" s="15">
        <v>30395.29</v>
      </c>
      <c r="E1985" s="16">
        <v>45309</v>
      </c>
      <c r="F1985" s="17" t="s">
        <v>25</v>
      </c>
    </row>
    <row r="1986" spans="1:6">
      <c r="A1986" s="13">
        <v>45310</v>
      </c>
      <c r="B1986" s="15">
        <v>1602.23</v>
      </c>
      <c r="C1986" s="15"/>
      <c r="D1986" s="15">
        <v>30703.17</v>
      </c>
      <c r="E1986" s="16">
        <v>45310</v>
      </c>
      <c r="F1986" s="17" t="s">
        <v>25</v>
      </c>
    </row>
    <row r="1987" spans="1:6">
      <c r="A1987" s="13">
        <v>45314</v>
      </c>
      <c r="B1987" s="15">
        <v>1573.8</v>
      </c>
      <c r="C1987" s="15"/>
      <c r="D1987" s="15">
        <v>30076.99</v>
      </c>
      <c r="E1987" s="16">
        <v>45314</v>
      </c>
      <c r="F1987" s="17" t="s">
        <v>25</v>
      </c>
    </row>
    <row r="1988" spans="1:6">
      <c r="A1988" s="13">
        <v>45315</v>
      </c>
      <c r="B1988" s="15">
        <v>1594.51</v>
      </c>
      <c r="C1988" s="15"/>
      <c r="D1988" s="15">
        <v>30460.23</v>
      </c>
      <c r="E1988" s="16">
        <v>45315</v>
      </c>
      <c r="F1988" s="17" t="s">
        <v>25</v>
      </c>
    </row>
    <row r="1989" spans="1:6">
      <c r="A1989" s="13">
        <v>45316</v>
      </c>
      <c r="B1989" s="15">
        <v>1585.98</v>
      </c>
      <c r="C1989" s="15"/>
      <c r="D1989" s="15">
        <v>30369.59</v>
      </c>
      <c r="E1989" s="16">
        <v>45316</v>
      </c>
      <c r="F1989" s="17" t="s">
        <v>25</v>
      </c>
    </row>
    <row r="1990" spans="1:6">
      <c r="A1990" s="13">
        <v>45320</v>
      </c>
      <c r="B1990" s="15">
        <v>1607.73</v>
      </c>
      <c r="C1990" s="15"/>
      <c r="D1990" s="15">
        <v>30868.87</v>
      </c>
      <c r="E1990" s="16">
        <v>45320</v>
      </c>
      <c r="F1990" s="17" t="s">
        <v>25</v>
      </c>
    </row>
    <row r="1991" spans="1:6">
      <c r="A1991" s="13">
        <v>45321</v>
      </c>
      <c r="B1991" s="15">
        <v>1594.72</v>
      </c>
      <c r="C1991" s="15"/>
      <c r="D1991" s="15">
        <v>30654.14</v>
      </c>
      <c r="E1991" s="16">
        <v>45321</v>
      </c>
      <c r="F1991" s="17" t="s">
        <v>25</v>
      </c>
    </row>
    <row r="1992" spans="1:6">
      <c r="A1992" s="13">
        <v>45322</v>
      </c>
      <c r="B1992" s="15">
        <v>1612.96</v>
      </c>
      <c r="C1992" s="15"/>
      <c r="D1992" s="15">
        <v>31011.17</v>
      </c>
      <c r="E1992" s="16">
        <v>45322</v>
      </c>
      <c r="F1992" s="17" t="s">
        <v>25</v>
      </c>
    </row>
    <row r="1993" spans="1:6">
      <c r="A1993" s="13">
        <v>45323</v>
      </c>
      <c r="B1993" s="15">
        <v>1607.02</v>
      </c>
      <c r="C1993" s="15"/>
      <c r="D1993" s="15">
        <v>30972.560000000001</v>
      </c>
      <c r="E1993" s="16">
        <v>45323</v>
      </c>
      <c r="F1993" s="17" t="s">
        <v>25</v>
      </c>
    </row>
    <row r="1994" spans="1:6">
      <c r="A1994" s="13">
        <v>45324</v>
      </c>
      <c r="B1994" s="15">
        <v>1615.77</v>
      </c>
      <c r="C1994" s="15"/>
      <c r="D1994" s="15">
        <v>31181.94</v>
      </c>
      <c r="E1994" s="16">
        <v>45324</v>
      </c>
      <c r="F1994" s="17" t="s">
        <v>25</v>
      </c>
    </row>
    <row r="1995" spans="1:6">
      <c r="A1995" s="13">
        <v>45327</v>
      </c>
      <c r="B1995" s="15">
        <v>1609.1</v>
      </c>
      <c r="C1995" s="15"/>
      <c r="D1995" s="15">
        <v>31092.89</v>
      </c>
      <c r="E1995" s="16">
        <v>45327</v>
      </c>
      <c r="F1995" s="17" t="s">
        <v>25</v>
      </c>
    </row>
    <row r="1996" spans="1:6">
      <c r="A1996" s="13">
        <v>45328</v>
      </c>
      <c r="B1996" s="15">
        <v>1625.26</v>
      </c>
      <c r="C1996" s="15"/>
      <c r="D1996" s="15">
        <v>31378.02</v>
      </c>
      <c r="E1996" s="16">
        <v>45328</v>
      </c>
      <c r="F1996" s="17" t="s">
        <v>25</v>
      </c>
    </row>
    <row r="1997" spans="1:6">
      <c r="A1997" s="13">
        <v>45329</v>
      </c>
      <c r="B1997" s="15">
        <v>1627.75</v>
      </c>
      <c r="C1997" s="15"/>
      <c r="D1997" s="15">
        <v>31497.14</v>
      </c>
      <c r="E1997" s="16">
        <v>45329</v>
      </c>
      <c r="F1997" s="17" t="s">
        <v>25</v>
      </c>
    </row>
    <row r="1998" spans="1:6">
      <c r="A1998" s="13">
        <v>45330</v>
      </c>
      <c r="B1998" s="15">
        <v>1617.38</v>
      </c>
      <c r="C1998" s="15"/>
      <c r="D1998" s="15">
        <v>31317.58</v>
      </c>
      <c r="E1998" s="16">
        <v>45330</v>
      </c>
      <c r="F1998" s="17" t="s">
        <v>25</v>
      </c>
    </row>
    <row r="1999" spans="1:6">
      <c r="A1999" s="13">
        <v>45331</v>
      </c>
      <c r="B1999" s="15">
        <v>1622.35</v>
      </c>
      <c r="C1999" s="15"/>
      <c r="D1999" s="15">
        <v>31279.68</v>
      </c>
      <c r="E1999" s="16">
        <v>45331</v>
      </c>
      <c r="F1999" s="17" t="s">
        <v>25</v>
      </c>
    </row>
    <row r="2000" spans="1:6">
      <c r="A2000" s="13">
        <v>45334</v>
      </c>
      <c r="B2000" s="15">
        <v>1604.58</v>
      </c>
      <c r="C2000" s="15"/>
      <c r="D2000" s="15">
        <v>30831.81</v>
      </c>
      <c r="E2000" s="16">
        <v>45334</v>
      </c>
      <c r="F2000" s="17" t="s">
        <v>25</v>
      </c>
    </row>
    <row r="2001" spans="1:6">
      <c r="A2001" s="13">
        <v>45335</v>
      </c>
      <c r="B2001" s="15">
        <v>1612.86</v>
      </c>
      <c r="C2001" s="15"/>
      <c r="D2001" s="15">
        <v>31000.76</v>
      </c>
      <c r="E2001" s="16">
        <v>45335</v>
      </c>
      <c r="F2001" s="17" t="s">
        <v>25</v>
      </c>
    </row>
    <row r="2002" spans="1:6">
      <c r="A2002" s="13">
        <v>45336</v>
      </c>
      <c r="B2002" s="15">
        <v>1618.96</v>
      </c>
      <c r="C2002" s="15"/>
      <c r="D2002" s="15">
        <v>31219.360000000001</v>
      </c>
      <c r="E2002" s="16">
        <v>45336</v>
      </c>
      <c r="F2002" s="17" t="s">
        <v>25</v>
      </c>
    </row>
    <row r="2003" spans="1:6">
      <c r="A2003" s="13">
        <v>45337</v>
      </c>
      <c r="B2003" s="15">
        <v>1626.28</v>
      </c>
      <c r="C2003" s="15"/>
      <c r="D2003" s="15">
        <v>31403.73</v>
      </c>
      <c r="E2003" s="16">
        <v>45337</v>
      </c>
      <c r="F2003" s="17" t="s">
        <v>25</v>
      </c>
    </row>
    <row r="2004" spans="1:6">
      <c r="A2004" s="13">
        <v>45338</v>
      </c>
      <c r="B2004" s="15">
        <v>1637.48</v>
      </c>
      <c r="C2004" s="15"/>
      <c r="D2004" s="15">
        <v>31609.27</v>
      </c>
      <c r="E2004" s="16">
        <v>45338</v>
      </c>
      <c r="F2004" s="17" t="s">
        <v>25</v>
      </c>
    </row>
    <row r="2005" spans="1:6">
      <c r="A2005" s="13">
        <v>45341</v>
      </c>
      <c r="B2005" s="15">
        <v>1645.42</v>
      </c>
      <c r="C2005" s="15"/>
      <c r="D2005" s="15">
        <v>31728.7</v>
      </c>
      <c r="E2005" s="16">
        <v>45341</v>
      </c>
      <c r="F2005" s="17" t="s">
        <v>25</v>
      </c>
    </row>
    <row r="2006" spans="1:6">
      <c r="A2006" s="13">
        <v>45342</v>
      </c>
      <c r="B2006" s="15">
        <v>1650.14</v>
      </c>
      <c r="C2006" s="15"/>
      <c r="D2006" s="15">
        <v>31781.65</v>
      </c>
      <c r="E2006" s="16">
        <v>45342</v>
      </c>
      <c r="F2006" s="17" t="s">
        <v>25</v>
      </c>
    </row>
    <row r="2007" spans="1:6">
      <c r="A2007" s="13">
        <v>45343</v>
      </c>
      <c r="B2007" s="15">
        <v>1640.2</v>
      </c>
      <c r="C2007" s="15"/>
      <c r="D2007" s="15">
        <v>31557.54</v>
      </c>
      <c r="E2007" s="16">
        <v>45343</v>
      </c>
      <c r="F2007" s="17" t="s">
        <v>25</v>
      </c>
    </row>
    <row r="2008" spans="1:6">
      <c r="A2008" s="13">
        <v>45344</v>
      </c>
      <c r="B2008" s="15">
        <v>1650.96</v>
      </c>
      <c r="C2008" s="15"/>
      <c r="D2008" s="15">
        <v>31802.39</v>
      </c>
      <c r="E2008" s="16">
        <v>45344</v>
      </c>
      <c r="F2008" s="17" t="s">
        <v>25</v>
      </c>
    </row>
    <row r="2009" spans="1:6">
      <c r="A2009" s="13">
        <v>45345</v>
      </c>
      <c r="B2009" s="15">
        <v>1653.39</v>
      </c>
      <c r="C2009" s="15"/>
      <c r="D2009" s="15">
        <v>31849.62</v>
      </c>
      <c r="E2009" s="16">
        <v>45345</v>
      </c>
      <c r="F2009" s="17" t="s">
        <v>25</v>
      </c>
    </row>
    <row r="2010" spans="1:6">
      <c r="A2010" s="13">
        <v>45348</v>
      </c>
      <c r="B2010" s="15">
        <v>1648.69</v>
      </c>
      <c r="C2010" s="15"/>
      <c r="D2010" s="15">
        <v>31759.23</v>
      </c>
      <c r="E2010" s="16">
        <v>45348</v>
      </c>
      <c r="F2010" s="17" t="s">
        <v>25</v>
      </c>
    </row>
    <row r="2011" spans="1:6">
      <c r="A2011" s="13">
        <v>45349</v>
      </c>
      <c r="B2011" s="15">
        <v>1652.37</v>
      </c>
      <c r="C2011" s="15"/>
      <c r="D2011" s="15">
        <v>31817.3</v>
      </c>
      <c r="E2011" s="16">
        <v>45349</v>
      </c>
      <c r="F2011" s="17" t="s">
        <v>25</v>
      </c>
    </row>
    <row r="2012" spans="1:6">
      <c r="A2012" s="13">
        <v>45350</v>
      </c>
      <c r="B2012" s="15">
        <v>1632.64</v>
      </c>
      <c r="C2012" s="15"/>
      <c r="D2012" s="15">
        <v>31390.09</v>
      </c>
      <c r="E2012" s="16">
        <v>45350</v>
      </c>
      <c r="F2012" s="17" t="s">
        <v>25</v>
      </c>
    </row>
    <row r="2013" spans="1:6">
      <c r="A2013" s="13">
        <v>45351</v>
      </c>
      <c r="B2013" s="15">
        <v>1635.45</v>
      </c>
      <c r="C2013" s="15"/>
      <c r="D2013" s="15">
        <v>31499.31</v>
      </c>
      <c r="E2013" s="16">
        <v>45351</v>
      </c>
      <c r="F2013" s="17" t="s">
        <v>25</v>
      </c>
    </row>
    <row r="2014" spans="1:6">
      <c r="A2014" s="13">
        <v>45352</v>
      </c>
      <c r="B2014" s="15">
        <v>1652.61</v>
      </c>
      <c r="C2014" s="15"/>
      <c r="D2014" s="15">
        <v>31906.58</v>
      </c>
      <c r="E2014" s="16">
        <v>45352</v>
      </c>
      <c r="F2014" s="17" t="s">
        <v>25</v>
      </c>
    </row>
    <row r="2015" spans="1:6">
      <c r="A2015" s="13">
        <v>45355</v>
      </c>
      <c r="B2015" s="15">
        <v>1652.96</v>
      </c>
      <c r="C2015" s="15"/>
      <c r="D2015" s="15">
        <v>32035.51</v>
      </c>
      <c r="E2015" s="16">
        <v>45355</v>
      </c>
      <c r="F2015" s="17" t="s">
        <v>25</v>
      </c>
    </row>
    <row r="2016" spans="1:6">
      <c r="A2016" s="13">
        <v>45356</v>
      </c>
      <c r="B2016" s="15">
        <v>1647.68</v>
      </c>
      <c r="C2016" s="15"/>
      <c r="D2016" s="15">
        <v>31957.1</v>
      </c>
      <c r="E2016" s="16">
        <v>45356</v>
      </c>
      <c r="F2016" s="17" t="s">
        <v>25</v>
      </c>
    </row>
    <row r="2017" spans="1:6">
      <c r="A2017" s="13">
        <v>45357</v>
      </c>
      <c r="B2017" s="15">
        <v>1651.63</v>
      </c>
      <c r="C2017" s="15"/>
      <c r="D2017" s="15">
        <v>31953.91</v>
      </c>
      <c r="E2017" s="16">
        <v>45357</v>
      </c>
      <c r="F2017" s="17" t="s">
        <v>25</v>
      </c>
    </row>
    <row r="2018" spans="1:6">
      <c r="A2018" s="13">
        <v>45358</v>
      </c>
      <c r="B2018" s="15">
        <v>1660.68</v>
      </c>
      <c r="C2018" s="15"/>
      <c r="D2018" s="15">
        <v>32040.62</v>
      </c>
      <c r="E2018" s="16">
        <v>45358</v>
      </c>
      <c r="F2018" s="17" t="s">
        <v>25</v>
      </c>
    </row>
    <row r="2019" spans="1:6">
      <c r="A2019" s="13">
        <v>45362</v>
      </c>
      <c r="B2019" s="15">
        <v>1649.72</v>
      </c>
      <c r="C2019" s="15"/>
      <c r="D2019" s="15">
        <v>31811.65</v>
      </c>
      <c r="E2019" s="16">
        <v>45362</v>
      </c>
      <c r="F2019" s="17" t="s">
        <v>25</v>
      </c>
    </row>
    <row r="2020" spans="1:6">
      <c r="A2020" s="13">
        <v>45363</v>
      </c>
      <c r="B2020" s="15">
        <v>1642.86</v>
      </c>
      <c r="C2020" s="15"/>
      <c r="D2020" s="15">
        <v>31627.67</v>
      </c>
      <c r="E2020" s="16">
        <v>45363</v>
      </c>
      <c r="F2020" s="17" t="s">
        <v>25</v>
      </c>
    </row>
    <row r="2021" spans="1:6">
      <c r="A2021" s="13">
        <v>45364</v>
      </c>
      <c r="B2021" s="15">
        <v>1608.03</v>
      </c>
      <c r="C2021" s="15"/>
      <c r="D2021" s="15">
        <v>30804.35</v>
      </c>
      <c r="E2021" s="16">
        <v>45364</v>
      </c>
      <c r="F2021" s="17" t="s">
        <v>25</v>
      </c>
    </row>
    <row r="2022" spans="1:6">
      <c r="A2022" s="13">
        <v>45365</v>
      </c>
      <c r="B2022" s="15">
        <v>1627.45</v>
      </c>
      <c r="C2022" s="15"/>
      <c r="D2022" s="15">
        <v>31227.759999999998</v>
      </c>
      <c r="E2022" s="16">
        <v>45365</v>
      </c>
      <c r="F2022" s="17" t="s">
        <v>25</v>
      </c>
    </row>
    <row r="2023" spans="1:6">
      <c r="A2023" s="13">
        <v>45366</v>
      </c>
      <c r="B2023" s="15">
        <v>1618.94</v>
      </c>
      <c r="C2023" s="15"/>
      <c r="D2023" s="15">
        <v>31085.07</v>
      </c>
      <c r="E2023" s="16">
        <v>45366</v>
      </c>
      <c r="F2023" s="17" t="s">
        <v>25</v>
      </c>
    </row>
    <row r="2024" spans="1:6">
      <c r="A2024" s="13">
        <v>45369</v>
      </c>
      <c r="B2024" s="15">
        <v>1622.46</v>
      </c>
      <c r="C2024" s="15"/>
      <c r="D2024" s="15">
        <v>31113.75</v>
      </c>
      <c r="E2024" s="16">
        <v>45369</v>
      </c>
      <c r="F2024" s="17" t="s">
        <v>25</v>
      </c>
    </row>
    <row r="2025" spans="1:6">
      <c r="A2025" s="13">
        <v>45370</v>
      </c>
      <c r="B2025" s="15">
        <v>1607.58</v>
      </c>
      <c r="C2025" s="15"/>
      <c r="D2025" s="15">
        <v>30749.48</v>
      </c>
      <c r="E2025" s="16">
        <v>45370</v>
      </c>
      <c r="F2025" s="17" t="s">
        <v>25</v>
      </c>
    </row>
    <row r="2026" spans="1:6">
      <c r="A2026" s="13">
        <v>45371</v>
      </c>
      <c r="B2026" s="15">
        <v>1609.02</v>
      </c>
      <c r="C2026" s="15"/>
      <c r="D2026" s="15">
        <v>30783.19</v>
      </c>
      <c r="E2026" s="16">
        <v>45371</v>
      </c>
      <c r="F2026" s="17" t="s">
        <v>25</v>
      </c>
    </row>
    <row r="2027" spans="1:6">
      <c r="A2027" s="13">
        <v>45372</v>
      </c>
      <c r="B2027" s="15">
        <v>1623.45</v>
      </c>
      <c r="C2027" s="15"/>
      <c r="D2027" s="15">
        <v>31199.42</v>
      </c>
      <c r="E2027" s="16">
        <v>45372</v>
      </c>
      <c r="F2027" s="17" t="s">
        <v>25</v>
      </c>
    </row>
    <row r="2028" spans="1:6">
      <c r="A2028" s="13">
        <v>45373</v>
      </c>
      <c r="B2028" s="15">
        <v>1632.11</v>
      </c>
      <c r="C2028" s="15"/>
      <c r="D2028" s="15">
        <v>31353.21</v>
      </c>
      <c r="E2028" s="16">
        <v>45373</v>
      </c>
      <c r="F2028" s="17" t="s">
        <v>25</v>
      </c>
    </row>
    <row r="2029" spans="1:6">
      <c r="A2029" s="13">
        <v>45377</v>
      </c>
      <c r="B2029" s="15">
        <v>1630.54</v>
      </c>
      <c r="C2029" s="15"/>
      <c r="D2029" s="15">
        <v>31369.91</v>
      </c>
      <c r="E2029" s="16">
        <v>45377</v>
      </c>
      <c r="F2029" s="17" t="s">
        <v>25</v>
      </c>
    </row>
    <row r="2030" spans="1:6">
      <c r="A2030" s="13">
        <v>45378</v>
      </c>
      <c r="B2030" s="15">
        <v>1637.57</v>
      </c>
      <c r="C2030" s="15"/>
      <c r="D2030" s="15">
        <v>31499.32</v>
      </c>
      <c r="E2030" s="16">
        <v>45378</v>
      </c>
      <c r="F2030" s="17" t="s">
        <v>25</v>
      </c>
    </row>
    <row r="2031" spans="1:6">
      <c r="A2031" s="13">
        <v>45379</v>
      </c>
      <c r="B2031" s="15">
        <v>1653.36</v>
      </c>
      <c r="C2031" s="15"/>
      <c r="D2031" s="15">
        <v>31763.25</v>
      </c>
      <c r="E2031" s="16">
        <v>45379</v>
      </c>
      <c r="F2031" s="17" t="s">
        <v>25</v>
      </c>
    </row>
    <row r="2032" spans="1:6">
      <c r="A2032" s="13">
        <v>45382</v>
      </c>
      <c r="B2032" s="15">
        <v>1653.26</v>
      </c>
      <c r="C2032" s="15"/>
      <c r="D2032" s="15"/>
      <c r="E2032" s="16"/>
      <c r="F2032" s="17" t="s">
        <v>26</v>
      </c>
    </row>
    <row r="2033" spans="1:6">
      <c r="A2033" s="13">
        <v>45383</v>
      </c>
      <c r="B2033" s="15">
        <v>1672.08</v>
      </c>
      <c r="C2033" s="15"/>
      <c r="D2033" s="15">
        <v>32135.55</v>
      </c>
      <c r="E2033" s="16">
        <v>45383</v>
      </c>
      <c r="F2033" s="17" t="s">
        <v>25</v>
      </c>
    </row>
    <row r="2034" spans="1:6">
      <c r="A2034" s="13">
        <v>45384</v>
      </c>
      <c r="B2034" s="15">
        <v>1672.81</v>
      </c>
      <c r="C2034" s="15"/>
      <c r="D2034" s="15">
        <v>32256.66</v>
      </c>
      <c r="E2034" s="16">
        <v>45384</v>
      </c>
      <c r="F2034" s="17" t="s">
        <v>25</v>
      </c>
    </row>
    <row r="2035" spans="1:6">
      <c r="A2035" s="13">
        <v>45385</v>
      </c>
      <c r="B2035" s="15">
        <v>1672.79</v>
      </c>
      <c r="C2035" s="15"/>
      <c r="D2035" s="15">
        <v>32313.03</v>
      </c>
      <c r="E2035" s="16">
        <v>45385</v>
      </c>
      <c r="F2035" s="17" t="s">
        <v>25</v>
      </c>
    </row>
    <row r="2036" spans="1:6">
      <c r="A2036" s="13">
        <v>45386</v>
      </c>
      <c r="B2036" s="15">
        <v>1676.95</v>
      </c>
      <c r="C2036" s="15"/>
      <c r="D2036" s="15">
        <v>32405.59</v>
      </c>
      <c r="E2036" s="16">
        <v>45386</v>
      </c>
      <c r="F2036" s="17" t="s">
        <v>25</v>
      </c>
    </row>
    <row r="2037" spans="1:6">
      <c r="A2037" s="13">
        <v>45387</v>
      </c>
      <c r="B2037" s="15">
        <v>1680.93</v>
      </c>
      <c r="C2037" s="15"/>
      <c r="D2037" s="15">
        <v>32484.71</v>
      </c>
      <c r="E2037" s="16">
        <v>45387</v>
      </c>
      <c r="F2037" s="17" t="s">
        <v>25</v>
      </c>
    </row>
    <row r="2038" spans="1:6">
      <c r="A2038" s="13">
        <v>45390</v>
      </c>
      <c r="B2038" s="15">
        <v>1695.11</v>
      </c>
      <c r="C2038" s="15"/>
      <c r="D2038" s="15">
        <v>32647.88</v>
      </c>
      <c r="E2038" s="16">
        <v>45390</v>
      </c>
      <c r="F2038" s="17" t="s">
        <v>25</v>
      </c>
    </row>
    <row r="2039" spans="1:6">
      <c r="A2039" s="13">
        <v>45391</v>
      </c>
      <c r="B2039" s="15">
        <v>1698.87</v>
      </c>
      <c r="C2039" s="15"/>
      <c r="D2039" s="15">
        <v>32603.32</v>
      </c>
      <c r="E2039" s="16">
        <v>45391</v>
      </c>
      <c r="F2039" s="17" t="s">
        <v>25</v>
      </c>
    </row>
    <row r="2040" spans="1:6">
      <c r="A2040" s="13">
        <v>45392</v>
      </c>
      <c r="B2040" s="15">
        <v>1711.34</v>
      </c>
      <c r="C2040" s="15"/>
      <c r="D2040" s="15">
        <v>32798.550000000003</v>
      </c>
      <c r="E2040" s="16">
        <v>45392</v>
      </c>
      <c r="F2040" s="17" t="s">
        <v>25</v>
      </c>
    </row>
    <row r="2041" spans="1:6">
      <c r="A2041" s="13">
        <v>45394</v>
      </c>
      <c r="B2041" s="15">
        <v>1696.79</v>
      </c>
      <c r="C2041" s="15"/>
      <c r="D2041" s="15">
        <v>32532.43</v>
      </c>
      <c r="E2041" s="16">
        <v>45394</v>
      </c>
      <c r="F2041" s="17" t="s">
        <v>25</v>
      </c>
    </row>
    <row r="2042" spans="1:6">
      <c r="A2042" s="13">
        <v>45397</v>
      </c>
      <c r="B2042" s="15">
        <v>1675.75</v>
      </c>
      <c r="C2042" s="15"/>
      <c r="D2042" s="15">
        <v>32114.13</v>
      </c>
      <c r="E2042" s="16">
        <v>45397</v>
      </c>
      <c r="F2042" s="17" t="s">
        <v>25</v>
      </c>
    </row>
    <row r="2043" spans="1:6">
      <c r="A2043" s="13">
        <v>45398</v>
      </c>
      <c r="B2043" s="15">
        <v>1671.35</v>
      </c>
      <c r="C2043" s="15"/>
      <c r="D2043" s="15">
        <v>32026.71</v>
      </c>
      <c r="E2043" s="16">
        <v>45398</v>
      </c>
      <c r="F2043" s="17" t="s">
        <v>25</v>
      </c>
    </row>
    <row r="2044" spans="1:6">
      <c r="A2044" s="13">
        <v>45400</v>
      </c>
      <c r="B2044" s="15">
        <v>1664.69</v>
      </c>
      <c r="C2044" s="15"/>
      <c r="D2044" s="15">
        <v>31872.54</v>
      </c>
      <c r="E2044" s="16">
        <v>45400</v>
      </c>
      <c r="F2044" s="17" t="s">
        <v>25</v>
      </c>
    </row>
    <row r="2045" spans="1:6">
      <c r="A2045" s="13">
        <v>45401</v>
      </c>
      <c r="B2045" s="15">
        <v>1672.84</v>
      </c>
      <c r="C2045" s="15"/>
      <c r="D2045" s="15">
        <v>31967.61</v>
      </c>
      <c r="E2045" s="16">
        <v>45401</v>
      </c>
      <c r="F2045" s="17" t="s">
        <v>25</v>
      </c>
    </row>
    <row r="2046" spans="1:6">
      <c r="A2046" s="13">
        <v>45404</v>
      </c>
      <c r="B2046" s="15">
        <v>1693.14</v>
      </c>
      <c r="C2046" s="15"/>
      <c r="D2046" s="15">
        <v>32265.09</v>
      </c>
      <c r="E2046" s="16">
        <v>45404</v>
      </c>
      <c r="F2046" s="17" t="s">
        <v>25</v>
      </c>
    </row>
    <row r="2047" spans="1:6">
      <c r="A2047" s="13">
        <v>45405</v>
      </c>
      <c r="B2047" s="15">
        <v>1697.52</v>
      </c>
      <c r="C2047" s="15"/>
      <c r="D2047" s="15">
        <v>32387.08</v>
      </c>
      <c r="E2047" s="16">
        <v>45405</v>
      </c>
      <c r="F2047" s="17" t="s">
        <v>25</v>
      </c>
    </row>
    <row r="2048" spans="1:6">
      <c r="A2048" s="13">
        <v>45406</v>
      </c>
      <c r="B2048" s="15">
        <v>1701.27</v>
      </c>
      <c r="C2048" s="15"/>
      <c r="D2048" s="15">
        <v>32509.43</v>
      </c>
      <c r="E2048" s="16">
        <v>45406</v>
      </c>
      <c r="F2048" s="17" t="s">
        <v>25</v>
      </c>
    </row>
    <row r="2049" spans="1:6">
      <c r="A2049" s="13">
        <v>45407</v>
      </c>
      <c r="B2049" s="15">
        <v>1712.77</v>
      </c>
      <c r="C2049" s="15"/>
      <c r="D2049" s="15">
        <v>32724.61</v>
      </c>
      <c r="E2049" s="16">
        <v>45407</v>
      </c>
      <c r="F2049" s="17" t="s">
        <v>25</v>
      </c>
    </row>
    <row r="2050" spans="1:6">
      <c r="A2050" s="13">
        <v>45408</v>
      </c>
      <c r="B2050" s="15">
        <v>1706.37</v>
      </c>
      <c r="C2050" s="15"/>
      <c r="D2050" s="15">
        <v>32679.86</v>
      </c>
      <c r="E2050" s="16">
        <v>45408</v>
      </c>
      <c r="F2050" s="17" t="s">
        <v>25</v>
      </c>
    </row>
    <row r="2051" spans="1:6">
      <c r="A2051" s="13">
        <v>45411</v>
      </c>
      <c r="B2051" s="15">
        <v>1713.09</v>
      </c>
      <c r="C2051" s="15"/>
      <c r="D2051" s="15">
        <v>32919.57</v>
      </c>
      <c r="E2051" s="16">
        <v>45411</v>
      </c>
      <c r="F2051" s="17" t="s">
        <v>25</v>
      </c>
    </row>
    <row r="2052" spans="1:6">
      <c r="A2052" s="13">
        <v>45412</v>
      </c>
      <c r="B2052" s="15">
        <v>1711.51</v>
      </c>
      <c r="C2052" s="15"/>
      <c r="D2052" s="15">
        <v>32927.379999999997</v>
      </c>
      <c r="E2052" s="16">
        <v>45412</v>
      </c>
      <c r="F2052" s="17" t="s">
        <v>25</v>
      </c>
    </row>
    <row r="2053" spans="1:6">
      <c r="A2053" s="13">
        <v>45414</v>
      </c>
      <c r="B2053" s="15">
        <v>1715.41</v>
      </c>
      <c r="C2053" s="15"/>
      <c r="D2053" s="15">
        <v>33063</v>
      </c>
      <c r="E2053" s="16">
        <v>45414</v>
      </c>
      <c r="F2053" s="17" t="s">
        <v>25</v>
      </c>
    </row>
    <row r="2054" spans="1:6">
      <c r="A2054" s="13">
        <v>45415</v>
      </c>
      <c r="B2054" s="15">
        <v>1705.54</v>
      </c>
      <c r="C2054" s="15"/>
      <c r="D2054" s="15">
        <v>32868.94</v>
      </c>
      <c r="E2054" s="16">
        <v>45415</v>
      </c>
      <c r="F2054" s="17" t="s">
        <v>25</v>
      </c>
    </row>
    <row r="2055" spans="1:6">
      <c r="A2055" s="13">
        <v>45418</v>
      </c>
      <c r="B2055" s="15">
        <v>1702.67</v>
      </c>
      <c r="C2055" s="15"/>
      <c r="D2055" s="15">
        <v>32720.6</v>
      </c>
      <c r="E2055" s="16">
        <v>45418</v>
      </c>
      <c r="F2055" s="17" t="s">
        <v>25</v>
      </c>
    </row>
    <row r="2056" spans="1:6">
      <c r="A2056" s="13">
        <v>45419</v>
      </c>
      <c r="B2056" s="15">
        <v>1684.18</v>
      </c>
      <c r="C2056" s="15"/>
      <c r="D2056" s="15">
        <v>32365.34</v>
      </c>
      <c r="E2056" s="16">
        <v>45419</v>
      </c>
      <c r="F2056" s="17" t="s">
        <v>25</v>
      </c>
    </row>
    <row r="2057" spans="1:6">
      <c r="A2057" s="13">
        <v>45420</v>
      </c>
      <c r="B2057" s="15">
        <v>1690.56</v>
      </c>
      <c r="C2057" s="15"/>
      <c r="D2057" s="15">
        <v>32473.360000000001</v>
      </c>
      <c r="E2057" s="16">
        <v>45420</v>
      </c>
      <c r="F2057" s="17" t="s">
        <v>25</v>
      </c>
    </row>
    <row r="2058" spans="1:6">
      <c r="A2058" s="13">
        <v>45421</v>
      </c>
      <c r="B2058" s="15">
        <v>1665.42</v>
      </c>
      <c r="C2058" s="15"/>
      <c r="D2058" s="15">
        <v>31908.53</v>
      </c>
      <c r="E2058" s="16">
        <v>45421</v>
      </c>
      <c r="F2058" s="17" t="s">
        <v>25</v>
      </c>
    </row>
    <row r="2059" spans="1:6">
      <c r="A2059" s="13">
        <v>45422</v>
      </c>
      <c r="B2059" s="15">
        <v>1673.85</v>
      </c>
      <c r="C2059" s="15"/>
      <c r="D2059" s="15">
        <v>32132.23</v>
      </c>
      <c r="E2059" s="16">
        <v>45422</v>
      </c>
      <c r="F2059" s="17" t="s">
        <v>25</v>
      </c>
    </row>
    <row r="2060" spans="1:6">
      <c r="A2060" s="13">
        <v>45425</v>
      </c>
      <c r="B2060" s="15">
        <v>1677.32</v>
      </c>
      <c r="C2060" s="15"/>
      <c r="D2060" s="15">
        <v>32197.97</v>
      </c>
      <c r="E2060" s="16">
        <v>45425</v>
      </c>
      <c r="F2060" s="17" t="s">
        <v>25</v>
      </c>
    </row>
    <row r="2061" spans="1:6">
      <c r="A2061" s="13">
        <v>45426</v>
      </c>
      <c r="B2061" s="15">
        <v>1685.99</v>
      </c>
      <c r="C2061" s="15"/>
      <c r="D2061" s="15">
        <v>32469.95</v>
      </c>
      <c r="E2061" s="16">
        <v>45426</v>
      </c>
      <c r="F2061" s="17" t="s">
        <v>25</v>
      </c>
    </row>
    <row r="2062" spans="1:6">
      <c r="A2062" s="13">
        <v>45427</v>
      </c>
      <c r="B2062" s="15">
        <v>1689.92</v>
      </c>
      <c r="C2062" s="15"/>
      <c r="D2062" s="15">
        <v>32561.48</v>
      </c>
      <c r="E2062" s="16">
        <v>45427</v>
      </c>
      <c r="F2062" s="17" t="s">
        <v>25</v>
      </c>
    </row>
    <row r="2063" spans="1:6">
      <c r="A2063" s="13">
        <v>45428</v>
      </c>
      <c r="B2063" s="15">
        <v>1710.4</v>
      </c>
      <c r="C2063" s="15"/>
      <c r="D2063" s="15">
        <v>32860.879999999997</v>
      </c>
      <c r="E2063" s="16">
        <v>45428</v>
      </c>
      <c r="F2063" s="17" t="s">
        <v>25</v>
      </c>
    </row>
    <row r="2064" spans="1:6">
      <c r="A2064" s="13">
        <v>45429</v>
      </c>
      <c r="B2064" s="15">
        <v>1718.42</v>
      </c>
      <c r="C2064" s="15"/>
      <c r="D2064" s="15">
        <v>33073.629999999997</v>
      </c>
      <c r="E2064" s="16">
        <v>45429</v>
      </c>
      <c r="F2064" s="17" t="s">
        <v>25</v>
      </c>
    </row>
    <row r="2065" spans="1:6">
      <c r="A2065" s="13">
        <v>45433</v>
      </c>
      <c r="B2065" s="15">
        <v>1723.83</v>
      </c>
      <c r="C2065" s="15"/>
      <c r="D2065" s="15">
        <v>33266.910000000003</v>
      </c>
      <c r="E2065" s="16">
        <v>45433</v>
      </c>
      <c r="F2065" s="17" t="s">
        <v>25</v>
      </c>
    </row>
    <row r="2066" spans="1:6">
      <c r="A2066" s="13">
        <v>45434</v>
      </c>
      <c r="B2066" s="15">
        <v>1724.85</v>
      </c>
      <c r="C2066" s="15"/>
      <c r="D2066" s="15">
        <v>33357.18</v>
      </c>
      <c r="E2066" s="16">
        <v>45434</v>
      </c>
      <c r="F2066" s="17" t="s">
        <v>25</v>
      </c>
    </row>
    <row r="2067" spans="1:6">
      <c r="A2067" s="13">
        <v>45435</v>
      </c>
      <c r="B2067" s="15">
        <v>1741.79</v>
      </c>
      <c r="C2067" s="15"/>
      <c r="D2067" s="15">
        <v>33752.67</v>
      </c>
      <c r="E2067" s="16">
        <v>45435</v>
      </c>
      <c r="F2067" s="17" t="s">
        <v>25</v>
      </c>
    </row>
    <row r="2068" spans="1:6">
      <c r="A2068" s="13">
        <v>45436</v>
      </c>
      <c r="B2068" s="15">
        <v>1742.78</v>
      </c>
      <c r="C2068" s="15"/>
      <c r="D2068" s="15">
        <v>33744.480000000003</v>
      </c>
      <c r="E2068" s="16">
        <v>45436</v>
      </c>
      <c r="F2068" s="17" t="s">
        <v>25</v>
      </c>
    </row>
    <row r="2069" spans="1:6">
      <c r="A2069" s="13">
        <v>45439</v>
      </c>
      <c r="B2069" s="15">
        <v>1744.41</v>
      </c>
      <c r="C2069" s="15"/>
      <c r="D2069" s="15">
        <v>33759.03</v>
      </c>
      <c r="E2069" s="16">
        <v>45439</v>
      </c>
      <c r="F2069" s="17" t="s">
        <v>25</v>
      </c>
    </row>
    <row r="2070" spans="1:6">
      <c r="A2070" s="13">
        <v>45440</v>
      </c>
      <c r="B2070" s="15">
        <v>1740.61</v>
      </c>
      <c r="C2070" s="15"/>
      <c r="D2070" s="15">
        <v>33593.17</v>
      </c>
      <c r="E2070" s="16">
        <v>45440</v>
      </c>
      <c r="F2070" s="17" t="s">
        <v>25</v>
      </c>
    </row>
    <row r="2071" spans="1:6">
      <c r="A2071" s="13">
        <v>45441</v>
      </c>
      <c r="B2071" s="15">
        <v>1730.36</v>
      </c>
      <c r="C2071" s="15"/>
      <c r="D2071" s="15">
        <v>33387.370000000003</v>
      </c>
      <c r="E2071" s="16">
        <v>45441</v>
      </c>
      <c r="F2071" s="17" t="s">
        <v>25</v>
      </c>
    </row>
    <row r="2072" spans="1:6">
      <c r="A2072" s="13">
        <v>45442</v>
      </c>
      <c r="B2072" s="15">
        <v>1711.27</v>
      </c>
      <c r="C2072" s="15"/>
      <c r="D2072" s="15">
        <v>33045.31</v>
      </c>
      <c r="E2072" s="16">
        <v>45442</v>
      </c>
      <c r="F2072" s="17" t="s">
        <v>25</v>
      </c>
    </row>
    <row r="2073" spans="1:6">
      <c r="A2073" s="13">
        <v>45443</v>
      </c>
      <c r="B2073" s="15">
        <v>1714.28</v>
      </c>
      <c r="C2073" s="15"/>
      <c r="D2073" s="15">
        <v>33168.199999999997</v>
      </c>
      <c r="E2073" s="16">
        <v>45443</v>
      </c>
      <c r="F2073" s="17" t="s">
        <v>25</v>
      </c>
    </row>
    <row r="2074" spans="1:6">
      <c r="A2074" s="13">
        <v>45446</v>
      </c>
      <c r="B2074" s="15">
        <v>1760.18</v>
      </c>
      <c r="C2074" s="15"/>
      <c r="D2074" s="15">
        <v>34259.21</v>
      </c>
      <c r="E2074" s="16">
        <v>45446</v>
      </c>
      <c r="F2074" s="17" t="s">
        <v>25</v>
      </c>
    </row>
    <row r="2075" spans="1:6">
      <c r="A2075" s="13">
        <v>45447</v>
      </c>
      <c r="B2075" s="15">
        <v>1660.52</v>
      </c>
      <c r="C2075" s="15"/>
      <c r="D2075" s="15">
        <v>31956.22</v>
      </c>
      <c r="E2075" s="16">
        <v>45447</v>
      </c>
      <c r="F2075" s="17" t="s">
        <v>25</v>
      </c>
    </row>
    <row r="2076" spans="1:6">
      <c r="A2076" s="13">
        <v>45448</v>
      </c>
      <c r="B2076" s="15">
        <v>1724.8</v>
      </c>
      <c r="C2076" s="15"/>
      <c r="D2076" s="15">
        <v>33104.99</v>
      </c>
      <c r="E2076" s="16">
        <v>45448</v>
      </c>
      <c r="F2076" s="17" t="s">
        <v>25</v>
      </c>
    </row>
    <row r="2077" spans="1:6">
      <c r="A2077" s="13">
        <v>45449</v>
      </c>
      <c r="B2077" s="15">
        <v>1750.91</v>
      </c>
      <c r="C2077" s="15"/>
      <c r="D2077" s="15">
        <v>33593.360000000001</v>
      </c>
      <c r="E2077" s="16">
        <v>45449</v>
      </c>
      <c r="F2077" s="17" t="s">
        <v>25</v>
      </c>
    </row>
    <row r="2078" spans="1:6">
      <c r="A2078" s="13">
        <v>45450</v>
      </c>
      <c r="B2078" s="15">
        <v>1781.27</v>
      </c>
      <c r="C2078" s="15"/>
      <c r="D2078" s="15">
        <v>34221.81</v>
      </c>
      <c r="E2078" s="16">
        <v>45450</v>
      </c>
      <c r="F2078" s="17" t="s">
        <v>25</v>
      </c>
    </row>
    <row r="2079" spans="1:6">
      <c r="A2079" s="13">
        <v>45453</v>
      </c>
      <c r="B2079" s="15">
        <v>1782.16</v>
      </c>
      <c r="C2079" s="15"/>
      <c r="D2079" s="15">
        <v>34291.15</v>
      </c>
      <c r="E2079" s="16">
        <v>45453</v>
      </c>
      <c r="F2079" s="17" t="s">
        <v>25</v>
      </c>
    </row>
    <row r="2080" spans="1:6">
      <c r="A2080" s="13">
        <v>45454</v>
      </c>
      <c r="B2080" s="15">
        <v>1782.71</v>
      </c>
      <c r="C2080" s="15"/>
      <c r="D2080" s="15">
        <v>34365.129999999997</v>
      </c>
      <c r="E2080" s="16">
        <v>45454</v>
      </c>
      <c r="F2080" s="17" t="s">
        <v>25</v>
      </c>
    </row>
    <row r="2081" spans="1:6">
      <c r="A2081" s="13">
        <v>45455</v>
      </c>
      <c r="B2081" s="15">
        <v>1792.92</v>
      </c>
      <c r="C2081" s="15"/>
      <c r="D2081" s="15">
        <v>34536.949999999997</v>
      </c>
      <c r="E2081" s="16">
        <v>45455</v>
      </c>
      <c r="F2081" s="17" t="s">
        <v>25</v>
      </c>
    </row>
    <row r="2082" spans="1:6">
      <c r="A2082" s="13">
        <v>45456</v>
      </c>
      <c r="B2082" s="15">
        <v>1804.23</v>
      </c>
      <c r="C2082" s="15"/>
      <c r="D2082" s="15">
        <v>34715.589999999997</v>
      </c>
      <c r="E2082" s="16">
        <v>45456</v>
      </c>
      <c r="F2082" s="17" t="s">
        <v>25</v>
      </c>
    </row>
    <row r="2083" spans="1:6">
      <c r="A2083" s="13">
        <v>45457</v>
      </c>
      <c r="B2083" s="15">
        <v>1814.5</v>
      </c>
      <c r="C2083" s="15"/>
      <c r="D2083" s="15">
        <v>34943.919999999998</v>
      </c>
      <c r="E2083" s="16">
        <v>45457</v>
      </c>
      <c r="F2083" s="17" t="s">
        <v>25</v>
      </c>
    </row>
    <row r="2084" spans="1:6">
      <c r="A2084" s="13">
        <v>45461</v>
      </c>
      <c r="B2084" s="15">
        <v>1827.32</v>
      </c>
      <c r="C2084" s="15"/>
      <c r="D2084" s="15">
        <v>35127.1</v>
      </c>
      <c r="E2084" s="16">
        <v>45461</v>
      </c>
      <c r="F2084" s="17" t="s">
        <v>25</v>
      </c>
    </row>
    <row r="2085" spans="1:6">
      <c r="A2085" s="13">
        <v>45462</v>
      </c>
      <c r="B2085" s="15">
        <v>1820.06</v>
      </c>
      <c r="C2085" s="15"/>
      <c r="D2085" s="15">
        <v>34963.410000000003</v>
      </c>
      <c r="E2085" s="16">
        <v>45462</v>
      </c>
      <c r="F2085" s="17" t="s">
        <v>25</v>
      </c>
    </row>
    <row r="2086" spans="1:6">
      <c r="A2086" s="13">
        <v>45463</v>
      </c>
      <c r="B2086" s="15">
        <v>1824.77</v>
      </c>
      <c r="C2086" s="15"/>
      <c r="D2086" s="15">
        <v>35096.03</v>
      </c>
      <c r="E2086" s="16">
        <v>45463</v>
      </c>
      <c r="F2086" s="17" t="s">
        <v>25</v>
      </c>
    </row>
    <row r="2087" spans="1:6">
      <c r="A2087" s="13">
        <v>45464</v>
      </c>
      <c r="B2087" s="15">
        <v>1820.9</v>
      </c>
      <c r="C2087" s="15"/>
      <c r="D2087" s="15">
        <v>34991.85</v>
      </c>
      <c r="E2087" s="16">
        <v>45464</v>
      </c>
      <c r="F2087" s="17" t="s">
        <v>25</v>
      </c>
    </row>
    <row r="2088" spans="1:6">
      <c r="A2088" s="13">
        <v>45467</v>
      </c>
      <c r="B2088" s="15">
        <v>1829.88</v>
      </c>
      <c r="C2088" s="15"/>
      <c r="D2088" s="15">
        <v>35075.14</v>
      </c>
      <c r="E2088" s="16">
        <v>45467</v>
      </c>
      <c r="F2088" s="17" t="s">
        <v>25</v>
      </c>
    </row>
    <row r="2089" spans="1:6">
      <c r="A2089" s="13">
        <v>45468</v>
      </c>
      <c r="B2089" s="15">
        <v>1837.81</v>
      </c>
      <c r="C2089" s="15"/>
      <c r="D2089" s="15">
        <v>35204.26</v>
      </c>
      <c r="E2089" s="16">
        <v>45468</v>
      </c>
      <c r="F2089" s="17" t="s">
        <v>25</v>
      </c>
    </row>
    <row r="2090" spans="1:6">
      <c r="A2090" s="13">
        <v>45469</v>
      </c>
      <c r="B2090" s="15">
        <v>1842.74</v>
      </c>
      <c r="C2090" s="15"/>
      <c r="D2090" s="15">
        <v>35308.410000000003</v>
      </c>
      <c r="E2090" s="16">
        <v>45469</v>
      </c>
      <c r="F2090" s="17" t="s">
        <v>25</v>
      </c>
    </row>
    <row r="2091" spans="1:6">
      <c r="A2091" s="13">
        <v>45470</v>
      </c>
      <c r="B2091" s="15">
        <v>1849.62</v>
      </c>
      <c r="C2091" s="15"/>
      <c r="D2091" s="15">
        <v>35467.61</v>
      </c>
      <c r="E2091" s="16">
        <v>45470</v>
      </c>
      <c r="F2091" s="17" t="s">
        <v>25</v>
      </c>
    </row>
    <row r="2092" spans="1:6">
      <c r="A2092" s="13">
        <v>45471</v>
      </c>
      <c r="B2092" s="15">
        <v>1845.75</v>
      </c>
      <c r="C2092" s="15"/>
      <c r="D2092" s="15">
        <v>35506.97</v>
      </c>
      <c r="E2092" s="16">
        <v>45471</v>
      </c>
      <c r="F2092" s="17" t="s">
        <v>25</v>
      </c>
    </row>
    <row r="2093" spans="1:6">
      <c r="A2093" s="13">
        <v>45474</v>
      </c>
      <c r="B2093" s="15">
        <v>1856.71</v>
      </c>
      <c r="C2093" s="15"/>
      <c r="D2093" s="15">
        <v>35771.61</v>
      </c>
      <c r="E2093" s="16">
        <v>45474</v>
      </c>
      <c r="F2093" s="17" t="s">
        <v>25</v>
      </c>
    </row>
    <row r="2094" spans="1:6">
      <c r="A2094" s="13">
        <v>45475</v>
      </c>
      <c r="B2094" s="15">
        <v>1850.03</v>
      </c>
      <c r="C2094" s="15"/>
      <c r="D2094" s="15">
        <v>35693.160000000003</v>
      </c>
      <c r="E2094" s="16">
        <v>45475</v>
      </c>
      <c r="F2094" s="17" t="s">
        <v>25</v>
      </c>
    </row>
    <row r="2095" spans="1:6">
      <c r="A2095" s="13">
        <v>45476</v>
      </c>
      <c r="B2095" s="15">
        <v>1864.62</v>
      </c>
      <c r="C2095" s="15"/>
      <c r="D2095" s="15">
        <v>35966.18</v>
      </c>
      <c r="E2095" s="16">
        <v>45476</v>
      </c>
      <c r="F2095" s="17" t="s">
        <v>25</v>
      </c>
    </row>
    <row r="2096" spans="1:6">
      <c r="A2096" s="13">
        <v>45477</v>
      </c>
      <c r="B2096" s="15">
        <v>1872.23</v>
      </c>
      <c r="C2096" s="15"/>
      <c r="D2096" s="15">
        <v>36066.06</v>
      </c>
      <c r="E2096" s="16">
        <v>45477</v>
      </c>
      <c r="F2096" s="17" t="s">
        <v>25</v>
      </c>
    </row>
    <row r="2097" spans="1:6">
      <c r="A2097" s="13">
        <v>45478</v>
      </c>
      <c r="B2097" s="15">
        <v>1880.58</v>
      </c>
      <c r="C2097" s="15"/>
      <c r="D2097" s="15">
        <v>36187.040000000001</v>
      </c>
      <c r="E2097" s="16">
        <v>45478</v>
      </c>
      <c r="F2097" s="17" t="s">
        <v>25</v>
      </c>
    </row>
    <row r="2098" spans="1:6">
      <c r="A2098" s="13">
        <v>45481</v>
      </c>
      <c r="B2098" s="15">
        <v>1875.71</v>
      </c>
      <c r="C2098" s="15"/>
      <c r="D2098" s="15">
        <v>36161.199999999997</v>
      </c>
      <c r="E2098" s="16">
        <v>45481</v>
      </c>
      <c r="F2098" s="17" t="s">
        <v>25</v>
      </c>
    </row>
    <row r="2099" spans="1:6">
      <c r="A2099" s="13">
        <v>45482</v>
      </c>
      <c r="B2099" s="15">
        <v>1885.49</v>
      </c>
      <c r="C2099" s="15"/>
      <c r="D2099" s="15">
        <v>36314.78</v>
      </c>
      <c r="E2099" s="16">
        <v>45482</v>
      </c>
      <c r="F2099" s="17" t="s">
        <v>25</v>
      </c>
    </row>
    <row r="2100" spans="1:6">
      <c r="A2100" s="13">
        <v>45483</v>
      </c>
      <c r="B2100" s="15">
        <v>1879.07</v>
      </c>
      <c r="C2100" s="15"/>
      <c r="D2100" s="15">
        <v>36173.97</v>
      </c>
      <c r="E2100" s="16">
        <v>45483</v>
      </c>
      <c r="F2100" s="17" t="s">
        <v>25</v>
      </c>
    </row>
    <row r="2101" spans="1:6">
      <c r="A2101" s="13">
        <v>45484</v>
      </c>
      <c r="B2101" s="15">
        <v>1877.44</v>
      </c>
      <c r="C2101" s="15"/>
      <c r="D2101" s="15">
        <v>36217.5</v>
      </c>
      <c r="E2101" s="16">
        <v>45484</v>
      </c>
      <c r="F2101" s="17" t="s">
        <v>25</v>
      </c>
    </row>
    <row r="2102" spans="1:6">
      <c r="A2102" s="13">
        <v>45485</v>
      </c>
      <c r="B2102" s="15">
        <v>1881.93</v>
      </c>
      <c r="C2102" s="15"/>
      <c r="D2102" s="15">
        <v>36362.300000000003</v>
      </c>
      <c r="E2102" s="16">
        <v>45485</v>
      </c>
      <c r="F2102" s="17" t="s">
        <v>25</v>
      </c>
    </row>
    <row r="2103" spans="1:6">
      <c r="A2103" s="13">
        <v>45488</v>
      </c>
      <c r="B2103" s="15">
        <v>1890.89</v>
      </c>
      <c r="C2103" s="15"/>
      <c r="D2103" s="15">
        <v>36542.559999999998</v>
      </c>
      <c r="E2103" s="16">
        <v>45488</v>
      </c>
      <c r="F2103" s="17" t="s">
        <v>25</v>
      </c>
    </row>
    <row r="2104" spans="1:6">
      <c r="A2104" s="13">
        <v>45489</v>
      </c>
      <c r="B2104" s="15">
        <v>1894.17</v>
      </c>
      <c r="C2104" s="15"/>
      <c r="D2104" s="15">
        <v>36536.660000000003</v>
      </c>
      <c r="E2104" s="16">
        <v>45489</v>
      </c>
      <c r="F2104" s="17" t="s">
        <v>25</v>
      </c>
    </row>
    <row r="2105" spans="1:6">
      <c r="A2105" s="13">
        <v>45491</v>
      </c>
      <c r="B2105" s="15">
        <v>1902.44</v>
      </c>
      <c r="C2105" s="15"/>
      <c r="D2105" s="15">
        <v>36546.199999999997</v>
      </c>
      <c r="E2105" s="16">
        <v>45491</v>
      </c>
      <c r="F2105" s="17" t="s">
        <v>25</v>
      </c>
    </row>
    <row r="2106" spans="1:6">
      <c r="A2106" s="13">
        <v>45492</v>
      </c>
      <c r="B2106" s="15">
        <v>1878.17</v>
      </c>
      <c r="C2106" s="15"/>
      <c r="D2106" s="15">
        <v>35989.82</v>
      </c>
      <c r="E2106" s="16">
        <v>45492</v>
      </c>
      <c r="F2106" s="17" t="s">
        <v>25</v>
      </c>
    </row>
    <row r="2107" spans="1:6">
      <c r="A2107" s="13">
        <v>45495</v>
      </c>
      <c r="B2107" s="15">
        <v>1887.2</v>
      </c>
      <c r="C2107" s="15"/>
      <c r="D2107" s="15">
        <v>36130.29</v>
      </c>
      <c r="E2107" s="16">
        <v>45495</v>
      </c>
      <c r="F2107" s="17" t="s">
        <v>25</v>
      </c>
    </row>
    <row r="2108" spans="1:6">
      <c r="A2108" s="13">
        <v>45496</v>
      </c>
      <c r="B2108" s="15">
        <v>1883.07</v>
      </c>
      <c r="C2108" s="15"/>
      <c r="D2108" s="15">
        <v>36011.83</v>
      </c>
      <c r="E2108" s="16">
        <v>45496</v>
      </c>
      <c r="F2108" s="17" t="s">
        <v>25</v>
      </c>
    </row>
    <row r="2109" spans="1:6">
      <c r="A2109" s="13">
        <v>45497</v>
      </c>
      <c r="B2109" s="15">
        <v>1883.34</v>
      </c>
      <c r="C2109" s="15"/>
      <c r="D2109" s="15">
        <v>36101.160000000003</v>
      </c>
      <c r="E2109" s="16">
        <v>45497</v>
      </c>
      <c r="F2109" s="17" t="s">
        <v>25</v>
      </c>
    </row>
    <row r="2110" spans="1:6">
      <c r="A2110" s="13">
        <v>45498</v>
      </c>
      <c r="B2110" s="15">
        <v>1883.72</v>
      </c>
      <c r="C2110" s="15"/>
      <c r="D2110" s="15">
        <v>36094.83</v>
      </c>
      <c r="E2110" s="16">
        <v>45498</v>
      </c>
      <c r="F2110" s="17" t="s">
        <v>25</v>
      </c>
    </row>
    <row r="2111" spans="1:6">
      <c r="A2111" s="13">
        <v>45499</v>
      </c>
      <c r="B2111" s="15">
        <v>1921.64</v>
      </c>
      <c r="C2111" s="15"/>
      <c r="D2111" s="15">
        <v>36686.769999999997</v>
      </c>
      <c r="E2111" s="16">
        <v>45499</v>
      </c>
      <c r="F2111" s="17" t="s">
        <v>25</v>
      </c>
    </row>
    <row r="2112" spans="1:6">
      <c r="A2112" s="13">
        <v>45502</v>
      </c>
      <c r="B2112" s="15">
        <v>1927.64</v>
      </c>
      <c r="C2112" s="15"/>
      <c r="D2112" s="15">
        <v>36848.019999999997</v>
      </c>
      <c r="E2112" s="16">
        <v>45502</v>
      </c>
      <c r="F2112" s="17" t="s">
        <v>25</v>
      </c>
    </row>
    <row r="2113" spans="1:6">
      <c r="A2113" s="13">
        <v>45503</v>
      </c>
      <c r="B2113" s="15">
        <v>1924.7</v>
      </c>
      <c r="C2113" s="15"/>
      <c r="D2113" s="15">
        <v>36923.230000000003</v>
      </c>
      <c r="E2113" s="16">
        <v>45503</v>
      </c>
      <c r="F2113" s="17" t="s">
        <v>25</v>
      </c>
    </row>
    <row r="2114" spans="1:6">
      <c r="A2114" s="13">
        <v>45504</v>
      </c>
      <c r="B2114" s="15">
        <v>1931.95</v>
      </c>
      <c r="C2114" s="15"/>
      <c r="D2114" s="15">
        <v>37066.080000000002</v>
      </c>
      <c r="E2114" s="16">
        <v>45504</v>
      </c>
      <c r="F2114" s="17" t="s">
        <v>25</v>
      </c>
    </row>
    <row r="2115" spans="1:6">
      <c r="A2115" s="13">
        <v>45505</v>
      </c>
      <c r="B2115" s="15">
        <v>1926.75</v>
      </c>
      <c r="C2115" s="15"/>
      <c r="D2115" s="15">
        <v>37029.53</v>
      </c>
      <c r="E2115" s="16">
        <v>45505</v>
      </c>
      <c r="F2115" s="17" t="s">
        <v>25</v>
      </c>
    </row>
    <row r="2116" spans="1:6">
      <c r="A2116" s="13">
        <v>45506</v>
      </c>
      <c r="B2116" s="15">
        <v>1905.84</v>
      </c>
      <c r="C2116" s="15"/>
      <c r="D2116" s="15">
        <v>36647.21</v>
      </c>
      <c r="E2116" s="16">
        <v>45506</v>
      </c>
      <c r="F2116" s="17" t="s">
        <v>25</v>
      </c>
    </row>
    <row r="2117" spans="1:6">
      <c r="A2117" s="13">
        <v>45509</v>
      </c>
      <c r="B2117" s="15">
        <v>1855.91</v>
      </c>
      <c r="C2117" s="15"/>
      <c r="D2117" s="15">
        <v>35519.5</v>
      </c>
      <c r="E2117" s="16">
        <v>45509</v>
      </c>
      <c r="F2117" s="17" t="s">
        <v>25</v>
      </c>
    </row>
    <row r="2118" spans="1:6">
      <c r="A2118" s="13">
        <v>45510</v>
      </c>
      <c r="B2118" s="15">
        <v>1848.34</v>
      </c>
      <c r="C2118" s="15"/>
      <c r="D2118" s="15">
        <v>35364.14</v>
      </c>
      <c r="E2118" s="16">
        <v>45510</v>
      </c>
      <c r="F2118" s="17" t="s">
        <v>25</v>
      </c>
    </row>
    <row r="2119" spans="1:6">
      <c r="A2119" s="13">
        <v>45511</v>
      </c>
      <c r="B2119" s="15">
        <v>1878.62</v>
      </c>
      <c r="C2119" s="15"/>
      <c r="D2119" s="15">
        <v>36012.32</v>
      </c>
      <c r="E2119" s="16">
        <v>45511</v>
      </c>
      <c r="F2119" s="17" t="s">
        <v>25</v>
      </c>
    </row>
    <row r="2120" spans="1:6">
      <c r="A2120" s="13">
        <v>45512</v>
      </c>
      <c r="B2120" s="15">
        <v>1866.84</v>
      </c>
      <c r="C2120" s="15"/>
      <c r="D2120" s="15">
        <v>35786.639999999999</v>
      </c>
      <c r="E2120" s="16">
        <v>45512</v>
      </c>
      <c r="F2120" s="17" t="s">
        <v>25</v>
      </c>
    </row>
    <row r="2121" spans="1:6">
      <c r="A2121" s="13">
        <v>45513</v>
      </c>
      <c r="B2121" s="15">
        <v>1882.08</v>
      </c>
      <c r="C2121" s="15"/>
      <c r="D2121" s="15">
        <v>36133.360000000001</v>
      </c>
      <c r="E2121" s="16">
        <v>45513</v>
      </c>
      <c r="F2121" s="17" t="s">
        <v>25</v>
      </c>
    </row>
    <row r="2122" spans="1:6">
      <c r="A2122" s="13">
        <v>45516</v>
      </c>
      <c r="B2122" s="15">
        <v>1881.87</v>
      </c>
      <c r="C2122" s="15"/>
      <c r="D2122" s="15">
        <v>36135.49</v>
      </c>
      <c r="E2122" s="16">
        <v>45516</v>
      </c>
      <c r="F2122" s="17" t="s">
        <v>25</v>
      </c>
    </row>
    <row r="2123" spans="1:6">
      <c r="A2123" s="13">
        <v>45517</v>
      </c>
      <c r="B2123" s="15">
        <v>1869.01</v>
      </c>
      <c r="C2123" s="15"/>
      <c r="D2123" s="15">
        <v>35804.660000000003</v>
      </c>
      <c r="E2123" s="16">
        <v>45517</v>
      </c>
      <c r="F2123" s="17" t="s">
        <v>25</v>
      </c>
    </row>
    <row r="2124" spans="1:6">
      <c r="A2124" s="13">
        <v>45518</v>
      </c>
      <c r="B2124" s="15">
        <v>1871.34</v>
      </c>
      <c r="C2124" s="15"/>
      <c r="D2124" s="15">
        <v>35754.300000000003</v>
      </c>
      <c r="E2124" s="16">
        <v>45518</v>
      </c>
      <c r="F2124" s="17" t="s">
        <v>25</v>
      </c>
    </row>
    <row r="2125" spans="1:6">
      <c r="A2125" s="13">
        <v>45520</v>
      </c>
      <c r="B2125" s="15">
        <v>1903.47</v>
      </c>
      <c r="C2125" s="15"/>
      <c r="D2125" s="15">
        <v>36365.97</v>
      </c>
      <c r="E2125" s="16">
        <v>45520</v>
      </c>
      <c r="F2125" s="17" t="s">
        <v>25</v>
      </c>
    </row>
    <row r="2126" spans="1:6">
      <c r="A2126" s="13">
        <v>45523</v>
      </c>
      <c r="B2126" s="15">
        <v>1904.15</v>
      </c>
      <c r="C2126" s="15"/>
      <c r="D2126" s="15">
        <v>36503.86</v>
      </c>
      <c r="E2126" s="16">
        <v>45523</v>
      </c>
      <c r="F2126" s="17" t="s">
        <v>25</v>
      </c>
    </row>
    <row r="2127" spans="1:6">
      <c r="A2127" s="13">
        <v>45524</v>
      </c>
      <c r="B2127" s="15">
        <v>1917.4</v>
      </c>
      <c r="C2127" s="15"/>
      <c r="D2127" s="15">
        <v>36726.550000000003</v>
      </c>
      <c r="E2127" s="16">
        <v>45524</v>
      </c>
      <c r="F2127" s="17" t="s">
        <v>25</v>
      </c>
    </row>
    <row r="2128" spans="1:6">
      <c r="A2128" s="13">
        <v>45525</v>
      </c>
      <c r="B2128" s="15">
        <v>1927.01</v>
      </c>
      <c r="C2128" s="15"/>
      <c r="D2128" s="15">
        <v>36866.43</v>
      </c>
      <c r="E2128" s="16">
        <v>45525</v>
      </c>
      <c r="F2128" s="17" t="s">
        <v>25</v>
      </c>
    </row>
    <row r="2129" spans="1:6">
      <c r="A2129" s="13">
        <v>45526</v>
      </c>
      <c r="B2129" s="15">
        <v>1935.41</v>
      </c>
      <c r="C2129" s="15"/>
      <c r="D2129" s="15">
        <v>36980.53</v>
      </c>
      <c r="E2129" s="16">
        <v>45526</v>
      </c>
      <c r="F2129" s="17" t="s">
        <v>25</v>
      </c>
    </row>
    <row r="2130" spans="1:6">
      <c r="A2130" s="13">
        <v>45527</v>
      </c>
      <c r="B2130" s="15">
        <v>1936.18</v>
      </c>
      <c r="C2130" s="15"/>
      <c r="D2130" s="15">
        <v>36949.74</v>
      </c>
      <c r="E2130" s="16">
        <v>45527</v>
      </c>
      <c r="F2130" s="17" t="s">
        <v>25</v>
      </c>
    </row>
    <row r="2131" spans="1:6">
      <c r="A2131" s="13">
        <v>45530</v>
      </c>
      <c r="B2131" s="15">
        <v>1950.9</v>
      </c>
      <c r="C2131" s="15"/>
      <c r="D2131" s="15">
        <v>37175.56</v>
      </c>
      <c r="E2131" s="16">
        <v>45530</v>
      </c>
      <c r="F2131" s="17" t="s">
        <v>25</v>
      </c>
    </row>
    <row r="2132" spans="1:6">
      <c r="A2132" s="13">
        <v>45531</v>
      </c>
      <c r="B2132" s="15">
        <v>1957.28</v>
      </c>
      <c r="C2132" s="15"/>
      <c r="D2132" s="15">
        <v>37243.599999999999</v>
      </c>
      <c r="E2132" s="16">
        <v>45531</v>
      </c>
      <c r="F2132" s="17" t="s">
        <v>25</v>
      </c>
    </row>
    <row r="2133" spans="1:6">
      <c r="A2133" s="13">
        <v>45532</v>
      </c>
      <c r="B2133" s="15">
        <v>1960.01</v>
      </c>
      <c r="C2133" s="15"/>
      <c r="D2133" s="15">
        <v>37261.15</v>
      </c>
      <c r="E2133" s="16">
        <v>45532</v>
      </c>
      <c r="F2133" s="17" t="s">
        <v>25</v>
      </c>
    </row>
    <row r="2134" spans="1:6">
      <c r="A2134" s="13">
        <v>45533</v>
      </c>
      <c r="B2134" s="15">
        <v>1962.15</v>
      </c>
      <c r="C2134" s="15"/>
      <c r="D2134" s="15">
        <v>37285.57</v>
      </c>
      <c r="E2134" s="16">
        <v>45533</v>
      </c>
      <c r="F2134" s="17" t="s">
        <v>25</v>
      </c>
    </row>
    <row r="2135" spans="1:6">
      <c r="A2135" s="13">
        <v>45534</v>
      </c>
      <c r="B2135" s="15">
        <v>1975.45</v>
      </c>
      <c r="C2135" s="15"/>
      <c r="D2135" s="15">
        <v>37449.919999999998</v>
      </c>
      <c r="E2135" s="16">
        <v>45534</v>
      </c>
      <c r="F2135" s="17" t="s">
        <v>25</v>
      </c>
    </row>
    <row r="2136" spans="1:6">
      <c r="A2136" s="13">
        <v>45537</v>
      </c>
      <c r="B2136" s="15">
        <v>1981.75</v>
      </c>
      <c r="C2136" s="15"/>
      <c r="D2136" s="15">
        <v>37491.24</v>
      </c>
      <c r="E2136" s="16">
        <v>45537</v>
      </c>
      <c r="F2136" s="17" t="s">
        <v>25</v>
      </c>
    </row>
    <row r="2137" spans="1:6">
      <c r="A2137" s="13">
        <v>45538</v>
      </c>
      <c r="B2137" s="15">
        <v>1982.47</v>
      </c>
      <c r="C2137" s="15"/>
      <c r="D2137" s="15">
        <v>37535.120000000003</v>
      </c>
      <c r="E2137" s="16">
        <v>45538</v>
      </c>
      <c r="F2137" s="17" t="s">
        <v>25</v>
      </c>
    </row>
    <row r="2138" spans="1:6">
      <c r="A2138" s="13">
        <v>45539</v>
      </c>
      <c r="B2138" s="15">
        <v>1981.92</v>
      </c>
      <c r="C2138" s="15"/>
      <c r="D2138" s="15">
        <v>37472.699999999997</v>
      </c>
      <c r="E2138" s="16">
        <v>45539</v>
      </c>
      <c r="F2138" s="17" t="s">
        <v>25</v>
      </c>
    </row>
    <row r="2139" spans="1:6">
      <c r="A2139" s="13">
        <v>45540</v>
      </c>
      <c r="B2139" s="15">
        <v>1983.74</v>
      </c>
      <c r="C2139" s="15"/>
      <c r="D2139" s="15">
        <v>37494.75</v>
      </c>
      <c r="E2139" s="16">
        <v>45540</v>
      </c>
      <c r="F2139" s="17" t="s">
        <v>25</v>
      </c>
    </row>
    <row r="2140" spans="1:6">
      <c r="A2140" s="13">
        <v>45541</v>
      </c>
      <c r="B2140" s="15">
        <v>1959.99</v>
      </c>
      <c r="C2140" s="15"/>
      <c r="D2140" s="15">
        <v>37045.67</v>
      </c>
      <c r="E2140" s="16">
        <v>45541</v>
      </c>
      <c r="F2140" s="17" t="s">
        <v>25</v>
      </c>
    </row>
    <row r="2141" spans="1:6">
      <c r="A2141" s="13">
        <v>45544</v>
      </c>
      <c r="B2141" s="15">
        <v>1960.67</v>
      </c>
      <c r="C2141" s="15"/>
      <c r="D2141" s="15">
        <v>37084.589999999997</v>
      </c>
      <c r="E2141" s="16">
        <v>45544</v>
      </c>
      <c r="F2141" s="17" t="s">
        <v>25</v>
      </c>
    </row>
    <row r="2142" spans="1:6">
      <c r="A2142" s="13">
        <v>45545</v>
      </c>
      <c r="B2142" s="15">
        <v>1973.93</v>
      </c>
      <c r="C2142" s="15"/>
      <c r="D2142" s="15">
        <v>37307.879999999997</v>
      </c>
      <c r="E2142" s="16">
        <v>45545</v>
      </c>
      <c r="F2142" s="17" t="s">
        <v>25</v>
      </c>
    </row>
    <row r="2143" spans="1:6">
      <c r="A2143" s="13">
        <v>45546</v>
      </c>
      <c r="B2143" s="15">
        <v>1971.89</v>
      </c>
      <c r="C2143" s="15"/>
      <c r="D2143" s="15">
        <v>37130.71</v>
      </c>
      <c r="E2143" s="16">
        <v>45546</v>
      </c>
      <c r="F2143" s="17" t="s">
        <v>25</v>
      </c>
    </row>
    <row r="2144" spans="1:6">
      <c r="A2144" s="13">
        <v>45547</v>
      </c>
      <c r="B2144" s="15">
        <v>2003.63</v>
      </c>
      <c r="C2144" s="15"/>
      <c r="D2144" s="15">
        <v>37724.21</v>
      </c>
      <c r="E2144" s="16">
        <v>45547</v>
      </c>
      <c r="F2144" s="17" t="s">
        <v>25</v>
      </c>
    </row>
    <row r="2145" spans="1:6">
      <c r="A2145" s="13">
        <v>45548</v>
      </c>
      <c r="B2145" s="15">
        <v>2003.03</v>
      </c>
      <c r="C2145" s="15"/>
      <c r="D2145" s="15">
        <v>37757.919999999998</v>
      </c>
      <c r="E2145" s="16">
        <v>45548</v>
      </c>
      <c r="F2145" s="17" t="s">
        <v>25</v>
      </c>
    </row>
    <row r="2146" spans="1:6">
      <c r="A2146" s="13">
        <v>45551</v>
      </c>
      <c r="B2146" s="15">
        <v>2006.26</v>
      </c>
      <c r="C2146" s="15"/>
      <c r="D2146" s="15">
        <v>37821.03</v>
      </c>
      <c r="E2146" s="16">
        <v>45551</v>
      </c>
      <c r="F2146" s="17" t="s">
        <v>25</v>
      </c>
    </row>
    <row r="2147" spans="1:6">
      <c r="A2147" s="13">
        <v>45552</v>
      </c>
      <c r="B2147" s="15">
        <v>2011.08</v>
      </c>
      <c r="C2147" s="15"/>
      <c r="D2147" s="15">
        <v>37824.519999999997</v>
      </c>
      <c r="E2147" s="16">
        <v>45552</v>
      </c>
      <c r="F2147" s="17" t="s">
        <v>25</v>
      </c>
    </row>
    <row r="2148" spans="1:6">
      <c r="A2148" s="13">
        <v>45553</v>
      </c>
      <c r="B2148" s="15">
        <v>2003.59</v>
      </c>
      <c r="C2148" s="15"/>
      <c r="D2148" s="15">
        <v>37712.14</v>
      </c>
      <c r="E2148" s="16">
        <v>45553</v>
      </c>
      <c r="F2148" s="17" t="s">
        <v>25</v>
      </c>
    </row>
    <row r="2149" spans="1:6">
      <c r="A2149" s="13">
        <v>45554</v>
      </c>
      <c r="B2149" s="15">
        <v>2003.74</v>
      </c>
      <c r="C2149" s="15"/>
      <c r="D2149" s="15">
        <v>37642.28</v>
      </c>
      <c r="E2149" s="16">
        <v>45554</v>
      </c>
      <c r="F2149" s="17" t="s">
        <v>25</v>
      </c>
    </row>
    <row r="2150" spans="1:6">
      <c r="A2150" s="13">
        <v>45555</v>
      </c>
      <c r="B2150" s="15">
        <v>2028.32</v>
      </c>
      <c r="C2150" s="15"/>
      <c r="D2150" s="15">
        <v>38179.29</v>
      </c>
      <c r="E2150" s="16">
        <v>45555</v>
      </c>
      <c r="F2150" s="17" t="s">
        <v>25</v>
      </c>
    </row>
    <row r="2151" spans="1:6">
      <c r="A2151" s="13">
        <v>45558</v>
      </c>
      <c r="B2151" s="15">
        <v>2044.02</v>
      </c>
      <c r="C2151" s="15"/>
      <c r="D2151" s="15">
        <v>38472.29</v>
      </c>
      <c r="E2151" s="16">
        <v>45558</v>
      </c>
      <c r="F2151" s="17" t="s">
        <v>25</v>
      </c>
    </row>
    <row r="2152" spans="1:6">
      <c r="A2152" s="13">
        <v>45559</v>
      </c>
      <c r="B2152" s="15">
        <v>2045.68</v>
      </c>
      <c r="C2152" s="15"/>
      <c r="D2152" s="15">
        <v>38488.870000000003</v>
      </c>
      <c r="E2152" s="16">
        <v>45559</v>
      </c>
      <c r="F2152" s="17" t="s">
        <v>25</v>
      </c>
    </row>
    <row r="2153" spans="1:6">
      <c r="A2153" s="13">
        <v>45560</v>
      </c>
      <c r="B2153" s="15">
        <v>2045.53</v>
      </c>
      <c r="C2153" s="15"/>
      <c r="D2153" s="15">
        <v>38460.31</v>
      </c>
      <c r="E2153" s="16">
        <v>45560</v>
      </c>
      <c r="F2153" s="17" t="s">
        <v>25</v>
      </c>
    </row>
    <row r="2154" spans="1:6">
      <c r="A2154" s="13">
        <v>45561</v>
      </c>
      <c r="B2154" s="15">
        <v>2058.02</v>
      </c>
      <c r="C2154" s="15"/>
      <c r="D2154" s="15">
        <v>38658.58</v>
      </c>
      <c r="E2154" s="16">
        <v>45561</v>
      </c>
      <c r="F2154" s="17" t="s">
        <v>25</v>
      </c>
    </row>
    <row r="2155" spans="1:6">
      <c r="A2155" s="13">
        <v>45562</v>
      </c>
      <c r="B2155" s="15">
        <v>2058.5</v>
      </c>
      <c r="C2155" s="15"/>
      <c r="D2155" s="15">
        <v>38646.949999999997</v>
      </c>
      <c r="E2155" s="16">
        <v>45562</v>
      </c>
      <c r="F2155" s="17" t="s">
        <v>25</v>
      </c>
    </row>
    <row r="2156" spans="1:6">
      <c r="A2156" s="13">
        <v>45565</v>
      </c>
      <c r="B2156" s="15">
        <v>2039.8</v>
      </c>
      <c r="C2156" s="15"/>
      <c r="D2156" s="15">
        <v>38261.39</v>
      </c>
      <c r="E2156" s="16">
        <v>45565</v>
      </c>
      <c r="F2156" s="17" t="s">
        <v>25</v>
      </c>
    </row>
    <row r="2157" spans="1:6">
      <c r="A2157" s="13">
        <v>45566</v>
      </c>
      <c r="B2157" s="15">
        <v>2042.9</v>
      </c>
      <c r="C2157" s="15"/>
      <c r="D2157" s="15">
        <v>38302.54</v>
      </c>
      <c r="E2157" s="16">
        <v>45566</v>
      </c>
      <c r="F2157" s="17" t="s">
        <v>25</v>
      </c>
    </row>
    <row r="2158" spans="1:6">
      <c r="A2158" s="13">
        <v>45568</v>
      </c>
      <c r="B2158" s="15">
        <v>1999.95</v>
      </c>
      <c r="C2158" s="15"/>
      <c r="D2158" s="15">
        <v>37488.51</v>
      </c>
      <c r="E2158" s="16">
        <v>45568</v>
      </c>
      <c r="F2158" s="17" t="s">
        <v>25</v>
      </c>
    </row>
    <row r="2159" spans="1:6">
      <c r="A2159" s="13">
        <v>45569</v>
      </c>
      <c r="B2159" s="15">
        <v>1983.46</v>
      </c>
      <c r="C2159" s="15"/>
      <c r="D2159" s="15">
        <v>37140.49</v>
      </c>
      <c r="E2159" s="16">
        <v>45569</v>
      </c>
      <c r="F2159" s="17" t="s">
        <v>25</v>
      </c>
    </row>
    <row r="2160" spans="1:6">
      <c r="A2160" s="13">
        <v>45572</v>
      </c>
      <c r="B2160" s="15">
        <v>1962.3</v>
      </c>
      <c r="C2160" s="15"/>
      <c r="D2160" s="15">
        <v>36583.47</v>
      </c>
      <c r="E2160" s="16">
        <v>45572</v>
      </c>
      <c r="F2160" s="17" t="s">
        <v>25</v>
      </c>
    </row>
    <row r="2161" spans="1:6">
      <c r="A2161" s="13">
        <v>45573</v>
      </c>
      <c r="B2161" s="15">
        <v>1982.55</v>
      </c>
      <c r="C2161" s="15"/>
      <c r="D2161" s="15">
        <v>37105.17</v>
      </c>
      <c r="E2161" s="16">
        <v>45573</v>
      </c>
      <c r="F2161" s="17" t="s">
        <v>25</v>
      </c>
    </row>
    <row r="2162" spans="1:6">
      <c r="A2162" s="13">
        <v>45574</v>
      </c>
      <c r="B2162" s="15">
        <v>1997.95</v>
      </c>
      <c r="C2162" s="15"/>
      <c r="D2162" s="15">
        <v>37242.54</v>
      </c>
      <c r="E2162" s="16">
        <v>45574</v>
      </c>
      <c r="F2162" s="17" t="s">
        <v>25</v>
      </c>
    </row>
    <row r="2163" spans="1:6">
      <c r="A2163" s="13">
        <v>45575</v>
      </c>
      <c r="B2163" s="15">
        <v>1993.63</v>
      </c>
      <c r="C2163" s="15"/>
      <c r="D2163" s="15">
        <v>37240.29</v>
      </c>
      <c r="E2163" s="16">
        <v>45575</v>
      </c>
      <c r="F2163" s="17" t="s">
        <v>25</v>
      </c>
    </row>
    <row r="2164" spans="1:6">
      <c r="A2164" s="13">
        <v>45576</v>
      </c>
      <c r="B2164" s="15">
        <v>1997.28</v>
      </c>
      <c r="C2164" s="15"/>
      <c r="D2164" s="15">
        <v>37261.17</v>
      </c>
      <c r="E2164" s="16">
        <v>45576</v>
      </c>
      <c r="F2164" s="17" t="s">
        <v>25</v>
      </c>
    </row>
    <row r="2165" spans="1:6">
      <c r="A2165" s="13">
        <v>45579</v>
      </c>
      <c r="B2165" s="15">
        <v>2009.26</v>
      </c>
      <c r="C2165" s="15"/>
      <c r="D2165" s="15">
        <v>37443.97</v>
      </c>
      <c r="E2165" s="16">
        <v>45579</v>
      </c>
      <c r="F2165" s="17" t="s">
        <v>25</v>
      </c>
    </row>
    <row r="2166" spans="1:6">
      <c r="A2166" s="13">
        <v>45580</v>
      </c>
      <c r="B2166" s="15">
        <v>2013.53</v>
      </c>
      <c r="C2166" s="15"/>
      <c r="D2166" s="15">
        <v>37457.599999999999</v>
      </c>
      <c r="E2166" s="16">
        <v>45580</v>
      </c>
      <c r="F2166" s="17" t="s">
        <v>25</v>
      </c>
    </row>
    <row r="2167" spans="1:6">
      <c r="A2167" s="13">
        <v>45581</v>
      </c>
      <c r="B2167" s="15">
        <v>2011.44</v>
      </c>
      <c r="C2167" s="15"/>
      <c r="D2167" s="15">
        <v>37358.9</v>
      </c>
      <c r="E2167" s="16">
        <v>45581</v>
      </c>
      <c r="F2167" s="17" t="s">
        <v>25</v>
      </c>
    </row>
    <row r="2168" spans="1:6">
      <c r="A2168" s="13">
        <v>45582</v>
      </c>
      <c r="B2168" s="15">
        <v>1988.99</v>
      </c>
      <c r="C2168" s="15"/>
      <c r="D2168" s="15">
        <v>36891.53</v>
      </c>
      <c r="E2168" s="16">
        <v>45582</v>
      </c>
      <c r="F2168" s="17" t="s">
        <v>25</v>
      </c>
    </row>
    <row r="2169" spans="1:6">
      <c r="A2169" s="13">
        <v>45583</v>
      </c>
      <c r="B2169" s="15">
        <v>1994.07</v>
      </c>
      <c r="C2169" s="15"/>
      <c r="D2169" s="15">
        <v>36994.04</v>
      </c>
      <c r="E2169" s="16">
        <v>45583</v>
      </c>
      <c r="F2169" s="17" t="s">
        <v>25</v>
      </c>
    </row>
    <row r="2170" spans="1:6">
      <c r="A2170" s="13">
        <v>45586</v>
      </c>
      <c r="B2170" s="15">
        <v>1973.21</v>
      </c>
      <c r="C2170" s="15"/>
      <c r="D2170" s="15">
        <v>36713.97</v>
      </c>
      <c r="E2170" s="16">
        <v>45586</v>
      </c>
      <c r="F2170" s="17" t="s">
        <v>25</v>
      </c>
    </row>
    <row r="2171" spans="1:6">
      <c r="A2171" s="13">
        <v>45587</v>
      </c>
      <c r="B2171" s="15">
        <v>1942.31</v>
      </c>
      <c r="C2171" s="15"/>
      <c r="D2171" s="15">
        <v>36008.15</v>
      </c>
      <c r="E2171" s="16">
        <v>45587</v>
      </c>
      <c r="F2171" s="17" t="s">
        <v>25</v>
      </c>
    </row>
    <row r="2172" spans="1:6">
      <c r="A2172" s="13">
        <v>45588</v>
      </c>
      <c r="B2172" s="15">
        <v>1946.98</v>
      </c>
      <c r="C2172" s="15"/>
      <c r="D2172" s="15">
        <v>36050.230000000003</v>
      </c>
      <c r="E2172" s="16">
        <v>45588</v>
      </c>
      <c r="F2172" s="17" t="s">
        <v>25</v>
      </c>
    </row>
    <row r="2173" spans="1:6">
      <c r="A2173" s="13">
        <v>45589</v>
      </c>
      <c r="B2173" s="15">
        <v>1943.93</v>
      </c>
      <c r="C2173" s="15"/>
      <c r="D2173" s="15">
        <v>35966.15</v>
      </c>
      <c r="E2173" s="16">
        <v>45589</v>
      </c>
      <c r="F2173" s="17" t="s">
        <v>25</v>
      </c>
    </row>
    <row r="2174" spans="1:6">
      <c r="A2174" s="13">
        <v>45590</v>
      </c>
      <c r="B2174" s="15">
        <v>1920.88</v>
      </c>
      <c r="C2174" s="15"/>
      <c r="D2174" s="15">
        <v>35510.879999999997</v>
      </c>
      <c r="E2174" s="16">
        <v>45590</v>
      </c>
      <c r="F2174" s="17" t="s">
        <v>25</v>
      </c>
    </row>
    <row r="2175" spans="1:6">
      <c r="A2175" s="13">
        <v>45593</v>
      </c>
      <c r="B2175" s="15">
        <v>1929.14</v>
      </c>
      <c r="C2175" s="15"/>
      <c r="D2175" s="15">
        <v>35749.31</v>
      </c>
      <c r="E2175" s="16">
        <v>45593</v>
      </c>
      <c r="F2175" s="17" t="s">
        <v>25</v>
      </c>
    </row>
    <row r="2176" spans="1:6">
      <c r="A2176" s="13">
        <v>45594</v>
      </c>
      <c r="B2176" s="15">
        <v>1936.23</v>
      </c>
      <c r="C2176" s="15"/>
      <c r="D2176" s="15">
        <v>35992.9</v>
      </c>
      <c r="E2176" s="16">
        <v>45594</v>
      </c>
      <c r="F2176" s="17" t="s">
        <v>25</v>
      </c>
    </row>
    <row r="2177" spans="1:6">
      <c r="A2177" s="13">
        <v>45595</v>
      </c>
      <c r="B2177" s="15">
        <v>1929.34</v>
      </c>
      <c r="C2177" s="15"/>
      <c r="D2177" s="15">
        <v>35921.769999999997</v>
      </c>
      <c r="E2177" s="16">
        <v>45595</v>
      </c>
      <c r="F2177" s="17" t="s">
        <v>25</v>
      </c>
    </row>
    <row r="2178" spans="1:6">
      <c r="A2178" s="13">
        <v>45596</v>
      </c>
      <c r="B2178" s="15">
        <v>1920.92</v>
      </c>
      <c r="C2178" s="15"/>
      <c r="D2178" s="15">
        <v>35830.980000000003</v>
      </c>
      <c r="E2178" s="16">
        <v>45596</v>
      </c>
      <c r="F2178" s="17" t="s">
        <v>25</v>
      </c>
    </row>
    <row r="2179" spans="1:6">
      <c r="A2179" s="13">
        <v>45600</v>
      </c>
      <c r="B2179" s="15">
        <v>1909.49</v>
      </c>
      <c r="C2179" s="15"/>
      <c r="D2179" s="15">
        <v>35561.760000000002</v>
      </c>
      <c r="E2179" s="16">
        <v>45600</v>
      </c>
      <c r="F2179" s="17" t="s">
        <v>25</v>
      </c>
    </row>
    <row r="2180" spans="1:6">
      <c r="A2180" s="13">
        <v>45601</v>
      </c>
      <c r="B2180" s="15">
        <v>1924.12</v>
      </c>
      <c r="C2180" s="15"/>
      <c r="D2180" s="15">
        <v>35816.9</v>
      </c>
      <c r="E2180" s="16">
        <v>45601</v>
      </c>
      <c r="F2180" s="17" t="s">
        <v>25</v>
      </c>
    </row>
    <row r="2181" spans="1:6">
      <c r="A2181" s="13">
        <v>45602</v>
      </c>
      <c r="B2181" s="15">
        <v>1949.96</v>
      </c>
      <c r="C2181" s="15"/>
      <c r="D2181" s="15">
        <v>36377.550000000003</v>
      </c>
      <c r="E2181" s="16">
        <v>45602</v>
      </c>
      <c r="F2181" s="17" t="s">
        <v>25</v>
      </c>
    </row>
    <row r="2182" spans="1:6">
      <c r="A2182" s="13">
        <v>45603</v>
      </c>
      <c r="B2182" s="15">
        <v>1931.33</v>
      </c>
      <c r="C2182" s="15"/>
      <c r="D2182" s="15">
        <v>36023.67</v>
      </c>
      <c r="E2182" s="16">
        <v>45603</v>
      </c>
      <c r="F2182" s="17" t="s">
        <v>25</v>
      </c>
    </row>
    <row r="2183" spans="1:6">
      <c r="A2183" s="13">
        <v>45604</v>
      </c>
      <c r="B2183" s="15">
        <v>1920.42</v>
      </c>
      <c r="C2183" s="15"/>
      <c r="D2183" s="15">
        <v>35771.65</v>
      </c>
      <c r="E2183" s="16">
        <v>45604</v>
      </c>
      <c r="F2183" s="17" t="s">
        <v>25</v>
      </c>
    </row>
    <row r="2184" spans="1:6">
      <c r="A2184" s="13">
        <v>45607</v>
      </c>
      <c r="B2184" s="15">
        <v>1914.59</v>
      </c>
      <c r="C2184" s="15"/>
      <c r="D2184" s="15">
        <v>35685.949999999997</v>
      </c>
      <c r="E2184" s="16">
        <v>45607</v>
      </c>
      <c r="F2184" s="17" t="s">
        <v>25</v>
      </c>
    </row>
    <row r="2185" spans="1:6">
      <c r="A2185" s="13">
        <v>45608</v>
      </c>
      <c r="B2185" s="15">
        <v>1894.64</v>
      </c>
      <c r="C2185" s="15"/>
      <c r="D2185" s="15">
        <v>35275.39</v>
      </c>
      <c r="E2185" s="16">
        <v>45608</v>
      </c>
      <c r="F2185" s="17" t="s">
        <v>25</v>
      </c>
    </row>
    <row r="2186" spans="1:6">
      <c r="A2186" s="13">
        <v>45609</v>
      </c>
      <c r="B2186" s="15">
        <v>1861.95</v>
      </c>
      <c r="C2186" s="15"/>
      <c r="D2186" s="15">
        <v>34618.080000000002</v>
      </c>
      <c r="E2186" s="16">
        <v>45609</v>
      </c>
      <c r="F2186" s="17" t="s">
        <v>25</v>
      </c>
    </row>
    <row r="2187" spans="1:6">
      <c r="A2187" s="13">
        <v>45610</v>
      </c>
      <c r="B2187" s="15">
        <v>1865.53</v>
      </c>
      <c r="C2187" s="15"/>
      <c r="D2187" s="15">
        <v>34699.379999999997</v>
      </c>
      <c r="E2187" s="16">
        <v>45610</v>
      </c>
      <c r="F2187" s="17" t="s">
        <v>25</v>
      </c>
    </row>
    <row r="2188" spans="1:6">
      <c r="A2188" s="13">
        <v>45614</v>
      </c>
      <c r="B2188" s="15">
        <v>1860.52</v>
      </c>
      <c r="C2188" s="15"/>
      <c r="D2188" s="15">
        <v>34599.089999999997</v>
      </c>
      <c r="E2188" s="16">
        <v>45614</v>
      </c>
      <c r="F2188" s="17" t="s">
        <v>25</v>
      </c>
    </row>
    <row r="2189" spans="1:6">
      <c r="A2189" s="13">
        <v>45615</v>
      </c>
      <c r="B2189" s="15">
        <v>1867.36</v>
      </c>
      <c r="C2189" s="15"/>
      <c r="D2189" s="15">
        <v>34766.49</v>
      </c>
      <c r="E2189" s="16">
        <v>45615</v>
      </c>
      <c r="F2189" s="17" t="s">
        <v>25</v>
      </c>
    </row>
    <row r="2190" spans="1:6">
      <c r="A2190" s="13">
        <v>45617</v>
      </c>
      <c r="B2190" s="15">
        <v>1856.07</v>
      </c>
      <c r="C2190" s="15"/>
      <c r="D2190" s="15">
        <v>34476.589999999997</v>
      </c>
      <c r="E2190" s="16">
        <v>45617</v>
      </c>
      <c r="F2190" s="17" t="s">
        <v>25</v>
      </c>
    </row>
    <row r="2191" spans="1:6">
      <c r="A2191" s="13">
        <v>45618</v>
      </c>
      <c r="B2191" s="15">
        <v>1886.99</v>
      </c>
      <c r="C2191" s="15"/>
      <c r="D2191" s="15">
        <v>35116</v>
      </c>
      <c r="E2191" s="16">
        <v>45618</v>
      </c>
      <c r="F2191" s="17" t="s">
        <v>25</v>
      </c>
    </row>
    <row r="2192" spans="1:6">
      <c r="A2192" s="13">
        <v>45621</v>
      </c>
      <c r="B2192" s="15">
        <v>1911.82</v>
      </c>
      <c r="C2192" s="15"/>
      <c r="D2192" s="15">
        <v>35635.18</v>
      </c>
      <c r="E2192" s="16">
        <v>45621</v>
      </c>
      <c r="F2192" s="17" t="s">
        <v>25</v>
      </c>
    </row>
    <row r="2193" spans="1:6">
      <c r="A2193" s="13">
        <v>45622</v>
      </c>
      <c r="B2193" s="15">
        <v>1913.52</v>
      </c>
      <c r="C2193" s="15"/>
      <c r="D2193" s="15">
        <v>35649.51</v>
      </c>
      <c r="E2193" s="16">
        <v>45622</v>
      </c>
      <c r="F2193" s="17" t="s">
        <v>25</v>
      </c>
    </row>
    <row r="2194" spans="1:6">
      <c r="A2194" s="13">
        <v>45623</v>
      </c>
      <c r="B2194" s="15">
        <v>1920</v>
      </c>
      <c r="C2194" s="15"/>
      <c r="D2194" s="15">
        <v>35853.83</v>
      </c>
      <c r="E2194" s="16">
        <v>45623</v>
      </c>
      <c r="F2194" s="17" t="s">
        <v>25</v>
      </c>
    </row>
    <row r="2195" spans="1:6">
      <c r="A2195" s="13">
        <v>45624</v>
      </c>
      <c r="B2195" s="15">
        <v>1899.82</v>
      </c>
      <c r="C2195" s="15"/>
      <c r="D2195" s="15">
        <v>35573.800000000003</v>
      </c>
      <c r="E2195" s="16">
        <v>45624</v>
      </c>
      <c r="F2195" s="17" t="s">
        <v>25</v>
      </c>
    </row>
    <row r="2196" spans="1:6">
      <c r="A2196" s="13">
        <v>45625</v>
      </c>
      <c r="B2196" s="15">
        <v>1914.42</v>
      </c>
      <c r="C2196" s="15"/>
      <c r="D2196" s="15">
        <v>35847.4</v>
      </c>
      <c r="E2196" s="16">
        <v>45625</v>
      </c>
      <c r="F2196" s="17" t="s">
        <v>25</v>
      </c>
    </row>
    <row r="2197" spans="1:6">
      <c r="A2197" s="13">
        <v>45628</v>
      </c>
      <c r="B2197" s="15">
        <v>1925.15</v>
      </c>
      <c r="C2197" s="15"/>
      <c r="D2197" s="15">
        <v>36082.61</v>
      </c>
      <c r="E2197" s="16">
        <v>45628</v>
      </c>
      <c r="F2197" s="17" t="s">
        <v>25</v>
      </c>
    </row>
    <row r="2198" spans="1:6">
      <c r="A2198" s="13">
        <v>45629</v>
      </c>
      <c r="B2198" s="15">
        <v>1941.42</v>
      </c>
      <c r="C2198" s="15"/>
      <c r="D2198" s="15">
        <v>36374.879999999997</v>
      </c>
      <c r="E2198" s="16">
        <v>45629</v>
      </c>
      <c r="F2198" s="17" t="s">
        <v>25</v>
      </c>
    </row>
    <row r="2199" spans="1:6">
      <c r="A2199" s="13">
        <v>45630</v>
      </c>
      <c r="B2199" s="15">
        <v>1945.84</v>
      </c>
      <c r="C2199" s="15"/>
      <c r="D2199" s="15">
        <v>36499.26</v>
      </c>
      <c r="E2199" s="16">
        <v>45630</v>
      </c>
      <c r="F2199" s="17" t="s">
        <v>25</v>
      </c>
    </row>
    <row r="2200" spans="1:6">
      <c r="A2200" s="13">
        <v>45631</v>
      </c>
      <c r="B2200" s="15">
        <v>1959.51</v>
      </c>
      <c r="C2200" s="15"/>
      <c r="D2200" s="15">
        <v>36781.26</v>
      </c>
      <c r="E2200" s="16">
        <v>45631</v>
      </c>
      <c r="F2200" s="17" t="s">
        <v>25</v>
      </c>
    </row>
    <row r="2201" spans="1:6">
      <c r="A2201" s="13">
        <v>45632</v>
      </c>
      <c r="B2201" s="15">
        <v>1958.32</v>
      </c>
      <c r="C2201" s="15"/>
      <c r="D2201" s="15">
        <v>36835.17</v>
      </c>
      <c r="E2201" s="16">
        <v>45632</v>
      </c>
      <c r="F2201" s="17" t="s">
        <v>25</v>
      </c>
    </row>
    <row r="2202" spans="1:6">
      <c r="A2202" s="13">
        <v>45635</v>
      </c>
      <c r="B2202" s="15">
        <v>1958.37</v>
      </c>
      <c r="C2202" s="15"/>
      <c r="D2202" s="15">
        <v>36803.449999999997</v>
      </c>
      <c r="E2202" s="16">
        <v>45635</v>
      </c>
      <c r="F2202" s="17" t="s">
        <v>25</v>
      </c>
    </row>
    <row r="2203" spans="1:6">
      <c r="A2203" s="13">
        <v>45636</v>
      </c>
      <c r="B2203" s="15">
        <v>1965.14</v>
      </c>
      <c r="C2203" s="15"/>
      <c r="D2203" s="15">
        <v>36839.599999999999</v>
      </c>
      <c r="E2203" s="16">
        <v>45636</v>
      </c>
      <c r="F2203" s="17" t="s">
        <v>25</v>
      </c>
    </row>
    <row r="2204" spans="1:6">
      <c r="A2204" s="13">
        <v>45637</v>
      </c>
      <c r="B2204" s="15">
        <v>1966.6</v>
      </c>
      <c r="C2204" s="15"/>
      <c r="D2204" s="15">
        <v>36907.949999999997</v>
      </c>
      <c r="E2204" s="16">
        <v>45637</v>
      </c>
      <c r="F2204" s="17" t="s">
        <v>25</v>
      </c>
    </row>
    <row r="2205" spans="1:6">
      <c r="A2205" s="13">
        <v>45638</v>
      </c>
      <c r="B2205" s="15">
        <v>1958.02</v>
      </c>
      <c r="C2205" s="15"/>
      <c r="D2205" s="15">
        <v>36747.199999999997</v>
      </c>
      <c r="E2205" s="16">
        <v>45638</v>
      </c>
      <c r="F2205" s="17" t="s">
        <v>25</v>
      </c>
    </row>
    <row r="2206" spans="1:6">
      <c r="A2206" s="13">
        <v>45639</v>
      </c>
      <c r="B2206" s="15">
        <v>1964.45</v>
      </c>
      <c r="C2206" s="15"/>
      <c r="D2206" s="15">
        <v>36909.230000000003</v>
      </c>
      <c r="E2206" s="16">
        <v>45639</v>
      </c>
      <c r="F2206" s="17" t="s">
        <v>25</v>
      </c>
    </row>
    <row r="2207" spans="1:6">
      <c r="A2207" s="13">
        <v>45642</v>
      </c>
      <c r="B2207" s="15">
        <v>1962.08</v>
      </c>
      <c r="C2207" s="15"/>
      <c r="D2207" s="15">
        <v>36898.980000000003</v>
      </c>
      <c r="E2207" s="16">
        <v>45642</v>
      </c>
      <c r="F2207" s="17" t="s">
        <v>25</v>
      </c>
    </row>
    <row r="2208" spans="1:6">
      <c r="A2208" s="13">
        <v>45643</v>
      </c>
      <c r="B2208" s="15">
        <v>1941.29</v>
      </c>
      <c r="C2208" s="15"/>
      <c r="D2208" s="15">
        <v>36493.339999999997</v>
      </c>
      <c r="E2208" s="16">
        <v>45643</v>
      </c>
      <c r="F2208" s="17" t="s">
        <v>25</v>
      </c>
    </row>
    <row r="2209" spans="1:6">
      <c r="A2209" s="13">
        <v>45644</v>
      </c>
      <c r="B2209" s="15">
        <v>1932.59</v>
      </c>
      <c r="C2209" s="15"/>
      <c r="D2209" s="15">
        <v>36238.39</v>
      </c>
      <c r="E2209" s="16">
        <v>45644</v>
      </c>
      <c r="F2209" s="17" t="s">
        <v>25</v>
      </c>
    </row>
    <row r="2210" spans="1:6">
      <c r="A2210" s="13">
        <v>45645</v>
      </c>
      <c r="B2210" s="15">
        <v>1918.94</v>
      </c>
      <c r="C2210" s="15"/>
      <c r="D2210" s="15">
        <v>35950.449999999997</v>
      </c>
      <c r="E2210" s="16">
        <v>45645</v>
      </c>
      <c r="F2210" s="17" t="s">
        <v>25</v>
      </c>
    </row>
    <row r="2211" spans="1:6">
      <c r="A2211" s="13">
        <v>45646</v>
      </c>
      <c r="B2211" s="15">
        <v>1888.46</v>
      </c>
      <c r="C2211" s="15"/>
      <c r="D2211" s="15">
        <v>35266.620000000003</v>
      </c>
      <c r="E2211" s="16">
        <v>45646</v>
      </c>
      <c r="F2211" s="17" t="s">
        <v>25</v>
      </c>
    </row>
    <row r="2212" spans="1:6">
      <c r="A2212" s="13">
        <v>45649</v>
      </c>
      <c r="B2212" s="15">
        <v>1892.59</v>
      </c>
      <c r="C2212" s="15"/>
      <c r="D2212" s="15">
        <v>35413.410000000003</v>
      </c>
      <c r="E2212" s="16">
        <v>45649</v>
      </c>
      <c r="F2212" s="17" t="s">
        <v>25</v>
      </c>
    </row>
    <row r="2213" spans="1:6">
      <c r="A2213" s="13">
        <v>45650</v>
      </c>
      <c r="B2213" s="15">
        <v>1893.87</v>
      </c>
      <c r="C2213" s="15"/>
      <c r="D2213" s="15">
        <v>35401.019999999997</v>
      </c>
      <c r="E2213" s="16">
        <v>45650</v>
      </c>
      <c r="F2213" s="17" t="s">
        <v>25</v>
      </c>
    </row>
    <row r="2214" spans="1:6">
      <c r="A2214" s="13">
        <v>45652</v>
      </c>
      <c r="B2214" s="15">
        <v>1898.27</v>
      </c>
      <c r="C2214" s="15"/>
      <c r="D2214" s="15">
        <v>35444.76</v>
      </c>
      <c r="E2214" s="16">
        <v>45652</v>
      </c>
      <c r="F2214" s="17" t="s">
        <v>25</v>
      </c>
    </row>
    <row r="2215" spans="1:6">
      <c r="A2215" s="13">
        <v>45653</v>
      </c>
      <c r="B2215" s="15">
        <v>1900.52</v>
      </c>
      <c r="C2215" s="15"/>
      <c r="D2215" s="15">
        <v>35468.25</v>
      </c>
      <c r="E2215" s="16">
        <v>45653</v>
      </c>
      <c r="F2215" s="17" t="s">
        <v>25</v>
      </c>
    </row>
    <row r="2216" spans="1:6">
      <c r="A2216" s="13">
        <v>45656</v>
      </c>
      <c r="B2216" s="15">
        <v>1895.37</v>
      </c>
      <c r="C2216" s="15"/>
      <c r="D2216" s="15">
        <v>35329.040000000001</v>
      </c>
      <c r="E2216" s="16">
        <v>45656</v>
      </c>
      <c r="F2216" s="17" t="s">
        <v>25</v>
      </c>
    </row>
    <row r="2217" spans="1:6">
      <c r="A2217" s="13">
        <v>45657</v>
      </c>
      <c r="B2217" s="15">
        <v>1894.56</v>
      </c>
      <c r="C2217" s="15"/>
      <c r="D2217" s="15">
        <v>35357.9</v>
      </c>
      <c r="E2217" s="16">
        <v>45657</v>
      </c>
      <c r="F2217" s="17" t="s">
        <v>25</v>
      </c>
    </row>
    <row r="2218" spans="1:6">
      <c r="A2218" s="13">
        <v>45658</v>
      </c>
      <c r="B2218" s="15">
        <v>1900.57</v>
      </c>
      <c r="C2218" s="15"/>
      <c r="D2218" s="15">
        <v>35526.080000000002</v>
      </c>
      <c r="E2218" s="16">
        <v>45658</v>
      </c>
      <c r="F2218" s="17" t="s">
        <v>25</v>
      </c>
    </row>
    <row r="2219" spans="1:6">
      <c r="A2219" s="13">
        <v>45659</v>
      </c>
      <c r="B2219" s="15">
        <v>1930.05</v>
      </c>
      <c r="C2219" s="15"/>
      <c r="D2219" s="15">
        <v>36060.050000000003</v>
      </c>
      <c r="E2219" s="16">
        <v>45659</v>
      </c>
      <c r="F2219" s="17" t="s">
        <v>25</v>
      </c>
    </row>
    <row r="2220" spans="1:6">
      <c r="A2220" s="13">
        <v>45660</v>
      </c>
      <c r="B2220" s="15">
        <v>1921.13</v>
      </c>
      <c r="C2220" s="15"/>
      <c r="D2220" s="15">
        <v>35883.72</v>
      </c>
      <c r="E2220" s="16">
        <v>45660</v>
      </c>
      <c r="F2220" s="17" t="s">
        <v>25</v>
      </c>
    </row>
    <row r="2221" spans="1:6">
      <c r="A2221" s="13">
        <v>45663</v>
      </c>
      <c r="B2221" s="15">
        <v>1888.85</v>
      </c>
      <c r="C2221" s="15"/>
      <c r="D2221" s="15">
        <v>35120.870000000003</v>
      </c>
      <c r="E2221" s="16">
        <v>45663</v>
      </c>
      <c r="F2221" s="17" t="s">
        <v>25</v>
      </c>
    </row>
    <row r="2222" spans="1:6">
      <c r="A2222" s="13">
        <v>45664</v>
      </c>
      <c r="B2222" s="15">
        <v>1896.42</v>
      </c>
      <c r="C2222" s="15"/>
      <c r="D2222" s="15">
        <v>35304.550000000003</v>
      </c>
      <c r="E2222" s="16">
        <v>45664</v>
      </c>
      <c r="F2222" s="17" t="s">
        <v>25</v>
      </c>
    </row>
    <row r="2223" spans="1:6">
      <c r="A2223" s="13">
        <v>45665</v>
      </c>
      <c r="B2223" s="15">
        <v>1884.97</v>
      </c>
      <c r="C2223" s="15"/>
      <c r="D2223" s="15">
        <v>35131.01</v>
      </c>
      <c r="E2223" s="16">
        <v>45665</v>
      </c>
      <c r="F2223" s="17" t="s">
        <v>25</v>
      </c>
    </row>
    <row r="2224" spans="1:6">
      <c r="A2224" s="13">
        <v>45666</v>
      </c>
      <c r="B2224" s="15">
        <v>1877.37</v>
      </c>
      <c r="C2224" s="15"/>
      <c r="D2224" s="15">
        <v>34838.29</v>
      </c>
      <c r="E2224" s="16">
        <v>45666</v>
      </c>
      <c r="F2224" s="17" t="s">
        <v>25</v>
      </c>
    </row>
    <row r="2225" spans="1:6">
      <c r="A2225" s="13">
        <v>45667</v>
      </c>
      <c r="B2225" s="15">
        <v>1859.16</v>
      </c>
      <c r="C2225" s="15"/>
      <c r="D2225" s="15">
        <v>34447.06</v>
      </c>
      <c r="E2225" s="16">
        <v>45667</v>
      </c>
      <c r="F2225" s="17" t="s">
        <v>25</v>
      </c>
    </row>
    <row r="2226" spans="1:6">
      <c r="A2226" s="13">
        <v>45670</v>
      </c>
      <c r="B2226" s="15">
        <v>1816.24</v>
      </c>
      <c r="C2226" s="15"/>
      <c r="D2226" s="15">
        <v>33569.22</v>
      </c>
      <c r="E2226" s="16">
        <v>45670</v>
      </c>
      <c r="F2226" s="17" t="s">
        <v>25</v>
      </c>
    </row>
    <row r="2227" spans="1:6">
      <c r="A2227" s="13">
        <v>45671</v>
      </c>
      <c r="B2227" s="15">
        <v>1826.21</v>
      </c>
      <c r="C2227" s="15"/>
      <c r="D2227" s="15">
        <v>33944.68</v>
      </c>
      <c r="E2227" s="16">
        <v>45671</v>
      </c>
      <c r="F2227" s="17" t="s">
        <v>25</v>
      </c>
    </row>
    <row r="2228" spans="1:6">
      <c r="A2228" s="13">
        <v>45672</v>
      </c>
      <c r="B2228" s="15">
        <v>1828.9</v>
      </c>
      <c r="C2228" s="15"/>
      <c r="D2228" s="15">
        <v>34055.47</v>
      </c>
      <c r="E2228" s="16">
        <v>45672</v>
      </c>
      <c r="F2228" s="17" t="s">
        <v>25</v>
      </c>
    </row>
    <row r="2229" spans="1:6">
      <c r="A2229" s="13">
        <v>45673</v>
      </c>
      <c r="B2229" s="15">
        <v>1843.48</v>
      </c>
      <c r="C2229" s="15"/>
      <c r="D2229" s="15">
        <v>34313.800000000003</v>
      </c>
      <c r="E2229" s="16">
        <v>45673</v>
      </c>
      <c r="F2229" s="17" t="s">
        <v>25</v>
      </c>
    </row>
    <row r="2230" spans="1:6">
      <c r="A2230" s="13">
        <v>45674</v>
      </c>
      <c r="B2230" s="15">
        <v>1837.66</v>
      </c>
      <c r="C2230" s="15"/>
      <c r="D2230" s="15">
        <v>34278.129999999997</v>
      </c>
      <c r="E2230" s="16">
        <v>45674</v>
      </c>
      <c r="F2230" s="17" t="s">
        <v>25</v>
      </c>
    </row>
    <row r="2231" spans="1:6">
      <c r="A2231" s="13">
        <v>45677</v>
      </c>
      <c r="B2231" s="15">
        <v>1850.04</v>
      </c>
      <c r="C2231" s="15"/>
      <c r="D2231" s="15">
        <v>34481.71</v>
      </c>
      <c r="E2231" s="16">
        <v>45677</v>
      </c>
      <c r="F2231" s="17" t="s">
        <v>25</v>
      </c>
    </row>
    <row r="2232" spans="1:6">
      <c r="A2232" s="13">
        <v>45678</v>
      </c>
      <c r="B2232" s="15">
        <v>1824.28</v>
      </c>
      <c r="C2232" s="15"/>
      <c r="D2232" s="15">
        <v>33887.69</v>
      </c>
      <c r="E2232" s="16">
        <v>45678</v>
      </c>
      <c r="F2232" s="17" t="s">
        <v>25</v>
      </c>
    </row>
    <row r="2233" spans="1:6">
      <c r="A2233" s="13">
        <v>45679</v>
      </c>
      <c r="B2233" s="15">
        <v>1824.19</v>
      </c>
      <c r="C2233" s="15"/>
      <c r="D2233" s="15">
        <v>33829.919999999998</v>
      </c>
      <c r="E2233" s="16">
        <v>45679</v>
      </c>
      <c r="F2233" s="17" t="s">
        <v>25</v>
      </c>
    </row>
    <row r="2234" spans="1:6">
      <c r="A2234" s="13">
        <v>45680</v>
      </c>
      <c r="B2234" s="15">
        <v>1832.53</v>
      </c>
      <c r="C2234" s="15"/>
      <c r="D2234" s="15">
        <v>34053.660000000003</v>
      </c>
      <c r="E2234" s="16">
        <v>45680</v>
      </c>
      <c r="F2234" s="17" t="s">
        <v>25</v>
      </c>
    </row>
    <row r="2235" spans="1:6">
      <c r="A2235" s="13">
        <v>45681</v>
      </c>
      <c r="B2235" s="15">
        <v>1816.05</v>
      </c>
      <c r="C2235" s="15"/>
      <c r="D2235" s="15">
        <v>33707.25</v>
      </c>
      <c r="E2235" s="16">
        <v>45681</v>
      </c>
      <c r="F2235" s="17" t="s">
        <v>25</v>
      </c>
    </row>
    <row r="2236" spans="1:6">
      <c r="A2236" s="13">
        <v>45684</v>
      </c>
      <c r="B2236" s="15">
        <v>1784.33</v>
      </c>
      <c r="C2236" s="15"/>
      <c r="D2236" s="15">
        <v>33062.339999999997</v>
      </c>
      <c r="E2236" s="16">
        <v>45684</v>
      </c>
      <c r="F2236" s="17" t="s">
        <v>25</v>
      </c>
    </row>
    <row r="2237" spans="1:6">
      <c r="A2237" s="13">
        <v>45685</v>
      </c>
      <c r="B2237" s="15">
        <v>1786.24</v>
      </c>
      <c r="C2237" s="15"/>
      <c r="D2237" s="15">
        <v>33084.22</v>
      </c>
      <c r="E2237" s="16">
        <v>45685</v>
      </c>
      <c r="F2237" s="17" t="s">
        <v>25</v>
      </c>
    </row>
    <row r="2238" spans="1:6">
      <c r="A2238" s="13">
        <v>45686</v>
      </c>
      <c r="B2238" s="15">
        <v>1813.68</v>
      </c>
      <c r="C2238" s="15"/>
      <c r="D2238" s="15">
        <v>33593.199999999997</v>
      </c>
      <c r="E2238" s="16">
        <v>45686</v>
      </c>
      <c r="F2238" s="17" t="s">
        <v>25</v>
      </c>
    </row>
    <row r="2239" spans="1:6">
      <c r="A2239" s="13">
        <v>45687</v>
      </c>
      <c r="B2239" s="15">
        <v>1813.48</v>
      </c>
      <c r="C2239" s="15"/>
      <c r="D2239" s="15">
        <v>33676.11</v>
      </c>
      <c r="E2239" s="16">
        <v>45687</v>
      </c>
      <c r="F2239" s="17" t="s">
        <v>25</v>
      </c>
    </row>
    <row r="2240" spans="1:6">
      <c r="A2240" s="13">
        <v>45688</v>
      </c>
      <c r="B2240" s="15">
        <v>1826.07</v>
      </c>
      <c r="C2240" s="15"/>
      <c r="D2240" s="15">
        <v>34130.93</v>
      </c>
      <c r="E2240" s="16">
        <v>45688</v>
      </c>
      <c r="F2240" s="17" t="s">
        <v>25</v>
      </c>
    </row>
    <row r="2241" spans="1:6">
      <c r="A2241" s="13">
        <v>45691</v>
      </c>
      <c r="B2241" s="15">
        <v>1818.03</v>
      </c>
      <c r="C2241" s="15"/>
      <c r="D2241" s="15">
        <v>33849.51</v>
      </c>
      <c r="E2241" s="16">
        <v>45691</v>
      </c>
      <c r="F2241" s="17" t="s">
        <v>25</v>
      </c>
    </row>
    <row r="2242" spans="1:6">
      <c r="A2242" s="13">
        <v>45692</v>
      </c>
      <c r="B2242" s="15">
        <v>1842.63</v>
      </c>
      <c r="C2242" s="15"/>
      <c r="D2242" s="15">
        <v>34363.72</v>
      </c>
      <c r="E2242" s="16">
        <v>45692</v>
      </c>
      <c r="F2242" s="17" t="s">
        <v>25</v>
      </c>
    </row>
    <row r="2243" spans="1:6">
      <c r="A2243" s="13">
        <v>45693</v>
      </c>
      <c r="B2243" s="15">
        <v>1843.43</v>
      </c>
      <c r="C2243" s="15"/>
      <c r="D2243" s="15">
        <v>34453.97</v>
      </c>
      <c r="E2243" s="16">
        <v>45693</v>
      </c>
      <c r="F2243" s="17" t="s">
        <v>25</v>
      </c>
    </row>
    <row r="2244" spans="1:6">
      <c r="A2244" s="13">
        <v>45694</v>
      </c>
      <c r="B2244" s="15">
        <v>1838.09</v>
      </c>
      <c r="C2244" s="15"/>
      <c r="D2244" s="15">
        <v>34279.629999999997</v>
      </c>
      <c r="E2244" s="16">
        <v>45694</v>
      </c>
      <c r="F2244" s="17" t="s">
        <v>25</v>
      </c>
    </row>
    <row r="2245" spans="1:6">
      <c r="A2245" s="13">
        <v>45695</v>
      </c>
      <c r="B2245" s="15">
        <v>1840.07</v>
      </c>
      <c r="C2245" s="15"/>
      <c r="D2245" s="15">
        <v>34246.839999999997</v>
      </c>
      <c r="E2245" s="16">
        <v>45695</v>
      </c>
      <c r="F2245" s="17" t="s">
        <v>25</v>
      </c>
    </row>
    <row r="2246" spans="1:6">
      <c r="A2246" s="13">
        <v>45698</v>
      </c>
      <c r="B2246" s="15">
        <v>1822.69</v>
      </c>
      <c r="C2246" s="15"/>
      <c r="D2246" s="15">
        <v>33812.230000000003</v>
      </c>
      <c r="E2246" s="16">
        <v>45698</v>
      </c>
      <c r="F2246" s="17" t="s">
        <v>25</v>
      </c>
    </row>
    <row r="2247" spans="1:6">
      <c r="A2247" s="13">
        <v>45699</v>
      </c>
      <c r="B2247" s="15">
        <v>1793.37</v>
      </c>
      <c r="C2247" s="15"/>
      <c r="D2247" s="15">
        <v>33146.32</v>
      </c>
      <c r="E2247" s="16">
        <v>45699</v>
      </c>
      <c r="F2247" s="17" t="s">
        <v>25</v>
      </c>
    </row>
    <row r="2248" spans="1:6">
      <c r="A2248" s="13">
        <v>45700</v>
      </c>
      <c r="B2248" s="15">
        <v>1790.35</v>
      </c>
      <c r="C2248" s="15"/>
      <c r="D2248" s="15">
        <v>33091.14</v>
      </c>
      <c r="E2248" s="16">
        <v>45700</v>
      </c>
      <c r="F2248" s="17" t="s">
        <v>25</v>
      </c>
    </row>
    <row r="2249" spans="1:6">
      <c r="A2249" s="13">
        <v>45701</v>
      </c>
      <c r="B2249" s="15">
        <v>1790.68</v>
      </c>
      <c r="C2249" s="15"/>
      <c r="D2249" s="15">
        <v>33086.76</v>
      </c>
      <c r="E2249" s="16">
        <v>45701</v>
      </c>
      <c r="F2249" s="17" t="s">
        <v>25</v>
      </c>
    </row>
    <row r="2250" spans="1:6">
      <c r="A2250" s="13">
        <v>45702</v>
      </c>
      <c r="B2250" s="15">
        <v>1769.75</v>
      </c>
      <c r="C2250" s="15"/>
      <c r="D2250" s="15">
        <v>32659.9</v>
      </c>
      <c r="E2250" s="16">
        <v>45702</v>
      </c>
      <c r="F2250" s="17" t="s">
        <v>25</v>
      </c>
    </row>
    <row r="2251" spans="1:6">
      <c r="A2251" s="13">
        <v>45705</v>
      </c>
      <c r="B2251" s="15">
        <v>1768.23</v>
      </c>
      <c r="C2251" s="15"/>
      <c r="D2251" s="15">
        <v>32691.24</v>
      </c>
      <c r="E2251" s="16">
        <v>45705</v>
      </c>
      <c r="F2251" s="17" t="s">
        <v>25</v>
      </c>
    </row>
    <row r="2252" spans="1:6">
      <c r="A2252" s="13">
        <v>45706</v>
      </c>
      <c r="B2252" s="15">
        <v>1764.33</v>
      </c>
      <c r="C2252" s="15"/>
      <c r="D2252" s="15">
        <v>32627.75</v>
      </c>
      <c r="E2252" s="16">
        <v>45706</v>
      </c>
      <c r="F2252" s="17" t="s">
        <v>25</v>
      </c>
    </row>
    <row r="2253" spans="1:6">
      <c r="A2253" s="13">
        <v>45707</v>
      </c>
      <c r="B2253" s="15">
        <v>1773.4</v>
      </c>
      <c r="C2253" s="15"/>
      <c r="D2253" s="15">
        <v>32817.74</v>
      </c>
      <c r="E2253" s="16">
        <v>45707</v>
      </c>
      <c r="F2253" s="17" t="s">
        <v>25</v>
      </c>
    </row>
    <row r="2254" spans="1:6">
      <c r="A2254" s="13">
        <v>45708</v>
      </c>
      <c r="B2254" s="15">
        <v>1784.09</v>
      </c>
      <c r="C2254" s="15"/>
      <c r="D2254" s="15">
        <v>32975.85</v>
      </c>
      <c r="E2254" s="16">
        <v>45708</v>
      </c>
      <c r="F2254" s="17" t="s">
        <v>25</v>
      </c>
    </row>
    <row r="2255" spans="1:6">
      <c r="A2255" s="13">
        <v>45709</v>
      </c>
      <c r="B2255" s="15">
        <v>1769.75</v>
      </c>
      <c r="C2255" s="15"/>
      <c r="D2255" s="15">
        <v>32753.5</v>
      </c>
      <c r="E2255" s="16">
        <v>45709</v>
      </c>
      <c r="F2255" s="17" t="s">
        <v>25</v>
      </c>
    </row>
    <row r="2256" spans="1:6">
      <c r="A2256" s="13">
        <v>45712</v>
      </c>
      <c r="B2256" s="15">
        <v>1751.66</v>
      </c>
      <c r="C2256" s="15"/>
      <c r="D2256" s="15">
        <v>32402.38</v>
      </c>
      <c r="E2256" s="16">
        <v>45712</v>
      </c>
      <c r="F2256" s="17" t="s">
        <v>25</v>
      </c>
    </row>
    <row r="2257" spans="1:6">
      <c r="A2257" s="13">
        <v>45713</v>
      </c>
      <c r="B2257" s="15">
        <v>1747.14</v>
      </c>
      <c r="C2257" s="15"/>
      <c r="D2257" s="15">
        <v>32323.82</v>
      </c>
      <c r="E2257" s="16">
        <v>45713</v>
      </c>
      <c r="F2257" s="17" t="s">
        <v>25</v>
      </c>
    </row>
    <row r="2258" spans="1:6">
      <c r="A2258" s="13">
        <v>45715</v>
      </c>
      <c r="B2258" s="15">
        <v>1745.07</v>
      </c>
      <c r="C2258" s="15"/>
      <c r="D2258" s="15">
        <v>32160.49</v>
      </c>
      <c r="E2258" s="16">
        <v>45715</v>
      </c>
      <c r="F2258" s="17" t="s">
        <v>25</v>
      </c>
    </row>
    <row r="2259" spans="1:6">
      <c r="A2259" s="13">
        <v>45716</v>
      </c>
      <c r="B2259" s="15">
        <v>1708.49</v>
      </c>
      <c r="C2259" s="15"/>
      <c r="D2259" s="15">
        <v>31473.37</v>
      </c>
      <c r="E2259" s="16">
        <v>45716</v>
      </c>
      <c r="F2259" s="17" t="s">
        <v>25</v>
      </c>
    </row>
    <row r="2260" spans="1:6">
      <c r="A2260" s="13">
        <v>45719</v>
      </c>
      <c r="B2260" s="15">
        <v>1708.11</v>
      </c>
      <c r="C2260" s="15"/>
      <c r="D2260" s="15">
        <v>31498.76</v>
      </c>
      <c r="E2260" s="16">
        <v>45719</v>
      </c>
      <c r="F2260" s="17" t="s">
        <v>25</v>
      </c>
    </row>
    <row r="2261" spans="1:6">
      <c r="A2261" s="13">
        <v>45720</v>
      </c>
      <c r="B2261" s="15">
        <v>1708.24</v>
      </c>
      <c r="C2261" s="15"/>
      <c r="D2261" s="15">
        <v>31531.88</v>
      </c>
      <c r="E2261" s="16">
        <v>45720</v>
      </c>
      <c r="F2261" s="17" t="s">
        <v>25</v>
      </c>
    </row>
    <row r="2262" spans="1:6">
      <c r="A2262" s="13">
        <v>45721</v>
      </c>
      <c r="B2262" s="15">
        <v>1735.79</v>
      </c>
      <c r="C2262" s="15"/>
      <c r="D2262" s="15">
        <v>32068</v>
      </c>
      <c r="E2262" s="16">
        <v>45721</v>
      </c>
      <c r="F2262" s="17" t="s">
        <v>25</v>
      </c>
    </row>
    <row r="2263" spans="1:6">
      <c r="A2263" s="13">
        <v>45722</v>
      </c>
      <c r="B2263" s="15">
        <v>1755.24</v>
      </c>
      <c r="C2263" s="15"/>
      <c r="D2263" s="15">
        <v>32369.7</v>
      </c>
      <c r="E2263" s="16">
        <v>45722</v>
      </c>
      <c r="F2263" s="17" t="s">
        <v>25</v>
      </c>
    </row>
    <row r="2264" spans="1:6">
      <c r="A2264" s="13">
        <v>45723</v>
      </c>
      <c r="B2264" s="15">
        <v>1754.99</v>
      </c>
      <c r="C2264" s="15"/>
      <c r="D2264" s="15">
        <v>32364.23</v>
      </c>
      <c r="E2264" s="16">
        <v>45723</v>
      </c>
      <c r="F2264" s="17" t="s">
        <v>25</v>
      </c>
    </row>
    <row r="2265" spans="1:6">
      <c r="A2265" s="13">
        <v>45726</v>
      </c>
      <c r="B2265" s="15">
        <v>1743.28</v>
      </c>
      <c r="C2265" s="15"/>
      <c r="D2265" s="15">
        <v>32084.18</v>
      </c>
      <c r="E2265" s="16">
        <v>45726</v>
      </c>
      <c r="F2265" s="17" t="s">
        <v>25</v>
      </c>
    </row>
    <row r="2266" spans="1:6">
      <c r="A2266" s="13">
        <v>45727</v>
      </c>
      <c r="B2266" s="15">
        <v>1750.44</v>
      </c>
      <c r="C2266" s="15"/>
      <c r="D2266" s="15">
        <v>32142.17</v>
      </c>
      <c r="E2266" s="16">
        <v>45727</v>
      </c>
      <c r="F2266" s="17" t="s">
        <v>25</v>
      </c>
    </row>
    <row r="2267" spans="1:6">
      <c r="A2267" s="13">
        <v>45728</v>
      </c>
      <c r="B2267" s="15">
        <v>1745.08</v>
      </c>
      <c r="C2267" s="15"/>
      <c r="D2267" s="15">
        <v>32081.82</v>
      </c>
      <c r="E2267" s="16">
        <v>45728</v>
      </c>
      <c r="F2267" s="17" t="s">
        <v>25</v>
      </c>
    </row>
    <row r="2268" spans="1:6">
      <c r="A2268" s="13">
        <v>45729</v>
      </c>
      <c r="B2268" s="15">
        <v>1737.94</v>
      </c>
      <c r="C2268" s="15"/>
      <c r="D2268" s="15">
        <v>31942.25</v>
      </c>
      <c r="E2268" s="16">
        <v>45729</v>
      </c>
      <c r="F2268" s="17" t="s">
        <v>25</v>
      </c>
    </row>
    <row r="2269" spans="1:6">
      <c r="A2269" s="13">
        <v>45733</v>
      </c>
      <c r="B2269" s="15">
        <v>1752.35</v>
      </c>
      <c r="C2269" s="15"/>
      <c r="D2269" s="15">
        <v>32119.96</v>
      </c>
      <c r="E2269" s="16">
        <v>45733</v>
      </c>
      <c r="F2269" s="17" t="s">
        <v>25</v>
      </c>
    </row>
    <row r="2270" spans="1:6">
      <c r="A2270" s="13">
        <v>45734</v>
      </c>
      <c r="B2270" s="15">
        <v>1781.49</v>
      </c>
      <c r="C2270" s="15"/>
      <c r="D2270" s="15">
        <v>32703.97</v>
      </c>
      <c r="E2270" s="16">
        <v>45734</v>
      </c>
      <c r="F2270" s="17" t="s">
        <v>25</v>
      </c>
    </row>
    <row r="2271" spans="1:6">
      <c r="A2271" s="13">
        <v>45735</v>
      </c>
      <c r="B2271" s="15">
        <v>1793.4</v>
      </c>
      <c r="C2271" s="15"/>
      <c r="D2271" s="15">
        <v>33033.14</v>
      </c>
      <c r="E2271" s="16">
        <v>45735</v>
      </c>
      <c r="F2271" s="17" t="s">
        <v>25</v>
      </c>
    </row>
    <row r="2272" spans="1:6">
      <c r="A2272" s="13">
        <v>45736</v>
      </c>
      <c r="B2272" s="15">
        <v>1811.57</v>
      </c>
      <c r="C2272" s="15"/>
      <c r="D2272" s="15">
        <v>33358.699999999997</v>
      </c>
      <c r="E2272" s="16">
        <v>45736</v>
      </c>
      <c r="F2272" s="17" t="s">
        <v>25</v>
      </c>
    </row>
    <row r="2273" spans="1:6">
      <c r="A2273" s="13">
        <v>45737</v>
      </c>
      <c r="B2273" s="15">
        <v>1827.98</v>
      </c>
      <c r="C2273" s="15"/>
      <c r="D2273" s="15">
        <v>33681.839999999997</v>
      </c>
      <c r="E2273" s="16">
        <v>45737</v>
      </c>
      <c r="F2273" s="17" t="s">
        <v>25</v>
      </c>
    </row>
    <row r="2274" spans="1:6">
      <c r="A2274" s="13">
        <v>45740</v>
      </c>
      <c r="B2274" s="15">
        <v>1848.85</v>
      </c>
      <c r="C2274" s="15"/>
      <c r="D2274" s="15">
        <v>34100.120000000003</v>
      </c>
      <c r="E2274" s="16">
        <v>45740</v>
      </c>
      <c r="F2274" s="17" t="s">
        <v>25</v>
      </c>
    </row>
    <row r="2275" spans="1:6">
      <c r="A2275" s="13">
        <v>45741</v>
      </c>
      <c r="B2275" s="15">
        <v>1843.04</v>
      </c>
      <c r="C2275" s="15"/>
      <c r="D2275" s="15">
        <v>33941.26</v>
      </c>
      <c r="E2275" s="16">
        <v>45741</v>
      </c>
      <c r="F2275" s="17" t="s">
        <v>25</v>
      </c>
    </row>
    <row r="2276" spans="1:6">
      <c r="A2276" s="13">
        <v>45742</v>
      </c>
      <c r="B2276" s="15">
        <v>1831.46</v>
      </c>
      <c r="C2276" s="15"/>
      <c r="D2276" s="15">
        <v>33685.64</v>
      </c>
      <c r="E2276" s="16">
        <v>45742</v>
      </c>
      <c r="F2276" s="17" t="s">
        <v>25</v>
      </c>
    </row>
    <row r="2277" spans="1:6">
      <c r="A2277" s="13">
        <v>45743</v>
      </c>
      <c r="B2277" s="15">
        <v>1842.31</v>
      </c>
      <c r="C2277" s="15"/>
      <c r="D2277" s="15">
        <v>33895.46</v>
      </c>
      <c r="E2277" s="16">
        <v>45743</v>
      </c>
      <c r="F2277" s="17" t="s">
        <v>25</v>
      </c>
    </row>
    <row r="2278" spans="1:6">
      <c r="A2278" s="13">
        <v>45744</v>
      </c>
      <c r="B2278" s="15">
        <v>1841.87</v>
      </c>
      <c r="C2278" s="15"/>
      <c r="D2278" s="15">
        <v>33787.56</v>
      </c>
      <c r="E2278" s="16">
        <v>45744</v>
      </c>
      <c r="F2278" s="17" t="s">
        <v>25</v>
      </c>
    </row>
    <row r="2279" spans="1:6">
      <c r="A2279" s="13">
        <v>45747</v>
      </c>
      <c r="B2279" s="15">
        <v>1841.74</v>
      </c>
      <c r="C2279" s="15"/>
      <c r="D2279" s="15"/>
      <c r="E2279" s="16"/>
      <c r="F2279" s="17" t="s">
        <v>26</v>
      </c>
    </row>
    <row r="2280" spans="1:6">
      <c r="A2280" s="13">
        <v>45748</v>
      </c>
      <c r="B2280" s="15">
        <v>1812.56</v>
      </c>
      <c r="C2280" s="15"/>
      <c r="D2280" s="15">
        <v>33361.96</v>
      </c>
      <c r="E2280" s="16">
        <v>45748</v>
      </c>
      <c r="F2280" s="17" t="s">
        <v>25</v>
      </c>
    </row>
    <row r="2281" spans="1:6">
      <c r="A2281" s="13">
        <v>45749</v>
      </c>
      <c r="B2281" s="15">
        <v>1831.61</v>
      </c>
      <c r="C2281" s="15"/>
      <c r="D2281" s="15">
        <v>33670.61</v>
      </c>
      <c r="E2281" s="16">
        <v>45749</v>
      </c>
      <c r="F2281" s="17" t="s">
        <v>25</v>
      </c>
    </row>
    <row r="2282" spans="1:6">
      <c r="A2282" s="13">
        <v>45750</v>
      </c>
      <c r="B2282" s="15">
        <v>1824.37</v>
      </c>
      <c r="C2282" s="15"/>
      <c r="D2282" s="15">
        <v>33635.56</v>
      </c>
      <c r="E2282" s="16">
        <v>45750</v>
      </c>
      <c r="F2282" s="17" t="s">
        <v>25</v>
      </c>
    </row>
    <row r="2283" spans="1:6">
      <c r="A2283" s="13">
        <v>45751</v>
      </c>
      <c r="B2283" s="15">
        <v>1790.8</v>
      </c>
      <c r="C2283" s="15"/>
      <c r="D2283" s="15">
        <v>32942.089999999997</v>
      </c>
      <c r="E2283" s="16">
        <v>45751</v>
      </c>
      <c r="F2283" s="17" t="s">
        <v>25</v>
      </c>
    </row>
    <row r="2284" spans="1:6">
      <c r="A2284" s="13">
        <v>45754</v>
      </c>
      <c r="B2284" s="15">
        <v>1728.79</v>
      </c>
      <c r="C2284" s="15"/>
      <c r="D2284" s="15">
        <v>31834.33</v>
      </c>
      <c r="E2284" s="16">
        <v>45754</v>
      </c>
      <c r="F2284" s="17" t="s">
        <v>25</v>
      </c>
    </row>
    <row r="2285" spans="1:6">
      <c r="A2285" s="13">
        <v>45755</v>
      </c>
      <c r="B2285" s="15">
        <v>1761.26</v>
      </c>
      <c r="C2285" s="15"/>
      <c r="D2285" s="15">
        <v>32428.26</v>
      </c>
      <c r="E2285" s="16">
        <v>45755</v>
      </c>
      <c r="F2285" s="17" t="s">
        <v>25</v>
      </c>
    </row>
    <row r="2286" spans="1:6">
      <c r="A2286" s="13">
        <v>45756</v>
      </c>
      <c r="B2286" s="15">
        <v>1753.53</v>
      </c>
      <c r="C2286" s="15"/>
      <c r="D2286" s="15">
        <v>32231.86</v>
      </c>
      <c r="E2286" s="16">
        <v>45756</v>
      </c>
      <c r="F2286" s="17" t="s">
        <v>25</v>
      </c>
    </row>
    <row r="2287" spans="1:6">
      <c r="A2287" s="13">
        <v>45758</v>
      </c>
      <c r="B2287" s="15">
        <v>1785.74</v>
      </c>
      <c r="C2287" s="15"/>
      <c r="D2287" s="15">
        <v>32859.129999999997</v>
      </c>
      <c r="E2287" s="16">
        <v>45758</v>
      </c>
      <c r="F2287" s="17" t="s">
        <v>25</v>
      </c>
    </row>
    <row r="2288" spans="1:6">
      <c r="A2288" s="13">
        <v>45762</v>
      </c>
      <c r="B2288" s="15">
        <v>1828.34</v>
      </c>
      <c r="C2288" s="15"/>
      <c r="D2288" s="15">
        <v>33692.800000000003</v>
      </c>
      <c r="E2288" s="16">
        <v>45762</v>
      </c>
      <c r="F2288" s="17" t="s">
        <v>25</v>
      </c>
    </row>
    <row r="2289" spans="1:6">
      <c r="A2289" s="13">
        <v>45763</v>
      </c>
      <c r="B2289" s="15">
        <v>1837.95</v>
      </c>
      <c r="C2289" s="15"/>
      <c r="D2289" s="15">
        <v>33890.74</v>
      </c>
      <c r="E2289" s="16">
        <v>45763</v>
      </c>
      <c r="F2289" s="17" t="s">
        <v>25</v>
      </c>
    </row>
    <row r="2290" spans="1:6">
      <c r="A2290" s="13">
        <v>45764</v>
      </c>
      <c r="B2290" s="15">
        <v>1864.19</v>
      </c>
      <c r="C2290" s="15"/>
      <c r="D2290" s="15">
        <v>34329.58</v>
      </c>
      <c r="E2290" s="16">
        <v>45764</v>
      </c>
      <c r="F2290" s="17" t="s">
        <v>25</v>
      </c>
    </row>
    <row r="2291" spans="1:6">
      <c r="A2291" s="13">
        <v>45768</v>
      </c>
      <c r="B2291" s="15">
        <v>1892.07</v>
      </c>
      <c r="C2291" s="15"/>
      <c r="D2291" s="15">
        <v>34842.910000000003</v>
      </c>
      <c r="E2291" s="16">
        <v>45768</v>
      </c>
      <c r="F2291" s="17" t="s">
        <v>25</v>
      </c>
    </row>
    <row r="2292" spans="1:6">
      <c r="A2292" s="13">
        <v>45769</v>
      </c>
      <c r="B2292" s="15">
        <v>1895.39</v>
      </c>
      <c r="C2292" s="15"/>
      <c r="D2292" s="15">
        <v>34968.69</v>
      </c>
      <c r="E2292" s="16">
        <v>45769</v>
      </c>
      <c r="F2292" s="17" t="s">
        <v>25</v>
      </c>
    </row>
    <row r="2293" spans="1:6">
      <c r="A2293" s="13">
        <v>45770</v>
      </c>
      <c r="B2293" s="15">
        <v>1911.94</v>
      </c>
      <c r="C2293" s="15"/>
      <c r="D2293" s="15">
        <v>35210.269999999997</v>
      </c>
      <c r="E2293" s="16">
        <v>45770</v>
      </c>
      <c r="F2293" s="17" t="s">
        <v>25</v>
      </c>
    </row>
    <row r="2294" spans="1:6">
      <c r="A2294" s="13">
        <v>45771</v>
      </c>
      <c r="B2294" s="15">
        <v>1907.6</v>
      </c>
      <c r="C2294" s="15"/>
      <c r="D2294" s="15">
        <v>35120.1</v>
      </c>
      <c r="E2294" s="16">
        <v>45771</v>
      </c>
      <c r="F2294" s="17" t="s">
        <v>25</v>
      </c>
    </row>
    <row r="2295" spans="1:6">
      <c r="A2295" s="13">
        <v>45772</v>
      </c>
      <c r="B2295" s="15">
        <v>1885.68</v>
      </c>
      <c r="C2295" s="15"/>
      <c r="D2295" s="15">
        <v>34594.15</v>
      </c>
      <c r="E2295" s="16">
        <v>45772</v>
      </c>
      <c r="F2295" s="17" t="s">
        <v>25</v>
      </c>
    </row>
    <row r="2296" spans="1:6">
      <c r="A2296" s="13">
        <v>45775</v>
      </c>
      <c r="B2296" s="15">
        <v>1907.12</v>
      </c>
      <c r="C2296" s="15"/>
      <c r="D2296" s="15">
        <v>34999.51</v>
      </c>
      <c r="E2296" s="16">
        <v>45775</v>
      </c>
      <c r="F2296" s="17" t="s">
        <v>25</v>
      </c>
    </row>
    <row r="2297" spans="1:6">
      <c r="A2297" s="13">
        <v>45776</v>
      </c>
      <c r="B2297" s="15">
        <v>1909.9</v>
      </c>
      <c r="C2297" s="15"/>
      <c r="D2297" s="15">
        <v>35016.370000000003</v>
      </c>
      <c r="E2297" s="16">
        <v>45776</v>
      </c>
      <c r="F2297" s="17" t="s">
        <v>25</v>
      </c>
    </row>
    <row r="2298" spans="1:6">
      <c r="A2298" s="13">
        <v>45777</v>
      </c>
      <c r="B2298" s="15">
        <v>1907.59</v>
      </c>
      <c r="C2298" s="15"/>
      <c r="D2298" s="15">
        <v>34886.080000000002</v>
      </c>
      <c r="E2298" s="16">
        <v>45777</v>
      </c>
      <c r="F2298" s="17" t="s">
        <v>25</v>
      </c>
    </row>
    <row r="2299" spans="1:6">
      <c r="A2299" s="13">
        <v>45779</v>
      </c>
      <c r="B2299" s="15">
        <v>1906.97</v>
      </c>
      <c r="C2299" s="15"/>
      <c r="D2299" s="15">
        <v>34848.28</v>
      </c>
      <c r="E2299" s="16">
        <v>45779</v>
      </c>
      <c r="F2299" s="17" t="s">
        <v>25</v>
      </c>
    </row>
    <row r="2300" spans="1:6">
      <c r="A2300" s="13">
        <v>45782</v>
      </c>
      <c r="B2300" s="15">
        <v>1920.28</v>
      </c>
      <c r="C2300" s="15"/>
      <c r="D2300" s="15">
        <v>35147.86</v>
      </c>
      <c r="E2300" s="16">
        <v>45782</v>
      </c>
      <c r="F2300" s="17" t="s">
        <v>25</v>
      </c>
    </row>
    <row r="2301" spans="1:6">
      <c r="A2301" s="13">
        <v>45783</v>
      </c>
      <c r="B2301" s="15">
        <v>1902.49</v>
      </c>
      <c r="C2301" s="15"/>
      <c r="D2301" s="15">
        <v>34770.1</v>
      </c>
      <c r="E2301" s="16">
        <v>45783</v>
      </c>
      <c r="F2301" s="17" t="s">
        <v>25</v>
      </c>
    </row>
    <row r="2302" spans="1:6">
      <c r="A2302" s="13">
        <v>45784</v>
      </c>
      <c r="B2302" s="15">
        <v>1912.21</v>
      </c>
      <c r="C2302" s="15"/>
      <c r="D2302" s="15">
        <v>34953.839999999997</v>
      </c>
      <c r="E2302" s="16">
        <v>45784</v>
      </c>
      <c r="F2302" s="17" t="s">
        <v>25</v>
      </c>
    </row>
    <row r="2303" spans="1:6">
      <c r="A2303" s="13">
        <v>45785</v>
      </c>
      <c r="B2303" s="15">
        <v>1894.22</v>
      </c>
      <c r="C2303" s="15"/>
      <c r="D2303" s="15">
        <v>34590.6</v>
      </c>
      <c r="E2303" s="16">
        <v>45785</v>
      </c>
      <c r="F2303" s="17" t="s">
        <v>25</v>
      </c>
    </row>
    <row r="2304" spans="1:6">
      <c r="A2304" s="13">
        <v>45786</v>
      </c>
      <c r="B2304" s="15">
        <v>1878.69</v>
      </c>
      <c r="C2304" s="15"/>
      <c r="D2304" s="15">
        <v>34326.370000000003</v>
      </c>
      <c r="E2304" s="16">
        <v>45786</v>
      </c>
      <c r="F2304" s="17" t="s">
        <v>25</v>
      </c>
    </row>
    <row r="2305" spans="1:6">
      <c r="A2305" s="13">
        <v>45789</v>
      </c>
      <c r="B2305" s="15">
        <v>1945.1</v>
      </c>
      <c r="C2305" s="15"/>
      <c r="D2305" s="15">
        <v>35650</v>
      </c>
      <c r="E2305" s="16">
        <v>45789</v>
      </c>
      <c r="F2305" s="17" t="s">
        <v>25</v>
      </c>
    </row>
    <row r="2306" spans="1:6">
      <c r="A2306" s="13">
        <v>45790</v>
      </c>
      <c r="B2306" s="15">
        <v>1930.13</v>
      </c>
      <c r="C2306" s="15"/>
      <c r="D2306" s="15">
        <v>35393.94</v>
      </c>
      <c r="E2306" s="16">
        <v>45790</v>
      </c>
      <c r="F2306" s="17" t="s">
        <v>25</v>
      </c>
    </row>
    <row r="2307" spans="1:6">
      <c r="A2307" s="13">
        <v>45791</v>
      </c>
      <c r="B2307" s="15">
        <v>1940.76</v>
      </c>
      <c r="C2307" s="15"/>
      <c r="D2307" s="15">
        <v>35632.269999999997</v>
      </c>
      <c r="E2307" s="16">
        <v>45791</v>
      </c>
      <c r="F2307" s="17" t="s">
        <v>25</v>
      </c>
    </row>
    <row r="2308" spans="1:6">
      <c r="A2308" s="13">
        <v>45792</v>
      </c>
      <c r="B2308" s="15">
        <v>1966.22</v>
      </c>
      <c r="C2308" s="15"/>
      <c r="D2308" s="15">
        <v>36090.629999999997</v>
      </c>
      <c r="E2308" s="16">
        <v>45792</v>
      </c>
      <c r="F2308" s="17" t="s">
        <v>25</v>
      </c>
    </row>
    <row r="2309" spans="1:6">
      <c r="A2309" s="13">
        <v>45793</v>
      </c>
      <c r="B2309" s="15">
        <v>1971.01</v>
      </c>
      <c r="C2309" s="15"/>
      <c r="D2309" s="15">
        <v>36232.61</v>
      </c>
      <c r="E2309" s="16">
        <v>45793</v>
      </c>
      <c r="F2309" s="17" t="s">
        <v>25</v>
      </c>
    </row>
    <row r="2310" spans="1:6">
      <c r="A2310" s="13">
        <v>45796</v>
      </c>
      <c r="B2310" s="15">
        <v>1968.7</v>
      </c>
      <c r="C2310" s="15"/>
      <c r="D2310" s="15">
        <v>36224.519999999997</v>
      </c>
      <c r="E2310" s="16">
        <v>45796</v>
      </c>
      <c r="F2310" s="17" t="s">
        <v>25</v>
      </c>
    </row>
    <row r="2311" spans="1:6">
      <c r="A2311" s="13">
        <v>45797</v>
      </c>
      <c r="B2311" s="15">
        <v>1946.94</v>
      </c>
      <c r="C2311" s="15"/>
      <c r="D2311" s="15">
        <v>35780.620000000003</v>
      </c>
      <c r="E2311" s="16">
        <v>45797</v>
      </c>
      <c r="F2311" s="17" t="s">
        <v>25</v>
      </c>
    </row>
    <row r="2312" spans="1:6">
      <c r="A2312" s="13">
        <v>45798</v>
      </c>
      <c r="B2312" s="15">
        <v>1956.24</v>
      </c>
      <c r="C2312" s="15"/>
      <c r="D2312" s="15">
        <v>36010.699999999997</v>
      </c>
      <c r="E2312" s="16">
        <v>45798</v>
      </c>
      <c r="F2312" s="17" t="s">
        <v>25</v>
      </c>
    </row>
    <row r="2313" spans="1:6">
      <c r="A2313" s="13">
        <v>45799</v>
      </c>
      <c r="B2313" s="15">
        <v>1946.63</v>
      </c>
      <c r="C2313" s="15"/>
      <c r="D2313" s="15">
        <v>35797.03</v>
      </c>
      <c r="E2313" s="16">
        <v>45799</v>
      </c>
      <c r="F2313" s="17" t="s">
        <v>25</v>
      </c>
    </row>
    <row r="2314" spans="1:6">
      <c r="A2314" s="13">
        <v>45800</v>
      </c>
      <c r="B2314" s="15">
        <v>1961.09</v>
      </c>
      <c r="C2314" s="15"/>
      <c r="D2314" s="15">
        <v>36092.879999999997</v>
      </c>
      <c r="E2314" s="16">
        <v>45800</v>
      </c>
      <c r="F2314" s="17" t="s">
        <v>25</v>
      </c>
    </row>
    <row r="2315" spans="1:6">
      <c r="A2315" s="13">
        <v>45803</v>
      </c>
      <c r="B2315" s="15">
        <v>1970.13</v>
      </c>
      <c r="C2315" s="15"/>
      <c r="D2315" s="15">
        <v>36294.53</v>
      </c>
      <c r="E2315" s="16">
        <v>45803</v>
      </c>
      <c r="F2315" s="17" t="s">
        <v>25</v>
      </c>
    </row>
    <row r="2316" spans="1:6">
      <c r="A2316" s="13">
        <v>45804</v>
      </c>
      <c r="B2316" s="15">
        <v>1962.73</v>
      </c>
      <c r="C2316" s="15"/>
      <c r="D2316" s="15">
        <v>36149.56</v>
      </c>
      <c r="E2316" s="16">
        <v>45804</v>
      </c>
      <c r="F2316" s="17" t="s">
        <v>25</v>
      </c>
    </row>
    <row r="2317" spans="1:6">
      <c r="A2317" s="13">
        <v>45805</v>
      </c>
      <c r="B2317" s="15">
        <v>1958.89</v>
      </c>
      <c r="C2317" s="15"/>
      <c r="D2317" s="15">
        <v>36105.43</v>
      </c>
      <c r="E2317" s="16">
        <v>45805</v>
      </c>
      <c r="F2317" s="17" t="s">
        <v>25</v>
      </c>
    </row>
    <row r="2318" spans="1:6">
      <c r="A2318" s="13">
        <v>45806</v>
      </c>
      <c r="B2318" s="15">
        <v>1968.03</v>
      </c>
      <c r="C2318" s="15"/>
      <c r="D2318" s="15">
        <v>36236.36</v>
      </c>
      <c r="E2318" s="16">
        <v>45806</v>
      </c>
      <c r="F2318" s="17" t="s">
        <v>25</v>
      </c>
    </row>
    <row r="2319" spans="1:6">
      <c r="A2319" s="13">
        <v>45807</v>
      </c>
      <c r="B2319" s="15">
        <v>1965.1</v>
      </c>
      <c r="C2319" s="15"/>
      <c r="D2319" s="15">
        <v>36160.26</v>
      </c>
      <c r="E2319" s="16">
        <v>45807</v>
      </c>
      <c r="F2319" s="17" t="s">
        <v>25</v>
      </c>
    </row>
    <row r="2320" spans="1:6">
      <c r="A2320" s="13">
        <v>45810</v>
      </c>
      <c r="B2320" s="15">
        <v>1967.19</v>
      </c>
      <c r="C2320" s="15"/>
      <c r="D2320" s="15">
        <v>36211.9</v>
      </c>
      <c r="E2320" s="16">
        <v>45810</v>
      </c>
      <c r="F2320" s="17" t="s">
        <v>25</v>
      </c>
    </row>
    <row r="2321" spans="1:6">
      <c r="A2321" s="13">
        <v>45811</v>
      </c>
      <c r="B2321" s="15">
        <v>1961.87</v>
      </c>
      <c r="C2321" s="15"/>
      <c r="D2321" s="15">
        <v>36024.39</v>
      </c>
      <c r="E2321" s="16">
        <v>45811</v>
      </c>
      <c r="F2321" s="17" t="s">
        <v>25</v>
      </c>
    </row>
    <row r="2322" spans="1:6">
      <c r="A2322" s="13">
        <v>45812</v>
      </c>
      <c r="B2322" s="15">
        <v>1966.93</v>
      </c>
      <c r="C2322" s="15"/>
      <c r="D2322" s="15">
        <v>36185.79</v>
      </c>
      <c r="E2322" s="16">
        <v>45812</v>
      </c>
      <c r="F2322" s="17" t="s">
        <v>25</v>
      </c>
    </row>
    <row r="2323" spans="1:6">
      <c r="A2323" s="13">
        <v>45813</v>
      </c>
      <c r="B2323" s="15">
        <v>1977.47</v>
      </c>
      <c r="C2323" s="15"/>
      <c r="D2323" s="15">
        <v>36386.82</v>
      </c>
      <c r="E2323" s="16">
        <v>45813</v>
      </c>
      <c r="F2323" s="17" t="s">
        <v>25</v>
      </c>
    </row>
    <row r="2324" spans="1:6">
      <c r="A2324" s="13">
        <v>45814</v>
      </c>
      <c r="B2324" s="15">
        <v>1995.41</v>
      </c>
      <c r="C2324" s="15"/>
      <c r="D2324" s="15">
        <v>36753.75</v>
      </c>
      <c r="E2324" s="16">
        <v>45814</v>
      </c>
      <c r="F2324" s="17" t="s">
        <v>25</v>
      </c>
    </row>
    <row r="2325" spans="1:6">
      <c r="A2325" s="13">
        <v>45817</v>
      </c>
      <c r="B2325" s="15">
        <v>2007.88</v>
      </c>
      <c r="C2325" s="15"/>
      <c r="D2325" s="15">
        <v>37016.25</v>
      </c>
      <c r="E2325" s="16">
        <v>45817</v>
      </c>
      <c r="F2325" s="17" t="s">
        <v>25</v>
      </c>
    </row>
    <row r="2326" spans="1:6">
      <c r="A2326" s="13">
        <v>45818</v>
      </c>
      <c r="B2326" s="15">
        <v>2005.22</v>
      </c>
      <c r="C2326" s="15"/>
      <c r="D2326" s="15">
        <v>37032.959999999999</v>
      </c>
      <c r="E2326" s="16">
        <v>45818</v>
      </c>
      <c r="F2326" s="17" t="s">
        <v>25</v>
      </c>
    </row>
    <row r="2327" spans="1:6">
      <c r="A2327" s="13">
        <v>45819</v>
      </c>
      <c r="B2327" s="15">
        <v>2004.67</v>
      </c>
      <c r="C2327" s="15"/>
      <c r="D2327" s="15">
        <v>37030.15</v>
      </c>
      <c r="E2327" s="16">
        <v>45819</v>
      </c>
      <c r="F2327" s="17" t="s">
        <v>25</v>
      </c>
    </row>
    <row r="2328" spans="1:6">
      <c r="A2328" s="13">
        <v>45820</v>
      </c>
      <c r="B2328" s="15">
        <v>1982.79</v>
      </c>
      <c r="C2328" s="15"/>
      <c r="D2328" s="15">
        <v>36568.42</v>
      </c>
      <c r="E2328" s="16">
        <v>45820</v>
      </c>
      <c r="F2328" s="17" t="s">
        <v>25</v>
      </c>
    </row>
    <row r="2329" spans="1:6">
      <c r="A2329" s="13">
        <v>45821</v>
      </c>
      <c r="B2329" s="15">
        <v>1969.12</v>
      </c>
      <c r="C2329" s="15"/>
      <c r="D2329" s="15">
        <v>36348.18</v>
      </c>
      <c r="E2329" s="16">
        <v>45821</v>
      </c>
      <c r="F2329" s="17" t="s">
        <v>25</v>
      </c>
    </row>
    <row r="2330" spans="1:6">
      <c r="A2330" s="13">
        <v>45824</v>
      </c>
      <c r="B2330" s="15">
        <v>1987.49</v>
      </c>
      <c r="C2330" s="15"/>
      <c r="D2330" s="15">
        <v>36648.19</v>
      </c>
      <c r="E2330" s="16">
        <v>45824</v>
      </c>
      <c r="F2330" s="17" t="s">
        <v>25</v>
      </c>
    </row>
    <row r="2331" spans="1:6">
      <c r="A2331" s="13">
        <v>45825</v>
      </c>
      <c r="B2331" s="15">
        <v>1978.29</v>
      </c>
      <c r="C2331" s="15"/>
      <c r="D2331" s="15">
        <v>36468.69</v>
      </c>
      <c r="E2331" s="16">
        <v>45825</v>
      </c>
      <c r="F2331" s="17" t="s">
        <v>25</v>
      </c>
    </row>
    <row r="2332" spans="1:6">
      <c r="A2332" s="13">
        <v>45826</v>
      </c>
      <c r="B2332" s="15">
        <v>1978.52</v>
      </c>
      <c r="C2332" s="15"/>
      <c r="D2332" s="15">
        <v>36379.4</v>
      </c>
      <c r="E2332" s="16">
        <v>45826</v>
      </c>
      <c r="F2332" s="17" t="s">
        <v>25</v>
      </c>
    </row>
    <row r="2333" spans="1:6">
      <c r="A2333" s="13">
        <v>45827</v>
      </c>
      <c r="B2333" s="15">
        <v>1968.87</v>
      </c>
      <c r="C2333" s="15"/>
      <c r="D2333" s="15">
        <v>36123.39</v>
      </c>
      <c r="E2333" s="16">
        <v>45827</v>
      </c>
      <c r="F2333" s="17" t="s">
        <v>25</v>
      </c>
    </row>
    <row r="2334" spans="1:6">
      <c r="A2334" s="13">
        <v>45828</v>
      </c>
      <c r="B2334" s="15">
        <v>1990.03</v>
      </c>
      <c r="C2334" s="15"/>
      <c r="D2334" s="15">
        <v>36565.82</v>
      </c>
      <c r="E2334" s="16">
        <v>45828</v>
      </c>
      <c r="F2334" s="17" t="s">
        <v>25</v>
      </c>
    </row>
    <row r="2335" spans="1:6">
      <c r="A2335" s="13">
        <v>45831</v>
      </c>
      <c r="B2335" s="15">
        <v>1984.53</v>
      </c>
      <c r="C2335" s="15"/>
      <c r="D2335" s="15">
        <v>36507.74</v>
      </c>
      <c r="E2335" s="16">
        <v>45831</v>
      </c>
      <c r="F2335" s="17" t="s">
        <v>25</v>
      </c>
    </row>
    <row r="2336" spans="1:6">
      <c r="A2336" s="13">
        <v>45832</v>
      </c>
      <c r="B2336" s="15">
        <v>1997.75</v>
      </c>
      <c r="C2336" s="15"/>
      <c r="D2336" s="15">
        <v>36687.65</v>
      </c>
      <c r="E2336" s="16">
        <v>45832</v>
      </c>
      <c r="F2336" s="17" t="s">
        <v>25</v>
      </c>
    </row>
    <row r="2337" spans="1:6">
      <c r="A2337" s="13">
        <v>45833</v>
      </c>
      <c r="B2337" s="15">
        <v>2011.53</v>
      </c>
      <c r="C2337" s="15"/>
      <c r="D2337" s="15">
        <v>36979.230000000003</v>
      </c>
      <c r="E2337" s="16">
        <v>45833</v>
      </c>
      <c r="F2337" s="17" t="s">
        <v>25</v>
      </c>
    </row>
    <row r="2338" spans="1:6">
      <c r="A2338" s="13">
        <v>45834</v>
      </c>
      <c r="B2338" s="15">
        <v>2027.76</v>
      </c>
      <c r="C2338" s="15"/>
      <c r="D2338" s="15">
        <v>37329.53</v>
      </c>
      <c r="E2338" s="16">
        <v>45834</v>
      </c>
      <c r="F2338" s="17" t="s">
        <v>25</v>
      </c>
    </row>
    <row r="2339" spans="1:6">
      <c r="A2339" s="13">
        <v>45835</v>
      </c>
      <c r="B2339" s="15">
        <v>2035.28</v>
      </c>
      <c r="C2339" s="15"/>
      <c r="D2339" s="15">
        <v>37526.730000000003</v>
      </c>
      <c r="E2339" s="16">
        <v>45835</v>
      </c>
      <c r="F2339" s="17" t="s">
        <v>25</v>
      </c>
    </row>
    <row r="2340" spans="1:6">
      <c r="A2340" s="13">
        <v>45838</v>
      </c>
      <c r="B2340" s="15">
        <v>2030.28</v>
      </c>
      <c r="C2340" s="15"/>
      <c r="D2340" s="15">
        <v>37522.379999999997</v>
      </c>
      <c r="E2340" s="16">
        <v>45838</v>
      </c>
      <c r="F2340" s="17" t="s">
        <v>25</v>
      </c>
    </row>
    <row r="2341" spans="1:6">
      <c r="A2341" s="13">
        <v>45839</v>
      </c>
      <c r="B2341" s="15">
        <v>2029.69</v>
      </c>
      <c r="C2341" s="15"/>
      <c r="D2341" s="15">
        <v>37519.71</v>
      </c>
      <c r="E2341" s="16">
        <v>45839</v>
      </c>
      <c r="F2341" s="17" t="s">
        <v>25</v>
      </c>
    </row>
    <row r="2342" spans="1:6">
      <c r="A2342" s="13">
        <v>45840</v>
      </c>
      <c r="B2342" s="15">
        <v>2022.81</v>
      </c>
      <c r="C2342" s="15"/>
      <c r="D2342" s="15">
        <v>37411.42</v>
      </c>
      <c r="E2342" s="16">
        <v>45840</v>
      </c>
      <c r="F2342" s="17" t="s">
        <v>25</v>
      </c>
    </row>
    <row r="2343" spans="1:6">
      <c r="A2343" s="13">
        <v>45841</v>
      </c>
      <c r="B2343" s="15">
        <v>2018.35</v>
      </c>
      <c r="C2343" s="15"/>
      <c r="D2343" s="15">
        <v>37371</v>
      </c>
      <c r="E2343" s="16">
        <v>45841</v>
      </c>
      <c r="F2343" s="17" t="s">
        <v>25</v>
      </c>
    </row>
    <row r="2344" spans="1:6">
      <c r="A2344" s="13">
        <v>45842</v>
      </c>
      <c r="B2344" s="15">
        <v>2025.66</v>
      </c>
      <c r="C2344" s="15"/>
      <c r="D2344" s="15">
        <v>37443.199999999997</v>
      </c>
      <c r="E2344" s="16">
        <v>45842</v>
      </c>
      <c r="F2344" s="17" t="s">
        <v>25</v>
      </c>
    </row>
    <row r="2345" spans="1:6">
      <c r="A2345" s="13">
        <v>45845</v>
      </c>
      <c r="B2345" s="15">
        <v>2025.79</v>
      </c>
      <c r="C2345" s="15"/>
      <c r="D2345" s="15">
        <v>37426.49</v>
      </c>
      <c r="E2345" s="16">
        <v>45845</v>
      </c>
      <c r="F2345" s="17" t="s">
        <v>25</v>
      </c>
    </row>
    <row r="2346" spans="1:6">
      <c r="A2346" s="13">
        <v>45846</v>
      </c>
      <c r="B2346" s="15">
        <v>2028.91</v>
      </c>
      <c r="C2346" s="15"/>
      <c r="D2346" s="15">
        <v>37461.97</v>
      </c>
      <c r="E2346" s="16">
        <v>45846</v>
      </c>
      <c r="F2346" s="17" t="s">
        <v>25</v>
      </c>
    </row>
    <row r="2347" spans="1:6">
      <c r="A2347" s="13">
        <v>45847</v>
      </c>
      <c r="B2347" s="15">
        <v>2026.13</v>
      </c>
      <c r="C2347" s="15"/>
      <c r="D2347" s="15">
        <v>37438.19</v>
      </c>
      <c r="E2347" s="16">
        <v>45847</v>
      </c>
      <c r="F2347" s="17" t="s">
        <v>25</v>
      </c>
    </row>
    <row r="2348" spans="1:6">
      <c r="A2348" s="13">
        <v>45848</v>
      </c>
      <c r="B2348" s="15">
        <v>2016.9</v>
      </c>
      <c r="C2348" s="15"/>
      <c r="D2348" s="15">
        <v>37302.43</v>
      </c>
      <c r="E2348" s="16">
        <v>45848</v>
      </c>
      <c r="F2348" s="17" t="s">
        <v>25</v>
      </c>
    </row>
    <row r="2349" spans="1:6">
      <c r="A2349" s="13">
        <v>45849</v>
      </c>
      <c r="B2349" s="15">
        <v>2003.38</v>
      </c>
      <c r="C2349" s="15"/>
      <c r="D2349" s="15">
        <v>37005.03</v>
      </c>
      <c r="E2349" s="16">
        <v>45849</v>
      </c>
      <c r="F2349" s="17" t="s">
        <v>25</v>
      </c>
    </row>
    <row r="2350" spans="1:6">
      <c r="A2350" s="13">
        <v>45852</v>
      </c>
      <c r="B2350" s="15">
        <v>2002.24</v>
      </c>
      <c r="C2350" s="15"/>
      <c r="D2350" s="15">
        <v>37047.199999999997</v>
      </c>
      <c r="E2350" s="16">
        <v>45852</v>
      </c>
      <c r="F2350" s="17" t="s">
        <v>25</v>
      </c>
    </row>
    <row r="2351" spans="1:6">
      <c r="A2351" s="13">
        <v>45853</v>
      </c>
      <c r="B2351" s="15">
        <v>2011.39</v>
      </c>
      <c r="C2351" s="15"/>
      <c r="D2351" s="15">
        <v>37270.089999999997</v>
      </c>
      <c r="E2351" s="16">
        <v>45853</v>
      </c>
      <c r="F2351" s="17" t="s">
        <v>25</v>
      </c>
    </row>
    <row r="2352" spans="1:6">
      <c r="A2352" s="13">
        <v>45854</v>
      </c>
      <c r="B2352" s="15">
        <v>2012.23</v>
      </c>
      <c r="C2352" s="15"/>
      <c r="D2352" s="15">
        <v>37309.4</v>
      </c>
      <c r="E2352" s="16">
        <v>45854</v>
      </c>
      <c r="F2352" s="17" t="s">
        <v>25</v>
      </c>
    </row>
    <row r="2353" spans="1:6">
      <c r="A2353" s="13">
        <v>45855</v>
      </c>
      <c r="B2353" s="15">
        <v>2011.36</v>
      </c>
      <c r="C2353" s="15"/>
      <c r="D2353" s="15">
        <v>37225.68</v>
      </c>
      <c r="E2353" s="16">
        <v>45855</v>
      </c>
      <c r="F2353" s="17" t="s">
        <v>25</v>
      </c>
    </row>
    <row r="2354" spans="1:6">
      <c r="A2354" s="13">
        <v>45856</v>
      </c>
      <c r="B2354" s="15">
        <v>1998.41</v>
      </c>
      <c r="C2354" s="15"/>
      <c r="D2354" s="15">
        <v>37010.28</v>
      </c>
      <c r="E2354" s="16">
        <v>45856</v>
      </c>
      <c r="F2354" s="17" t="s">
        <v>25</v>
      </c>
    </row>
    <row r="2355" spans="1:6">
      <c r="A2355" s="13">
        <v>45870</v>
      </c>
      <c r="B2355" s="15">
        <v>1958.63</v>
      </c>
      <c r="C2355" s="15"/>
      <c r="D2355" s="15">
        <v>36086.49</v>
      </c>
      <c r="E2355" s="16">
        <v>45870</v>
      </c>
      <c r="F2355" s="17" t="s">
        <v>25</v>
      </c>
    </row>
    <row r="2356" spans="1:6">
      <c r="A2356" s="13">
        <v>45888</v>
      </c>
      <c r="B2356" s="15">
        <v>2006.98</v>
      </c>
      <c r="C2356" s="15"/>
      <c r="D2356" s="15">
        <v>36753.67</v>
      </c>
      <c r="E2356" s="16">
        <v>45888</v>
      </c>
      <c r="F2356" s="17" t="s">
        <v>25</v>
      </c>
    </row>
    <row r="2357" spans="1:6">
      <c r="A2357" s="13">
        <v>45889</v>
      </c>
      <c r="B2357" s="15">
        <v>2011.99</v>
      </c>
      <c r="C2357" s="15"/>
      <c r="D2357" s="15">
        <v>36875.67</v>
      </c>
      <c r="E2357" s="16">
        <v>45889</v>
      </c>
      <c r="F2357" s="17" t="s">
        <v>25</v>
      </c>
    </row>
    <row r="2358" spans="1:6">
      <c r="A2358" s="13">
        <v>45890</v>
      </c>
      <c r="B2358" s="15">
        <v>2014.59</v>
      </c>
      <c r="C2358" s="15"/>
      <c r="D2358" s="15">
        <v>36869.089999999997</v>
      </c>
      <c r="E2358" s="16">
        <v>45890</v>
      </c>
      <c r="F2358" s="17" t="s">
        <v>25</v>
      </c>
    </row>
    <row r="2359" spans="1:6">
      <c r="A2359" s="13">
        <v>45894</v>
      </c>
      <c r="B2359" s="15">
        <v>2008.29</v>
      </c>
      <c r="C2359" s="15"/>
      <c r="D2359" s="15">
        <v>36737.519999999997</v>
      </c>
      <c r="E2359" s="16">
        <v>45894</v>
      </c>
      <c r="F2359" s="17" t="s">
        <v>25</v>
      </c>
    </row>
    <row r="2360" spans="1:6">
      <c r="A2360" s="13">
        <v>45895</v>
      </c>
      <c r="B2360" s="15">
        <v>1983.61</v>
      </c>
      <c r="C2360" s="15"/>
      <c r="D2360" s="15">
        <v>36286.080000000002</v>
      </c>
      <c r="E2360" s="16">
        <v>45895</v>
      </c>
      <c r="F2360" s="17" t="s">
        <v>25</v>
      </c>
    </row>
    <row r="2361" spans="1:6">
      <c r="A2361" s="13">
        <v>45897</v>
      </c>
      <c r="B2361" s="15">
        <v>1965.93</v>
      </c>
      <c r="C2361" s="15"/>
      <c r="D2361" s="15">
        <v>35924.5</v>
      </c>
      <c r="E2361" s="16">
        <v>45897</v>
      </c>
      <c r="F2361" s="17" t="s">
        <v>25</v>
      </c>
    </row>
    <row r="2362" spans="1:6">
      <c r="A2362" s="13">
        <v>45898</v>
      </c>
      <c r="B2362" s="15">
        <v>1960.92</v>
      </c>
      <c r="C2362" s="15"/>
      <c r="D2362" s="15">
        <v>35799.379999999997</v>
      </c>
      <c r="E2362" s="16">
        <v>45898</v>
      </c>
      <c r="F2362" s="17" t="s">
        <v>25</v>
      </c>
    </row>
    <row r="2363" spans="1:6">
      <c r="A2363" s="13">
        <v>45901</v>
      </c>
      <c r="B2363" s="15">
        <v>1983.1</v>
      </c>
      <c r="C2363" s="15"/>
      <c r="D2363" s="15">
        <v>36198.879999999997</v>
      </c>
      <c r="E2363" s="16">
        <v>45901</v>
      </c>
      <c r="F2363" s="17" t="s">
        <v>25</v>
      </c>
    </row>
    <row r="2364" spans="1:6">
      <c r="A2364" s="13">
        <v>45902</v>
      </c>
      <c r="B2364" s="15">
        <v>1979.66</v>
      </c>
      <c r="C2364" s="15"/>
      <c r="D2364" s="15">
        <v>36216.300000000003</v>
      </c>
      <c r="E2364" s="16">
        <v>45902</v>
      </c>
      <c r="F2364" s="17" t="s">
        <v>25</v>
      </c>
    </row>
    <row r="2365" spans="1:6">
      <c r="A2365" s="13">
        <v>45903</v>
      </c>
      <c r="B2365" s="15">
        <v>1991.22</v>
      </c>
      <c r="C2365" s="15"/>
      <c r="D2365" s="15">
        <v>36439.980000000003</v>
      </c>
      <c r="E2365" s="16">
        <v>45903</v>
      </c>
      <c r="F2365" s="17" t="s">
        <v>25</v>
      </c>
    </row>
    <row r="2366" spans="1:6">
      <c r="A2366" s="13">
        <v>45904</v>
      </c>
      <c r="B2366" s="15">
        <v>1984.68</v>
      </c>
      <c r="C2366" s="15"/>
      <c r="D2366" s="15">
        <v>36373.300000000003</v>
      </c>
      <c r="E2366" s="16">
        <v>45904</v>
      </c>
      <c r="F2366" s="17" t="s">
        <v>25</v>
      </c>
    </row>
    <row r="2367" spans="1:6">
      <c r="A2367" s="13">
        <v>45905</v>
      </c>
      <c r="B2367" s="15">
        <v>1982.07</v>
      </c>
      <c r="C2367" s="15"/>
      <c r="D2367" s="15">
        <v>36388.379999999997</v>
      </c>
      <c r="E2367" s="16">
        <v>45905</v>
      </c>
      <c r="F2367" s="17" t="s">
        <v>25</v>
      </c>
    </row>
    <row r="2368" spans="1:6">
      <c r="A2368" s="13">
        <v>45908</v>
      </c>
      <c r="B2368" s="15">
        <v>1988.89</v>
      </c>
      <c r="C2368" s="15"/>
      <c r="D2368" s="15">
        <v>36467.99</v>
      </c>
      <c r="E2368" s="16">
        <v>45908</v>
      </c>
      <c r="F2368" s="17" t="s">
        <v>25</v>
      </c>
    </row>
    <row r="2369" spans="1:6">
      <c r="A2369" s="13">
        <v>45909</v>
      </c>
      <c r="B2369" s="15">
        <v>2000.6</v>
      </c>
      <c r="C2369" s="15"/>
      <c r="D2369" s="15">
        <v>36580.32</v>
      </c>
      <c r="E2369" s="16">
        <v>45909</v>
      </c>
      <c r="F2369" s="17" t="s">
        <v>25</v>
      </c>
    </row>
    <row r="2370" spans="1:6">
      <c r="A2370" s="13">
        <v>45910</v>
      </c>
      <c r="B2370" s="15">
        <v>2011.24</v>
      </c>
      <c r="C2370" s="15"/>
      <c r="D2370" s="15">
        <v>36780</v>
      </c>
      <c r="E2370" s="16">
        <v>45910</v>
      </c>
      <c r="F2370" s="17" t="s">
        <v>25</v>
      </c>
    </row>
    <row r="2371" spans="1:6">
      <c r="A2371" s="13">
        <v>45911</v>
      </c>
      <c r="B2371" s="15">
        <v>2011.89</v>
      </c>
      <c r="C2371" s="15"/>
      <c r="D2371" s="15">
        <v>36825.449999999997</v>
      </c>
      <c r="E2371" s="16">
        <v>45911</v>
      </c>
      <c r="F2371" s="17" t="s">
        <v>25</v>
      </c>
    </row>
    <row r="2372" spans="1:6">
      <c r="A2372" s="13">
        <v>45912</v>
      </c>
      <c r="B2372" s="15">
        <v>2018.02</v>
      </c>
      <c r="C2372" s="15"/>
      <c r="D2372" s="15">
        <v>36965.519999999997</v>
      </c>
      <c r="E2372" s="16">
        <v>45912</v>
      </c>
      <c r="F2372" s="17" t="s">
        <v>25</v>
      </c>
    </row>
    <row r="2373" spans="1:6">
      <c r="A2373" s="13">
        <v>45915</v>
      </c>
      <c r="B2373" s="15">
        <v>2021.11</v>
      </c>
      <c r="C2373" s="15"/>
      <c r="D2373" s="15">
        <v>37006.74</v>
      </c>
      <c r="E2373" s="16">
        <v>45915</v>
      </c>
      <c r="F2373" s="17" t="s">
        <v>25</v>
      </c>
    </row>
    <row r="2374" spans="1:6">
      <c r="A2374" s="13">
        <v>45916</v>
      </c>
      <c r="B2374" s="15">
        <v>2033.73</v>
      </c>
      <c r="C2374" s="15"/>
      <c r="D2374" s="15">
        <v>37251.370000000003</v>
      </c>
      <c r="E2374" s="16">
        <v>45916</v>
      </c>
      <c r="F2374" s="17" t="s">
        <v>25</v>
      </c>
    </row>
    <row r="2375" spans="1:6">
      <c r="A2375" s="13">
        <v>45917</v>
      </c>
      <c r="B2375" s="15">
        <v>2040.88</v>
      </c>
      <c r="C2375" s="15"/>
      <c r="D2375" s="15">
        <v>37372.44</v>
      </c>
      <c r="E2375" s="16">
        <v>45917</v>
      </c>
      <c r="F2375" s="17" t="s">
        <v>25</v>
      </c>
    </row>
    <row r="2376" spans="1:6">
      <c r="A2376" s="13">
        <v>45918</v>
      </c>
      <c r="B2376" s="15">
        <v>2048.11</v>
      </c>
      <c r="C2376" s="15"/>
      <c r="D2376" s="15">
        <v>37490.1</v>
      </c>
      <c r="E2376" s="16">
        <v>45918</v>
      </c>
      <c r="F2376" s="17" t="s">
        <v>25</v>
      </c>
    </row>
    <row r="2377" spans="1:6">
      <c r="A2377" s="13">
        <v>45919</v>
      </c>
      <c r="B2377" s="15">
        <v>2044.94</v>
      </c>
      <c r="C2377" s="15"/>
      <c r="D2377" s="15">
        <v>37439.300000000003</v>
      </c>
      <c r="E2377" s="16">
        <v>45919</v>
      </c>
      <c r="F2377" s="17" t="s">
        <v>25</v>
      </c>
    </row>
    <row r="2378" spans="1:6">
      <c r="A2378" s="13">
        <v>45922</v>
      </c>
      <c r="B2378" s="15">
        <v>2031.26</v>
      </c>
      <c r="C2378" s="15"/>
      <c r="D2378" s="15">
        <v>37272.18</v>
      </c>
      <c r="E2378" s="16">
        <v>45922</v>
      </c>
      <c r="F2378" s="17" t="s">
        <v>25</v>
      </c>
    </row>
    <row r="2379" spans="1:6">
      <c r="A2379" s="13">
        <v>45923</v>
      </c>
      <c r="B2379" s="15">
        <v>2027.76</v>
      </c>
      <c r="C2379" s="15"/>
      <c r="D2379" s="15">
        <v>37182.629999999997</v>
      </c>
      <c r="E2379" s="16">
        <v>45923</v>
      </c>
      <c r="F2379" s="17" t="s">
        <v>25</v>
      </c>
    </row>
    <row r="2380" spans="1:6">
      <c r="A2380" s="13">
        <v>45924</v>
      </c>
      <c r="B2380" s="15">
        <v>2019.23</v>
      </c>
      <c r="C2380" s="15"/>
      <c r="D2380" s="15">
        <v>36948.25</v>
      </c>
      <c r="E2380" s="16">
        <v>45924</v>
      </c>
      <c r="F2380" s="17" t="s">
        <v>25</v>
      </c>
    </row>
    <row r="2381" spans="1:6">
      <c r="A2381" s="13">
        <v>45925</v>
      </c>
      <c r="B2381" s="15">
        <v>2005.29</v>
      </c>
      <c r="C2381" s="15"/>
      <c r="D2381" s="15">
        <v>36699.82</v>
      </c>
      <c r="E2381" s="16">
        <v>45925</v>
      </c>
      <c r="F2381" s="17" t="s">
        <v>25</v>
      </c>
    </row>
    <row r="2382" spans="1:6">
      <c r="A2382" s="13">
        <v>45926</v>
      </c>
      <c r="B2382" s="15">
        <v>1978.22</v>
      </c>
      <c r="C2382" s="15"/>
      <c r="D2382" s="15">
        <v>36206.839999999997</v>
      </c>
      <c r="E2382" s="16">
        <v>45926</v>
      </c>
      <c r="F2382" s="17" t="s">
        <v>25</v>
      </c>
    </row>
    <row r="2383" spans="1:6">
      <c r="A2383" s="13">
        <v>45930</v>
      </c>
      <c r="B2383" s="15">
        <v>1980.81</v>
      </c>
      <c r="C2383" s="15"/>
      <c r="D2383" s="15">
        <v>36240.26</v>
      </c>
      <c r="E2383" s="16">
        <v>45930</v>
      </c>
      <c r="F2383" s="17" t="s">
        <v>25</v>
      </c>
    </row>
    <row r="2384" spans="1:6">
      <c r="A2384" s="13">
        <v>45931</v>
      </c>
      <c r="B2384" s="15">
        <v>1997.22</v>
      </c>
      <c r="C2384" s="15"/>
      <c r="D2384" s="15">
        <v>36549.800000000003</v>
      </c>
      <c r="E2384" s="16">
        <v>45931</v>
      </c>
      <c r="F2384" s="17" t="s">
        <v>25</v>
      </c>
    </row>
    <row r="2385" spans="1:6">
      <c r="A2385" s="13">
        <v>45933</v>
      </c>
      <c r="B2385" s="15">
        <v>2003.6</v>
      </c>
      <c r="C2385" s="15"/>
      <c r="D2385" s="15">
        <v>36708.39</v>
      </c>
      <c r="E2385" s="16">
        <v>45933</v>
      </c>
      <c r="F2385" s="17" t="s">
        <v>25</v>
      </c>
    </row>
    <row r="2386" spans="1:6">
      <c r="A2386" s="13">
        <v>45936</v>
      </c>
      <c r="B2386" s="15">
        <v>2019.47</v>
      </c>
      <c r="C2386" s="15"/>
      <c r="D2386" s="15">
        <v>36934.660000000003</v>
      </c>
      <c r="E2386" s="16">
        <v>45936</v>
      </c>
      <c r="F2386" s="17" t="s">
        <v>25</v>
      </c>
    </row>
    <row r="2387" spans="1:6">
      <c r="A2387" s="13">
        <v>45937</v>
      </c>
      <c r="B2387" s="15">
        <v>2021.73</v>
      </c>
      <c r="C2387" s="15"/>
      <c r="D2387" s="15">
        <v>36998.14</v>
      </c>
      <c r="E2387" s="16">
        <v>45937</v>
      </c>
      <c r="F2387" s="17" t="s">
        <v>25</v>
      </c>
    </row>
    <row r="2388" spans="1:6">
      <c r="A2388" s="13">
        <v>45938</v>
      </c>
      <c r="B2388" s="15">
        <v>2012.09</v>
      </c>
      <c r="C2388" s="15"/>
      <c r="D2388" s="15">
        <v>36838.5</v>
      </c>
      <c r="E2388" s="16">
        <v>45938</v>
      </c>
      <c r="F2388" s="17" t="s">
        <v>25</v>
      </c>
    </row>
    <row r="2389" spans="1:6">
      <c r="A2389" s="13">
        <v>45939</v>
      </c>
      <c r="B2389" s="15">
        <v>2023.1</v>
      </c>
      <c r="C2389" s="15"/>
      <c r="D2389" s="15">
        <v>37049.58</v>
      </c>
      <c r="E2389" s="16">
        <v>45939</v>
      </c>
      <c r="F2389" s="17" t="s">
        <v>25</v>
      </c>
    </row>
    <row r="2390" spans="1:6">
      <c r="A2390" s="13">
        <v>45940</v>
      </c>
      <c r="B2390" s="15">
        <v>2027.92</v>
      </c>
      <c r="C2390" s="15"/>
      <c r="D2390" s="15">
        <v>37202.44</v>
      </c>
      <c r="E2390" s="16">
        <v>45940</v>
      </c>
      <c r="F2390" s="17" t="s">
        <v>25</v>
      </c>
    </row>
    <row r="2391" spans="1:6">
      <c r="A2391" s="13">
        <v>45943</v>
      </c>
      <c r="B2391" s="15">
        <v>2026.82</v>
      </c>
      <c r="C2391" s="15"/>
      <c r="D2391" s="15">
        <v>37134.35</v>
      </c>
      <c r="E2391" s="16">
        <v>45943</v>
      </c>
      <c r="F2391" s="17" t="s">
        <v>25</v>
      </c>
    </row>
    <row r="2392" spans="1:6">
      <c r="A2392" s="13">
        <v>45944</v>
      </c>
      <c r="B2392" s="15">
        <v>2021.67</v>
      </c>
      <c r="C2392" s="15"/>
      <c r="D2392" s="15">
        <v>36957.769999999997</v>
      </c>
      <c r="E2392" s="16">
        <v>45944</v>
      </c>
      <c r="F2392" s="17" t="s">
        <v>25</v>
      </c>
    </row>
    <row r="2393" spans="1:6">
      <c r="A2393" s="13">
        <v>45945</v>
      </c>
      <c r="B2393" s="15">
        <v>2040.04</v>
      </c>
      <c r="C2393" s="15"/>
      <c r="D2393" s="15">
        <v>37268.03</v>
      </c>
      <c r="E2393" s="16">
        <v>45945</v>
      </c>
      <c r="F2393" s="17" t="s">
        <v>25</v>
      </c>
    </row>
    <row r="2394" spans="1:6">
      <c r="A2394" s="13">
        <v>45946</v>
      </c>
      <c r="B2394" s="15">
        <v>2063.16</v>
      </c>
      <c r="C2394" s="15"/>
      <c r="D2394" s="15">
        <v>37565.29</v>
      </c>
      <c r="E2394" s="16">
        <v>45946</v>
      </c>
      <c r="F2394" s="17" t="s">
        <v>25</v>
      </c>
    </row>
    <row r="2395" spans="1:6">
      <c r="A2395" s="13">
        <v>45947</v>
      </c>
      <c r="B2395" s="15">
        <v>2068.0500000000002</v>
      </c>
      <c r="C2395" s="15"/>
      <c r="D2395" s="15">
        <v>37622.31</v>
      </c>
      <c r="E2395" s="16">
        <v>45947</v>
      </c>
      <c r="F2395" s="17" t="s">
        <v>25</v>
      </c>
    </row>
    <row r="2396" spans="1:6">
      <c r="A2396" s="13">
        <v>45950</v>
      </c>
      <c r="B2396" s="15">
        <v>2080.21</v>
      </c>
      <c r="C2396" s="15"/>
      <c r="D2396" s="15">
        <v>37812.39</v>
      </c>
      <c r="E2396" s="16">
        <v>45950</v>
      </c>
      <c r="F2396" s="17" t="s">
        <v>25</v>
      </c>
    </row>
    <row r="2397" spans="1:6">
      <c r="A2397" s="13">
        <v>45953</v>
      </c>
      <c r="B2397" s="15">
        <v>2084.2600000000002</v>
      </c>
      <c r="C2397" s="15"/>
      <c r="D2397" s="15">
        <v>37876.129999999997</v>
      </c>
      <c r="E2397" s="16">
        <v>45953</v>
      </c>
      <c r="F2397" s="17" t="s">
        <v>25</v>
      </c>
    </row>
    <row r="2398" spans="1:6">
      <c r="A2398" s="13">
        <v>45954</v>
      </c>
      <c r="B2398" s="15">
        <v>2078.11</v>
      </c>
      <c r="C2398" s="15"/>
      <c r="D2398" s="15">
        <v>37766.89</v>
      </c>
      <c r="E2398" s="16">
        <v>45954</v>
      </c>
      <c r="F2398" s="17" t="s">
        <v>25</v>
      </c>
    </row>
    <row r="2399" spans="1:6">
      <c r="A2399" s="13">
        <v>45957</v>
      </c>
      <c r="B2399" s="15">
        <v>2095.25</v>
      </c>
      <c r="C2399" s="15"/>
      <c r="D2399" s="15">
        <v>38030.32</v>
      </c>
      <c r="E2399" s="16">
        <v>45957</v>
      </c>
      <c r="F2399" s="17" t="s">
        <v>25</v>
      </c>
    </row>
    <row r="2400" spans="1:6">
      <c r="A2400" s="13">
        <v>45958</v>
      </c>
      <c r="B2400" s="15">
        <v>2096.16</v>
      </c>
      <c r="C2400" s="15"/>
      <c r="D2400" s="15">
        <v>37985.14</v>
      </c>
      <c r="E2400" s="16">
        <v>45958</v>
      </c>
      <c r="F2400" s="17" t="s">
        <v>25</v>
      </c>
    </row>
    <row r="2401" spans="1:6">
      <c r="A2401" s="13">
        <v>45959</v>
      </c>
      <c r="B2401" s="15">
        <v>2106.15</v>
      </c>
      <c r="C2401" s="15"/>
      <c r="D2401" s="15">
        <v>38208.18</v>
      </c>
      <c r="E2401" s="16">
        <v>45959</v>
      </c>
      <c r="F2401" s="17" t="s">
        <v>25</v>
      </c>
    </row>
    <row r="2402" spans="1:6">
      <c r="A2402" s="13">
        <v>45960</v>
      </c>
      <c r="B2402" s="15">
        <v>2097</v>
      </c>
      <c r="C2402" s="15"/>
      <c r="D2402" s="15">
        <v>38030.97</v>
      </c>
      <c r="E2402" s="16">
        <v>45960</v>
      </c>
      <c r="F2402" s="17" t="s">
        <v>25</v>
      </c>
    </row>
    <row r="2403" spans="1:6">
      <c r="A2403" s="13">
        <v>45961</v>
      </c>
      <c r="B2403" s="15">
        <v>2083.89</v>
      </c>
      <c r="C2403" s="15"/>
      <c r="D2403" s="15">
        <v>37822.449999999997</v>
      </c>
      <c r="E2403" s="16">
        <v>45961</v>
      </c>
      <c r="F2403" s="17" t="s">
        <v>25</v>
      </c>
    </row>
    <row r="2404" spans="1:6">
      <c r="A2404" s="13">
        <v>45964</v>
      </c>
      <c r="B2404" s="15">
        <v>2098.02</v>
      </c>
      <c r="C2404" s="15"/>
      <c r="D2404" s="15">
        <v>37983.99</v>
      </c>
      <c r="E2404" s="16">
        <v>45964</v>
      </c>
      <c r="F2404" s="17" t="s">
        <v>25</v>
      </c>
    </row>
    <row r="2405" spans="1:6">
      <c r="A2405" s="13">
        <v>45965</v>
      </c>
      <c r="B2405" s="15">
        <v>2086.69</v>
      </c>
      <c r="C2405" s="15"/>
      <c r="D2405" s="15">
        <v>37768.49</v>
      </c>
      <c r="E2405" s="16">
        <v>45965</v>
      </c>
      <c r="F2405" s="17" t="s">
        <v>25</v>
      </c>
    </row>
    <row r="2406" spans="1:6">
      <c r="A2406" s="13">
        <v>45967</v>
      </c>
      <c r="B2406" s="15">
        <v>2068.1</v>
      </c>
      <c r="C2406" s="15"/>
      <c r="D2406" s="15">
        <v>37510.82</v>
      </c>
      <c r="E2406" s="16">
        <v>45967</v>
      </c>
      <c r="F2406" s="17" t="s">
        <v>25</v>
      </c>
    </row>
    <row r="2407" spans="1:6">
      <c r="A2407" s="13">
        <v>45968</v>
      </c>
      <c r="B2407" s="15">
        <v>2071.58</v>
      </c>
      <c r="C2407" s="15"/>
      <c r="D2407" s="15">
        <v>37532.199999999997</v>
      </c>
      <c r="E2407" s="16">
        <v>45968</v>
      </c>
      <c r="F2407" s="17" t="s">
        <v>25</v>
      </c>
    </row>
    <row r="2408" spans="1:6">
      <c r="A2408" s="13">
        <v>45971</v>
      </c>
      <c r="B2408" s="15">
        <v>2074.35</v>
      </c>
      <c r="C2408" s="15"/>
      <c r="D2408" s="15">
        <v>37656.69</v>
      </c>
      <c r="E2408" s="16">
        <v>45971</v>
      </c>
      <c r="F2408" s="17" t="s">
        <v>25</v>
      </c>
    </row>
    <row r="2409" spans="1:6">
      <c r="A2409" s="13">
        <v>45972</v>
      </c>
      <c r="B2409" s="15">
        <v>2085.08</v>
      </c>
      <c r="C2409" s="15"/>
      <c r="D2409" s="15">
        <v>37794.11</v>
      </c>
      <c r="E2409" s="16">
        <v>45972</v>
      </c>
      <c r="F2409" s="17" t="s">
        <v>25</v>
      </c>
    </row>
    <row r="2410" spans="1:6">
      <c r="A2410" s="13">
        <v>45973</v>
      </c>
      <c r="B2410" s="15">
        <v>2097.35</v>
      </c>
      <c r="C2410" s="15"/>
      <c r="D2410" s="15">
        <v>38040.22</v>
      </c>
      <c r="E2410" s="16">
        <v>45973</v>
      </c>
      <c r="F2410" s="17" t="s">
        <v>25</v>
      </c>
    </row>
    <row r="2411" spans="1:6">
      <c r="A2411" s="13">
        <v>45974</v>
      </c>
      <c r="B2411" s="15">
        <v>2095.33</v>
      </c>
      <c r="C2411" s="15"/>
      <c r="D2411" s="15">
        <v>38007.300000000003</v>
      </c>
      <c r="E2411" s="16">
        <v>45974</v>
      </c>
      <c r="F2411" s="17" t="s">
        <v>25</v>
      </c>
    </row>
    <row r="2412" spans="1:6">
      <c r="A2412" s="13">
        <v>45975</v>
      </c>
      <c r="B2412" s="15">
        <v>2094.9899999999998</v>
      </c>
      <c r="C2412" s="15"/>
      <c r="D2412" s="15">
        <v>38041.15</v>
      </c>
      <c r="E2412" s="16">
        <v>45975</v>
      </c>
      <c r="F2412" s="17" t="s">
        <v>25</v>
      </c>
    </row>
    <row r="2413" spans="1:6">
      <c r="A2413" s="13">
        <v>45978</v>
      </c>
      <c r="B2413" s="15">
        <v>2108.42</v>
      </c>
      <c r="C2413" s="15"/>
      <c r="D2413" s="15">
        <v>38229.800000000003</v>
      </c>
      <c r="E2413" s="16">
        <v>45978</v>
      </c>
      <c r="F2413" s="17" t="s">
        <v>25</v>
      </c>
    </row>
    <row r="2414" spans="1:6">
      <c r="A2414" s="13">
        <v>45979</v>
      </c>
      <c r="B2414" s="15">
        <v>2097.6799999999998</v>
      </c>
      <c r="C2414" s="15"/>
      <c r="D2414" s="15">
        <v>38023.56</v>
      </c>
      <c r="E2414" s="16">
        <v>45979</v>
      </c>
      <c r="F2414" s="17" t="s">
        <v>25</v>
      </c>
    </row>
    <row r="2415" spans="1:6">
      <c r="A2415" s="13">
        <v>45980</v>
      </c>
      <c r="B2415" s="15">
        <v>2109.08</v>
      </c>
      <c r="C2415" s="15"/>
      <c r="D2415" s="15">
        <v>38154.25</v>
      </c>
      <c r="E2415" s="16">
        <v>45980</v>
      </c>
      <c r="F2415" s="17" t="s">
        <v>25</v>
      </c>
    </row>
    <row r="2416" spans="1:6">
      <c r="A2416" s="13">
        <v>45981</v>
      </c>
      <c r="B2416" s="15">
        <v>2114.86</v>
      </c>
      <c r="C2416" s="15"/>
      <c r="D2416" s="15">
        <v>38264.879999999997</v>
      </c>
      <c r="E2416" s="16">
        <v>45981</v>
      </c>
      <c r="F2416" s="17" t="s">
        <v>25</v>
      </c>
    </row>
    <row r="2417" spans="1:6">
      <c r="A2417" s="13">
        <v>45982</v>
      </c>
      <c r="B2417" s="15">
        <v>2098.86</v>
      </c>
      <c r="C2417" s="15"/>
      <c r="D2417" s="15">
        <v>37970.160000000003</v>
      </c>
      <c r="E2417" s="16">
        <v>45982</v>
      </c>
      <c r="F2417" s="17" t="s">
        <v>25</v>
      </c>
    </row>
    <row r="2418" spans="1:6">
      <c r="A2418" s="13">
        <v>45985</v>
      </c>
      <c r="B2418" s="15">
        <v>2091.73</v>
      </c>
      <c r="C2418" s="15"/>
      <c r="D2418" s="15">
        <v>37785.5</v>
      </c>
      <c r="E2418" s="16">
        <v>45985</v>
      </c>
      <c r="F2418" s="17" t="s">
        <v>25</v>
      </c>
    </row>
    <row r="2419" spans="1:6">
      <c r="A2419" s="13">
        <v>45986</v>
      </c>
      <c r="B2419" s="15">
        <v>2093.33</v>
      </c>
      <c r="C2419" s="15"/>
      <c r="D2419" s="15">
        <v>37754.36</v>
      </c>
      <c r="E2419" s="16">
        <v>45986</v>
      </c>
      <c r="F2419" s="17" t="s">
        <v>25</v>
      </c>
    </row>
    <row r="2420" spans="1:6">
      <c r="A2420" s="13">
        <v>45987</v>
      </c>
      <c r="B2420" s="15">
        <v>2115.02</v>
      </c>
      <c r="C2420" s="15"/>
      <c r="D2420" s="15">
        <v>38234.47</v>
      </c>
      <c r="E2420" s="16">
        <v>45987</v>
      </c>
      <c r="F2420" s="17" t="s">
        <v>25</v>
      </c>
    </row>
    <row r="2421" spans="1:6">
      <c r="A2421" s="13">
        <v>45988</v>
      </c>
      <c r="B2421" s="15">
        <v>2111.46</v>
      </c>
      <c r="C2421" s="15"/>
      <c r="D2421" s="15">
        <v>38222.54</v>
      </c>
      <c r="E2421" s="16">
        <v>45988</v>
      </c>
      <c r="F2421" s="17" t="s">
        <v>25</v>
      </c>
    </row>
    <row r="2422" spans="1:6">
      <c r="A2422" s="13">
        <v>45989</v>
      </c>
      <c r="B2422" s="15">
        <v>2111.5500000000002</v>
      </c>
      <c r="C2422" s="15"/>
      <c r="D2422" s="15">
        <v>38199.35</v>
      </c>
      <c r="E2422" s="16">
        <v>45989</v>
      </c>
      <c r="F2422" s="17" t="s">
        <v>25</v>
      </c>
    </row>
    <row r="2423" spans="1:6">
      <c r="A2423" s="13">
        <v>45992</v>
      </c>
      <c r="B2423" s="15">
        <v>2114.06</v>
      </c>
      <c r="C2423" s="15"/>
      <c r="D2423" s="15">
        <v>38182.160000000003</v>
      </c>
      <c r="E2423" s="16">
        <v>45992</v>
      </c>
      <c r="F2423" s="17" t="s">
        <v>25</v>
      </c>
    </row>
    <row r="2424" spans="1:6">
      <c r="A2424" s="13">
        <v>45993</v>
      </c>
      <c r="B2424" s="15">
        <v>2104.25</v>
      </c>
      <c r="C2424" s="15"/>
      <c r="D2424" s="15">
        <v>38022.199999999997</v>
      </c>
      <c r="E2424" s="16">
        <v>45993</v>
      </c>
      <c r="F2424" s="17" t="s">
        <v>25</v>
      </c>
    </row>
    <row r="2425" spans="1:6">
      <c r="A2425" s="13">
        <v>45994</v>
      </c>
      <c r="B2425" s="15">
        <v>2095.8200000000002</v>
      </c>
      <c r="C2425" s="15"/>
      <c r="D2425" s="15">
        <v>37853.129999999997</v>
      </c>
      <c r="E2425" s="16">
        <v>45994</v>
      </c>
      <c r="F2425" s="17" t="s">
        <v>25</v>
      </c>
    </row>
    <row r="2426" spans="1:6">
      <c r="A2426" s="13">
        <v>45995</v>
      </c>
      <c r="B2426" s="15">
        <v>2099</v>
      </c>
      <c r="C2426" s="15"/>
      <c r="D2426" s="15">
        <v>37892.730000000003</v>
      </c>
      <c r="E2426" s="16">
        <v>45995</v>
      </c>
      <c r="F2426" s="17" t="s">
        <v>25</v>
      </c>
    </row>
    <row r="2427" spans="1:6">
      <c r="A2427" s="13">
        <v>45996</v>
      </c>
      <c r="B2427" s="15">
        <v>2111.7800000000002</v>
      </c>
      <c r="C2427" s="15"/>
      <c r="D2427" s="15">
        <v>38043.050000000003</v>
      </c>
      <c r="E2427" s="16">
        <v>45996</v>
      </c>
      <c r="F2427" s="17" t="s">
        <v>25</v>
      </c>
    </row>
    <row r="2428" spans="1:6">
      <c r="A2428" s="13">
        <v>45999</v>
      </c>
      <c r="B2428" s="15">
        <v>2090.69</v>
      </c>
      <c r="C2428" s="15"/>
      <c r="D2428" s="15">
        <v>37549.769999999997</v>
      </c>
      <c r="E2428" s="16">
        <v>45999</v>
      </c>
      <c r="F2428" s="17" t="s">
        <v>25</v>
      </c>
    </row>
    <row r="2429" spans="1:6">
      <c r="A2429" s="13">
        <v>46000</v>
      </c>
      <c r="B2429" s="15">
        <v>2087.4899999999998</v>
      </c>
      <c r="C2429" s="15"/>
      <c r="D2429" s="15">
        <v>37533.89</v>
      </c>
      <c r="E2429" s="16">
        <v>46000</v>
      </c>
      <c r="F2429" s="17" t="s">
        <v>25</v>
      </c>
    </row>
    <row r="2430" spans="1:6">
      <c r="A2430" s="13">
        <v>46001</v>
      </c>
      <c r="B2430" s="15">
        <v>2081.21</v>
      </c>
      <c r="C2430" s="15"/>
      <c r="D2430" s="15">
        <v>37362.36</v>
      </c>
      <c r="E2430" s="16">
        <v>46001</v>
      </c>
      <c r="F2430" s="17" t="s">
        <v>25</v>
      </c>
    </row>
    <row r="2431" spans="1:6">
      <c r="A2431" s="13">
        <v>46002</v>
      </c>
      <c r="B2431" s="15">
        <v>2090.4499999999998</v>
      </c>
      <c r="C2431" s="15"/>
      <c r="D2431" s="15">
        <v>37589.1</v>
      </c>
      <c r="E2431" s="16">
        <v>46002</v>
      </c>
      <c r="F2431" s="17" t="s">
        <v>25</v>
      </c>
    </row>
    <row r="2432" spans="1:6">
      <c r="A2432" s="13">
        <v>46003</v>
      </c>
      <c r="B2432" s="15">
        <v>2104.04</v>
      </c>
      <c r="C2432" s="15"/>
      <c r="D2432" s="15">
        <v>37869</v>
      </c>
      <c r="E2432" s="16">
        <v>46003</v>
      </c>
      <c r="F2432" s="17" t="s">
        <v>25</v>
      </c>
    </row>
    <row r="2433" spans="1:6">
      <c r="A2433" s="13">
        <v>46006</v>
      </c>
      <c r="B2433" s="15">
        <v>2105.5300000000002</v>
      </c>
      <c r="C2433" s="15"/>
      <c r="D2433" s="15">
        <v>37867.370000000003</v>
      </c>
      <c r="E2433" s="16">
        <v>46006</v>
      </c>
      <c r="F2433" s="17" t="s">
        <v>25</v>
      </c>
    </row>
    <row r="2434" spans="1:6">
      <c r="A2434" s="13">
        <v>46007</v>
      </c>
      <c r="B2434" s="15">
        <v>2095.71</v>
      </c>
      <c r="C2434" s="15"/>
      <c r="D2434" s="15">
        <v>37619.879999999997</v>
      </c>
      <c r="E2434" s="16">
        <v>46007</v>
      </c>
      <c r="F2434" s="17" t="s">
        <v>25</v>
      </c>
    </row>
    <row r="2435" spans="1:6">
      <c r="A2435" s="13">
        <v>46008</v>
      </c>
      <c r="B2435" s="15">
        <v>2094.31</v>
      </c>
      <c r="C2435" s="15"/>
      <c r="D2435" s="15">
        <v>37501.660000000003</v>
      </c>
      <c r="E2435" s="16">
        <v>46008</v>
      </c>
      <c r="F2435" s="17" t="s">
        <v>25</v>
      </c>
    </row>
    <row r="2436" spans="1:6">
      <c r="A2436" s="13">
        <v>46009</v>
      </c>
      <c r="B2436" s="15">
        <v>2096.16</v>
      </c>
      <c r="C2436" s="15"/>
      <c r="D2436" s="15">
        <v>37494.35</v>
      </c>
      <c r="E2436" s="16">
        <v>46009</v>
      </c>
      <c r="F2436" s="17" t="s">
        <v>25</v>
      </c>
    </row>
    <row r="2437" spans="1:6">
      <c r="A2437" s="13">
        <v>46010</v>
      </c>
      <c r="B2437" s="15">
        <v>2114.7800000000002</v>
      </c>
      <c r="C2437" s="15"/>
      <c r="D2437" s="15">
        <v>37791.42</v>
      </c>
      <c r="E2437" s="16">
        <v>46010</v>
      </c>
      <c r="F2437" s="17" t="s">
        <v>25</v>
      </c>
    </row>
    <row r="2438" spans="1:6">
      <c r="A2438" s="13">
        <v>46013</v>
      </c>
      <c r="B2438" s="15">
        <v>2128.92</v>
      </c>
      <c r="C2438" s="15"/>
      <c r="D2438" s="15">
        <v>38094.83</v>
      </c>
      <c r="E2438" s="16">
        <v>46013</v>
      </c>
      <c r="F2438" s="17" t="s">
        <v>25</v>
      </c>
    </row>
    <row r="2439" spans="1:6">
      <c r="A2439" s="13">
        <v>46014</v>
      </c>
      <c r="B2439" s="15">
        <v>2127.87</v>
      </c>
      <c r="C2439" s="15"/>
      <c r="D2439" s="15">
        <v>38138.720000000001</v>
      </c>
      <c r="E2439" s="16">
        <v>46014</v>
      </c>
      <c r="F2439" s="17" t="s">
        <v>25</v>
      </c>
    </row>
    <row r="2440" spans="1:6">
      <c r="A2440" s="13">
        <v>46015</v>
      </c>
      <c r="B2440" s="15">
        <v>2121.5500000000002</v>
      </c>
      <c r="C2440" s="15"/>
      <c r="D2440" s="15">
        <v>38067.120000000003</v>
      </c>
      <c r="E2440" s="16">
        <v>46015</v>
      </c>
      <c r="F2440" s="17" t="s">
        <v>25</v>
      </c>
    </row>
    <row r="2441" spans="1:6">
      <c r="A2441" s="13">
        <v>46017</v>
      </c>
      <c r="B2441" s="15">
        <v>2113.46</v>
      </c>
      <c r="C2441" s="15"/>
      <c r="D2441" s="15">
        <v>37955.379999999997</v>
      </c>
      <c r="E2441" s="16">
        <v>46017</v>
      </c>
      <c r="F2441" s="17" t="s">
        <v>25</v>
      </c>
    </row>
    <row r="2442" spans="1:6">
      <c r="A2442" s="13">
        <v>46020</v>
      </c>
      <c r="B2442" s="15">
        <v>2106.92</v>
      </c>
      <c r="C2442" s="15"/>
      <c r="D2442" s="15">
        <v>37798.74</v>
      </c>
      <c r="E2442" s="16">
        <v>46020</v>
      </c>
      <c r="F2442" s="17" t="s">
        <v>25</v>
      </c>
    </row>
    <row r="2443" spans="1:6">
      <c r="A2443" s="13">
        <v>46021</v>
      </c>
      <c r="B2443" s="15">
        <v>2107.2800000000002</v>
      </c>
      <c r="C2443" s="15"/>
      <c r="D2443" s="15">
        <v>37777.449999999997</v>
      </c>
      <c r="E2443" s="16">
        <v>46021</v>
      </c>
      <c r="F2443" s="17" t="s">
        <v>25</v>
      </c>
    </row>
    <row r="2444" spans="1:6">
      <c r="A2444" s="13">
        <v>46022</v>
      </c>
      <c r="B2444" s="15">
        <v>2123.5500000000002</v>
      </c>
      <c r="C2444" s="15"/>
      <c r="D2444" s="15">
        <v>38101.06</v>
      </c>
      <c r="E2444" s="16">
        <v>46022</v>
      </c>
      <c r="F2444" s="17" t="s">
        <v>25</v>
      </c>
    </row>
    <row r="2445" spans="1:6">
      <c r="A2445" s="13">
        <v>46023</v>
      </c>
      <c r="B2445" s="15">
        <v>2126.36</v>
      </c>
      <c r="C2445" s="15"/>
      <c r="D2445" s="15">
        <v>38161.769999999997</v>
      </c>
      <c r="E2445" s="16">
        <v>46023</v>
      </c>
      <c r="F2445" s="17" t="s">
        <v>25</v>
      </c>
    </row>
    <row r="2446" spans="1:6">
      <c r="A2446" s="13">
        <v>46024</v>
      </c>
      <c r="B2446" s="15">
        <v>2137.92</v>
      </c>
      <c r="C2446" s="15"/>
      <c r="D2446" s="15">
        <v>38464.1</v>
      </c>
      <c r="E2446" s="16">
        <v>46024</v>
      </c>
      <c r="F2446" s="17" t="s">
        <v>25</v>
      </c>
    </row>
    <row r="2447" spans="1:6">
      <c r="A2447" s="13">
        <v>46027</v>
      </c>
      <c r="B2447" s="15">
        <v>2134.89</v>
      </c>
      <c r="C2447" s="15"/>
      <c r="D2447" s="15">
        <v>38399.370000000003</v>
      </c>
      <c r="E2447" s="16">
        <v>46027</v>
      </c>
      <c r="F2447" s="17" t="s">
        <v>25</v>
      </c>
    </row>
    <row r="2448" spans="1:6">
      <c r="A2448" s="13">
        <v>46028</v>
      </c>
      <c r="B2448" s="15">
        <v>2136.2800000000002</v>
      </c>
      <c r="C2448" s="15"/>
      <c r="D2448" s="15">
        <v>38322.83</v>
      </c>
      <c r="E2448" s="16">
        <v>46028</v>
      </c>
      <c r="F2448" s="17" t="s">
        <v>25</v>
      </c>
    </row>
    <row r="2449" spans="1:6">
      <c r="A2449" s="13">
        <v>46029</v>
      </c>
      <c r="B2449" s="15">
        <v>2137.2800000000002</v>
      </c>
      <c r="C2449" s="15"/>
      <c r="D2449" s="15">
        <v>38332.629999999997</v>
      </c>
      <c r="E2449" s="16">
        <v>46029</v>
      </c>
      <c r="F2449" s="17" t="s">
        <v>25</v>
      </c>
    </row>
    <row r="2450" spans="1:6">
      <c r="A2450" s="13">
        <v>46030</v>
      </c>
      <c r="B2450" s="15">
        <v>2107.9699999999998</v>
      </c>
      <c r="C2450" s="15"/>
      <c r="D2450" s="15">
        <v>37795.550000000003</v>
      </c>
      <c r="E2450" s="16">
        <v>46030</v>
      </c>
      <c r="F2450" s="17" t="s">
        <v>25</v>
      </c>
    </row>
    <row r="2451" spans="1:6">
      <c r="A2451" s="13">
        <v>46031</v>
      </c>
      <c r="B2451" s="15">
        <v>2087.9299999999998</v>
      </c>
      <c r="C2451" s="15"/>
      <c r="D2451" s="15">
        <v>37455.919999999998</v>
      </c>
      <c r="E2451" s="16">
        <v>46031</v>
      </c>
      <c r="F2451" s="17" t="s">
        <v>25</v>
      </c>
    </row>
    <row r="2452" spans="1:6">
      <c r="A2452" s="13">
        <v>46034</v>
      </c>
      <c r="B2452" s="15">
        <v>2089.39</v>
      </c>
      <c r="C2452" s="15"/>
      <c r="D2452" s="15">
        <v>37524.71</v>
      </c>
      <c r="E2452" s="16">
        <v>46034</v>
      </c>
      <c r="F2452" s="17" t="s">
        <v>25</v>
      </c>
    </row>
    <row r="2453" spans="1:6">
      <c r="A2453" s="13">
        <v>46035</v>
      </c>
      <c r="B2453" s="15">
        <v>2089.67</v>
      </c>
      <c r="C2453" s="15"/>
      <c r="D2453" s="15">
        <v>37477.21</v>
      </c>
      <c r="E2453" s="16">
        <v>46035</v>
      </c>
      <c r="F2453" s="17" t="s">
        <v>25</v>
      </c>
    </row>
    <row r="2454" spans="1:6">
      <c r="A2454" s="13">
        <v>46036</v>
      </c>
      <c r="B2454" s="15">
        <v>2084.09</v>
      </c>
      <c r="C2454" s="15"/>
      <c r="D2454" s="15">
        <v>37469.5</v>
      </c>
      <c r="E2454" s="16">
        <v>46036</v>
      </c>
      <c r="F2454" s="17" t="s">
        <v>25</v>
      </c>
    </row>
    <row r="2455" spans="1:6">
      <c r="A2455" s="13">
        <v>46038</v>
      </c>
      <c r="B2455" s="15">
        <v>2092.91</v>
      </c>
      <c r="C2455" s="15"/>
      <c r="D2455" s="15">
        <v>37498.019999999997</v>
      </c>
      <c r="E2455" s="16">
        <v>46038</v>
      </c>
      <c r="F2455" s="17" t="s">
        <v>25</v>
      </c>
    </row>
    <row r="2456" spans="1:6">
      <c r="A2456" s="13">
        <v>46041</v>
      </c>
      <c r="B2456" s="15">
        <v>2086.9</v>
      </c>
      <c r="C2456" s="15"/>
      <c r="D2456" s="15">
        <v>37319.93</v>
      </c>
      <c r="E2456" s="16">
        <v>46041</v>
      </c>
      <c r="F2456" s="17" t="s">
        <v>25</v>
      </c>
    </row>
    <row r="2457" spans="1:6">
      <c r="A2457" s="13">
        <v>46042</v>
      </c>
      <c r="B2457" s="15">
        <v>2054.04</v>
      </c>
      <c r="C2457" s="15"/>
      <c r="D2457" s="15">
        <v>36638.57</v>
      </c>
      <c r="E2457" s="16">
        <v>46042</v>
      </c>
      <c r="F2457" s="17" t="s">
        <v>25</v>
      </c>
    </row>
    <row r="2458" spans="1:6">
      <c r="A2458" s="13">
        <v>46043</v>
      </c>
      <c r="B2458" s="15">
        <v>2045.33</v>
      </c>
      <c r="C2458" s="15"/>
      <c r="D2458" s="15">
        <v>36460.89</v>
      </c>
      <c r="E2458" s="16">
        <v>46043</v>
      </c>
      <c r="F2458" s="17" t="s">
        <v>25</v>
      </c>
    </row>
    <row r="2459" spans="1:6">
      <c r="A2459" s="13">
        <v>46044</v>
      </c>
      <c r="B2459" s="15">
        <v>2065.21</v>
      </c>
      <c r="C2459" s="15"/>
      <c r="D2459" s="15">
        <v>36738.03</v>
      </c>
      <c r="E2459" s="16">
        <v>46044</v>
      </c>
      <c r="F2459" s="17" t="s">
        <v>25</v>
      </c>
    </row>
    <row r="2460" spans="1:6">
      <c r="A2460" s="13">
        <v>46045</v>
      </c>
      <c r="B2460" s="15">
        <v>2039.47</v>
      </c>
      <c r="C2460" s="15"/>
      <c r="D2460" s="15">
        <v>36255.230000000003</v>
      </c>
      <c r="E2460" s="16">
        <v>46045</v>
      </c>
      <c r="F2460" s="17" t="s">
        <v>25</v>
      </c>
    </row>
    <row r="2461" spans="1:6">
      <c r="A2461" s="13">
        <v>46049</v>
      </c>
      <c r="B2461" s="15">
        <v>2042.71</v>
      </c>
      <c r="C2461" s="15"/>
      <c r="D2461" s="15">
        <v>36436.730000000003</v>
      </c>
      <c r="E2461" s="16">
        <v>46049</v>
      </c>
      <c r="F2461" s="17" t="s">
        <v>25</v>
      </c>
    </row>
    <row r="2462" spans="1:6">
      <c r="A2462" s="13">
        <v>46050</v>
      </c>
      <c r="B2462" s="15">
        <v>2057.65</v>
      </c>
      <c r="C2462" s="15"/>
      <c r="D2462" s="15">
        <v>36856.46</v>
      </c>
      <c r="E2462" s="16">
        <v>46050</v>
      </c>
      <c r="F2462" s="17" t="s">
        <v>25</v>
      </c>
    </row>
    <row r="2463" spans="1:6">
      <c r="A2463" s="13">
        <v>46051</v>
      </c>
      <c r="B2463" s="15">
        <v>2058.1</v>
      </c>
      <c r="C2463" s="15"/>
      <c r="D2463" s="15">
        <v>36940.9</v>
      </c>
      <c r="E2463" s="16">
        <v>46051</v>
      </c>
      <c r="F2463" s="17" t="s">
        <v>25</v>
      </c>
    </row>
    <row r="2464" spans="1:6">
      <c r="A2464" s="13">
        <v>46052</v>
      </c>
      <c r="B2464" s="15">
        <v>2060.5100000000002</v>
      </c>
      <c r="C2464" s="15"/>
      <c r="D2464" s="15">
        <v>36853.919999999998</v>
      </c>
      <c r="E2464" s="16">
        <v>46052</v>
      </c>
      <c r="F2464" s="17" t="s">
        <v>25</v>
      </c>
    </row>
    <row r="2465" spans="1:6">
      <c r="A2465" s="13">
        <v>46055</v>
      </c>
      <c r="B2465" s="15">
        <v>2043.1</v>
      </c>
      <c r="C2465" s="15"/>
      <c r="D2465" s="15">
        <v>36466.76</v>
      </c>
      <c r="E2465" s="16">
        <v>46055</v>
      </c>
      <c r="F2465" s="17" t="s">
        <v>25</v>
      </c>
    </row>
    <row r="2466" spans="1:6">
      <c r="A2466" s="13">
        <v>46056</v>
      </c>
      <c r="B2466" s="15">
        <v>2097.37</v>
      </c>
      <c r="C2466" s="15"/>
      <c r="D2466" s="15">
        <v>37439.870000000003</v>
      </c>
      <c r="E2466" s="16">
        <v>46056</v>
      </c>
      <c r="F2466" s="17" t="s">
        <v>25</v>
      </c>
    </row>
    <row r="2467" spans="1:6">
      <c r="A2467" s="13">
        <v>46057</v>
      </c>
      <c r="B2467" s="15">
        <v>2099.9899999999998</v>
      </c>
      <c r="C2467" s="15"/>
      <c r="D2467" s="15">
        <v>37582.1</v>
      </c>
      <c r="E2467" s="16">
        <v>46057</v>
      </c>
      <c r="F2467" s="17" t="s">
        <v>25</v>
      </c>
    </row>
    <row r="2468" spans="1:6">
      <c r="A2468" s="13">
        <v>46058</v>
      </c>
      <c r="B2468" s="15">
        <v>2092.63</v>
      </c>
      <c r="C2468" s="15"/>
      <c r="D2468" s="15">
        <v>37388</v>
      </c>
      <c r="E2468" s="16">
        <v>46058</v>
      </c>
      <c r="F2468" s="17" t="s">
        <v>25</v>
      </c>
    </row>
    <row r="2469" spans="1:6">
      <c r="A2469" s="13">
        <v>46059</v>
      </c>
      <c r="B2469" s="15">
        <v>2094.39</v>
      </c>
      <c r="C2469" s="15"/>
      <c r="D2469" s="15">
        <v>37429.300000000003</v>
      </c>
      <c r="E2469" s="16">
        <v>46059</v>
      </c>
      <c r="F2469" s="17" t="s">
        <v>25</v>
      </c>
    </row>
    <row r="2470" spans="1:6">
      <c r="A2470" s="13">
        <v>46062</v>
      </c>
      <c r="B2470" s="15">
        <v>2120.9899999999998</v>
      </c>
      <c r="C2470" s="15"/>
      <c r="D2470" s="15">
        <v>37830.83</v>
      </c>
      <c r="E2470" s="16">
        <v>46062</v>
      </c>
      <c r="F2470" s="17" t="s">
        <v>25</v>
      </c>
    </row>
    <row r="2471" spans="1:6">
      <c r="A2471" s="13">
        <v>46063</v>
      </c>
      <c r="B2471" s="15">
        <v>2124.89</v>
      </c>
      <c r="C2471" s="15"/>
      <c r="D2471" s="15">
        <v>37944.589999999997</v>
      </c>
      <c r="E2471" s="16">
        <v>46063</v>
      </c>
      <c r="F2471" s="17" t="s">
        <v>25</v>
      </c>
    </row>
    <row r="2472" spans="1:6">
      <c r="A2472" s="13">
        <v>46064</v>
      </c>
      <c r="B2472" s="15">
        <v>2129.81</v>
      </c>
      <c r="C2472" s="15"/>
      <c r="D2472" s="15">
        <v>37995.17</v>
      </c>
      <c r="E2472" s="16">
        <v>46064</v>
      </c>
      <c r="F2472" s="17" t="s">
        <v>25</v>
      </c>
    </row>
    <row r="2473" spans="1:6">
      <c r="A2473" s="13">
        <v>46065</v>
      </c>
      <c r="B2473" s="15">
        <v>2118.5500000000002</v>
      </c>
      <c r="C2473" s="15"/>
      <c r="D2473" s="15">
        <v>37785.120000000003</v>
      </c>
      <c r="E2473" s="16">
        <v>46065</v>
      </c>
      <c r="F2473" s="17" t="s">
        <v>25</v>
      </c>
    </row>
    <row r="2474" spans="1:6">
      <c r="A2474" s="13">
        <v>46066</v>
      </c>
      <c r="B2474" s="15">
        <v>2095.1799999999998</v>
      </c>
      <c r="C2474" s="15"/>
      <c r="D2474" s="15">
        <v>37245.019999999997</v>
      </c>
      <c r="E2474" s="16">
        <v>46066</v>
      </c>
      <c r="F2474" s="17" t="s">
        <v>25</v>
      </c>
    </row>
    <row r="2475" spans="1:6">
      <c r="A2475" s="13">
        <v>46069</v>
      </c>
      <c r="B2475" s="15">
        <v>2103.9699999999998</v>
      </c>
      <c r="C2475" s="15"/>
      <c r="D2475" s="15">
        <v>37500.33</v>
      </c>
      <c r="E2475" s="16">
        <v>46069</v>
      </c>
      <c r="F2475" s="17" t="s">
        <v>25</v>
      </c>
    </row>
    <row r="2476" spans="1:6">
      <c r="A2476" s="13">
        <v>46070</v>
      </c>
      <c r="B2476" s="15">
        <v>2108.7800000000002</v>
      </c>
      <c r="C2476" s="15"/>
      <c r="D2476" s="15">
        <v>37608.58</v>
      </c>
      <c r="E2476" s="16">
        <v>46070</v>
      </c>
      <c r="F2476" s="17" t="s">
        <v>25</v>
      </c>
    </row>
    <row r="2477" spans="1:6">
      <c r="A2477" s="13">
        <v>46071</v>
      </c>
      <c r="B2477" s="15">
        <v>2114.71</v>
      </c>
      <c r="C2477" s="15"/>
      <c r="D2477" s="15">
        <v>37783.040000000001</v>
      </c>
      <c r="E2477" s="16">
        <v>46071</v>
      </c>
      <c r="F2477" s="17" t="s">
        <v>25</v>
      </c>
    </row>
    <row r="2478" spans="1:6">
      <c r="A2478" s="13">
        <v>46072</v>
      </c>
      <c r="B2478" s="15">
        <v>2085.69</v>
      </c>
      <c r="C2478" s="15"/>
      <c r="D2478" s="15">
        <v>37226.449999999997</v>
      </c>
      <c r="E2478" s="16">
        <v>46072</v>
      </c>
      <c r="F2478" s="17" t="s">
        <v>25</v>
      </c>
    </row>
    <row r="2479" spans="1:6">
      <c r="A2479" s="13">
        <v>46073</v>
      </c>
      <c r="B2479" s="15">
        <v>2091.37</v>
      </c>
      <c r="C2479" s="15"/>
      <c r="D2479" s="15">
        <v>37384.870000000003</v>
      </c>
      <c r="E2479" s="16">
        <v>46073</v>
      </c>
      <c r="F2479" s="17" t="s">
        <v>25</v>
      </c>
    </row>
    <row r="2480" spans="1:6">
      <c r="A2480" s="13">
        <v>46076</v>
      </c>
      <c r="B2480" s="15">
        <v>2102.34</v>
      </c>
      <c r="C2480" s="15"/>
      <c r="D2480" s="15">
        <v>37528.69</v>
      </c>
      <c r="E2480" s="16">
        <v>46076</v>
      </c>
      <c r="F2480" s="17" t="s">
        <v>25</v>
      </c>
    </row>
    <row r="2481" spans="1:6">
      <c r="A2481" s="13">
        <v>46077</v>
      </c>
      <c r="B2481" s="15">
        <v>2082.12</v>
      </c>
      <c r="C2481" s="15"/>
      <c r="D2481" s="15">
        <v>37240.51</v>
      </c>
      <c r="E2481" s="16">
        <v>46077</v>
      </c>
      <c r="F2481" s="17" t="s">
        <v>25</v>
      </c>
    </row>
    <row r="2482" spans="1:6">
      <c r="A2482" s="13">
        <v>46078</v>
      </c>
      <c r="B2482" s="15">
        <v>2093.6</v>
      </c>
      <c r="C2482" s="15"/>
      <c r="D2482" s="15">
        <v>37399.019999999997</v>
      </c>
      <c r="E2482" s="16">
        <v>46078</v>
      </c>
      <c r="F2482" s="17" t="s">
        <v>25</v>
      </c>
    </row>
    <row r="2483" spans="1:6">
      <c r="A2483" s="13">
        <v>46079</v>
      </c>
      <c r="B2483" s="15">
        <v>2098.33</v>
      </c>
      <c r="C2483" s="15"/>
      <c r="D2483" s="15">
        <v>37470.480000000003</v>
      </c>
      <c r="E2483" s="16">
        <v>46079</v>
      </c>
      <c r="F2483" s="17" t="s">
        <v>25</v>
      </c>
    </row>
    <row r="2484" spans="1:6">
      <c r="A2484" s="13">
        <v>46080</v>
      </c>
      <c r="B2484" s="15">
        <v>2076.86</v>
      </c>
      <c r="C2484" s="15"/>
      <c r="D2484" s="15">
        <v>37020.379999999997</v>
      </c>
      <c r="E2484" s="16">
        <v>46080</v>
      </c>
      <c r="F2484" s="17" t="s">
        <v>25</v>
      </c>
    </row>
    <row r="2485" spans="1:6">
      <c r="A2485" s="13">
        <v>46083</v>
      </c>
      <c r="B2485" s="15">
        <v>2048.31</v>
      </c>
      <c r="C2485" s="15"/>
      <c r="D2485" s="15">
        <v>36491.589999999997</v>
      </c>
      <c r="E2485" s="16">
        <v>46083</v>
      </c>
      <c r="F2485" s="17" t="s">
        <v>25</v>
      </c>
    </row>
    <row r="2486" spans="1:6">
      <c r="A2486" s="13">
        <v>46085</v>
      </c>
      <c r="B2486" s="15">
        <v>2012.44</v>
      </c>
      <c r="C2486" s="15"/>
      <c r="D2486" s="15">
        <v>35810.620000000003</v>
      </c>
      <c r="E2486" s="16">
        <v>46085</v>
      </c>
      <c r="F2486" s="17" t="s">
        <v>25</v>
      </c>
    </row>
    <row r="2487" spans="1:6">
      <c r="A2487" s="13">
        <v>46086</v>
      </c>
      <c r="B2487" s="15">
        <v>2034.16</v>
      </c>
      <c r="C2487" s="15"/>
      <c r="D2487" s="15">
        <v>36270.839999999997</v>
      </c>
      <c r="E2487" s="16">
        <v>46086</v>
      </c>
      <c r="F2487" s="17" t="s">
        <v>25</v>
      </c>
    </row>
    <row r="2488" spans="1:6">
      <c r="A2488" s="13">
        <v>46087</v>
      </c>
      <c r="B2488" s="15">
        <v>2020.8</v>
      </c>
      <c r="C2488" s="15"/>
      <c r="D2488" s="15">
        <v>35926.53</v>
      </c>
      <c r="E2488" s="16">
        <v>46087</v>
      </c>
      <c r="F2488" s="17" t="s">
        <v>25</v>
      </c>
    </row>
    <row r="2489" spans="1:6">
      <c r="A2489" s="13">
        <v>46090</v>
      </c>
      <c r="B2489" s="15">
        <v>1982.9</v>
      </c>
      <c r="C2489" s="15"/>
      <c r="D2489" s="15">
        <v>35247.72</v>
      </c>
      <c r="E2489" s="16">
        <v>46090</v>
      </c>
      <c r="F2489" s="17" t="s">
        <v>25</v>
      </c>
    </row>
    <row r="2490" spans="1:6">
      <c r="A2490" s="13">
        <v>46091</v>
      </c>
      <c r="B2490" s="15">
        <v>2008</v>
      </c>
      <c r="C2490" s="15"/>
      <c r="D2490" s="15">
        <v>35705.47</v>
      </c>
      <c r="E2490" s="16">
        <v>46091</v>
      </c>
      <c r="F2490" s="17" t="s">
        <v>25</v>
      </c>
    </row>
    <row r="2491" spans="1:6">
      <c r="A2491" s="13">
        <v>46092</v>
      </c>
      <c r="B2491" s="15">
        <v>1982.43</v>
      </c>
      <c r="C2491" s="15"/>
      <c r="D2491" s="15">
        <v>35225.15</v>
      </c>
      <c r="E2491" s="16">
        <v>46092</v>
      </c>
      <c r="F2491" s="17" t="s">
        <v>25</v>
      </c>
    </row>
    <row r="2492" spans="1:6">
      <c r="A2492" s="13">
        <v>46093</v>
      </c>
      <c r="B2492" s="15">
        <v>1968.37</v>
      </c>
      <c r="C2492" s="15"/>
      <c r="D2492" s="15">
        <v>34995.14</v>
      </c>
      <c r="E2492" s="16">
        <v>46093</v>
      </c>
      <c r="F2492" s="17" t="s">
        <v>25</v>
      </c>
    </row>
    <row r="2493" spans="1:6">
      <c r="A2493" s="13">
        <v>46094</v>
      </c>
      <c r="B2493" s="15">
        <v>1920.88</v>
      </c>
      <c r="C2493" s="15"/>
      <c r="D2493" s="15">
        <v>34186.379999999997</v>
      </c>
      <c r="E2493" s="16">
        <v>46094</v>
      </c>
      <c r="F2493" s="17" t="s">
        <v>25</v>
      </c>
    </row>
    <row r="2494" spans="1:6">
      <c r="A2494" s="13">
        <v>46097</v>
      </c>
      <c r="B2494" s="15">
        <v>1930.38</v>
      </c>
      <c r="C2494" s="15"/>
      <c r="D2494" s="15">
        <v>34358.33</v>
      </c>
      <c r="E2494" s="16">
        <v>46097</v>
      </c>
      <c r="F2494" s="17" t="s">
        <v>25</v>
      </c>
    </row>
    <row r="2495" spans="1:6">
      <c r="A2495" s="13">
        <v>46098</v>
      </c>
      <c r="B2495" s="15">
        <v>1943.4</v>
      </c>
      <c r="C2495" s="15"/>
      <c r="D2495" s="15">
        <v>34630.879999999997</v>
      </c>
      <c r="E2495" s="16">
        <v>46098</v>
      </c>
      <c r="F2495" s="17" t="s">
        <v>25</v>
      </c>
    </row>
    <row r="2496" spans="1:6">
      <c r="A2496" s="13">
        <v>46099</v>
      </c>
      <c r="B2496" s="15">
        <v>1971</v>
      </c>
      <c r="C2496" s="15"/>
      <c r="D2496" s="15">
        <v>35027.360000000001</v>
      </c>
      <c r="E2496" s="16">
        <v>46099</v>
      </c>
      <c r="F2496" s="17" t="s">
        <v>25</v>
      </c>
    </row>
    <row r="2497" spans="1:6">
      <c r="A2497" s="13">
        <v>46100</v>
      </c>
      <c r="B2497" s="15">
        <v>1910.69</v>
      </c>
      <c r="C2497" s="15"/>
      <c r="D2497" s="15">
        <v>33922.06</v>
      </c>
      <c r="E2497" s="16">
        <v>46100</v>
      </c>
      <c r="F2497" s="17" t="s">
        <v>25</v>
      </c>
    </row>
    <row r="2498" spans="1:6">
      <c r="A2498" s="13">
        <v>46101</v>
      </c>
      <c r="B2498" s="15">
        <v>1922.73</v>
      </c>
      <c r="C2498" s="15"/>
      <c r="D2498" s="15">
        <v>34085.99</v>
      </c>
      <c r="E2498" s="16">
        <v>46101</v>
      </c>
      <c r="F2498" s="17" t="s">
        <v>25</v>
      </c>
    </row>
    <row r="2499" spans="1:6">
      <c r="A2499" s="13">
        <v>46104</v>
      </c>
      <c r="B2499" s="15">
        <v>1869.05</v>
      </c>
      <c r="C2499" s="15"/>
      <c r="D2499" s="15">
        <v>33026.22</v>
      </c>
      <c r="E2499" s="16">
        <v>46104</v>
      </c>
      <c r="F2499" s="17" t="s">
        <v>25</v>
      </c>
    </row>
    <row r="2500" spans="1:6">
      <c r="A2500" s="13">
        <v>46105</v>
      </c>
      <c r="B2500" s="15">
        <v>1905.98</v>
      </c>
      <c r="C2500" s="15"/>
      <c r="D2500" s="15">
        <v>33669.94</v>
      </c>
      <c r="E2500" s="16">
        <v>46105</v>
      </c>
      <c r="F2500" s="17" t="s">
        <v>25</v>
      </c>
    </row>
    <row r="2501" spans="1:6">
      <c r="A2501" s="13">
        <v>46106</v>
      </c>
      <c r="B2501" s="15">
        <v>1938.61</v>
      </c>
      <c r="C2501" s="15"/>
      <c r="D2501" s="15">
        <v>34327.17</v>
      </c>
      <c r="E2501" s="16">
        <v>46106</v>
      </c>
      <c r="F2501" s="17" t="s">
        <v>25</v>
      </c>
    </row>
    <row r="2502" spans="1:6">
      <c r="A2502" s="13">
        <v>46108</v>
      </c>
      <c r="B2502" s="15">
        <v>1905.89</v>
      </c>
      <c r="C2502" s="15"/>
      <c r="D2502" s="15">
        <v>33599.22</v>
      </c>
      <c r="E2502" s="16">
        <v>46108</v>
      </c>
      <c r="F2502" s="17" t="s">
        <v>25</v>
      </c>
    </row>
    <row r="2503" spans="1:6">
      <c r="A2503" s="13">
        <v>46111</v>
      </c>
      <c r="B2503" s="15">
        <v>1864.61</v>
      </c>
      <c r="C2503" s="15"/>
      <c r="D2503" s="15">
        <v>32813.14</v>
      </c>
      <c r="E2503" s="16">
        <v>46111</v>
      </c>
      <c r="F2503" s="17" t="s">
        <v>25</v>
      </c>
    </row>
    <row r="2504" spans="1:6">
      <c r="A2504" s="13">
        <v>46112</v>
      </c>
      <c r="B2504" s="15">
        <v>1864.57</v>
      </c>
      <c r="C2504" s="15"/>
      <c r="D2504" s="15"/>
      <c r="E2504" s="16"/>
      <c r="F2504" s="17" t="s">
        <v>26</v>
      </c>
    </row>
    <row r="2505" spans="1:6">
      <c r="A2505" s="13">
        <v>46113</v>
      </c>
      <c r="B2505" s="15">
        <v>1898.91</v>
      </c>
      <c r="C2505" s="15"/>
      <c r="D2505" s="15">
        <v>33463.879999999997</v>
      </c>
      <c r="E2505" s="16">
        <v>46113</v>
      </c>
      <c r="F2505" s="17" t="s">
        <v>25</v>
      </c>
    </row>
    <row r="2506" spans="1:6">
      <c r="A2506" s="13">
        <v>46114</v>
      </c>
      <c r="B2506" s="15">
        <v>1894.86</v>
      </c>
      <c r="C2506" s="15"/>
      <c r="D2506" s="15">
        <v>33469.449999999997</v>
      </c>
      <c r="E2506" s="16">
        <v>46114</v>
      </c>
      <c r="F2506" s="17" t="s">
        <v>25</v>
      </c>
    </row>
    <row r="2507" spans="1:6">
      <c r="A2507" s="13">
        <v>46118</v>
      </c>
      <c r="B2507" s="15">
        <v>1918.33</v>
      </c>
      <c r="C2507" s="15"/>
      <c r="D2507" s="15">
        <v>33878.17</v>
      </c>
      <c r="E2507" s="16">
        <v>46118</v>
      </c>
      <c r="F2507" s="17" t="s">
        <v>25</v>
      </c>
    </row>
    <row r="2508" spans="1:6">
      <c r="A2508" s="13">
        <v>46119</v>
      </c>
      <c r="B2508" s="15">
        <v>1928.4</v>
      </c>
      <c r="C2508" s="15"/>
      <c r="D2508" s="15">
        <v>34041.839999999997</v>
      </c>
      <c r="E2508" s="16">
        <v>46119</v>
      </c>
      <c r="F2508" s="17" t="s">
        <v>25</v>
      </c>
    </row>
    <row r="2509" spans="1:6">
      <c r="A2509" s="13">
        <v>46120</v>
      </c>
      <c r="B2509" s="15">
        <v>1998.93</v>
      </c>
      <c r="C2509" s="15"/>
      <c r="D2509" s="15">
        <v>35385.760000000002</v>
      </c>
      <c r="E2509" s="16">
        <v>46120</v>
      </c>
      <c r="F2509" s="17" t="s">
        <v>25</v>
      </c>
    </row>
    <row r="2510" spans="1:6">
      <c r="A2510" s="13">
        <v>46121</v>
      </c>
      <c r="B2510" s="15">
        <v>1993.03</v>
      </c>
      <c r="C2510" s="15"/>
      <c r="D2510" s="15">
        <v>35226.51</v>
      </c>
      <c r="E2510" s="16">
        <v>46121</v>
      </c>
      <c r="F2510" s="17" t="s">
        <v>25</v>
      </c>
    </row>
    <row r="2511" spans="1:6">
      <c r="A2511" s="13">
        <v>46122</v>
      </c>
      <c r="B2511" s="15">
        <v>2023.06</v>
      </c>
      <c r="C2511" s="15"/>
      <c r="D2511" s="15">
        <v>35720.910000000003</v>
      </c>
      <c r="E2511" s="16">
        <v>46122</v>
      </c>
      <c r="F2511" s="17" t="s">
        <v>25</v>
      </c>
    </row>
    <row r="2512" spans="1:6">
      <c r="A2512" s="13">
        <v>46125</v>
      </c>
      <c r="B2512" s="15">
        <v>2011.37</v>
      </c>
      <c r="C2512" s="15"/>
      <c r="D2512" s="15">
        <v>35452.78</v>
      </c>
      <c r="E2512" s="16">
        <v>46125</v>
      </c>
      <c r="F2512" s="17" t="s">
        <v>25</v>
      </c>
    </row>
    <row r="2513" spans="1:6">
      <c r="A2513" s="13">
        <v>46127</v>
      </c>
      <c r="B2513" s="15">
        <v>2047.14</v>
      </c>
      <c r="C2513" s="15"/>
      <c r="D2513" s="15">
        <v>36118.559999999998</v>
      </c>
      <c r="E2513" s="16">
        <v>46127</v>
      </c>
      <c r="F2513" s="17" t="s">
        <v>25</v>
      </c>
    </row>
    <row r="2514" spans="1:6">
      <c r="A2514" s="13">
        <v>46128</v>
      </c>
      <c r="B2514" s="15">
        <v>2050.84</v>
      </c>
      <c r="C2514" s="15"/>
      <c r="D2514" s="15">
        <v>36215.69</v>
      </c>
      <c r="E2514" s="16">
        <v>46128</v>
      </c>
      <c r="F2514" s="17" t="s">
        <v>25</v>
      </c>
    </row>
    <row r="2515" spans="1:6">
      <c r="A2515" s="13">
        <v>46129</v>
      </c>
      <c r="B2515" s="15">
        <v>2069.42</v>
      </c>
      <c r="C2515" s="15"/>
      <c r="D2515" s="15">
        <v>36556.94</v>
      </c>
      <c r="E2515" s="16">
        <v>46129</v>
      </c>
      <c r="F2515" s="17" t="s">
        <v>25</v>
      </c>
    </row>
    <row r="2516" spans="1:6">
      <c r="A2516" s="13">
        <v>46132</v>
      </c>
      <c r="B2516" s="15">
        <v>2073.1999999999998</v>
      </c>
      <c r="C2516" s="15"/>
      <c r="D2516" s="15">
        <v>36551.14</v>
      </c>
      <c r="E2516" s="16">
        <v>46132</v>
      </c>
      <c r="F2516" s="17" t="s">
        <v>25</v>
      </c>
    </row>
    <row r="2517" spans="1:6">
      <c r="A2517" s="13">
        <v>46133</v>
      </c>
      <c r="B2517" s="15">
        <v>2089.39</v>
      </c>
      <c r="C2517" s="15"/>
      <c r="D2517" s="15">
        <v>36833.4</v>
      </c>
      <c r="E2517" s="16">
        <v>46133</v>
      </c>
      <c r="F2517" s="17" t="s">
        <v>25</v>
      </c>
    </row>
    <row r="2518" spans="1:6">
      <c r="A2518" s="13">
        <v>46134</v>
      </c>
      <c r="B2518" s="15">
        <v>2083.29</v>
      </c>
      <c r="C2518" s="15"/>
      <c r="D2518" s="15">
        <v>36752.07</v>
      </c>
      <c r="E2518" s="16">
        <v>46134</v>
      </c>
      <c r="F2518" s="17" t="s">
        <v>25</v>
      </c>
    </row>
    <row r="2519" spans="1:6">
      <c r="A2519" s="13">
        <v>46135</v>
      </c>
      <c r="B2519" s="15">
        <v>2066.11</v>
      </c>
      <c r="C2519" s="15"/>
      <c r="D2519" s="15">
        <v>36463.65</v>
      </c>
      <c r="E2519" s="16">
        <v>46135</v>
      </c>
      <c r="F2519" s="17" t="s">
        <v>25</v>
      </c>
    </row>
    <row r="2520" spans="1:6">
      <c r="A2520" s="13">
        <v>46136</v>
      </c>
      <c r="B2520" s="15">
        <v>2040.62</v>
      </c>
      <c r="C2520" s="15"/>
      <c r="D2520" s="15">
        <v>36083.57</v>
      </c>
      <c r="E2520" s="16">
        <v>46136</v>
      </c>
      <c r="F2520" s="17" t="s">
        <v>25</v>
      </c>
    </row>
    <row r="2521" spans="1:6">
      <c r="A2521" s="13">
        <v>46139</v>
      </c>
      <c r="B2521" s="15">
        <v>2061.16</v>
      </c>
      <c r="C2521" s="15"/>
      <c r="D2521" s="15">
        <v>36485.68</v>
      </c>
      <c r="E2521" s="16">
        <v>46139</v>
      </c>
      <c r="F2521" s="17" t="s">
        <v>25</v>
      </c>
    </row>
    <row r="2522" spans="1:6">
      <c r="A2522" s="13">
        <v>46140</v>
      </c>
      <c r="B2522" s="15">
        <v>2057.77</v>
      </c>
      <c r="C2522" s="15"/>
      <c r="D2522" s="15">
        <v>36396.49</v>
      </c>
      <c r="E2522" s="16">
        <v>46140</v>
      </c>
      <c r="F2522" s="17" t="s">
        <v>25</v>
      </c>
    </row>
    <row r="2523" spans="1:6">
      <c r="A2523" s="13">
        <v>46141</v>
      </c>
      <c r="B2523" s="15">
        <v>2063.33</v>
      </c>
      <c r="C2523" s="15"/>
      <c r="D2523" s="15">
        <v>36565.03</v>
      </c>
      <c r="E2523" s="16">
        <v>46141</v>
      </c>
      <c r="F2523" s="17" t="s">
        <v>25</v>
      </c>
    </row>
    <row r="2524" spans="1:6">
      <c r="A2524" s="13">
        <v>46142</v>
      </c>
      <c r="B2524" s="15">
        <v>2051.1</v>
      </c>
      <c r="C2524" s="15"/>
      <c r="D2524" s="15">
        <v>36266.61</v>
      </c>
      <c r="E2524" s="16">
        <v>46142</v>
      </c>
      <c r="F2524" s="17" t="s">
        <v>25</v>
      </c>
    </row>
    <row r="2525" spans="1:6">
      <c r="A2525" s="13">
        <v>46146</v>
      </c>
      <c r="B2525" s="15">
        <v>2066.1</v>
      </c>
      <c r="C2525" s="15"/>
      <c r="D2525" s="15">
        <v>36502.089999999997</v>
      </c>
      <c r="E2525" s="16">
        <v>46146</v>
      </c>
      <c r="F2525" s="17" t="s">
        <v>25</v>
      </c>
    </row>
    <row r="2526" spans="1:6">
      <c r="A2526" s="13">
        <v>46147</v>
      </c>
      <c r="B2526" s="15">
        <v>2066.1999999999998</v>
      </c>
      <c r="C2526" s="15"/>
      <c r="D2526" s="15">
        <v>36466.32</v>
      </c>
      <c r="E2526" s="16">
        <v>46147</v>
      </c>
      <c r="F2526" s="17" t="s">
        <v>25</v>
      </c>
    </row>
    <row r="2527" spans="1:6">
      <c r="A2527" s="13">
        <v>46148</v>
      </c>
      <c r="B2527" s="15">
        <v>2090.19</v>
      </c>
      <c r="C2527" s="15"/>
      <c r="D2527" s="15">
        <v>36986.18</v>
      </c>
      <c r="E2527" s="16">
        <v>46148</v>
      </c>
      <c r="F2527" s="17" t="s">
        <v>25</v>
      </c>
    </row>
    <row r="2528" spans="1:6">
      <c r="A2528" s="13">
        <v>46149</v>
      </c>
      <c r="B2528" s="15">
        <v>2100.96</v>
      </c>
      <c r="C2528" s="15"/>
      <c r="D2528" s="15">
        <v>37115.08</v>
      </c>
      <c r="E2528" s="16">
        <v>46149</v>
      </c>
      <c r="F2528" s="17" t="s">
        <v>25</v>
      </c>
    </row>
    <row r="2529" spans="1:6">
      <c r="A2529" s="13">
        <v>46150</v>
      </c>
      <c r="B2529" s="15">
        <v>2101.35</v>
      </c>
      <c r="C2529" s="15"/>
      <c r="D2529" s="15">
        <v>36958.370000000003</v>
      </c>
      <c r="E2529" s="16">
        <v>46150</v>
      </c>
      <c r="F2529" s="17" t="s">
        <v>25</v>
      </c>
    </row>
    <row r="2530" spans="1:6">
      <c r="A2530" s="13">
        <v>46153</v>
      </c>
      <c r="B2530" s="15">
        <v>2084.42</v>
      </c>
      <c r="C2530" s="15"/>
      <c r="D2530" s="15">
        <v>36446.949999999997</v>
      </c>
      <c r="E2530" s="16">
        <v>46153</v>
      </c>
      <c r="F2530" s="17" t="s">
        <v>25</v>
      </c>
    </row>
    <row r="2531" spans="1:6">
      <c r="A2531" s="13">
        <v>46154</v>
      </c>
      <c r="B2531" s="15">
        <v>2039.01</v>
      </c>
      <c r="C2531" s="15"/>
      <c r="D2531" s="15">
        <v>35654.54</v>
      </c>
      <c r="E2531" s="16">
        <v>46154</v>
      </c>
      <c r="F2531" s="17" t="s">
        <v>25</v>
      </c>
    </row>
    <row r="2532" spans="1:6">
      <c r="A2532" s="13">
        <v>46155</v>
      </c>
      <c r="B2532" s="15">
        <v>2045.24</v>
      </c>
      <c r="C2532" s="15"/>
      <c r="D2532" s="15">
        <v>35778.400000000001</v>
      </c>
      <c r="E2532" s="16">
        <v>46155</v>
      </c>
      <c r="F2532" s="17" t="s">
        <v>25</v>
      </c>
    </row>
    <row r="2533" spans="1:6">
      <c r="A2533" s="13">
        <v>46156</v>
      </c>
      <c r="B2533" s="15">
        <v>2058.31</v>
      </c>
      <c r="C2533" s="15"/>
      <c r="D2533" s="15">
        <v>36155.379999999997</v>
      </c>
      <c r="E2533" s="16">
        <v>46156</v>
      </c>
      <c r="F2533" s="17" t="s">
        <v>25</v>
      </c>
    </row>
    <row r="2534" spans="1:6">
      <c r="A2534" s="13">
        <v>46157</v>
      </c>
      <c r="B2534" s="15">
        <v>2052.7399999999998</v>
      </c>
      <c r="C2534" s="15"/>
      <c r="D2534" s="15">
        <v>36038.480000000003</v>
      </c>
      <c r="E2534" s="16">
        <v>46157</v>
      </c>
      <c r="F2534" s="17" t="s">
        <v>25</v>
      </c>
    </row>
    <row r="2535" spans="1:6">
      <c r="A2535" s="13">
        <v>46160</v>
      </c>
      <c r="B2535" s="15">
        <v>2047.67</v>
      </c>
      <c r="C2535" s="15"/>
      <c r="D2535" s="15">
        <v>35926.379999999997</v>
      </c>
      <c r="E2535" s="16">
        <v>46160</v>
      </c>
      <c r="F2535" s="17" t="s">
        <v>25</v>
      </c>
    </row>
    <row r="2536" spans="1:6">
      <c r="A2536" s="13">
        <v>46161</v>
      </c>
      <c r="B2536" s="15">
        <v>2054.13</v>
      </c>
      <c r="C2536" s="15"/>
      <c r="D2536" s="15">
        <v>36023.49</v>
      </c>
      <c r="E2536" s="16">
        <v>46161</v>
      </c>
      <c r="F2536" s="17" t="s">
        <v>25</v>
      </c>
    </row>
    <row r="2537" spans="1:6">
      <c r="A2537" s="13">
        <v>46162</v>
      </c>
      <c r="B2537" s="15">
        <v>2059.54</v>
      </c>
      <c r="C2537" s="15"/>
      <c r="D2537" s="15">
        <v>36113.93</v>
      </c>
      <c r="E2537" s="16">
        <v>46162</v>
      </c>
      <c r="F2537" s="17" t="s">
        <v>25</v>
      </c>
    </row>
    <row r="2538" spans="1:6">
      <c r="A2538" s="13">
        <v>46163</v>
      </c>
      <c r="B2538" s="15">
        <v>2061.7600000000002</v>
      </c>
      <c r="C2538" s="15"/>
      <c r="D2538" s="15">
        <v>36153.599999999999</v>
      </c>
      <c r="E2538" s="16">
        <v>46163</v>
      </c>
      <c r="F2538" s="17" t="s">
        <v>25</v>
      </c>
    </row>
    <row r="2539" spans="1:6">
      <c r="A2539" s="13">
        <v>46164</v>
      </c>
      <c r="B2539" s="15">
        <v>2068.0700000000002</v>
      </c>
      <c r="C2539" s="15"/>
      <c r="D2539" s="15">
        <v>36240.550000000003</v>
      </c>
      <c r="E2539" s="16">
        <v>46164</v>
      </c>
      <c r="F2539" s="17" t="s">
        <v>25</v>
      </c>
    </row>
    <row r="2540" spans="1:6">
      <c r="A2540" s="13">
        <v>46167</v>
      </c>
      <c r="B2540" s="15">
        <v>2090.13</v>
      </c>
      <c r="C2540" s="15"/>
      <c r="D2540" s="15">
        <v>36693.58</v>
      </c>
      <c r="E2540" s="16">
        <v>46167</v>
      </c>
      <c r="F2540" s="17" t="s">
        <v>25</v>
      </c>
    </row>
    <row r="2541" spans="1:6">
      <c r="A2541" s="13">
        <v>46168</v>
      </c>
      <c r="B2541" s="15">
        <v>2089.81</v>
      </c>
      <c r="C2541" s="15"/>
      <c r="D2541" s="15">
        <v>36642</v>
      </c>
      <c r="E2541" s="16">
        <v>46168</v>
      </c>
      <c r="F2541" s="17" t="s">
        <v>25</v>
      </c>
    </row>
    <row r="2542" spans="1:6">
      <c r="A2542" s="13">
        <v>46169</v>
      </c>
      <c r="B2542" s="15">
        <v>2095.4</v>
      </c>
      <c r="C2542" s="15"/>
      <c r="D2542" s="15">
        <v>36754.51</v>
      </c>
      <c r="E2542" s="16">
        <v>46169</v>
      </c>
      <c r="F2542" s="17" t="s">
        <v>25</v>
      </c>
    </row>
    <row r="2543" spans="1:6">
      <c r="A2543" s="13">
        <v>46171</v>
      </c>
      <c r="B2543" s="15">
        <v>2078.21</v>
      </c>
      <c r="C2543" s="15"/>
      <c r="D2543" s="15">
        <v>36261.800000000003</v>
      </c>
      <c r="E2543" s="16">
        <v>46171</v>
      </c>
      <c r="F2543" s="17" t="s">
        <v>25</v>
      </c>
    </row>
    <row r="2544" spans="1:6">
      <c r="A2544" s="13">
        <v>46174</v>
      </c>
      <c r="B2544" s="15">
        <v>2058.04</v>
      </c>
      <c r="C2544" s="15"/>
      <c r="D2544" s="15">
        <v>35911.81</v>
      </c>
      <c r="E2544" s="16">
        <v>46174</v>
      </c>
      <c r="F2544" s="17" t="s">
        <v>25</v>
      </c>
    </row>
    <row r="2545" spans="1:6">
      <c r="A2545" s="13">
        <v>46175</v>
      </c>
      <c r="B2545" s="15">
        <v>2066.86</v>
      </c>
      <c r="C2545" s="15"/>
      <c r="D2545" s="15">
        <v>36044.910000000003</v>
      </c>
      <c r="E2545" s="16">
        <v>46175</v>
      </c>
      <c r="F2545" s="17" t="s">
        <v>25</v>
      </c>
    </row>
    <row r="2546" spans="1:6">
      <c r="A2546" s="13">
        <v>46176</v>
      </c>
      <c r="B2546" s="15">
        <v>2064.02</v>
      </c>
      <c r="C2546" s="15"/>
      <c r="D2546" s="15">
        <v>35935.370000000003</v>
      </c>
      <c r="E2546" s="16">
        <v>46176</v>
      </c>
      <c r="F2546" s="17" t="s">
        <v>25</v>
      </c>
    </row>
    <row r="2547" spans="1:6">
      <c r="A2547" s="13">
        <v>46177</v>
      </c>
      <c r="B2547" s="15">
        <v>2063.1799999999998</v>
      </c>
      <c r="C2547" s="15"/>
      <c r="D2547" s="15">
        <v>36008.82</v>
      </c>
      <c r="E2547" s="16">
        <v>46177</v>
      </c>
      <c r="F2547" s="17" t="s">
        <v>25</v>
      </c>
    </row>
    <row r="2548" spans="1:6">
      <c r="A2548" s="13">
        <v>46178</v>
      </c>
      <c r="B2548" s="15">
        <v>2060.9699999999998</v>
      </c>
      <c r="C2548" s="15"/>
      <c r="D2548" s="15">
        <v>35966.78</v>
      </c>
      <c r="E2548" s="16">
        <v>46178</v>
      </c>
      <c r="F2548" s="17" t="s">
        <v>25</v>
      </c>
    </row>
    <row r="2549" spans="1:6">
      <c r="A2549" s="13">
        <v>46181</v>
      </c>
      <c r="B2549" s="15">
        <v>2036.74</v>
      </c>
      <c r="C2549" s="15"/>
      <c r="D2549" s="15">
        <v>35499.82</v>
      </c>
      <c r="E2549" s="16">
        <v>46181</v>
      </c>
      <c r="F2549" s="17" t="s">
        <v>25</v>
      </c>
    </row>
    <row r="2550" spans="1:6">
      <c r="A2550" s="13">
        <v>46182</v>
      </c>
      <c r="B2550" s="15">
        <v>2057.54</v>
      </c>
      <c r="C2550" s="15"/>
      <c r="D2550" s="15">
        <v>35814.339999999997</v>
      </c>
      <c r="E2550" s="16">
        <v>46182</v>
      </c>
      <c r="F2550" s="17" t="s">
        <v>25</v>
      </c>
    </row>
    <row r="2551" spans="1:6">
      <c r="A2551" s="13">
        <v>46183</v>
      </c>
      <c r="B2551" s="15">
        <v>2047.82</v>
      </c>
      <c r="C2551" s="15"/>
      <c r="D2551" s="15">
        <v>35597.050000000003</v>
      </c>
      <c r="E2551" s="16">
        <v>46183</v>
      </c>
      <c r="F2551" s="17" t="s">
        <v>25</v>
      </c>
    </row>
    <row r="2552" spans="1:6">
      <c r="A2552" s="13">
        <v>46184</v>
      </c>
      <c r="B2552" s="15">
        <v>2038.98</v>
      </c>
      <c r="C2552" s="15"/>
      <c r="D2552" s="15">
        <v>35405.870000000003</v>
      </c>
      <c r="E2552" s="16">
        <v>46184</v>
      </c>
      <c r="F2552" s="17" t="s">
        <v>25</v>
      </c>
    </row>
    <row r="2553" spans="1:6">
      <c r="A2553" s="13">
        <v>46185</v>
      </c>
      <c r="B2553" s="15">
        <v>2072.3200000000002</v>
      </c>
      <c r="C2553" s="15"/>
      <c r="D2553" s="15">
        <v>36193.53</v>
      </c>
      <c r="E2553" s="16">
        <v>46185</v>
      </c>
      <c r="F2553" s="17" t="s">
        <v>25</v>
      </c>
    </row>
    <row r="2554" spans="1:6">
      <c r="A2554" s="13">
        <v>46188</v>
      </c>
      <c r="B2554" s="15">
        <v>2096.1999999999998</v>
      </c>
      <c r="C2554" s="15"/>
      <c r="D2554" s="15">
        <v>36660.370000000003</v>
      </c>
      <c r="E2554" s="16">
        <v>46188</v>
      </c>
      <c r="F2554" s="17" t="s">
        <v>25</v>
      </c>
    </row>
    <row r="2555" spans="1:6">
      <c r="A2555" s="13">
        <v>46189</v>
      </c>
      <c r="B2555" s="15">
        <v>2104.62</v>
      </c>
      <c r="C2555" s="15"/>
      <c r="D2555" s="15">
        <v>36830.1</v>
      </c>
      <c r="E2555" s="16">
        <v>46189</v>
      </c>
      <c r="F2555" s="17" t="s">
        <v>25</v>
      </c>
    </row>
    <row r="2556" spans="1:6">
      <c r="A2556" s="13">
        <v>46190</v>
      </c>
      <c r="B2556" s="15">
        <v>2115.1</v>
      </c>
      <c r="C2556" s="15"/>
      <c r="D2556" s="15">
        <v>37010.19</v>
      </c>
      <c r="E2556" s="16">
        <v>46190</v>
      </c>
      <c r="F2556" s="17" t="s">
        <v>25</v>
      </c>
    </row>
    <row r="2557" spans="1:6">
      <c r="A2557" s="13">
        <v>46191</v>
      </c>
      <c r="B2557" s="15">
        <v>2121.5100000000002</v>
      </c>
      <c r="C2557" s="15"/>
      <c r="D2557" s="15">
        <v>37165.620000000003</v>
      </c>
      <c r="E2557" s="16">
        <v>46191</v>
      </c>
      <c r="F2557" s="17" t="s">
        <v>25</v>
      </c>
    </row>
    <row r="2558" spans="1:6">
      <c r="A2558" s="13">
        <v>46192</v>
      </c>
      <c r="B2558" s="15">
        <v>2116.5300000000002</v>
      </c>
      <c r="C2558" s="15"/>
      <c r="D2558" s="15">
        <v>37106.050000000003</v>
      </c>
      <c r="E2558" s="16">
        <v>46192</v>
      </c>
      <c r="F2558" s="17" t="s">
        <v>25</v>
      </c>
    </row>
    <row r="2559" spans="1:6">
      <c r="A2559" s="13">
        <v>46195</v>
      </c>
      <c r="B2559" s="15">
        <v>2127.64</v>
      </c>
      <c r="C2559" s="15"/>
      <c r="D2559" s="15">
        <v>37294.639999999999</v>
      </c>
      <c r="E2559" s="16">
        <v>46195</v>
      </c>
      <c r="F2559" s="17" t="s">
        <v>25</v>
      </c>
    </row>
    <row r="2560" spans="1:6">
      <c r="A2560" s="13">
        <v>46196</v>
      </c>
      <c r="B2560" s="15">
        <v>2114.21</v>
      </c>
      <c r="C2560" s="15"/>
      <c r="D2560" s="15">
        <v>36899.440000000002</v>
      </c>
      <c r="E2560" s="16">
        <v>46196</v>
      </c>
      <c r="F2560" s="17" t="s">
        <v>25</v>
      </c>
    </row>
    <row r="2561" spans="1:6">
      <c r="A2561" s="13">
        <v>46197</v>
      </c>
      <c r="B2561" s="15">
        <v>2129.23</v>
      </c>
      <c r="C2561" s="15"/>
      <c r="D2561" s="15">
        <v>37084.410000000003</v>
      </c>
      <c r="E2561" s="16">
        <v>46197</v>
      </c>
      <c r="F2561" s="17" t="s">
        <v>25</v>
      </c>
    </row>
    <row r="2562" spans="1:6">
      <c r="A2562" s="13">
        <v>46198</v>
      </c>
      <c r="B2562" s="15">
        <v>2127.69</v>
      </c>
      <c r="C2562" s="15"/>
      <c r="D2562" s="15">
        <v>37065.43</v>
      </c>
      <c r="E2562" s="16">
        <v>46198</v>
      </c>
      <c r="F2562" s="17" t="s">
        <v>25</v>
      </c>
    </row>
    <row r="2563" spans="1:6">
      <c r="A2563" s="13">
        <v>46202</v>
      </c>
      <c r="B2563" s="15">
        <v>2117.56</v>
      </c>
      <c r="C2563" s="15"/>
      <c r="D2563" s="15">
        <v>36883.370000000003</v>
      </c>
      <c r="E2563" s="16">
        <v>46202</v>
      </c>
      <c r="F2563" s="17" t="s">
        <v>25</v>
      </c>
    </row>
    <row r="2564" spans="1:6">
      <c r="A2564" s="13">
        <v>46203</v>
      </c>
      <c r="B2564" s="15">
        <v>2117.5700000000002</v>
      </c>
      <c r="C2564" s="15"/>
      <c r="D2564" s="15">
        <v>36880.75</v>
      </c>
      <c r="E2564" s="16">
        <v>46203</v>
      </c>
      <c r="F2564" s="17" t="s">
        <v>25</v>
      </c>
    </row>
    <row r="2565" spans="1:6">
      <c r="A2565" s="13">
        <v>46204</v>
      </c>
      <c r="B2565" s="15">
        <v>2124.2199999999998</v>
      </c>
      <c r="C2565" s="15"/>
      <c r="D2565" s="15">
        <v>37066.839999999997</v>
      </c>
      <c r="E2565" s="16">
        <v>46204</v>
      </c>
      <c r="F2565" s="17" t="s">
        <v>25</v>
      </c>
    </row>
    <row r="2566" spans="1:6">
      <c r="A2566" s="13">
        <v>46205</v>
      </c>
      <c r="B2566" s="15">
        <v>2144.52</v>
      </c>
      <c r="C2566" s="15"/>
      <c r="D2566" s="15">
        <v>37312.46</v>
      </c>
      <c r="E2566" s="16">
        <v>46205</v>
      </c>
      <c r="F2566" s="17" t="s">
        <v>25</v>
      </c>
    </row>
    <row r="2567" spans="1:6">
      <c r="A2567" s="13">
        <v>46206</v>
      </c>
      <c r="B2567" s="15">
        <v>2148.35</v>
      </c>
      <c r="C2567" s="15"/>
      <c r="D2567" s="15">
        <v>37379.33</v>
      </c>
      <c r="E2567" s="16">
        <v>46206</v>
      </c>
      <c r="F2567" s="17" t="s">
        <v>25</v>
      </c>
    </row>
    <row r="2568" spans="1:6">
      <c r="A2568" s="13">
        <v>46209</v>
      </c>
      <c r="B2568" s="15">
        <v>2163.0700000000002</v>
      </c>
      <c r="C2568" s="15"/>
      <c r="D2568" s="15">
        <v>37592.68</v>
      </c>
      <c r="E2568" s="16">
        <v>46209</v>
      </c>
      <c r="F2568" s="17" t="s">
        <v>25</v>
      </c>
    </row>
    <row r="2569" spans="1:6">
      <c r="A2569" s="13">
        <v>46210</v>
      </c>
      <c r="B2569" s="15">
        <v>2160.04</v>
      </c>
      <c r="C2569" s="15"/>
      <c r="D2569" s="15">
        <v>37490.53</v>
      </c>
      <c r="E2569" s="16">
        <v>46210</v>
      </c>
      <c r="F2569" s="17" t="s">
        <v>25</v>
      </c>
    </row>
    <row r="2570" spans="1:6">
      <c r="A2570" s="13">
        <v>46211</v>
      </c>
      <c r="B2570" s="15">
        <v>2125.2399999999998</v>
      </c>
      <c r="C2570" s="15"/>
      <c r="D2570" s="15">
        <v>36751.9</v>
      </c>
      <c r="E2570" s="16">
        <v>46211</v>
      </c>
      <c r="F2570" s="17" t="s">
        <v>25</v>
      </c>
    </row>
    <row r="2571" spans="1:6">
      <c r="A2571" s="13">
        <v>46212</v>
      </c>
      <c r="B2571" s="15">
        <v>2140.34</v>
      </c>
      <c r="C2571" s="15"/>
      <c r="D2571" s="15">
        <v>37030.720000000001</v>
      </c>
      <c r="E2571" s="16">
        <v>46212</v>
      </c>
      <c r="F2571" s="17" t="s">
        <v>25</v>
      </c>
    </row>
    <row r="2572" spans="1:6">
      <c r="A2572" s="13">
        <v>46213</v>
      </c>
      <c r="B2572" s="15">
        <v>2161.08</v>
      </c>
      <c r="C2572" s="15"/>
      <c r="D2572" s="15">
        <v>37465.01</v>
      </c>
      <c r="E2572" s="16">
        <v>46213</v>
      </c>
      <c r="F2572" s="17" t="s">
        <v>25</v>
      </c>
    </row>
    <row r="2573" spans="1:6">
      <c r="A2573" s="13">
        <v>46216</v>
      </c>
      <c r="B2573" s="15">
        <v>2163.31</v>
      </c>
      <c r="C2573" s="15"/>
      <c r="D2573" s="15">
        <v>37462.83</v>
      </c>
      <c r="E2573" s="16">
        <v>46216</v>
      </c>
      <c r="F2573" s="17" t="s">
        <v>25</v>
      </c>
    </row>
    <row r="2574" spans="1:6">
      <c r="A2574" s="13">
        <v>46217</v>
      </c>
      <c r="B2574" s="15">
        <v>2148.94</v>
      </c>
      <c r="C2574" s="15"/>
      <c r="D2574" s="15">
        <v>37226.58</v>
      </c>
      <c r="E2574" s="16">
        <v>46217</v>
      </c>
      <c r="F2574" s="17" t="s">
        <v>25</v>
      </c>
    </row>
    <row r="2575" spans="1:6">
      <c r="A2575" s="13">
        <v>46218</v>
      </c>
      <c r="B2575" s="15">
        <v>2155.84</v>
      </c>
      <c r="C2575" s="15"/>
      <c r="D2575" s="15">
        <v>37332.65</v>
      </c>
      <c r="E2575" s="16">
        <v>46218</v>
      </c>
      <c r="F2575" s="17" t="s">
        <v>25</v>
      </c>
    </row>
    <row r="2576" spans="1:6">
      <c r="A2576" s="13">
        <v>46219</v>
      </c>
      <c r="B2576" s="15">
        <v>2153.4699999999998</v>
      </c>
      <c r="C2576" s="15"/>
      <c r="D2576" s="15">
        <v>37282.57</v>
      </c>
      <c r="E2576" s="16">
        <v>46219</v>
      </c>
      <c r="F2576" s="17" t="s">
        <v>25</v>
      </c>
    </row>
    <row r="2577" spans="1:6">
      <c r="A2577" s="13">
        <v>46220</v>
      </c>
      <c r="B2577" s="15">
        <v>2165.06</v>
      </c>
      <c r="C2577" s="15"/>
      <c r="D2577" s="15">
        <v>37457.949999999997</v>
      </c>
      <c r="E2577" s="16">
        <v>46220</v>
      </c>
      <c r="F2577" s="17" t="s">
        <v>25</v>
      </c>
    </row>
    <row r="2578" spans="1:6">
      <c r="A2578" s="13">
        <v>46223</v>
      </c>
      <c r="B2578" s="15">
        <v>2169.61</v>
      </c>
      <c r="C2578" s="15"/>
      <c r="D2578" s="15">
        <v>37460.92</v>
      </c>
      <c r="E2578" s="16">
        <v>46223</v>
      </c>
      <c r="F2578" s="17" t="s">
        <v>25</v>
      </c>
    </row>
  </sheetData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0B992F6-8A97-42D1-98FE-B665342940BA}">
  <dimension ref="A1:AB2579"/>
  <sheetViews>
    <sheetView workbookViewId="0"/>
  </sheetViews>
  <sheetFormatPr defaultRowHeight="14.25"/>
  <cols>
    <col min="1" max="1" width="10.125" bestFit="1" customWidth="1"/>
    <col min="2" max="2" width="9.5" bestFit="1" customWidth="1"/>
    <col min="3" max="3" width="15.75" bestFit="1" customWidth="1"/>
    <col min="11" max="11" width="19.375" bestFit="1" customWidth="1"/>
    <col min="12" max="12" width="13.625" bestFit="1" customWidth="1"/>
    <col min="13" max="13" width="11.25" bestFit="1" customWidth="1"/>
    <col min="15" max="15" width="10.125" bestFit="1" customWidth="1"/>
    <col min="23" max="23" width="11" bestFit="1" customWidth="1"/>
    <col min="24" max="24" width="11.75" bestFit="1" customWidth="1"/>
  </cols>
  <sheetData>
    <row r="1" spans="1:28" ht="15">
      <c r="A1" s="21" t="s">
        <v>21</v>
      </c>
      <c r="B1" s="22" t="s">
        <v>17</v>
      </c>
      <c r="C1" s="22" t="s">
        <v>27</v>
      </c>
      <c r="E1" s="22" t="s">
        <v>28</v>
      </c>
      <c r="F1" s="22" t="s">
        <v>29</v>
      </c>
      <c r="G1" s="22" t="s">
        <v>30</v>
      </c>
      <c r="H1" s="22" t="s">
        <v>31</v>
      </c>
      <c r="I1" s="22" t="s">
        <v>32</v>
      </c>
      <c r="K1" s="22" t="s">
        <v>23</v>
      </c>
      <c r="L1" s="22" t="s">
        <v>22</v>
      </c>
      <c r="M1" s="22" t="s">
        <v>34</v>
      </c>
      <c r="O1" s="22" t="s">
        <v>33</v>
      </c>
      <c r="Q1" s="22" t="s">
        <v>28</v>
      </c>
      <c r="R1" s="22" t="s">
        <v>29</v>
      </c>
      <c r="S1" s="22" t="s">
        <v>30</v>
      </c>
      <c r="T1" s="22" t="s">
        <v>31</v>
      </c>
      <c r="U1" s="22" t="s">
        <v>32</v>
      </c>
      <c r="X1" s="31" t="s">
        <v>36</v>
      </c>
      <c r="Y1" s="31" t="s">
        <v>37</v>
      </c>
      <c r="Z1" s="31" t="s">
        <v>38</v>
      </c>
      <c r="AA1" s="31" t="s">
        <v>39</v>
      </c>
      <c r="AB1" s="31" t="s">
        <v>40</v>
      </c>
    </row>
    <row r="2" spans="1:28">
      <c r="A2" s="26">
        <v>42370</v>
      </c>
      <c r="B2" s="23">
        <v>489.12</v>
      </c>
      <c r="K2" s="28">
        <v>42370</v>
      </c>
      <c r="L2" s="23">
        <v>9643.99</v>
      </c>
      <c r="M2" s="14"/>
      <c r="O2" t="b">
        <f>K2=A2</f>
        <v>1</v>
      </c>
    </row>
    <row r="3" spans="1:28">
      <c r="A3" s="27">
        <v>42373</v>
      </c>
      <c r="B3" s="24">
        <v>481.4</v>
      </c>
      <c r="C3" s="25">
        <f>(B3-B2)/B2</f>
        <v>-1.5783447824664759E-2</v>
      </c>
      <c r="K3" s="29">
        <v>42373</v>
      </c>
      <c r="L3" s="24">
        <v>9468.58</v>
      </c>
      <c r="M3" s="25">
        <f>(L3-L2)/L3</f>
        <v>-1.8525481117548762E-2</v>
      </c>
      <c r="O3" t="b">
        <f t="shared" ref="O3:O66" si="0">K3=A3</f>
        <v>1</v>
      </c>
    </row>
    <row r="4" spans="1:28">
      <c r="A4" s="26">
        <v>42374</v>
      </c>
      <c r="B4" s="23">
        <v>482.69</v>
      </c>
      <c r="C4" s="25">
        <f t="shared" ref="C4:C67" si="1">(B4-B3)/B3</f>
        <v>2.6796842542584558E-3</v>
      </c>
      <c r="K4" s="28">
        <v>42374</v>
      </c>
      <c r="L4" s="23">
        <v>9481.0300000000007</v>
      </c>
      <c r="M4" s="25">
        <f t="shared" ref="M4:M67" si="2">(L4-L3)/L4</f>
        <v>1.3131484659367944E-3</v>
      </c>
      <c r="O4" t="b">
        <f t="shared" si="0"/>
        <v>1</v>
      </c>
    </row>
    <row r="5" spans="1:28">
      <c r="A5" s="27">
        <v>42375</v>
      </c>
      <c r="B5" s="24">
        <v>481.35</v>
      </c>
      <c r="C5" s="25">
        <f t="shared" si="1"/>
        <v>-2.7761088897635647E-3</v>
      </c>
      <c r="K5" s="29">
        <v>42375</v>
      </c>
      <c r="L5" s="24">
        <v>9435.52</v>
      </c>
      <c r="M5" s="25">
        <f t="shared" si="2"/>
        <v>-4.8232635827172446E-3</v>
      </c>
      <c r="O5" t="b">
        <f t="shared" si="0"/>
        <v>1</v>
      </c>
    </row>
    <row r="6" spans="1:28">
      <c r="A6" s="26">
        <v>42376</v>
      </c>
      <c r="B6" s="23">
        <v>469.05</v>
      </c>
      <c r="C6" s="25">
        <f t="shared" si="1"/>
        <v>-2.555313181676537E-2</v>
      </c>
      <c r="K6" s="28">
        <v>42376</v>
      </c>
      <c r="L6" s="23">
        <v>9205.9</v>
      </c>
      <c r="M6" s="25">
        <f t="shared" si="2"/>
        <v>-2.4942699790351928E-2</v>
      </c>
      <c r="O6" t="b">
        <f t="shared" si="0"/>
        <v>1</v>
      </c>
    </row>
    <row r="7" spans="1:28">
      <c r="A7" s="27">
        <v>42377</v>
      </c>
      <c r="B7" s="24">
        <v>473.51</v>
      </c>
      <c r="C7" s="25">
        <f t="shared" si="1"/>
        <v>9.5085811747148054E-3</v>
      </c>
      <c r="K7" s="29">
        <v>42377</v>
      </c>
      <c r="L7" s="24">
        <v>9268.7199999999993</v>
      </c>
      <c r="M7" s="25">
        <f t="shared" si="2"/>
        <v>6.7776348837811171E-3</v>
      </c>
      <c r="O7" t="b">
        <f t="shared" si="0"/>
        <v>1</v>
      </c>
    </row>
    <row r="8" spans="1:28">
      <c r="A8" s="26">
        <v>42380</v>
      </c>
      <c r="B8" s="23">
        <v>470.77</v>
      </c>
      <c r="C8" s="25">
        <f t="shared" si="1"/>
        <v>-5.7865726172625902E-3</v>
      </c>
      <c r="K8" s="28">
        <v>42380</v>
      </c>
      <c r="L8" s="23">
        <v>9213.09</v>
      </c>
      <c r="M8" s="25">
        <f t="shared" si="2"/>
        <v>-6.0381478960912349E-3</v>
      </c>
      <c r="O8" t="b">
        <f t="shared" si="0"/>
        <v>1</v>
      </c>
    </row>
    <row r="9" spans="1:28">
      <c r="A9" s="27">
        <v>42381</v>
      </c>
      <c r="B9" s="24">
        <v>466.51</v>
      </c>
      <c r="C9" s="25">
        <f t="shared" si="1"/>
        <v>-9.0490048218875262E-3</v>
      </c>
      <c r="K9" s="29">
        <v>42381</v>
      </c>
      <c r="L9" s="24">
        <v>9146.77</v>
      </c>
      <c r="M9" s="25">
        <f t="shared" si="2"/>
        <v>-7.2506469496882182E-3</v>
      </c>
      <c r="O9" t="b">
        <f t="shared" si="0"/>
        <v>1</v>
      </c>
    </row>
    <row r="10" spans="1:28">
      <c r="A10" s="26">
        <v>42382</v>
      </c>
      <c r="B10" s="23">
        <v>465.99</v>
      </c>
      <c r="C10" s="25">
        <f t="shared" si="1"/>
        <v>-1.1146599215450513E-3</v>
      </c>
      <c r="K10" s="28">
        <v>42382</v>
      </c>
      <c r="L10" s="23">
        <v>9161.7900000000009</v>
      </c>
      <c r="M10" s="25">
        <f t="shared" si="2"/>
        <v>1.6394176247218541E-3</v>
      </c>
      <c r="O10" t="b">
        <f t="shared" si="0"/>
        <v>1</v>
      </c>
    </row>
    <row r="11" spans="1:28">
      <c r="A11" s="27">
        <v>42383</v>
      </c>
      <c r="B11" s="24">
        <v>462.55</v>
      </c>
      <c r="C11" s="25">
        <f t="shared" si="1"/>
        <v>-7.3821326637910634E-3</v>
      </c>
      <c r="K11" s="29">
        <v>42383</v>
      </c>
      <c r="L11" s="24">
        <v>9107.86</v>
      </c>
      <c r="M11" s="25">
        <f t="shared" si="2"/>
        <v>-5.9212592200583109E-3</v>
      </c>
      <c r="O11" t="b">
        <f t="shared" si="0"/>
        <v>1</v>
      </c>
    </row>
    <row r="12" spans="1:28">
      <c r="A12" s="26">
        <v>42384</v>
      </c>
      <c r="B12" s="23">
        <v>454.66</v>
      </c>
      <c r="C12" s="25">
        <f t="shared" si="1"/>
        <v>-1.7057615392930464E-2</v>
      </c>
      <c r="K12" s="28">
        <v>42384</v>
      </c>
      <c r="L12" s="23">
        <v>8942.51</v>
      </c>
      <c r="M12" s="25">
        <f t="shared" si="2"/>
        <v>-1.849033436920958E-2</v>
      </c>
      <c r="O12" t="b">
        <f t="shared" si="0"/>
        <v>1</v>
      </c>
    </row>
    <row r="13" spans="1:28">
      <c r="A13" s="27">
        <v>42387</v>
      </c>
      <c r="B13" s="24">
        <v>446.02</v>
      </c>
      <c r="C13" s="25">
        <f t="shared" si="1"/>
        <v>-1.9003211190780016E-2</v>
      </c>
      <c r="K13" s="29">
        <v>42387</v>
      </c>
      <c r="L13" s="24">
        <v>8780.81</v>
      </c>
      <c r="M13" s="25">
        <f t="shared" si="2"/>
        <v>-1.8415157599355952E-2</v>
      </c>
      <c r="O13" t="b">
        <f t="shared" si="0"/>
        <v>1</v>
      </c>
    </row>
    <row r="14" spans="1:28">
      <c r="A14" s="26">
        <v>42388</v>
      </c>
      <c r="B14" s="23">
        <v>450.76</v>
      </c>
      <c r="C14" s="25">
        <f t="shared" si="1"/>
        <v>1.0627326128873165E-2</v>
      </c>
      <c r="K14" s="28">
        <v>42388</v>
      </c>
      <c r="L14" s="23">
        <v>8889.65</v>
      </c>
      <c r="M14" s="25">
        <f t="shared" si="2"/>
        <v>1.2243451654452104E-2</v>
      </c>
      <c r="O14" t="b">
        <f t="shared" si="0"/>
        <v>1</v>
      </c>
    </row>
    <row r="15" spans="1:28">
      <c r="A15" s="27">
        <v>42389</v>
      </c>
      <c r="B15" s="24">
        <v>442.88</v>
      </c>
      <c r="C15" s="25">
        <f t="shared" si="1"/>
        <v>-1.7481586653651602E-2</v>
      </c>
      <c r="K15" s="29">
        <v>42389</v>
      </c>
      <c r="L15" s="24">
        <v>8733.39</v>
      </c>
      <c r="M15" s="25">
        <f t="shared" si="2"/>
        <v>-1.78922503174598E-2</v>
      </c>
      <c r="O15" t="b">
        <f t="shared" si="0"/>
        <v>1</v>
      </c>
    </row>
    <row r="16" spans="1:28">
      <c r="A16" s="26">
        <v>42390</v>
      </c>
      <c r="B16" s="23">
        <v>442.34</v>
      </c>
      <c r="C16" s="25">
        <f t="shared" si="1"/>
        <v>-1.2192919075144971E-3</v>
      </c>
      <c r="K16" s="28">
        <v>42390</v>
      </c>
      <c r="L16" s="23">
        <v>8700.17</v>
      </c>
      <c r="M16" s="25">
        <f t="shared" si="2"/>
        <v>-3.8183161938214246E-3</v>
      </c>
      <c r="O16" t="b">
        <f t="shared" si="0"/>
        <v>1</v>
      </c>
    </row>
    <row r="17" spans="1:15">
      <c r="A17" s="27">
        <v>42391</v>
      </c>
      <c r="B17" s="24">
        <v>452.51</v>
      </c>
      <c r="C17" s="25">
        <f t="shared" si="1"/>
        <v>2.299136410905642E-2</v>
      </c>
      <c r="K17" s="29">
        <v>42391</v>
      </c>
      <c r="L17" s="24">
        <v>8878.15</v>
      </c>
      <c r="M17" s="25">
        <f t="shared" si="2"/>
        <v>2.0046969244718729E-2</v>
      </c>
      <c r="O17" t="b">
        <f t="shared" si="0"/>
        <v>1</v>
      </c>
    </row>
    <row r="18" spans="1:15">
      <c r="A18" s="26">
        <v>42394</v>
      </c>
      <c r="B18" s="23">
        <v>453.79</v>
      </c>
      <c r="C18" s="25">
        <f t="shared" si="1"/>
        <v>2.8286667697952081E-3</v>
      </c>
      <c r="K18" s="28">
        <v>42394</v>
      </c>
      <c r="L18" s="23">
        <v>8904.06</v>
      </c>
      <c r="M18" s="25">
        <f t="shared" si="2"/>
        <v>2.9099085136443212E-3</v>
      </c>
      <c r="O18" t="b">
        <f t="shared" si="0"/>
        <v>1</v>
      </c>
    </row>
    <row r="19" spans="1:15">
      <c r="A19" s="27">
        <v>42396</v>
      </c>
      <c r="B19" s="24">
        <v>454.6</v>
      </c>
      <c r="C19" s="25">
        <f t="shared" si="1"/>
        <v>1.7849666145133261E-3</v>
      </c>
      <c r="K19" s="29">
        <v>42396</v>
      </c>
      <c r="L19" s="24">
        <v>8915.9500000000007</v>
      </c>
      <c r="M19" s="25">
        <f t="shared" si="2"/>
        <v>1.3335651276646051E-3</v>
      </c>
      <c r="O19" t="b">
        <f t="shared" si="0"/>
        <v>1</v>
      </c>
    </row>
    <row r="20" spans="1:15">
      <c r="A20" s="26">
        <v>42397</v>
      </c>
      <c r="B20" s="23">
        <v>453.63</v>
      </c>
      <c r="C20" s="25">
        <f t="shared" si="1"/>
        <v>-2.1337439507259728E-3</v>
      </c>
      <c r="K20" s="28">
        <v>42397</v>
      </c>
      <c r="L20" s="23">
        <v>8898.25</v>
      </c>
      <c r="M20" s="25">
        <f t="shared" si="2"/>
        <v>-1.9891551709606639E-3</v>
      </c>
      <c r="O20" t="b">
        <f t="shared" si="0"/>
        <v>1</v>
      </c>
    </row>
    <row r="21" spans="1:15">
      <c r="A21" s="27">
        <v>42398</v>
      </c>
      <c r="B21" s="24">
        <v>460.6</v>
      </c>
      <c r="C21" s="25">
        <f t="shared" si="1"/>
        <v>1.5364944999228506E-2</v>
      </c>
      <c r="K21" s="29">
        <v>42398</v>
      </c>
      <c r="L21" s="24">
        <v>9054.56</v>
      </c>
      <c r="M21" s="25">
        <f t="shared" si="2"/>
        <v>1.7263124878514197E-2</v>
      </c>
      <c r="O21" t="b">
        <f t="shared" si="0"/>
        <v>1</v>
      </c>
    </row>
    <row r="22" spans="1:15">
      <c r="A22" s="26">
        <v>42401</v>
      </c>
      <c r="B22" s="23">
        <v>461.92</v>
      </c>
      <c r="C22" s="25">
        <f t="shared" si="1"/>
        <v>2.8658271819365895E-3</v>
      </c>
      <c r="K22" s="28">
        <v>42401</v>
      </c>
      <c r="L22" s="23">
        <v>9058.07</v>
      </c>
      <c r="M22" s="25">
        <f t="shared" si="2"/>
        <v>3.874997654025878E-4</v>
      </c>
      <c r="O22" t="b">
        <f t="shared" si="0"/>
        <v>1</v>
      </c>
    </row>
    <row r="23" spans="1:15">
      <c r="A23" s="27">
        <v>42402</v>
      </c>
      <c r="B23" s="24">
        <v>454.73</v>
      </c>
      <c r="C23" s="25">
        <f t="shared" si="1"/>
        <v>-1.5565465881537923E-2</v>
      </c>
      <c r="K23" s="29">
        <v>42402</v>
      </c>
      <c r="L23" s="24">
        <v>8931.0499999999993</v>
      </c>
      <c r="M23" s="25">
        <f t="shared" si="2"/>
        <v>-1.4222291891770895E-2</v>
      </c>
      <c r="O23" t="b">
        <f t="shared" si="0"/>
        <v>1</v>
      </c>
    </row>
    <row r="24" spans="1:15">
      <c r="A24" s="26">
        <v>42403</v>
      </c>
      <c r="B24" s="23">
        <v>449.39</v>
      </c>
      <c r="C24" s="25">
        <f t="shared" si="1"/>
        <v>-1.17432322477075E-2</v>
      </c>
      <c r="K24" s="28">
        <v>42403</v>
      </c>
      <c r="L24" s="23">
        <v>8808.5400000000009</v>
      </c>
      <c r="M24" s="25">
        <f t="shared" si="2"/>
        <v>-1.3908093736305719E-2</v>
      </c>
      <c r="O24" t="b">
        <f t="shared" si="0"/>
        <v>1</v>
      </c>
    </row>
    <row r="25" spans="1:15">
      <c r="A25" s="27">
        <v>42404</v>
      </c>
      <c r="B25" s="24">
        <v>450.7</v>
      </c>
      <c r="C25" s="25">
        <f t="shared" si="1"/>
        <v>2.9150626404681954E-3</v>
      </c>
      <c r="K25" s="29">
        <v>42404</v>
      </c>
      <c r="L25" s="24">
        <v>8837.24</v>
      </c>
      <c r="M25" s="25">
        <f t="shared" si="2"/>
        <v>3.2476202977398949E-3</v>
      </c>
      <c r="O25" t="b">
        <f t="shared" si="0"/>
        <v>1</v>
      </c>
    </row>
    <row r="26" spans="1:15">
      <c r="A26" s="26">
        <v>42405</v>
      </c>
      <c r="B26" s="23">
        <v>459.14</v>
      </c>
      <c r="C26" s="25">
        <f t="shared" si="1"/>
        <v>1.8726425560239623E-2</v>
      </c>
      <c r="K26" s="28">
        <v>42405</v>
      </c>
      <c r="L26" s="23">
        <v>8958.5499999999993</v>
      </c>
      <c r="M26" s="25">
        <f t="shared" si="2"/>
        <v>1.3541253885952471E-2</v>
      </c>
      <c r="O26" t="b">
        <f t="shared" si="0"/>
        <v>1</v>
      </c>
    </row>
    <row r="27" spans="1:15">
      <c r="A27" s="27">
        <v>42408</v>
      </c>
      <c r="B27" s="24">
        <v>455.43</v>
      </c>
      <c r="C27" s="25">
        <f t="shared" si="1"/>
        <v>-8.0803240841572938E-3</v>
      </c>
      <c r="K27" s="29">
        <v>42408</v>
      </c>
      <c r="L27" s="24">
        <v>8871.81</v>
      </c>
      <c r="M27" s="25">
        <f t="shared" si="2"/>
        <v>-9.7770353512980756E-3</v>
      </c>
      <c r="O27" t="b">
        <f t="shared" si="0"/>
        <v>1</v>
      </c>
    </row>
    <row r="28" spans="1:15">
      <c r="A28" s="26">
        <v>42409</v>
      </c>
      <c r="B28" s="23">
        <v>447.87</v>
      </c>
      <c r="C28" s="25">
        <f t="shared" si="1"/>
        <v>-1.659969698965813E-2</v>
      </c>
      <c r="K28" s="28">
        <v>42409</v>
      </c>
      <c r="L28" s="23">
        <v>8751.58</v>
      </c>
      <c r="M28" s="25">
        <f t="shared" si="2"/>
        <v>-1.373809072190388E-2</v>
      </c>
      <c r="O28" t="b">
        <f t="shared" si="0"/>
        <v>1</v>
      </c>
    </row>
    <row r="29" spans="1:15">
      <c r="A29" s="27">
        <v>42410</v>
      </c>
      <c r="B29" s="24">
        <v>441.67</v>
      </c>
      <c r="C29" s="25">
        <f t="shared" si="1"/>
        <v>-1.3843302744099825E-2</v>
      </c>
      <c r="K29" s="29">
        <v>42410</v>
      </c>
      <c r="L29" s="24">
        <v>8646.6</v>
      </c>
      <c r="M29" s="25">
        <f t="shared" si="2"/>
        <v>-1.2141188444012624E-2</v>
      </c>
      <c r="O29" t="b">
        <f t="shared" si="0"/>
        <v>1</v>
      </c>
    </row>
    <row r="30" spans="1:15">
      <c r="A30" s="26">
        <v>42411</v>
      </c>
      <c r="B30" s="23">
        <v>427.68</v>
      </c>
      <c r="C30" s="25">
        <f t="shared" si="1"/>
        <v>-3.1675232639753685E-2</v>
      </c>
      <c r="K30" s="28">
        <v>42411</v>
      </c>
      <c r="L30" s="23">
        <v>8349.07</v>
      </c>
      <c r="M30" s="25">
        <f t="shared" si="2"/>
        <v>-3.5636304402765898E-2</v>
      </c>
      <c r="O30" t="b">
        <f t="shared" si="0"/>
        <v>1</v>
      </c>
    </row>
    <row r="31" spans="1:15">
      <c r="A31" s="27">
        <v>42412</v>
      </c>
      <c r="B31" s="24">
        <v>427.88</v>
      </c>
      <c r="C31" s="25">
        <f t="shared" si="1"/>
        <v>4.6763935652821884E-4</v>
      </c>
      <c r="K31" s="29">
        <v>42412</v>
      </c>
      <c r="L31" s="24">
        <v>8335.1200000000008</v>
      </c>
      <c r="M31" s="25">
        <f t="shared" si="2"/>
        <v>-1.6736411713327351E-3</v>
      </c>
      <c r="O31" t="b">
        <f t="shared" si="0"/>
        <v>1</v>
      </c>
    </row>
    <row r="32" spans="1:15">
      <c r="A32" s="26">
        <v>42415</v>
      </c>
      <c r="B32" s="23">
        <v>440.4</v>
      </c>
      <c r="C32" s="25">
        <f t="shared" si="1"/>
        <v>2.9260540338412598E-2</v>
      </c>
      <c r="K32" s="28">
        <v>42415</v>
      </c>
      <c r="L32" s="23">
        <v>8571.9</v>
      </c>
      <c r="M32" s="25">
        <f t="shared" si="2"/>
        <v>2.7622814078558877E-2</v>
      </c>
      <c r="O32" t="b">
        <f t="shared" si="0"/>
        <v>1</v>
      </c>
    </row>
    <row r="33" spans="1:15">
      <c r="A33" s="27">
        <v>42416</v>
      </c>
      <c r="B33" s="24">
        <v>431.51</v>
      </c>
      <c r="C33" s="25">
        <f t="shared" si="1"/>
        <v>-2.0186194368755645E-2</v>
      </c>
      <c r="K33" s="29">
        <v>42416</v>
      </c>
      <c r="L33" s="24">
        <v>8415.34</v>
      </c>
      <c r="M33" s="25">
        <f t="shared" si="2"/>
        <v>-1.8604120570291812E-2</v>
      </c>
      <c r="O33" t="b">
        <f t="shared" si="0"/>
        <v>1</v>
      </c>
    </row>
    <row r="34" spans="1:15">
      <c r="A34" s="26">
        <v>42417</v>
      </c>
      <c r="B34" s="23">
        <v>434.91</v>
      </c>
      <c r="C34" s="25">
        <f t="shared" si="1"/>
        <v>7.8793075479132221E-3</v>
      </c>
      <c r="K34" s="28">
        <v>42417</v>
      </c>
      <c r="L34" s="23">
        <v>8475.06</v>
      </c>
      <c r="M34" s="25">
        <f t="shared" si="2"/>
        <v>7.0465577824816994E-3</v>
      </c>
      <c r="O34" t="b">
        <f t="shared" si="0"/>
        <v>1</v>
      </c>
    </row>
    <row r="35" spans="1:15">
      <c r="A35" s="27">
        <v>42418</v>
      </c>
      <c r="B35" s="24">
        <v>438.03</v>
      </c>
      <c r="C35" s="25">
        <f t="shared" si="1"/>
        <v>7.1738980478718529E-3</v>
      </c>
      <c r="K35" s="29">
        <v>42418</v>
      </c>
      <c r="L35" s="24">
        <v>8559.1</v>
      </c>
      <c r="M35" s="25">
        <f t="shared" si="2"/>
        <v>9.8187893586943568E-3</v>
      </c>
      <c r="O35" t="b">
        <f t="shared" si="0"/>
        <v>1</v>
      </c>
    </row>
    <row r="36" spans="1:15">
      <c r="A36" s="26">
        <v>42419</v>
      </c>
      <c r="B36" s="23">
        <v>437.6</v>
      </c>
      <c r="C36" s="25">
        <f t="shared" si="1"/>
        <v>-9.8166792228831352E-4</v>
      </c>
      <c r="K36" s="28">
        <v>42419</v>
      </c>
      <c r="L36" s="23">
        <v>8575.69</v>
      </c>
      <c r="M36" s="25">
        <f t="shared" si="2"/>
        <v>1.934538212085575E-3</v>
      </c>
      <c r="O36" t="b">
        <f t="shared" si="0"/>
        <v>1</v>
      </c>
    </row>
    <row r="37" spans="1:15">
      <c r="A37" s="27">
        <v>42422</v>
      </c>
      <c r="B37" s="24">
        <v>438.99</v>
      </c>
      <c r="C37" s="25">
        <f t="shared" si="1"/>
        <v>3.1764168190127656E-3</v>
      </c>
      <c r="K37" s="29">
        <v>42422</v>
      </c>
      <c r="L37" s="24">
        <v>8609.89</v>
      </c>
      <c r="M37" s="25">
        <f t="shared" si="2"/>
        <v>3.9721761834354344E-3</v>
      </c>
      <c r="O37" t="b">
        <f t="shared" si="0"/>
        <v>1</v>
      </c>
    </row>
    <row r="38" spans="1:15">
      <c r="A38" s="26">
        <v>42423</v>
      </c>
      <c r="B38" s="23">
        <v>432.26</v>
      </c>
      <c r="C38" s="25">
        <f t="shared" si="1"/>
        <v>-1.5330645344996511E-2</v>
      </c>
      <c r="K38" s="28">
        <v>42423</v>
      </c>
      <c r="L38" s="23">
        <v>8477.0300000000007</v>
      </c>
      <c r="M38" s="25">
        <f t="shared" si="2"/>
        <v>-1.5672942056356855E-2</v>
      </c>
      <c r="O38" t="b">
        <f t="shared" si="0"/>
        <v>1</v>
      </c>
    </row>
    <row r="39" spans="1:15">
      <c r="A39" s="27">
        <v>42424</v>
      </c>
      <c r="B39" s="24">
        <v>427.24</v>
      </c>
      <c r="C39" s="25">
        <f t="shared" si="1"/>
        <v>-1.1613380835608157E-2</v>
      </c>
      <c r="K39" s="29">
        <v>42424</v>
      </c>
      <c r="L39" s="24">
        <v>8375.3799999999992</v>
      </c>
      <c r="M39" s="25">
        <f t="shared" si="2"/>
        <v>-1.2136762749869434E-2</v>
      </c>
      <c r="O39" t="b">
        <f t="shared" si="0"/>
        <v>1</v>
      </c>
    </row>
    <row r="40" spans="1:15">
      <c r="A40" s="26">
        <v>42425</v>
      </c>
      <c r="B40" s="23">
        <v>422.46</v>
      </c>
      <c r="C40" s="25">
        <f t="shared" si="1"/>
        <v>-1.1188091002715171E-2</v>
      </c>
      <c r="K40" s="28">
        <v>42425</v>
      </c>
      <c r="L40" s="23">
        <v>8313.56</v>
      </c>
      <c r="M40" s="25">
        <f t="shared" si="2"/>
        <v>-7.4360442457863671E-3</v>
      </c>
      <c r="O40" t="b">
        <f t="shared" si="0"/>
        <v>1</v>
      </c>
    </row>
    <row r="41" spans="1:15">
      <c r="A41" s="27">
        <v>42426</v>
      </c>
      <c r="B41" s="24">
        <v>425.05</v>
      </c>
      <c r="C41" s="25">
        <f t="shared" si="1"/>
        <v>6.1307579415803438E-3</v>
      </c>
      <c r="K41" s="29">
        <v>42426</v>
      </c>
      <c r="L41" s="24">
        <v>8365.56</v>
      </c>
      <c r="M41" s="25">
        <f t="shared" si="2"/>
        <v>6.2159616331721968E-3</v>
      </c>
      <c r="O41" t="b">
        <f t="shared" si="0"/>
        <v>1</v>
      </c>
    </row>
    <row r="42" spans="1:15">
      <c r="A42" s="26">
        <v>42429</v>
      </c>
      <c r="B42" s="23">
        <v>423.65</v>
      </c>
      <c r="C42" s="25">
        <f t="shared" si="1"/>
        <v>-3.293730149394269E-3</v>
      </c>
      <c r="K42" s="28">
        <v>42429</v>
      </c>
      <c r="L42" s="23">
        <v>8332.74</v>
      </c>
      <c r="M42" s="25">
        <f t="shared" si="2"/>
        <v>-3.9386804340468696E-3</v>
      </c>
      <c r="O42" t="b">
        <f t="shared" si="0"/>
        <v>1</v>
      </c>
    </row>
    <row r="43" spans="1:15">
      <c r="A43" s="27">
        <v>42430</v>
      </c>
      <c r="B43" s="24">
        <v>438.12</v>
      </c>
      <c r="C43" s="25">
        <f t="shared" si="1"/>
        <v>3.4155552932845577E-2</v>
      </c>
      <c r="K43" s="29">
        <v>42430</v>
      </c>
      <c r="L43" s="24">
        <v>8604.5</v>
      </c>
      <c r="M43" s="25">
        <f t="shared" si="2"/>
        <v>3.1583473763728304E-2</v>
      </c>
      <c r="O43" t="b">
        <f t="shared" si="0"/>
        <v>1</v>
      </c>
    </row>
    <row r="44" spans="1:15">
      <c r="A44" s="26">
        <v>42431</v>
      </c>
      <c r="B44" s="23">
        <v>447.58</v>
      </c>
      <c r="C44" s="25">
        <f t="shared" si="1"/>
        <v>2.1592257828905274E-2</v>
      </c>
      <c r="K44" s="28">
        <v>42431</v>
      </c>
      <c r="L44" s="23">
        <v>8771.84</v>
      </c>
      <c r="M44" s="25">
        <f t="shared" si="2"/>
        <v>1.907695534802278E-2</v>
      </c>
      <c r="O44" t="b">
        <f t="shared" si="0"/>
        <v>1</v>
      </c>
    </row>
    <row r="45" spans="1:15">
      <c r="A45" s="27">
        <v>42432</v>
      </c>
      <c r="B45" s="24">
        <v>454.61</v>
      </c>
      <c r="C45" s="25">
        <f t="shared" si="1"/>
        <v>1.5706689306939609E-2</v>
      </c>
      <c r="K45" s="29">
        <v>42432</v>
      </c>
      <c r="L45" s="24">
        <v>8888.1299999999992</v>
      </c>
      <c r="M45" s="25">
        <f t="shared" si="2"/>
        <v>1.3083742024475235E-2</v>
      </c>
      <c r="O45" t="b">
        <f t="shared" si="0"/>
        <v>1</v>
      </c>
    </row>
    <row r="46" spans="1:15">
      <c r="A46" s="26">
        <v>42433</v>
      </c>
      <c r="B46" s="23">
        <v>456.35</v>
      </c>
      <c r="C46" s="25">
        <f t="shared" si="1"/>
        <v>3.827456501176853E-3</v>
      </c>
      <c r="K46" s="28">
        <v>42433</v>
      </c>
      <c r="L46" s="23">
        <v>8918.06</v>
      </c>
      <c r="M46" s="25">
        <f t="shared" si="2"/>
        <v>3.3561110824551856E-3</v>
      </c>
      <c r="O46" t="b">
        <f t="shared" si="0"/>
        <v>1</v>
      </c>
    </row>
    <row r="47" spans="1:15">
      <c r="A47" s="27">
        <v>42437</v>
      </c>
      <c r="B47" s="24">
        <v>454.86</v>
      </c>
      <c r="C47" s="25">
        <f t="shared" si="1"/>
        <v>-3.2650377999342809E-3</v>
      </c>
      <c r="K47" s="29">
        <v>42437</v>
      </c>
      <c r="L47" s="24">
        <v>8924.33</v>
      </c>
      <c r="M47" s="25">
        <f t="shared" si="2"/>
        <v>7.0257375063455035E-4</v>
      </c>
      <c r="O47" t="b">
        <f t="shared" si="0"/>
        <v>1</v>
      </c>
    </row>
    <row r="48" spans="1:15">
      <c r="A48" s="26">
        <v>42438</v>
      </c>
      <c r="B48" s="23">
        <v>459.5</v>
      </c>
      <c r="C48" s="25">
        <f t="shared" si="1"/>
        <v>1.0200940948863356E-2</v>
      </c>
      <c r="K48" s="28">
        <v>42438</v>
      </c>
      <c r="L48" s="23">
        <v>8969.23</v>
      </c>
      <c r="M48" s="25">
        <f t="shared" si="2"/>
        <v>5.0060038598630698E-3</v>
      </c>
      <c r="O48" t="b">
        <f t="shared" si="0"/>
        <v>1</v>
      </c>
    </row>
    <row r="49" spans="1:15">
      <c r="A49" s="27">
        <v>42439</v>
      </c>
      <c r="B49" s="24">
        <v>457.83</v>
      </c>
      <c r="C49" s="25">
        <f t="shared" si="1"/>
        <v>-3.6343852013058018E-3</v>
      </c>
      <c r="K49" s="29">
        <v>42439</v>
      </c>
      <c r="L49" s="24">
        <v>8923.32</v>
      </c>
      <c r="M49" s="25">
        <f t="shared" si="2"/>
        <v>-5.144946051469616E-3</v>
      </c>
      <c r="O49" t="b">
        <f t="shared" si="0"/>
        <v>1</v>
      </c>
    </row>
    <row r="50" spans="1:15">
      <c r="A50" s="26">
        <v>42440</v>
      </c>
      <c r="B50" s="23">
        <v>459.53</v>
      </c>
      <c r="C50" s="25">
        <f t="shared" si="1"/>
        <v>3.7131686433828906E-3</v>
      </c>
      <c r="K50" s="28">
        <v>42440</v>
      </c>
      <c r="L50" s="23">
        <v>8945.4500000000007</v>
      </c>
      <c r="M50" s="25">
        <f t="shared" si="2"/>
        <v>2.4738833708758102E-3</v>
      </c>
      <c r="O50" t="b">
        <f t="shared" si="0"/>
        <v>1</v>
      </c>
    </row>
    <row r="51" spans="1:15">
      <c r="A51" s="27">
        <v>42443</v>
      </c>
      <c r="B51" s="24">
        <v>461.62</v>
      </c>
      <c r="C51" s="25">
        <f t="shared" si="1"/>
        <v>4.5481252584162772E-3</v>
      </c>
      <c r="K51" s="29">
        <v>42443</v>
      </c>
      <c r="L51" s="24">
        <v>8985.75</v>
      </c>
      <c r="M51" s="25">
        <f t="shared" si="2"/>
        <v>4.4848788359345935E-3</v>
      </c>
      <c r="O51" t="b">
        <f t="shared" si="0"/>
        <v>1</v>
      </c>
    </row>
    <row r="52" spans="1:15">
      <c r="A52" s="26">
        <v>42444</v>
      </c>
      <c r="B52" s="23">
        <v>458.14</v>
      </c>
      <c r="C52" s="25">
        <f t="shared" si="1"/>
        <v>-7.5386681686235822E-3</v>
      </c>
      <c r="K52" s="28">
        <v>42444</v>
      </c>
      <c r="L52" s="23">
        <v>8899.93</v>
      </c>
      <c r="M52" s="25">
        <f t="shared" si="2"/>
        <v>-9.6427724712441227E-3</v>
      </c>
      <c r="O52" t="b">
        <f t="shared" si="0"/>
        <v>1</v>
      </c>
    </row>
    <row r="53" spans="1:15">
      <c r="A53" s="27">
        <v>42445</v>
      </c>
      <c r="B53" s="24">
        <v>458.66</v>
      </c>
      <c r="C53" s="25">
        <f t="shared" si="1"/>
        <v>1.135024228401883E-3</v>
      </c>
      <c r="K53" s="29">
        <v>42445</v>
      </c>
      <c r="L53" s="24">
        <v>8924.52</v>
      </c>
      <c r="M53" s="25">
        <f t="shared" si="2"/>
        <v>2.755330258658185E-3</v>
      </c>
      <c r="O53" t="b">
        <f t="shared" si="0"/>
        <v>1</v>
      </c>
    </row>
    <row r="54" spans="1:15">
      <c r="A54" s="26">
        <v>42446</v>
      </c>
      <c r="B54" s="23">
        <v>460.49</v>
      </c>
      <c r="C54" s="25">
        <f t="shared" si="1"/>
        <v>3.9898835738891207E-3</v>
      </c>
      <c r="K54" s="28">
        <v>42446</v>
      </c>
      <c r="L54" s="23">
        <v>8954.2000000000007</v>
      </c>
      <c r="M54" s="25">
        <f t="shared" si="2"/>
        <v>3.3146456411516706E-3</v>
      </c>
      <c r="O54" t="b">
        <f t="shared" si="0"/>
        <v>1</v>
      </c>
    </row>
    <row r="55" spans="1:15">
      <c r="A55" s="27">
        <v>42447</v>
      </c>
      <c r="B55" s="24">
        <v>465.29</v>
      </c>
      <c r="C55" s="25">
        <f t="shared" si="1"/>
        <v>1.0423679124410978E-2</v>
      </c>
      <c r="K55" s="29">
        <v>42447</v>
      </c>
      <c r="L55" s="24">
        <v>9050.81</v>
      </c>
      <c r="M55" s="25">
        <f t="shared" si="2"/>
        <v>1.0674182752703765E-2</v>
      </c>
      <c r="O55" t="b">
        <f t="shared" si="0"/>
        <v>1</v>
      </c>
    </row>
    <row r="56" spans="1:15">
      <c r="A56" s="26">
        <v>42450</v>
      </c>
      <c r="B56" s="23">
        <v>470.95</v>
      </c>
      <c r="C56" s="25">
        <f t="shared" si="1"/>
        <v>1.2164456575468994E-2</v>
      </c>
      <c r="K56" s="28">
        <v>42450</v>
      </c>
      <c r="L56" s="23">
        <v>9172.2999999999993</v>
      </c>
      <c r="M56" s="25">
        <f t="shared" si="2"/>
        <v>1.3245314697513142E-2</v>
      </c>
      <c r="O56" t="b">
        <f t="shared" si="0"/>
        <v>1</v>
      </c>
    </row>
    <row r="57" spans="1:15">
      <c r="A57" s="27">
        <v>42451</v>
      </c>
      <c r="B57" s="24">
        <v>471.89</v>
      </c>
      <c r="C57" s="25">
        <f t="shared" si="1"/>
        <v>1.9959656014438853E-3</v>
      </c>
      <c r="K57" s="29">
        <v>42451</v>
      </c>
      <c r="L57" s="24">
        <v>9190.1</v>
      </c>
      <c r="M57" s="25">
        <f t="shared" si="2"/>
        <v>1.936866845845104E-3</v>
      </c>
      <c r="O57" t="b">
        <f t="shared" si="0"/>
        <v>1</v>
      </c>
    </row>
    <row r="58" spans="1:15">
      <c r="A58" s="26">
        <v>42452</v>
      </c>
      <c r="B58" s="23">
        <v>472.97</v>
      </c>
      <c r="C58" s="25">
        <f t="shared" si="1"/>
        <v>2.2886689694633093E-3</v>
      </c>
      <c r="K58" s="28">
        <v>42452</v>
      </c>
      <c r="L58" s="23">
        <v>9197.92</v>
      </c>
      <c r="M58" s="25">
        <f t="shared" si="2"/>
        <v>8.5019221737085216E-4</v>
      </c>
      <c r="O58" t="b">
        <f t="shared" si="0"/>
        <v>1</v>
      </c>
    </row>
    <row r="59" spans="1:15">
      <c r="A59" s="27">
        <v>42457</v>
      </c>
      <c r="B59" s="24">
        <v>467.59</v>
      </c>
      <c r="C59" s="25">
        <f t="shared" si="1"/>
        <v>-1.1374928642408719E-2</v>
      </c>
      <c r="K59" s="29">
        <v>42457</v>
      </c>
      <c r="L59" s="24">
        <v>9070.68</v>
      </c>
      <c r="M59" s="25">
        <f t="shared" si="2"/>
        <v>-1.4027614247222896E-2</v>
      </c>
      <c r="O59" t="b">
        <f t="shared" si="0"/>
        <v>1</v>
      </c>
    </row>
    <row r="60" spans="1:15">
      <c r="A60" s="26">
        <v>42458</v>
      </c>
      <c r="B60" s="23">
        <v>467.58</v>
      </c>
      <c r="C60" s="25">
        <f t="shared" si="1"/>
        <v>-2.138625719110953E-5</v>
      </c>
      <c r="K60" s="28">
        <v>42458</v>
      </c>
      <c r="L60" s="23">
        <v>9053.98</v>
      </c>
      <c r="M60" s="25">
        <f t="shared" si="2"/>
        <v>-1.8444926982388661E-3</v>
      </c>
      <c r="O60" t="b">
        <f t="shared" si="0"/>
        <v>1</v>
      </c>
    </row>
    <row r="61" spans="1:15">
      <c r="A61" s="27">
        <v>42459</v>
      </c>
      <c r="B61" s="24">
        <v>475.03</v>
      </c>
      <c r="C61" s="25">
        <f t="shared" si="1"/>
        <v>1.5933102356815922E-2</v>
      </c>
      <c r="K61" s="29">
        <v>42459</v>
      </c>
      <c r="L61" s="24">
        <v>9217.7800000000007</v>
      </c>
      <c r="M61" s="25">
        <f t="shared" si="2"/>
        <v>1.7770005359208082E-2</v>
      </c>
      <c r="O61" t="b">
        <f t="shared" si="0"/>
        <v>1</v>
      </c>
    </row>
    <row r="62" spans="1:15">
      <c r="A62" s="26">
        <v>42460</v>
      </c>
      <c r="B62" s="23">
        <v>476.28</v>
      </c>
      <c r="C62" s="25">
        <f t="shared" si="1"/>
        <v>2.6314127528787659E-3</v>
      </c>
      <c r="K62" s="28">
        <v>42460</v>
      </c>
      <c r="L62" s="23">
        <v>9239.92</v>
      </c>
      <c r="M62" s="25">
        <f t="shared" si="2"/>
        <v>2.3961246417717273E-3</v>
      </c>
      <c r="O62" t="b">
        <f t="shared" si="0"/>
        <v>1</v>
      </c>
    </row>
    <row r="63" spans="1:15">
      <c r="A63" s="27">
        <v>42461</v>
      </c>
      <c r="B63" s="24">
        <v>476.17</v>
      </c>
      <c r="C63" s="25">
        <f t="shared" si="1"/>
        <v>-2.3095658016283868E-4</v>
      </c>
      <c r="K63" s="29">
        <v>42461</v>
      </c>
      <c r="L63" s="24">
        <v>9230.34</v>
      </c>
      <c r="M63" s="25">
        <f t="shared" si="2"/>
        <v>-1.0378815948274848E-3</v>
      </c>
      <c r="O63" t="b">
        <f t="shared" si="0"/>
        <v>1</v>
      </c>
    </row>
    <row r="64" spans="1:15">
      <c r="A64" s="26">
        <v>42464</v>
      </c>
      <c r="B64" s="23">
        <v>478.99</v>
      </c>
      <c r="C64" s="25">
        <f t="shared" si="1"/>
        <v>5.9222546569502347E-3</v>
      </c>
      <c r="K64" s="28">
        <v>42464</v>
      </c>
      <c r="L64" s="23">
        <v>9279.23</v>
      </c>
      <c r="M64" s="25">
        <f t="shared" si="2"/>
        <v>5.2687561360155333E-3</v>
      </c>
      <c r="O64" t="b">
        <f t="shared" si="0"/>
        <v>1</v>
      </c>
    </row>
    <row r="65" spans="1:15">
      <c r="A65" s="27">
        <v>42465</v>
      </c>
      <c r="B65" s="24">
        <v>471.14</v>
      </c>
      <c r="C65" s="25">
        <f t="shared" si="1"/>
        <v>-1.6388651120065184E-2</v>
      </c>
      <c r="K65" s="29">
        <v>42465</v>
      </c>
      <c r="L65" s="24">
        <v>9105.56</v>
      </c>
      <c r="M65" s="25">
        <f t="shared" si="2"/>
        <v>-1.9072962014417574E-2</v>
      </c>
      <c r="O65" t="b">
        <f t="shared" si="0"/>
        <v>1</v>
      </c>
    </row>
    <row r="66" spans="1:15">
      <c r="A66" s="26">
        <v>42466</v>
      </c>
      <c r="B66" s="23">
        <v>472.6</v>
      </c>
      <c r="C66" s="25">
        <f t="shared" si="1"/>
        <v>3.0988665789362748E-3</v>
      </c>
      <c r="K66" s="28">
        <v>42466</v>
      </c>
      <c r="L66" s="23">
        <v>9133.81</v>
      </c>
      <c r="M66" s="25">
        <f t="shared" si="2"/>
        <v>3.0929042754338004E-3</v>
      </c>
      <c r="O66" t="b">
        <f t="shared" si="0"/>
        <v>1</v>
      </c>
    </row>
    <row r="67" spans="1:15">
      <c r="A67" s="27">
        <v>42467</v>
      </c>
      <c r="B67" s="24">
        <v>470.53</v>
      </c>
      <c r="C67" s="25">
        <f t="shared" si="1"/>
        <v>-4.3800253914516507E-3</v>
      </c>
      <c r="K67" s="29">
        <v>42467</v>
      </c>
      <c r="L67" s="24">
        <v>9064.7900000000009</v>
      </c>
      <c r="M67" s="25">
        <f t="shared" si="2"/>
        <v>-7.6140760017605049E-3</v>
      </c>
      <c r="O67" t="b">
        <f t="shared" ref="O67:O130" si="3">K67=A67</f>
        <v>1</v>
      </c>
    </row>
    <row r="68" spans="1:15">
      <c r="A68" s="26">
        <v>42468</v>
      </c>
      <c r="B68" s="23">
        <v>473</v>
      </c>
      <c r="C68" s="25">
        <f t="shared" ref="C68:C131" si="4">(B68-B67)/B67</f>
        <v>5.2493996132021922E-3</v>
      </c>
      <c r="K68" s="28">
        <v>42468</v>
      </c>
      <c r="L68" s="23">
        <v>9088.92</v>
      </c>
      <c r="M68" s="25">
        <f t="shared" ref="M68:M131" si="5">(L68-L67)/L68</f>
        <v>2.6548808879381927E-3</v>
      </c>
      <c r="O68" t="b">
        <f t="shared" si="3"/>
        <v>1</v>
      </c>
    </row>
    <row r="69" spans="1:15">
      <c r="A69" s="27">
        <v>42471</v>
      </c>
      <c r="B69" s="24">
        <v>477.58</v>
      </c>
      <c r="C69" s="25">
        <f t="shared" si="4"/>
        <v>9.6828752642705799E-3</v>
      </c>
      <c r="K69" s="29">
        <v>42471</v>
      </c>
      <c r="L69" s="24">
        <v>9209.2099999999991</v>
      </c>
      <c r="M69" s="25">
        <f t="shared" si="5"/>
        <v>1.3061923878378174E-2</v>
      </c>
      <c r="O69" t="b">
        <f t="shared" si="3"/>
        <v>1</v>
      </c>
    </row>
    <row r="70" spans="1:15">
      <c r="A70" s="26">
        <v>42472</v>
      </c>
      <c r="B70" s="23">
        <v>481.94</v>
      </c>
      <c r="C70" s="25">
        <f t="shared" si="4"/>
        <v>9.1293605259852046E-3</v>
      </c>
      <c r="K70" s="28">
        <v>42472</v>
      </c>
      <c r="L70" s="23">
        <v>9265.75</v>
      </c>
      <c r="M70" s="25">
        <f t="shared" si="5"/>
        <v>6.1020424682298648E-3</v>
      </c>
      <c r="O70" t="b">
        <f t="shared" si="3"/>
        <v>1</v>
      </c>
    </row>
    <row r="71" spans="1:15">
      <c r="A71" s="27">
        <v>42473</v>
      </c>
      <c r="B71" s="24">
        <v>489.46</v>
      </c>
      <c r="C71" s="25">
        <f t="shared" si="4"/>
        <v>1.5603602108146205E-2</v>
      </c>
      <c r="K71" s="29">
        <v>42473</v>
      </c>
      <c r="L71" s="24">
        <v>9416.66</v>
      </c>
      <c r="M71" s="25">
        <f t="shared" si="5"/>
        <v>1.6025852053700555E-2</v>
      </c>
      <c r="O71" t="b">
        <f t="shared" si="3"/>
        <v>1</v>
      </c>
    </row>
    <row r="72" spans="1:15">
      <c r="A72" s="26">
        <v>42478</v>
      </c>
      <c r="B72" s="23">
        <v>492.06</v>
      </c>
      <c r="C72" s="25">
        <f t="shared" si="4"/>
        <v>5.3119764638581762E-3</v>
      </c>
      <c r="K72" s="28">
        <v>42478</v>
      </c>
      <c r="L72" s="23">
        <v>9502.1299999999992</v>
      </c>
      <c r="M72" s="25">
        <f t="shared" si="5"/>
        <v>8.9948253707325988E-3</v>
      </c>
      <c r="O72" t="b">
        <f t="shared" si="3"/>
        <v>1</v>
      </c>
    </row>
    <row r="73" spans="1:15">
      <c r="A73" s="27">
        <v>42480</v>
      </c>
      <c r="B73" s="24">
        <v>492.21</v>
      </c>
      <c r="C73" s="25">
        <f t="shared" si="4"/>
        <v>3.0484087306421426E-4</v>
      </c>
      <c r="K73" s="29">
        <v>42480</v>
      </c>
      <c r="L73" s="24">
        <v>9513.99</v>
      </c>
      <c r="M73" s="25">
        <f t="shared" si="5"/>
        <v>1.2465852917651356E-3</v>
      </c>
      <c r="O73" t="b">
        <f t="shared" si="3"/>
        <v>1</v>
      </c>
    </row>
    <row r="74" spans="1:15">
      <c r="A74" s="26">
        <v>42481</v>
      </c>
      <c r="B74" s="23">
        <v>491.9</v>
      </c>
      <c r="C74" s="25">
        <f t="shared" si="4"/>
        <v>-6.2981247841368984E-4</v>
      </c>
      <c r="K74" s="28">
        <v>42481</v>
      </c>
      <c r="L74" s="23">
        <v>9501.07</v>
      </c>
      <c r="M74" s="25">
        <f t="shared" si="5"/>
        <v>-1.3598468383034829E-3</v>
      </c>
      <c r="O74" t="b">
        <f t="shared" si="3"/>
        <v>1</v>
      </c>
    </row>
    <row r="75" spans="1:15">
      <c r="A75" s="27">
        <v>42482</v>
      </c>
      <c r="B75" s="24">
        <v>493.09</v>
      </c>
      <c r="C75" s="25">
        <f t="shared" si="4"/>
        <v>2.419190892457812E-3</v>
      </c>
      <c r="K75" s="29">
        <v>42482</v>
      </c>
      <c r="L75" s="24">
        <v>9491.99</v>
      </c>
      <c r="M75" s="25">
        <f t="shared" si="5"/>
        <v>-9.5659603518334169E-4</v>
      </c>
      <c r="O75" t="b">
        <f t="shared" si="3"/>
        <v>1</v>
      </c>
    </row>
    <row r="76" spans="1:15">
      <c r="A76" s="26">
        <v>42485</v>
      </c>
      <c r="B76" s="23">
        <v>491.23</v>
      </c>
      <c r="C76" s="25">
        <f t="shared" si="4"/>
        <v>-3.7721308483237479E-3</v>
      </c>
      <c r="K76" s="28">
        <v>42485</v>
      </c>
      <c r="L76" s="23">
        <v>9442.6</v>
      </c>
      <c r="M76" s="25">
        <f t="shared" si="5"/>
        <v>-5.2305509075889498E-3</v>
      </c>
      <c r="O76" t="b">
        <f t="shared" si="3"/>
        <v>1</v>
      </c>
    </row>
    <row r="77" spans="1:15">
      <c r="A77" s="27">
        <v>42486</v>
      </c>
      <c r="B77" s="24">
        <v>497.34</v>
      </c>
      <c r="C77" s="25">
        <f t="shared" si="4"/>
        <v>1.2438165421492899E-2</v>
      </c>
      <c r="K77" s="29">
        <v>42486</v>
      </c>
      <c r="L77" s="24">
        <v>9551.5400000000009</v>
      </c>
      <c r="M77" s="25">
        <f t="shared" si="5"/>
        <v>1.1405490632924167E-2</v>
      </c>
      <c r="O77" t="b">
        <f t="shared" si="3"/>
        <v>1</v>
      </c>
    </row>
    <row r="78" spans="1:15">
      <c r="A78" s="26">
        <v>42487</v>
      </c>
      <c r="B78" s="23">
        <v>497.83</v>
      </c>
      <c r="C78" s="25">
        <f t="shared" si="4"/>
        <v>9.8524148469861478E-4</v>
      </c>
      <c r="K78" s="28">
        <v>42487</v>
      </c>
      <c r="L78" s="23">
        <v>9572.8799999999992</v>
      </c>
      <c r="M78" s="25">
        <f t="shared" si="5"/>
        <v>2.2292141967723746E-3</v>
      </c>
      <c r="O78" t="b">
        <f t="shared" si="3"/>
        <v>1</v>
      </c>
    </row>
    <row r="79" spans="1:15">
      <c r="A79" s="27">
        <v>42488</v>
      </c>
      <c r="B79" s="24">
        <v>492.05</v>
      </c>
      <c r="C79" s="25">
        <f t="shared" si="4"/>
        <v>-1.1610389088644663E-2</v>
      </c>
      <c r="K79" s="29">
        <v>42488</v>
      </c>
      <c r="L79" s="24">
        <v>9428.01</v>
      </c>
      <c r="M79" s="25">
        <f t="shared" si="5"/>
        <v>-1.536591497039131E-2</v>
      </c>
      <c r="O79" t="b">
        <f t="shared" si="3"/>
        <v>1</v>
      </c>
    </row>
    <row r="80" spans="1:15">
      <c r="A80" s="26">
        <v>42489</v>
      </c>
      <c r="B80" s="23">
        <v>493.73</v>
      </c>
      <c r="C80" s="25">
        <f t="shared" si="4"/>
        <v>3.4142871659384347E-3</v>
      </c>
      <c r="K80" s="28">
        <v>42489</v>
      </c>
      <c r="L80" s="23">
        <v>9435.77</v>
      </c>
      <c r="M80" s="25">
        <f t="shared" si="5"/>
        <v>8.2240241124997935E-4</v>
      </c>
      <c r="O80" t="b">
        <f t="shared" si="3"/>
        <v>1</v>
      </c>
    </row>
    <row r="81" spans="1:15">
      <c r="A81" s="27">
        <v>42492</v>
      </c>
      <c r="B81" s="24">
        <v>494.2</v>
      </c>
      <c r="C81" s="25">
        <f t="shared" si="4"/>
        <v>9.5193729366246818E-4</v>
      </c>
      <c r="K81" s="29">
        <v>42492</v>
      </c>
      <c r="L81" s="24">
        <v>9423.7199999999993</v>
      </c>
      <c r="M81" s="25">
        <f t="shared" si="5"/>
        <v>-1.2786882462553102E-3</v>
      </c>
      <c r="O81" t="b">
        <f t="shared" si="3"/>
        <v>1</v>
      </c>
    </row>
    <row r="82" spans="1:15">
      <c r="A82" s="26">
        <v>42493</v>
      </c>
      <c r="B82" s="23">
        <v>490.74</v>
      </c>
      <c r="C82" s="25">
        <f t="shared" si="4"/>
        <v>-7.0012140833670168E-3</v>
      </c>
      <c r="K82" s="28">
        <v>42493</v>
      </c>
      <c r="L82" s="23">
        <v>9356.9699999999993</v>
      </c>
      <c r="M82" s="25">
        <f t="shared" si="5"/>
        <v>-7.1337195694760169E-3</v>
      </c>
      <c r="O82" t="b">
        <f t="shared" si="3"/>
        <v>1</v>
      </c>
    </row>
    <row r="83" spans="1:15">
      <c r="A83" s="27">
        <v>42494</v>
      </c>
      <c r="B83" s="24">
        <v>487.11</v>
      </c>
      <c r="C83" s="25">
        <f t="shared" si="4"/>
        <v>-7.3969922973468544E-3</v>
      </c>
      <c r="K83" s="29">
        <v>42494</v>
      </c>
      <c r="L83" s="24">
        <v>9286.59</v>
      </c>
      <c r="M83" s="25">
        <f t="shared" si="5"/>
        <v>-7.5786698885165812E-3</v>
      </c>
      <c r="O83" t="b">
        <f t="shared" si="3"/>
        <v>1</v>
      </c>
    </row>
    <row r="84" spans="1:15">
      <c r="A84" s="26">
        <v>42495</v>
      </c>
      <c r="B84" s="23">
        <v>488.31</v>
      </c>
      <c r="C84" s="25">
        <f t="shared" si="4"/>
        <v>2.4635092689536012E-3</v>
      </c>
      <c r="K84" s="28">
        <v>42495</v>
      </c>
      <c r="L84" s="23">
        <v>9309.92</v>
      </c>
      <c r="M84" s="25">
        <f t="shared" si="5"/>
        <v>2.5059291594342302E-3</v>
      </c>
      <c r="O84" t="b">
        <f t="shared" si="3"/>
        <v>1</v>
      </c>
    </row>
    <row r="85" spans="1:15">
      <c r="A85" s="27">
        <v>42496</v>
      </c>
      <c r="B85" s="24">
        <v>486.98</v>
      </c>
      <c r="C85" s="25">
        <f t="shared" si="4"/>
        <v>-2.7236796297433682E-3</v>
      </c>
      <c r="K85" s="29">
        <v>42496</v>
      </c>
      <c r="L85" s="24">
        <v>9316.3799999999992</v>
      </c>
      <c r="M85" s="25">
        <f t="shared" si="5"/>
        <v>6.9340237302462191E-4</v>
      </c>
      <c r="O85" t="b">
        <f t="shared" si="3"/>
        <v>1</v>
      </c>
    </row>
    <row r="86" spans="1:15">
      <c r="A86" s="26">
        <v>42499</v>
      </c>
      <c r="B86" s="23">
        <v>493.31</v>
      </c>
      <c r="C86" s="25">
        <f t="shared" si="4"/>
        <v>1.2998480430407787E-2</v>
      </c>
      <c r="K86" s="28">
        <v>42499</v>
      </c>
      <c r="L86" s="23">
        <v>9457.7199999999993</v>
      </c>
      <c r="M86" s="25">
        <f t="shared" si="5"/>
        <v>1.4944405205482944E-2</v>
      </c>
      <c r="O86" t="b">
        <f t="shared" si="3"/>
        <v>1</v>
      </c>
    </row>
    <row r="87" spans="1:15">
      <c r="A87" s="27">
        <v>42500</v>
      </c>
      <c r="B87" s="24">
        <v>494.97</v>
      </c>
      <c r="C87" s="25">
        <f t="shared" si="4"/>
        <v>3.3650240214064685E-3</v>
      </c>
      <c r="K87" s="29">
        <v>42500</v>
      </c>
      <c r="L87" s="24">
        <v>9477.86</v>
      </c>
      <c r="M87" s="25">
        <f t="shared" si="5"/>
        <v>2.1249522571552266E-3</v>
      </c>
      <c r="O87" t="b">
        <f t="shared" si="3"/>
        <v>1</v>
      </c>
    </row>
    <row r="88" spans="1:15">
      <c r="A88" s="26">
        <v>42501</v>
      </c>
      <c r="B88" s="23">
        <v>494.18</v>
      </c>
      <c r="C88" s="25">
        <f t="shared" si="4"/>
        <v>-1.5960563266461006E-3</v>
      </c>
      <c r="K88" s="28">
        <v>42501</v>
      </c>
      <c r="L88" s="23">
        <v>9443.08</v>
      </c>
      <c r="M88" s="25">
        <f t="shared" si="5"/>
        <v>-3.6831203378559383E-3</v>
      </c>
      <c r="O88" t="b">
        <f t="shared" si="3"/>
        <v>1</v>
      </c>
    </row>
    <row r="89" spans="1:15">
      <c r="A89" s="27">
        <v>42502</v>
      </c>
      <c r="B89" s="24">
        <v>497.35</v>
      </c>
      <c r="C89" s="25">
        <f t="shared" si="4"/>
        <v>6.4146667206281434E-3</v>
      </c>
      <c r="K89" s="29">
        <v>42502</v>
      </c>
      <c r="L89" s="24">
        <v>9511.69</v>
      </c>
      <c r="M89" s="25">
        <f t="shared" si="5"/>
        <v>7.213229194811919E-3</v>
      </c>
      <c r="O89" t="b">
        <f t="shared" si="3"/>
        <v>1</v>
      </c>
    </row>
    <row r="90" spans="1:15">
      <c r="A90" s="26">
        <v>42503</v>
      </c>
      <c r="B90" s="23">
        <v>494.84</v>
      </c>
      <c r="C90" s="25">
        <f t="shared" si="4"/>
        <v>-5.0467477631447625E-3</v>
      </c>
      <c r="K90" s="28">
        <v>42503</v>
      </c>
      <c r="L90" s="23">
        <v>9427.84</v>
      </c>
      <c r="M90" s="25">
        <f t="shared" si="5"/>
        <v>-8.8938717670219644E-3</v>
      </c>
      <c r="O90" t="b">
        <f t="shared" si="3"/>
        <v>1</v>
      </c>
    </row>
    <row r="91" spans="1:15">
      <c r="A91" s="27">
        <v>42506</v>
      </c>
      <c r="B91" s="24">
        <v>497.26</v>
      </c>
      <c r="C91" s="25">
        <f t="shared" si="4"/>
        <v>4.8904696467545385E-3</v>
      </c>
      <c r="K91" s="29">
        <v>42506</v>
      </c>
      <c r="L91" s="24">
        <v>9465.02</v>
      </c>
      <c r="M91" s="25">
        <f t="shared" si="5"/>
        <v>3.9281480651916518E-3</v>
      </c>
      <c r="O91" t="b">
        <f t="shared" si="3"/>
        <v>1</v>
      </c>
    </row>
    <row r="92" spans="1:15">
      <c r="A92" s="26">
        <v>42507</v>
      </c>
      <c r="B92" s="23">
        <v>497.84</v>
      </c>
      <c r="C92" s="25">
        <f t="shared" si="4"/>
        <v>1.1663918272130959E-3</v>
      </c>
      <c r="K92" s="28">
        <v>42507</v>
      </c>
      <c r="L92" s="23">
        <v>9495.73</v>
      </c>
      <c r="M92" s="25">
        <f t="shared" si="5"/>
        <v>3.2340852151439784E-3</v>
      </c>
      <c r="O92" t="b">
        <f t="shared" si="3"/>
        <v>1</v>
      </c>
    </row>
    <row r="93" spans="1:15">
      <c r="A93" s="27">
        <v>42508</v>
      </c>
      <c r="B93" s="24">
        <v>497.68</v>
      </c>
      <c r="C93" s="25">
        <f t="shared" si="4"/>
        <v>-3.2138839787877266E-4</v>
      </c>
      <c r="K93" s="29">
        <v>42508</v>
      </c>
      <c r="L93" s="24">
        <v>9484.0499999999993</v>
      </c>
      <c r="M93" s="25">
        <f t="shared" si="5"/>
        <v>-1.231541377365186E-3</v>
      </c>
      <c r="O93" t="b">
        <f t="shared" si="3"/>
        <v>1</v>
      </c>
    </row>
    <row r="94" spans="1:15">
      <c r="A94" s="26">
        <v>42509</v>
      </c>
      <c r="B94" s="23">
        <v>493.74</v>
      </c>
      <c r="C94" s="25">
        <f t="shared" si="4"/>
        <v>-7.9167336441086592E-3</v>
      </c>
      <c r="K94" s="28">
        <v>42509</v>
      </c>
      <c r="L94" s="23">
        <v>9376.5499999999993</v>
      </c>
      <c r="M94" s="25">
        <f t="shared" si="5"/>
        <v>-1.1464771157835238E-2</v>
      </c>
      <c r="O94" t="b">
        <f t="shared" si="3"/>
        <v>1</v>
      </c>
    </row>
    <row r="95" spans="1:15">
      <c r="A95" s="27">
        <v>42510</v>
      </c>
      <c r="B95" s="24">
        <v>491.81</v>
      </c>
      <c r="C95" s="25">
        <f t="shared" si="4"/>
        <v>-3.9089399278972878E-3</v>
      </c>
      <c r="K95" s="29">
        <v>42510</v>
      </c>
      <c r="L95" s="24">
        <v>9328.7099999999991</v>
      </c>
      <c r="M95" s="25">
        <f t="shared" si="5"/>
        <v>-5.1282546032624179E-3</v>
      </c>
      <c r="O95" t="b">
        <f t="shared" si="3"/>
        <v>1</v>
      </c>
    </row>
    <row r="96" spans="1:15">
      <c r="A96" s="26">
        <v>42513</v>
      </c>
      <c r="B96" s="23">
        <v>489.75</v>
      </c>
      <c r="C96" s="25">
        <f t="shared" si="4"/>
        <v>-4.1886094223378993E-3</v>
      </c>
      <c r="K96" s="28">
        <v>42513</v>
      </c>
      <c r="L96" s="23">
        <v>9303.2099999999991</v>
      </c>
      <c r="M96" s="25">
        <f t="shared" si="5"/>
        <v>-2.7409894004327543E-3</v>
      </c>
      <c r="O96" t="b">
        <f t="shared" si="3"/>
        <v>1</v>
      </c>
    </row>
    <row r="97" spans="1:15">
      <c r="A97" s="27">
        <v>42514</v>
      </c>
      <c r="B97" s="24">
        <v>489.49</v>
      </c>
      <c r="C97" s="25">
        <f t="shared" si="4"/>
        <v>-5.3088310362427952E-4</v>
      </c>
      <c r="K97" s="29">
        <v>42514</v>
      </c>
      <c r="L97" s="24">
        <v>9307.99</v>
      </c>
      <c r="M97" s="25">
        <f t="shared" si="5"/>
        <v>5.1353729430313687E-4</v>
      </c>
      <c r="O97" t="b">
        <f t="shared" si="3"/>
        <v>1</v>
      </c>
    </row>
    <row r="98" spans="1:15">
      <c r="A98" s="26">
        <v>42515</v>
      </c>
      <c r="B98" s="23">
        <v>497.39</v>
      </c>
      <c r="C98" s="25">
        <f t="shared" si="4"/>
        <v>1.6139246971337468E-2</v>
      </c>
      <c r="K98" s="28">
        <v>42515</v>
      </c>
      <c r="L98" s="23">
        <v>9491.69</v>
      </c>
      <c r="M98" s="25">
        <f t="shared" si="5"/>
        <v>1.9353771562282452E-2</v>
      </c>
      <c r="O98" t="b">
        <f t="shared" si="3"/>
        <v>1</v>
      </c>
    </row>
    <row r="99" spans="1:15">
      <c r="A99" s="27">
        <v>42516</v>
      </c>
      <c r="B99" s="24">
        <v>501.46</v>
      </c>
      <c r="C99" s="25">
        <f t="shared" si="4"/>
        <v>8.1827137658577638E-3</v>
      </c>
      <c r="K99" s="29">
        <v>42516</v>
      </c>
      <c r="L99" s="24">
        <v>9632.59</v>
      </c>
      <c r="M99" s="25">
        <f t="shared" si="5"/>
        <v>1.4627426268532102E-2</v>
      </c>
      <c r="O99" t="b">
        <f t="shared" si="3"/>
        <v>1</v>
      </c>
    </row>
    <row r="100" spans="1:15">
      <c r="A100" s="26">
        <v>42517</v>
      </c>
      <c r="B100" s="23">
        <v>505.56</v>
      </c>
      <c r="C100" s="25">
        <f t="shared" si="4"/>
        <v>8.1761257129183244E-3</v>
      </c>
      <c r="K100" s="28">
        <v>42517</v>
      </c>
      <c r="L100" s="23">
        <v>9735.44</v>
      </c>
      <c r="M100" s="25">
        <f t="shared" si="5"/>
        <v>1.0564494260146471E-2</v>
      </c>
      <c r="O100" t="b">
        <f t="shared" si="3"/>
        <v>1</v>
      </c>
    </row>
    <row r="101" spans="1:15">
      <c r="A101" s="27">
        <v>42520</v>
      </c>
      <c r="B101" s="24">
        <v>506.77</v>
      </c>
      <c r="C101" s="25">
        <f t="shared" si="4"/>
        <v>2.3933855526544418E-3</v>
      </c>
      <c r="K101" s="29">
        <v>42520</v>
      </c>
      <c r="L101" s="24">
        <v>9780.4</v>
      </c>
      <c r="M101" s="25">
        <f t="shared" si="5"/>
        <v>4.5969490000408088E-3</v>
      </c>
      <c r="O101" t="b">
        <f t="shared" si="3"/>
        <v>1</v>
      </c>
    </row>
    <row r="102" spans="1:15">
      <c r="A102" s="26">
        <v>42521</v>
      </c>
      <c r="B102" s="23">
        <v>507.11</v>
      </c>
      <c r="C102" s="25">
        <f t="shared" si="4"/>
        <v>6.7091580006715446E-4</v>
      </c>
      <c r="K102" s="28">
        <v>42521</v>
      </c>
      <c r="L102" s="23">
        <v>9757.09</v>
      </c>
      <c r="M102" s="25">
        <f t="shared" si="5"/>
        <v>-2.3890319757222172E-3</v>
      </c>
      <c r="O102" t="b">
        <f t="shared" si="3"/>
        <v>1</v>
      </c>
    </row>
    <row r="103" spans="1:15">
      <c r="A103" s="27">
        <v>42522</v>
      </c>
      <c r="B103" s="24">
        <v>506.59</v>
      </c>
      <c r="C103" s="25">
        <f t="shared" si="4"/>
        <v>-1.0254185482440469E-3</v>
      </c>
      <c r="K103" s="29">
        <v>42522</v>
      </c>
      <c r="L103" s="24">
        <v>9773.4699999999993</v>
      </c>
      <c r="M103" s="25">
        <f t="shared" si="5"/>
        <v>1.6759656498663423E-3</v>
      </c>
      <c r="O103" t="b">
        <f t="shared" si="3"/>
        <v>1</v>
      </c>
    </row>
    <row r="104" spans="1:15">
      <c r="A104" s="26">
        <v>42523</v>
      </c>
      <c r="B104" s="23">
        <v>509.02</v>
      </c>
      <c r="C104" s="25">
        <f t="shared" si="4"/>
        <v>4.7967784598985513E-3</v>
      </c>
      <c r="K104" s="28">
        <v>42523</v>
      </c>
      <c r="L104" s="23">
        <v>9822.02</v>
      </c>
      <c r="M104" s="25">
        <f t="shared" si="5"/>
        <v>4.9429750703013321E-3</v>
      </c>
      <c r="O104" t="b">
        <f t="shared" si="3"/>
        <v>1</v>
      </c>
    </row>
    <row r="105" spans="1:15">
      <c r="A105" s="27">
        <v>42524</v>
      </c>
      <c r="B105" s="24">
        <v>508.9</v>
      </c>
      <c r="C105" s="25">
        <f t="shared" si="4"/>
        <v>-2.3574712192056215E-4</v>
      </c>
      <c r="K105" s="29">
        <v>42524</v>
      </c>
      <c r="L105" s="24">
        <v>9817.43</v>
      </c>
      <c r="M105" s="25">
        <f t="shared" si="5"/>
        <v>-4.6753580112108211E-4</v>
      </c>
      <c r="O105" t="b">
        <f t="shared" si="3"/>
        <v>1</v>
      </c>
    </row>
    <row r="106" spans="1:15">
      <c r="A106" s="26">
        <v>42527</v>
      </c>
      <c r="B106" s="23">
        <v>508.06</v>
      </c>
      <c r="C106" s="25">
        <f t="shared" si="4"/>
        <v>-1.6506189821182452E-3</v>
      </c>
      <c r="K106" s="28">
        <v>42527</v>
      </c>
      <c r="L106" s="23">
        <v>9803.7199999999993</v>
      </c>
      <c r="M106" s="25">
        <f t="shared" si="5"/>
        <v>-1.3984487521064399E-3</v>
      </c>
      <c r="O106" t="b">
        <f t="shared" si="3"/>
        <v>1</v>
      </c>
    </row>
    <row r="107" spans="1:15">
      <c r="A107" s="27">
        <v>42528</v>
      </c>
      <c r="B107" s="24">
        <v>511.56</v>
      </c>
      <c r="C107" s="25">
        <f t="shared" si="4"/>
        <v>6.8889501240011024E-3</v>
      </c>
      <c r="K107" s="29">
        <v>42528</v>
      </c>
      <c r="L107" s="24">
        <v>9878.1299999999992</v>
      </c>
      <c r="M107" s="25">
        <f t="shared" si="5"/>
        <v>7.5328022611567029E-3</v>
      </c>
      <c r="O107" t="b">
        <f t="shared" si="3"/>
        <v>1</v>
      </c>
    </row>
    <row r="108" spans="1:15">
      <c r="A108" s="26">
        <v>42529</v>
      </c>
      <c r="B108" s="23">
        <v>512.71</v>
      </c>
      <c r="C108" s="25">
        <f t="shared" si="4"/>
        <v>2.2480256470404922E-3</v>
      </c>
      <c r="K108" s="28">
        <v>42529</v>
      </c>
      <c r="L108" s="23">
        <v>9903.43</v>
      </c>
      <c r="M108" s="25">
        <f t="shared" si="5"/>
        <v>2.5546704525604858E-3</v>
      </c>
      <c r="O108" t="b">
        <f t="shared" si="3"/>
        <v>1</v>
      </c>
    </row>
    <row r="109" spans="1:15">
      <c r="A109" s="27">
        <v>42530</v>
      </c>
      <c r="B109" s="24">
        <v>511.41</v>
      </c>
      <c r="C109" s="25">
        <f t="shared" si="4"/>
        <v>-2.535546410251431E-3</v>
      </c>
      <c r="K109" s="29">
        <v>42530</v>
      </c>
      <c r="L109" s="24">
        <v>9846.98</v>
      </c>
      <c r="M109" s="25">
        <f t="shared" si="5"/>
        <v>-5.7327221137852147E-3</v>
      </c>
      <c r="O109" t="b">
        <f t="shared" si="3"/>
        <v>1</v>
      </c>
    </row>
    <row r="110" spans="1:15">
      <c r="A110" s="26">
        <v>42531</v>
      </c>
      <c r="B110" s="23">
        <v>509.2</v>
      </c>
      <c r="C110" s="25">
        <f t="shared" si="4"/>
        <v>-4.3213859721163766E-3</v>
      </c>
      <c r="K110" s="28">
        <v>42531</v>
      </c>
      <c r="L110" s="23">
        <v>9810.17</v>
      </c>
      <c r="M110" s="25">
        <f t="shared" si="5"/>
        <v>-3.7522285546529254E-3</v>
      </c>
      <c r="O110" t="b">
        <f t="shared" si="3"/>
        <v>1</v>
      </c>
    </row>
    <row r="111" spans="1:15">
      <c r="A111" s="27">
        <v>42534</v>
      </c>
      <c r="B111" s="24">
        <v>506.41</v>
      </c>
      <c r="C111" s="25">
        <f t="shared" si="4"/>
        <v>-5.4791830322073127E-3</v>
      </c>
      <c r="K111" s="29">
        <v>42534</v>
      </c>
      <c r="L111" s="24">
        <v>9742.85</v>
      </c>
      <c r="M111" s="25">
        <f t="shared" si="5"/>
        <v>-6.9096824851044309E-3</v>
      </c>
      <c r="O111" t="b">
        <f t="shared" si="3"/>
        <v>1</v>
      </c>
    </row>
    <row r="112" spans="1:15">
      <c r="A112" s="26">
        <v>42535</v>
      </c>
      <c r="B112" s="23">
        <v>506.71</v>
      </c>
      <c r="C112" s="25">
        <f t="shared" si="4"/>
        <v>5.9240536324313203E-4</v>
      </c>
      <c r="K112" s="28">
        <v>42535</v>
      </c>
      <c r="L112" s="23">
        <v>9755.44</v>
      </c>
      <c r="M112" s="25">
        <f t="shared" si="5"/>
        <v>1.2905619838777282E-3</v>
      </c>
      <c r="O112" t="b">
        <f t="shared" si="3"/>
        <v>1</v>
      </c>
    </row>
    <row r="113" spans="1:15">
      <c r="A113" s="27">
        <v>42536</v>
      </c>
      <c r="B113" s="24">
        <v>511</v>
      </c>
      <c r="C113" s="25">
        <f t="shared" si="4"/>
        <v>8.4663811647688429E-3</v>
      </c>
      <c r="K113" s="29">
        <v>42536</v>
      </c>
      <c r="L113" s="24">
        <v>9857.69</v>
      </c>
      <c r="M113" s="25">
        <f t="shared" si="5"/>
        <v>1.037261265063113E-2</v>
      </c>
      <c r="O113" t="b">
        <f t="shared" si="3"/>
        <v>1</v>
      </c>
    </row>
    <row r="114" spans="1:15">
      <c r="A114" s="26">
        <v>42537</v>
      </c>
      <c r="B114" s="23">
        <v>507.11</v>
      </c>
      <c r="C114" s="25">
        <f t="shared" si="4"/>
        <v>-7.612524461839504E-3</v>
      </c>
      <c r="K114" s="28">
        <v>42537</v>
      </c>
      <c r="L114" s="23">
        <v>9800.32</v>
      </c>
      <c r="M114" s="25">
        <f t="shared" si="5"/>
        <v>-5.8538904852087278E-3</v>
      </c>
      <c r="O114" t="b">
        <f t="shared" si="3"/>
        <v>1</v>
      </c>
    </row>
    <row r="115" spans="1:15">
      <c r="A115" s="27">
        <v>42538</v>
      </c>
      <c r="B115" s="24">
        <v>508.05</v>
      </c>
      <c r="C115" s="25">
        <f t="shared" si="4"/>
        <v>1.853641221825635E-3</v>
      </c>
      <c r="K115" s="29">
        <v>42538</v>
      </c>
      <c r="L115" s="24">
        <v>9832.76</v>
      </c>
      <c r="M115" s="25">
        <f t="shared" si="5"/>
        <v>3.2991754095493542E-3</v>
      </c>
      <c r="O115" t="b">
        <f t="shared" si="3"/>
        <v>1</v>
      </c>
    </row>
    <row r="116" spans="1:15">
      <c r="A116" s="26">
        <v>42541</v>
      </c>
      <c r="B116" s="23">
        <v>511.35</v>
      </c>
      <c r="C116" s="25">
        <f t="shared" si="4"/>
        <v>6.4954236787717968E-3</v>
      </c>
      <c r="K116" s="28">
        <v>42541</v>
      </c>
      <c r="L116" s="23">
        <v>9903.0499999999993</v>
      </c>
      <c r="M116" s="25">
        <f t="shared" si="5"/>
        <v>7.0978132999428515E-3</v>
      </c>
      <c r="O116" t="b">
        <f t="shared" si="3"/>
        <v>1</v>
      </c>
    </row>
    <row r="117" spans="1:15">
      <c r="A117" s="27">
        <v>42542</v>
      </c>
      <c r="B117" s="24">
        <v>511.21</v>
      </c>
      <c r="C117" s="25">
        <f t="shared" si="4"/>
        <v>-2.7378507871329459E-4</v>
      </c>
      <c r="K117" s="29">
        <v>42542</v>
      </c>
      <c r="L117" s="24">
        <v>9895.69</v>
      </c>
      <c r="M117" s="25">
        <f t="shared" si="5"/>
        <v>-7.4375814117042492E-4</v>
      </c>
      <c r="O117" t="b">
        <f t="shared" si="3"/>
        <v>1</v>
      </c>
    </row>
    <row r="118" spans="1:15">
      <c r="A118" s="26">
        <v>42543</v>
      </c>
      <c r="B118" s="23">
        <v>510.93</v>
      </c>
      <c r="C118" s="25">
        <f t="shared" si="4"/>
        <v>-5.4772011502117078E-4</v>
      </c>
      <c r="K118" s="28">
        <v>42543</v>
      </c>
      <c r="L118" s="23">
        <v>9875.4599999999991</v>
      </c>
      <c r="M118" s="25">
        <f t="shared" si="5"/>
        <v>-2.0485121705724478E-3</v>
      </c>
      <c r="O118" t="b">
        <f t="shared" si="3"/>
        <v>1</v>
      </c>
    </row>
    <row r="119" spans="1:15">
      <c r="A119" s="27">
        <v>42544</v>
      </c>
      <c r="B119" s="24">
        <v>514.65</v>
      </c>
      <c r="C119" s="25">
        <f t="shared" si="4"/>
        <v>7.2808408196816986E-3</v>
      </c>
      <c r="K119" s="29">
        <v>42544</v>
      </c>
      <c r="L119" s="24">
        <v>9932.84</v>
      </c>
      <c r="M119" s="25">
        <f t="shared" si="5"/>
        <v>5.7767969684401456E-3</v>
      </c>
      <c r="O119" t="b">
        <f t="shared" si="3"/>
        <v>1</v>
      </c>
    </row>
    <row r="120" spans="1:15">
      <c r="A120" s="26">
        <v>42545</v>
      </c>
      <c r="B120" s="23">
        <v>504.71</v>
      </c>
      <c r="C120" s="25">
        <f t="shared" si="4"/>
        <v>-1.9314096959098411E-2</v>
      </c>
      <c r="K120" s="28">
        <v>42545</v>
      </c>
      <c r="L120" s="23">
        <v>9738.77</v>
      </c>
      <c r="M120" s="25">
        <f t="shared" si="5"/>
        <v>-1.9927567855078179E-2</v>
      </c>
      <c r="O120" t="b">
        <f t="shared" si="3"/>
        <v>1</v>
      </c>
    </row>
    <row r="121" spans="1:15">
      <c r="A121" s="27">
        <v>42548</v>
      </c>
      <c r="B121" s="24">
        <v>507.19</v>
      </c>
      <c r="C121" s="25">
        <f t="shared" si="4"/>
        <v>4.9137128251867772E-3</v>
      </c>
      <c r="K121" s="29">
        <v>42548</v>
      </c>
      <c r="L121" s="24">
        <v>9779.32</v>
      </c>
      <c r="M121" s="25">
        <f t="shared" si="5"/>
        <v>4.1465050739723491E-3</v>
      </c>
      <c r="O121" t="b">
        <f t="shared" si="3"/>
        <v>1</v>
      </c>
    </row>
    <row r="122" spans="1:15">
      <c r="A122" s="26">
        <v>42549</v>
      </c>
      <c r="B122" s="23">
        <v>509.68</v>
      </c>
      <c r="C122" s="25">
        <f t="shared" si="4"/>
        <v>4.9094027879098738E-3</v>
      </c>
      <c r="K122" s="28">
        <v>42549</v>
      </c>
      <c r="L122" s="23">
        <v>9828.27</v>
      </c>
      <c r="M122" s="25">
        <f t="shared" si="5"/>
        <v>4.9805306529023645E-3</v>
      </c>
      <c r="O122" t="b">
        <f t="shared" si="3"/>
        <v>1</v>
      </c>
    </row>
    <row r="123" spans="1:15">
      <c r="A123" s="27">
        <v>42550</v>
      </c>
      <c r="B123" s="24">
        <v>515.16999999999996</v>
      </c>
      <c r="C123" s="25">
        <f t="shared" si="4"/>
        <v>1.0771464448281181E-2</v>
      </c>
      <c r="K123" s="29">
        <v>42550</v>
      </c>
      <c r="L123" s="24">
        <v>9932.52</v>
      </c>
      <c r="M123" s="25">
        <f t="shared" si="5"/>
        <v>1.0495825832719189E-2</v>
      </c>
      <c r="O123" t="b">
        <f t="shared" si="3"/>
        <v>1</v>
      </c>
    </row>
    <row r="124" spans="1:15">
      <c r="A124" s="26">
        <v>42551</v>
      </c>
      <c r="B124" s="23">
        <v>520.79</v>
      </c>
      <c r="C124" s="25">
        <f t="shared" si="4"/>
        <v>1.0909020323388407E-2</v>
      </c>
      <c r="K124" s="28">
        <v>42551</v>
      </c>
      <c r="L124" s="23">
        <v>10038.73</v>
      </c>
      <c r="M124" s="25">
        <f t="shared" si="5"/>
        <v>1.0580023568718268E-2</v>
      </c>
      <c r="O124" t="b">
        <f t="shared" si="3"/>
        <v>1</v>
      </c>
    </row>
    <row r="125" spans="1:15">
      <c r="A125" s="27">
        <v>42552</v>
      </c>
      <c r="B125" s="24">
        <v>526.16999999999996</v>
      </c>
      <c r="C125" s="25">
        <f t="shared" si="4"/>
        <v>1.0330459494229912E-2</v>
      </c>
      <c r="K125" s="29">
        <v>42552</v>
      </c>
      <c r="L125" s="24">
        <v>10106.39</v>
      </c>
      <c r="M125" s="25">
        <f t="shared" si="5"/>
        <v>6.6947742962620536E-3</v>
      </c>
      <c r="O125" t="b">
        <f t="shared" si="3"/>
        <v>1</v>
      </c>
    </row>
    <row r="126" spans="1:15">
      <c r="A126" s="26">
        <v>42555</v>
      </c>
      <c r="B126" s="23">
        <v>528.97</v>
      </c>
      <c r="C126" s="25">
        <f t="shared" si="4"/>
        <v>5.3214740483115124E-3</v>
      </c>
      <c r="K126" s="28">
        <v>42555</v>
      </c>
      <c r="L126" s="23">
        <v>10170.09</v>
      </c>
      <c r="M126" s="25">
        <f t="shared" si="5"/>
        <v>6.2634647284341366E-3</v>
      </c>
      <c r="O126" t="b">
        <f t="shared" si="3"/>
        <v>1</v>
      </c>
    </row>
    <row r="127" spans="1:15">
      <c r="A127" s="27">
        <v>42556</v>
      </c>
      <c r="B127" s="24">
        <v>528.03</v>
      </c>
      <c r="C127" s="25">
        <f t="shared" si="4"/>
        <v>-1.7770383953722413E-3</v>
      </c>
      <c r="K127" s="29">
        <v>42556</v>
      </c>
      <c r="L127" s="24">
        <v>10140.15</v>
      </c>
      <c r="M127" s="25">
        <f t="shared" si="5"/>
        <v>-2.9526190440970312E-3</v>
      </c>
      <c r="O127" t="b">
        <f t="shared" si="3"/>
        <v>1</v>
      </c>
    </row>
    <row r="128" spans="1:15">
      <c r="A128" s="26">
        <v>42558</v>
      </c>
      <c r="B128" s="23">
        <v>526.5</v>
      </c>
      <c r="C128" s="25">
        <f t="shared" si="4"/>
        <v>-2.8975626384863981E-3</v>
      </c>
      <c r="K128" s="28">
        <v>42558</v>
      </c>
      <c r="L128" s="23">
        <v>10140.75</v>
      </c>
      <c r="M128" s="25">
        <f t="shared" si="5"/>
        <v>5.9167221359402784E-5</v>
      </c>
      <c r="O128" t="b">
        <f t="shared" si="3"/>
        <v>1</v>
      </c>
    </row>
    <row r="129" spans="1:15">
      <c r="A129" s="27">
        <v>42559</v>
      </c>
      <c r="B129" s="24">
        <v>526.39</v>
      </c>
      <c r="C129" s="25">
        <f t="shared" si="4"/>
        <v>-2.0892687559356818E-4</v>
      </c>
      <c r="K129" s="29">
        <v>42559</v>
      </c>
      <c r="L129" s="24">
        <v>10126</v>
      </c>
      <c r="M129" s="25">
        <f t="shared" si="5"/>
        <v>-1.4566462571597868E-3</v>
      </c>
      <c r="O129" t="b">
        <f t="shared" si="3"/>
        <v>1</v>
      </c>
    </row>
    <row r="130" spans="1:15">
      <c r="A130" s="26">
        <v>42562</v>
      </c>
      <c r="B130" s="23">
        <v>534.26</v>
      </c>
      <c r="C130" s="25">
        <f t="shared" si="4"/>
        <v>1.4950891924238692E-2</v>
      </c>
      <c r="K130" s="28">
        <v>42562</v>
      </c>
      <c r="L130" s="23">
        <v>10287.57</v>
      </c>
      <c r="M130" s="25">
        <f t="shared" si="5"/>
        <v>1.5705360935575622E-2</v>
      </c>
      <c r="O130" t="b">
        <f t="shared" si="3"/>
        <v>1</v>
      </c>
    </row>
    <row r="131" spans="1:15">
      <c r="A131" s="27">
        <v>42563</v>
      </c>
      <c r="B131" s="24">
        <v>537.1</v>
      </c>
      <c r="C131" s="25">
        <f t="shared" si="4"/>
        <v>5.3157638602928008E-3</v>
      </c>
      <c r="K131" s="29">
        <v>42563</v>
      </c>
      <c r="L131" s="24">
        <v>10346.5</v>
      </c>
      <c r="M131" s="25">
        <f t="shared" si="5"/>
        <v>5.6956458705842835E-3</v>
      </c>
      <c r="O131" t="b">
        <f t="shared" ref="O131:O194" si="6">K131=A131</f>
        <v>1</v>
      </c>
    </row>
    <row r="132" spans="1:15">
      <c r="A132" s="26">
        <v>42564</v>
      </c>
      <c r="B132" s="23">
        <v>535.24</v>
      </c>
      <c r="C132" s="25">
        <f t="shared" ref="C132:C195" si="7">(B132-B131)/B131</f>
        <v>-3.4630422640104515E-3</v>
      </c>
      <c r="K132" s="28">
        <v>42564</v>
      </c>
      <c r="L132" s="23">
        <v>10324.9</v>
      </c>
      <c r="M132" s="25">
        <f t="shared" ref="M132:M195" si="8">(L132-L131)/L132</f>
        <v>-2.0920299470213138E-3</v>
      </c>
      <c r="O132" t="b">
        <f t="shared" si="6"/>
        <v>1</v>
      </c>
    </row>
    <row r="133" spans="1:15">
      <c r="A133" s="27">
        <v>42565</v>
      </c>
      <c r="B133" s="24">
        <v>539.23</v>
      </c>
      <c r="C133" s="25">
        <f t="shared" si="7"/>
        <v>7.4545998056946587E-3</v>
      </c>
      <c r="K133" s="29">
        <v>42565</v>
      </c>
      <c r="L133" s="24">
        <v>10380.92</v>
      </c>
      <c r="M133" s="25">
        <f t="shared" si="8"/>
        <v>5.3964388512771928E-3</v>
      </c>
      <c r="O133" t="b">
        <f t="shared" si="6"/>
        <v>1</v>
      </c>
    </row>
    <row r="134" spans="1:15">
      <c r="A134" s="26">
        <v>42566</v>
      </c>
      <c r="B134" s="23">
        <v>539.51</v>
      </c>
      <c r="C134" s="25">
        <f t="shared" si="7"/>
        <v>5.1925894330799973E-4</v>
      </c>
      <c r="K134" s="28">
        <v>42566</v>
      </c>
      <c r="L134" s="23">
        <v>10356.16</v>
      </c>
      <c r="M134" s="25">
        <f t="shared" si="8"/>
        <v>-2.3908475728455546E-3</v>
      </c>
      <c r="O134" t="b">
        <f t="shared" si="6"/>
        <v>1</v>
      </c>
    </row>
    <row r="135" spans="1:15">
      <c r="A135" s="27">
        <v>42569</v>
      </c>
      <c r="B135" s="24">
        <v>538.1</v>
      </c>
      <c r="C135" s="25">
        <f t="shared" si="7"/>
        <v>-2.6134826045855837E-3</v>
      </c>
      <c r="K135" s="29">
        <v>42569</v>
      </c>
      <c r="L135" s="24">
        <v>10310.870000000001</v>
      </c>
      <c r="M135" s="25">
        <f t="shared" si="8"/>
        <v>-4.3924518493588856E-3</v>
      </c>
      <c r="O135" t="b">
        <f t="shared" si="6"/>
        <v>1</v>
      </c>
    </row>
    <row r="136" spans="1:15">
      <c r="A136" s="26">
        <v>42570</v>
      </c>
      <c r="B136" s="23">
        <v>538.71</v>
      </c>
      <c r="C136" s="25">
        <f t="shared" si="7"/>
        <v>1.133618286563861E-3</v>
      </c>
      <c r="K136" s="28">
        <v>42570</v>
      </c>
      <c r="L136" s="23">
        <v>10334.209999999999</v>
      </c>
      <c r="M136" s="25">
        <f t="shared" si="8"/>
        <v>2.2585180676605496E-3</v>
      </c>
      <c r="O136" t="b">
        <f t="shared" si="6"/>
        <v>1</v>
      </c>
    </row>
    <row r="137" spans="1:15">
      <c r="A137" s="27">
        <v>42571</v>
      </c>
      <c r="B137" s="24">
        <v>543.52</v>
      </c>
      <c r="C137" s="25">
        <f t="shared" si="7"/>
        <v>8.9287371684207556E-3</v>
      </c>
      <c r="K137" s="29">
        <v>42571</v>
      </c>
      <c r="L137" s="24">
        <v>10396.66</v>
      </c>
      <c r="M137" s="25">
        <f t="shared" si="8"/>
        <v>6.0067367789271488E-3</v>
      </c>
      <c r="O137" t="b">
        <f t="shared" si="6"/>
        <v>1</v>
      </c>
    </row>
    <row r="138" spans="1:15">
      <c r="A138" s="26">
        <v>42572</v>
      </c>
      <c r="B138" s="23">
        <v>542.20000000000005</v>
      </c>
      <c r="C138" s="25">
        <f t="shared" si="7"/>
        <v>-2.4286134824844283E-3</v>
      </c>
      <c r="K138" s="28">
        <v>42572</v>
      </c>
      <c r="L138" s="23">
        <v>10348.6</v>
      </c>
      <c r="M138" s="25">
        <f t="shared" si="8"/>
        <v>-4.6441064491814822E-3</v>
      </c>
      <c r="O138" t="b">
        <f t="shared" si="6"/>
        <v>1</v>
      </c>
    </row>
    <row r="139" spans="1:15">
      <c r="A139" s="27">
        <v>42573</v>
      </c>
      <c r="B139" s="24">
        <v>547.5</v>
      </c>
      <c r="C139" s="25">
        <f t="shared" si="7"/>
        <v>9.7749907783105019E-3</v>
      </c>
      <c r="K139" s="29">
        <v>42573</v>
      </c>
      <c r="L139" s="24">
        <v>10407.44</v>
      </c>
      <c r="M139" s="25">
        <f t="shared" si="8"/>
        <v>5.653647775053245E-3</v>
      </c>
      <c r="O139" t="b">
        <f t="shared" si="6"/>
        <v>1</v>
      </c>
    </row>
    <row r="140" spans="1:15">
      <c r="A140" s="26">
        <v>42576</v>
      </c>
      <c r="B140" s="23">
        <v>553.42999999999995</v>
      </c>
      <c r="C140" s="25">
        <f t="shared" si="7"/>
        <v>1.0831050228310411E-2</v>
      </c>
      <c r="K140" s="28">
        <v>42576</v>
      </c>
      <c r="L140" s="23">
        <v>10521.16</v>
      </c>
      <c r="M140" s="25">
        <f t="shared" si="8"/>
        <v>1.0808694098369319E-2</v>
      </c>
      <c r="O140" t="b">
        <f t="shared" si="6"/>
        <v>1</v>
      </c>
    </row>
    <row r="141" spans="1:15">
      <c r="A141" s="27">
        <v>42577</v>
      </c>
      <c r="B141" s="24">
        <v>552.11</v>
      </c>
      <c r="C141" s="25">
        <f t="shared" si="7"/>
        <v>-2.3851254901251042E-3</v>
      </c>
      <c r="K141" s="29">
        <v>42577</v>
      </c>
      <c r="L141" s="24">
        <v>10470.31</v>
      </c>
      <c r="M141" s="25">
        <f t="shared" si="8"/>
        <v>-4.8565897284798985E-3</v>
      </c>
      <c r="O141" t="b">
        <f t="shared" si="6"/>
        <v>1</v>
      </c>
    </row>
    <row r="142" spans="1:15">
      <c r="A142" s="26">
        <v>42578</v>
      </c>
      <c r="B142" s="23">
        <v>553.07000000000005</v>
      </c>
      <c r="C142" s="25">
        <f t="shared" si="7"/>
        <v>1.7387839379834388E-3</v>
      </c>
      <c r="K142" s="28">
        <v>42578</v>
      </c>
      <c r="L142" s="23">
        <v>10510.64</v>
      </c>
      <c r="M142" s="25">
        <f t="shared" si="8"/>
        <v>3.8370641559410208E-3</v>
      </c>
      <c r="O142" t="b">
        <f t="shared" si="6"/>
        <v>1</v>
      </c>
    </row>
    <row r="143" spans="1:15">
      <c r="A143" s="27">
        <v>42579</v>
      </c>
      <c r="B143" s="24">
        <v>557.95000000000005</v>
      </c>
      <c r="C143" s="25">
        <f t="shared" si="7"/>
        <v>8.8234762326649344E-3</v>
      </c>
      <c r="K143" s="29">
        <v>42579</v>
      </c>
      <c r="L143" s="24">
        <v>10573.42</v>
      </c>
      <c r="M143" s="25">
        <f t="shared" si="8"/>
        <v>5.9375301463481687E-3</v>
      </c>
      <c r="O143" t="b">
        <f t="shared" si="6"/>
        <v>1</v>
      </c>
    </row>
    <row r="144" spans="1:15">
      <c r="A144" s="26">
        <v>42580</v>
      </c>
      <c r="B144" s="23">
        <v>558.91999999999996</v>
      </c>
      <c r="C144" s="25">
        <f t="shared" si="7"/>
        <v>1.7385070346803719E-3</v>
      </c>
      <c r="K144" s="28">
        <v>42580</v>
      </c>
      <c r="L144" s="23">
        <v>10561.53</v>
      </c>
      <c r="M144" s="25">
        <f t="shared" si="8"/>
        <v>-1.1257838589673482E-3</v>
      </c>
      <c r="O144" t="b">
        <f t="shared" si="6"/>
        <v>1</v>
      </c>
    </row>
    <row r="145" spans="1:15">
      <c r="A145" s="27">
        <v>42583</v>
      </c>
      <c r="B145" s="24">
        <v>562.21</v>
      </c>
      <c r="C145" s="25">
        <f t="shared" si="7"/>
        <v>5.8863522507694799E-3</v>
      </c>
      <c r="K145" s="29">
        <v>42583</v>
      </c>
      <c r="L145" s="24">
        <v>10568.95</v>
      </c>
      <c r="M145" s="25">
        <f t="shared" si="8"/>
        <v>7.0205649567838544E-4</v>
      </c>
      <c r="O145" t="b">
        <f t="shared" si="6"/>
        <v>1</v>
      </c>
    </row>
    <row r="146" spans="1:15">
      <c r="A146" s="26">
        <v>42584</v>
      </c>
      <c r="B146" s="23">
        <v>561.73</v>
      </c>
      <c r="C146" s="25">
        <f t="shared" si="7"/>
        <v>-8.5377350100499481E-4</v>
      </c>
      <c r="K146" s="28">
        <v>42584</v>
      </c>
      <c r="L146" s="23">
        <v>10535.23</v>
      </c>
      <c r="M146" s="25">
        <f t="shared" si="8"/>
        <v>-3.2006894961003379E-3</v>
      </c>
      <c r="O146" t="b">
        <f t="shared" si="6"/>
        <v>1</v>
      </c>
    </row>
    <row r="147" spans="1:15">
      <c r="A147" s="27">
        <v>42585</v>
      </c>
      <c r="B147" s="24">
        <v>557.32000000000005</v>
      </c>
      <c r="C147" s="25">
        <f t="shared" si="7"/>
        <v>-7.8507468000640311E-3</v>
      </c>
      <c r="K147" s="29">
        <v>42585</v>
      </c>
      <c r="L147" s="24">
        <v>10422.99</v>
      </c>
      <c r="M147" s="25">
        <f t="shared" si="8"/>
        <v>-1.076850308788551E-2</v>
      </c>
      <c r="O147" t="b">
        <f t="shared" si="6"/>
        <v>1</v>
      </c>
    </row>
    <row r="148" spans="1:15">
      <c r="A148" s="26">
        <v>42586</v>
      </c>
      <c r="B148" s="23">
        <v>559.54999999999995</v>
      </c>
      <c r="C148" s="25">
        <f t="shared" si="7"/>
        <v>4.0012918969351613E-3</v>
      </c>
      <c r="K148" s="28">
        <v>42586</v>
      </c>
      <c r="L148" s="23">
        <v>10445.76</v>
      </c>
      <c r="M148" s="25">
        <f t="shared" si="8"/>
        <v>2.1798318169286329E-3</v>
      </c>
      <c r="O148" t="b">
        <f t="shared" si="6"/>
        <v>1</v>
      </c>
    </row>
    <row r="149" spans="1:15">
      <c r="A149" s="27">
        <v>42587</v>
      </c>
      <c r="B149" s="24">
        <v>568.24</v>
      </c>
      <c r="C149" s="25">
        <f t="shared" si="7"/>
        <v>1.5530336877848369E-2</v>
      </c>
      <c r="K149" s="29">
        <v>42587</v>
      </c>
      <c r="L149" s="24">
        <v>10613.15</v>
      </c>
      <c r="M149" s="25">
        <f t="shared" si="8"/>
        <v>1.5771943296759156E-2</v>
      </c>
      <c r="O149" t="b">
        <f t="shared" si="6"/>
        <v>1</v>
      </c>
    </row>
    <row r="150" spans="1:15">
      <c r="A150" s="26">
        <v>42590</v>
      </c>
      <c r="B150" s="23">
        <v>569.57000000000005</v>
      </c>
      <c r="C150" s="25">
        <f t="shared" si="7"/>
        <v>2.3405603266226259E-3</v>
      </c>
      <c r="K150" s="28">
        <v>42590</v>
      </c>
      <c r="L150" s="23">
        <v>10662.79</v>
      </c>
      <c r="M150" s="25">
        <f t="shared" si="8"/>
        <v>4.6554419621882481E-3</v>
      </c>
      <c r="O150" t="b">
        <f t="shared" si="6"/>
        <v>1</v>
      </c>
    </row>
    <row r="151" spans="1:15">
      <c r="A151" s="27">
        <v>42591</v>
      </c>
      <c r="B151" s="24">
        <v>567.32000000000005</v>
      </c>
      <c r="C151" s="25">
        <f t="shared" si="7"/>
        <v>-3.950348508523974E-3</v>
      </c>
      <c r="K151" s="29">
        <v>42591</v>
      </c>
      <c r="L151" s="24">
        <v>10620.56</v>
      </c>
      <c r="M151" s="25">
        <f t="shared" si="8"/>
        <v>-3.9762498399332413E-3</v>
      </c>
      <c r="O151" t="b">
        <f t="shared" si="6"/>
        <v>1</v>
      </c>
    </row>
    <row r="152" spans="1:15">
      <c r="A152" s="26">
        <v>42592</v>
      </c>
      <c r="B152" s="23">
        <v>563.79999999999995</v>
      </c>
      <c r="C152" s="25">
        <f t="shared" si="7"/>
        <v>-6.2046111541988564E-3</v>
      </c>
      <c r="K152" s="28">
        <v>42592</v>
      </c>
      <c r="L152" s="23">
        <v>10489.54</v>
      </c>
      <c r="M152" s="25">
        <f t="shared" si="8"/>
        <v>-1.2490538193285749E-2</v>
      </c>
      <c r="O152" t="b">
        <f t="shared" si="6"/>
        <v>1</v>
      </c>
    </row>
    <row r="153" spans="1:15">
      <c r="A153" s="27">
        <v>42593</v>
      </c>
      <c r="B153" s="24">
        <v>563.23</v>
      </c>
      <c r="C153" s="25">
        <f t="shared" si="7"/>
        <v>-1.0109968073783902E-3</v>
      </c>
      <c r="K153" s="29">
        <v>42593</v>
      </c>
      <c r="L153" s="24">
        <v>10508.13</v>
      </c>
      <c r="M153" s="25">
        <f t="shared" si="8"/>
        <v>1.7691063966660413E-3</v>
      </c>
      <c r="O153" t="b">
        <f t="shared" si="6"/>
        <v>1</v>
      </c>
    </row>
    <row r="154" spans="1:15">
      <c r="A154" s="26">
        <v>42594</v>
      </c>
      <c r="B154" s="23">
        <v>566.49</v>
      </c>
      <c r="C154" s="25">
        <f t="shared" si="7"/>
        <v>5.7880439607265076E-3</v>
      </c>
      <c r="K154" s="28">
        <v>42594</v>
      </c>
      <c r="L154" s="23">
        <v>10592.39</v>
      </c>
      <c r="M154" s="25">
        <f t="shared" si="8"/>
        <v>7.9547675264978173E-3</v>
      </c>
      <c r="O154" t="b">
        <f t="shared" si="6"/>
        <v>1</v>
      </c>
    </row>
    <row r="155" spans="1:15">
      <c r="A155" s="27">
        <v>42598</v>
      </c>
      <c r="B155" s="24">
        <v>568.61</v>
      </c>
      <c r="C155" s="25">
        <f t="shared" si="7"/>
        <v>3.7423432011156497E-3</v>
      </c>
      <c r="K155" s="29">
        <v>42598</v>
      </c>
      <c r="L155" s="24">
        <v>10580.59</v>
      </c>
      <c r="M155" s="25">
        <f t="shared" si="8"/>
        <v>-1.1152497166981494E-3</v>
      </c>
      <c r="O155" t="b">
        <f t="shared" si="6"/>
        <v>1</v>
      </c>
    </row>
    <row r="156" spans="1:15">
      <c r="A156" s="26">
        <v>42599</v>
      </c>
      <c r="B156" s="23">
        <v>570.14</v>
      </c>
      <c r="C156" s="25">
        <f t="shared" si="7"/>
        <v>2.690772234044376E-3</v>
      </c>
      <c r="K156" s="28">
        <v>42599</v>
      </c>
      <c r="L156" s="23">
        <v>10587.03</v>
      </c>
      <c r="M156" s="25">
        <f t="shared" si="8"/>
        <v>6.0829146606749098E-4</v>
      </c>
      <c r="O156" t="b">
        <f t="shared" si="6"/>
        <v>1</v>
      </c>
    </row>
    <row r="157" spans="1:15">
      <c r="A157" s="27">
        <v>42600</v>
      </c>
      <c r="B157" s="24">
        <v>575.53</v>
      </c>
      <c r="C157" s="25">
        <f t="shared" si="7"/>
        <v>9.4538183604026844E-3</v>
      </c>
      <c r="K157" s="29">
        <v>42600</v>
      </c>
      <c r="L157" s="24">
        <v>10657.76</v>
      </c>
      <c r="M157" s="25">
        <f t="shared" si="8"/>
        <v>6.6364789599315018E-3</v>
      </c>
      <c r="O157" t="b">
        <f t="shared" si="6"/>
        <v>1</v>
      </c>
    </row>
    <row r="158" spans="1:15">
      <c r="A158" s="26">
        <v>42601</v>
      </c>
      <c r="B158" s="23">
        <v>578.53</v>
      </c>
      <c r="C158" s="25">
        <f t="shared" si="7"/>
        <v>5.2125866592532101E-3</v>
      </c>
      <c r="K158" s="28">
        <v>42601</v>
      </c>
      <c r="L158" s="23">
        <v>10668.86</v>
      </c>
      <c r="M158" s="25">
        <f t="shared" si="8"/>
        <v>1.0404110654746957E-3</v>
      </c>
      <c r="O158" t="b">
        <f t="shared" si="6"/>
        <v>1</v>
      </c>
    </row>
    <row r="159" spans="1:15">
      <c r="A159" s="27">
        <v>42604</v>
      </c>
      <c r="B159" s="24">
        <v>575.25</v>
      </c>
      <c r="C159" s="25">
        <f t="shared" si="7"/>
        <v>-5.6695417696575332E-3</v>
      </c>
      <c r="K159" s="29">
        <v>42604</v>
      </c>
      <c r="L159" s="24">
        <v>10620.31</v>
      </c>
      <c r="M159" s="25">
        <f t="shared" si="8"/>
        <v>-4.571429647533932E-3</v>
      </c>
      <c r="O159" t="b">
        <f t="shared" si="6"/>
        <v>1</v>
      </c>
    </row>
    <row r="160" spans="1:15">
      <c r="A160" s="26">
        <v>42605</v>
      </c>
      <c r="B160" s="23">
        <v>576.52</v>
      </c>
      <c r="C160" s="25">
        <f t="shared" si="7"/>
        <v>2.2077357670577695E-3</v>
      </c>
      <c r="K160" s="28">
        <v>42605</v>
      </c>
      <c r="L160" s="23">
        <v>10614.66</v>
      </c>
      <c r="M160" s="25">
        <f t="shared" si="8"/>
        <v>-5.3228271089226001E-4</v>
      </c>
      <c r="O160" t="b">
        <f t="shared" si="6"/>
        <v>1</v>
      </c>
    </row>
    <row r="161" spans="1:15">
      <c r="A161" s="27">
        <v>42606</v>
      </c>
      <c r="B161" s="24">
        <v>578.70000000000005</v>
      </c>
      <c r="C161" s="25">
        <f t="shared" si="7"/>
        <v>3.7813085409006864E-3</v>
      </c>
      <c r="K161" s="29">
        <v>42606</v>
      </c>
      <c r="L161" s="24">
        <v>10652.63</v>
      </c>
      <c r="M161" s="25">
        <f t="shared" si="8"/>
        <v>3.564377998672567E-3</v>
      </c>
      <c r="O161" t="b">
        <f t="shared" si="6"/>
        <v>1</v>
      </c>
    </row>
    <row r="162" spans="1:15">
      <c r="A162" s="26">
        <v>42607</v>
      </c>
      <c r="B162" s="23">
        <v>576.66</v>
      </c>
      <c r="C162" s="25">
        <f t="shared" si="7"/>
        <v>-3.5251425609125232E-3</v>
      </c>
      <c r="K162" s="28">
        <v>42607</v>
      </c>
      <c r="L162" s="23">
        <v>10591.34</v>
      </c>
      <c r="M162" s="25">
        <f t="shared" si="8"/>
        <v>-5.7868031807117E-3</v>
      </c>
      <c r="O162" t="b">
        <f t="shared" si="6"/>
        <v>1</v>
      </c>
    </row>
    <row r="163" spans="1:15">
      <c r="A163" s="27">
        <v>42608</v>
      </c>
      <c r="B163" s="24">
        <v>578.69000000000005</v>
      </c>
      <c r="C163" s="25">
        <f t="shared" si="7"/>
        <v>3.5202719106580769E-3</v>
      </c>
      <c r="K163" s="29">
        <v>42608</v>
      </c>
      <c r="L163" s="24">
        <v>10578.81</v>
      </c>
      <c r="M163" s="25">
        <f t="shared" si="8"/>
        <v>-1.1844432407804521E-3</v>
      </c>
      <c r="O163" t="b">
        <f t="shared" si="6"/>
        <v>1</v>
      </c>
    </row>
    <row r="164" spans="1:15">
      <c r="A164" s="26">
        <v>42611</v>
      </c>
      <c r="B164" s="23">
        <v>579.36</v>
      </c>
      <c r="C164" s="25">
        <f t="shared" si="7"/>
        <v>1.1577874164059496E-3</v>
      </c>
      <c r="K164" s="28">
        <v>42611</v>
      </c>
      <c r="L164" s="23">
        <v>10616.61</v>
      </c>
      <c r="M164" s="25">
        <f t="shared" si="8"/>
        <v>3.5604585644571185E-3</v>
      </c>
      <c r="O164" t="b">
        <f t="shared" si="6"/>
        <v>1</v>
      </c>
    </row>
    <row r="165" spans="1:15">
      <c r="A165" s="27">
        <v>42612</v>
      </c>
      <c r="B165" s="24">
        <v>585.85</v>
      </c>
      <c r="C165" s="25">
        <f t="shared" si="7"/>
        <v>1.120201601767469E-2</v>
      </c>
      <c r="K165" s="29">
        <v>42612</v>
      </c>
      <c r="L165" s="24">
        <v>10762.82</v>
      </c>
      <c r="M165" s="25">
        <f t="shared" si="8"/>
        <v>1.3584729652637425E-2</v>
      </c>
      <c r="O165" t="b">
        <f t="shared" si="6"/>
        <v>1</v>
      </c>
    </row>
    <row r="166" spans="1:15">
      <c r="A166" s="26">
        <v>42613</v>
      </c>
      <c r="B166" s="23">
        <v>588.95000000000005</v>
      </c>
      <c r="C166" s="25">
        <f t="shared" si="7"/>
        <v>5.2914568575574339E-3</v>
      </c>
      <c r="K166" s="28">
        <v>42613</v>
      </c>
      <c r="L166" s="23">
        <v>10806.58</v>
      </c>
      <c r="M166" s="25">
        <f t="shared" si="8"/>
        <v>4.0493847267128189E-3</v>
      </c>
      <c r="O166" t="b">
        <f t="shared" si="6"/>
        <v>1</v>
      </c>
    </row>
    <row r="167" spans="1:15">
      <c r="A167" s="27">
        <v>42614</v>
      </c>
      <c r="B167" s="24">
        <v>587.52</v>
      </c>
      <c r="C167" s="25">
        <f t="shared" si="7"/>
        <v>-2.4280499193481001E-3</v>
      </c>
      <c r="K167" s="29">
        <v>42614</v>
      </c>
      <c r="L167" s="24">
        <v>10783.22</v>
      </c>
      <c r="M167" s="25">
        <f t="shared" si="8"/>
        <v>-2.1663287960368596E-3</v>
      </c>
      <c r="O167" t="b">
        <f t="shared" si="6"/>
        <v>1</v>
      </c>
    </row>
    <row r="168" spans="1:15">
      <c r="A168" s="26">
        <v>42615</v>
      </c>
      <c r="B168" s="23">
        <v>590.89</v>
      </c>
      <c r="C168" s="25">
        <f t="shared" si="7"/>
        <v>5.7359749455337767E-3</v>
      </c>
      <c r="K168" s="28">
        <v>42615</v>
      </c>
      <c r="L168" s="23">
        <v>10828.04</v>
      </c>
      <c r="M168" s="25">
        <f t="shared" si="8"/>
        <v>4.1392532720604582E-3</v>
      </c>
      <c r="O168" t="b">
        <f t="shared" si="6"/>
        <v>1</v>
      </c>
    </row>
    <row r="169" spans="1:15">
      <c r="A169" s="27">
        <v>42619</v>
      </c>
      <c r="B169" s="24">
        <v>598.67999999999995</v>
      </c>
      <c r="C169" s="25">
        <f t="shared" si="7"/>
        <v>1.318350285163053E-2</v>
      </c>
      <c r="K169" s="29">
        <v>42619</v>
      </c>
      <c r="L169" s="24">
        <v>10987.6</v>
      </c>
      <c r="M169" s="25">
        <f t="shared" si="8"/>
        <v>1.4521824602278886E-2</v>
      </c>
      <c r="O169" t="b">
        <f t="shared" si="6"/>
        <v>1</v>
      </c>
    </row>
    <row r="170" spans="1:15">
      <c r="A170" s="26">
        <v>42620</v>
      </c>
      <c r="B170" s="23">
        <v>598.22</v>
      </c>
      <c r="C170" s="25">
        <f t="shared" si="7"/>
        <v>-7.6835705218133684E-4</v>
      </c>
      <c r="K170" s="28">
        <v>42620</v>
      </c>
      <c r="L170" s="23">
        <v>10977.36</v>
      </c>
      <c r="M170" s="25">
        <f t="shared" si="8"/>
        <v>-9.3282902264294702E-4</v>
      </c>
      <c r="O170" t="b">
        <f t="shared" si="6"/>
        <v>1</v>
      </c>
    </row>
    <row r="171" spans="1:15">
      <c r="A171" s="27">
        <v>42621</v>
      </c>
      <c r="B171" s="24">
        <v>601.41</v>
      </c>
      <c r="C171" s="25">
        <f t="shared" si="7"/>
        <v>5.3324863762494413E-3</v>
      </c>
      <c r="K171" s="29">
        <v>42621</v>
      </c>
      <c r="L171" s="24">
        <v>11031.32</v>
      </c>
      <c r="M171" s="25">
        <f t="shared" si="8"/>
        <v>4.8915270339360229E-3</v>
      </c>
      <c r="O171" t="b">
        <f t="shared" si="6"/>
        <v>1</v>
      </c>
    </row>
    <row r="172" spans="1:15">
      <c r="A172" s="26">
        <v>42622</v>
      </c>
      <c r="B172" s="23">
        <v>597.98</v>
      </c>
      <c r="C172" s="25">
        <f t="shared" si="7"/>
        <v>-5.7032639962753366E-3</v>
      </c>
      <c r="K172" s="28">
        <v>42622</v>
      </c>
      <c r="L172" s="23">
        <v>10934.44</v>
      </c>
      <c r="M172" s="25">
        <f t="shared" si="8"/>
        <v>-8.8600787969021905E-3</v>
      </c>
      <c r="O172" t="b">
        <f t="shared" si="6"/>
        <v>1</v>
      </c>
    </row>
    <row r="173" spans="1:15">
      <c r="A173" s="27">
        <v>42625</v>
      </c>
      <c r="B173" s="24">
        <v>584.1</v>
      </c>
      <c r="C173" s="25">
        <f t="shared" si="7"/>
        <v>-2.321147864477072E-2</v>
      </c>
      <c r="K173" s="29">
        <v>42625</v>
      </c>
      <c r="L173" s="24">
        <v>10711.08</v>
      </c>
      <c r="M173" s="25">
        <f t="shared" si="8"/>
        <v>-2.0853172602576079E-2</v>
      </c>
      <c r="O173" t="b">
        <f t="shared" si="6"/>
        <v>1</v>
      </c>
    </row>
    <row r="174" spans="1:15">
      <c r="A174" s="26">
        <v>42627</v>
      </c>
      <c r="B174" s="23">
        <v>589.95000000000005</v>
      </c>
      <c r="C174" s="25">
        <f t="shared" si="7"/>
        <v>1.0015408320493104E-2</v>
      </c>
      <c r="K174" s="28">
        <v>42627</v>
      </c>
      <c r="L174" s="23">
        <v>10761.82</v>
      </c>
      <c r="M174" s="25">
        <f t="shared" si="8"/>
        <v>4.7148158954526077E-3</v>
      </c>
      <c r="O174" t="b">
        <f t="shared" si="6"/>
        <v>1</v>
      </c>
    </row>
    <row r="175" spans="1:15">
      <c r="A175" s="27">
        <v>42628</v>
      </c>
      <c r="B175" s="24">
        <v>590.79999999999995</v>
      </c>
      <c r="C175" s="25">
        <f t="shared" si="7"/>
        <v>1.4408000678022019E-3</v>
      </c>
      <c r="K175" s="29">
        <v>42628</v>
      </c>
      <c r="L175" s="24">
        <v>10774.29</v>
      </c>
      <c r="M175" s="25">
        <f t="shared" si="8"/>
        <v>1.1573848485608947E-3</v>
      </c>
      <c r="O175" t="b">
        <f t="shared" si="6"/>
        <v>1</v>
      </c>
    </row>
    <row r="176" spans="1:15">
      <c r="A176" s="26">
        <v>42629</v>
      </c>
      <c r="B176" s="23">
        <v>591.37</v>
      </c>
      <c r="C176" s="25">
        <f t="shared" si="7"/>
        <v>9.6479350033860879E-4</v>
      </c>
      <c r="K176" s="28">
        <v>42629</v>
      </c>
      <c r="L176" s="23">
        <v>10809.89</v>
      </c>
      <c r="M176" s="25">
        <f t="shared" si="8"/>
        <v>3.2932805051668931E-3</v>
      </c>
      <c r="O176" t="b">
        <f t="shared" si="6"/>
        <v>1</v>
      </c>
    </row>
    <row r="177" spans="1:15">
      <c r="A177" s="27">
        <v>42632</v>
      </c>
      <c r="B177" s="24">
        <v>594.21</v>
      </c>
      <c r="C177" s="25">
        <f t="shared" si="7"/>
        <v>4.8024079679389077E-3</v>
      </c>
      <c r="K177" s="29">
        <v>42632</v>
      </c>
      <c r="L177" s="24">
        <v>10848.37</v>
      </c>
      <c r="M177" s="25">
        <f t="shared" si="8"/>
        <v>3.5470766575993796E-3</v>
      </c>
      <c r="O177" t="b">
        <f t="shared" si="6"/>
        <v>1</v>
      </c>
    </row>
    <row r="178" spans="1:15">
      <c r="A178" s="26">
        <v>42633</v>
      </c>
      <c r="B178" s="23">
        <v>593.29</v>
      </c>
      <c r="C178" s="25">
        <f t="shared" si="7"/>
        <v>-1.5482741791623714E-3</v>
      </c>
      <c r="K178" s="28">
        <v>42633</v>
      </c>
      <c r="L178" s="23">
        <v>10814.58</v>
      </c>
      <c r="M178" s="25">
        <f t="shared" si="8"/>
        <v>-3.1244856480788781E-3</v>
      </c>
      <c r="O178" t="b">
        <f t="shared" si="6"/>
        <v>1</v>
      </c>
    </row>
    <row r="179" spans="1:15">
      <c r="A179" s="27">
        <v>42634</v>
      </c>
      <c r="B179" s="24">
        <v>594.12</v>
      </c>
      <c r="C179" s="25">
        <f t="shared" si="7"/>
        <v>1.3989785770871597E-3</v>
      </c>
      <c r="K179" s="29">
        <v>42634</v>
      </c>
      <c r="L179" s="24">
        <v>10816.64</v>
      </c>
      <c r="M179" s="25">
        <f t="shared" si="8"/>
        <v>1.9044731080996417E-4</v>
      </c>
      <c r="O179" t="b">
        <f t="shared" si="6"/>
        <v>1</v>
      </c>
    </row>
    <row r="180" spans="1:15">
      <c r="A180" s="26">
        <v>42635</v>
      </c>
      <c r="B180" s="23">
        <v>602.01</v>
      </c>
      <c r="C180" s="25">
        <f t="shared" si="7"/>
        <v>1.328014542516661E-2</v>
      </c>
      <c r="K180" s="28">
        <v>42635</v>
      </c>
      <c r="L180" s="23">
        <v>10934.35</v>
      </c>
      <c r="M180" s="25">
        <f t="shared" si="8"/>
        <v>1.0765157508219596E-2</v>
      </c>
      <c r="O180" t="b">
        <f t="shared" si="6"/>
        <v>1</v>
      </c>
    </row>
    <row r="181" spans="1:15">
      <c r="A181" s="27">
        <v>42636</v>
      </c>
      <c r="B181" s="24">
        <v>601.74</v>
      </c>
      <c r="C181" s="25">
        <f t="shared" si="7"/>
        <v>-4.4849753326353686E-4</v>
      </c>
      <c r="K181" s="29">
        <v>42636</v>
      </c>
      <c r="L181" s="24">
        <v>10908.21</v>
      </c>
      <c r="M181" s="25">
        <f t="shared" si="8"/>
        <v>-2.3963601727507297E-3</v>
      </c>
      <c r="O181" t="b">
        <f t="shared" si="6"/>
        <v>1</v>
      </c>
    </row>
    <row r="182" spans="1:15">
      <c r="A182" s="26">
        <v>42639</v>
      </c>
      <c r="B182" s="23">
        <v>597.96</v>
      </c>
      <c r="C182" s="25">
        <f t="shared" si="7"/>
        <v>-6.281782829793553E-3</v>
      </c>
      <c r="K182" s="28">
        <v>42639</v>
      </c>
      <c r="L182" s="23">
        <v>10799.69</v>
      </c>
      <c r="M182" s="25">
        <f t="shared" si="8"/>
        <v>-1.0048436575494169E-2</v>
      </c>
      <c r="O182" t="b">
        <f t="shared" si="6"/>
        <v>1</v>
      </c>
    </row>
    <row r="183" spans="1:15">
      <c r="A183" s="27">
        <v>42640</v>
      </c>
      <c r="B183" s="24">
        <v>598.85</v>
      </c>
      <c r="C183" s="25">
        <f t="shared" si="7"/>
        <v>1.4883938724998098E-3</v>
      </c>
      <c r="K183" s="29">
        <v>42640</v>
      </c>
      <c r="L183" s="24">
        <v>10785.63</v>
      </c>
      <c r="M183" s="25">
        <f t="shared" si="8"/>
        <v>-1.3035863459066657E-3</v>
      </c>
      <c r="O183" t="b">
        <f t="shared" si="6"/>
        <v>1</v>
      </c>
    </row>
    <row r="184" spans="1:15">
      <c r="A184" s="26">
        <v>42641</v>
      </c>
      <c r="B184" s="23">
        <v>605.79999999999995</v>
      </c>
      <c r="C184" s="25">
        <f t="shared" si="7"/>
        <v>1.1605577356600037E-2</v>
      </c>
      <c r="K184" s="28">
        <v>42641</v>
      </c>
      <c r="L184" s="23">
        <v>10850.59</v>
      </c>
      <c r="M184" s="25">
        <f t="shared" si="8"/>
        <v>5.9867712262652029E-3</v>
      </c>
      <c r="O184" t="b">
        <f t="shared" si="6"/>
        <v>1</v>
      </c>
    </row>
    <row r="185" spans="1:15">
      <c r="A185" s="27">
        <v>42642</v>
      </c>
      <c r="B185" s="24">
        <v>590.34</v>
      </c>
      <c r="C185" s="25">
        <f t="shared" si="7"/>
        <v>-2.551997358864299E-2</v>
      </c>
      <c r="K185" s="29">
        <v>42642</v>
      </c>
      <c r="L185" s="24">
        <v>10593.48</v>
      </c>
      <c r="M185" s="25">
        <f t="shared" si="8"/>
        <v>-2.4270589079320545E-2</v>
      </c>
      <c r="O185" t="b">
        <f t="shared" si="6"/>
        <v>1</v>
      </c>
    </row>
    <row r="186" spans="1:15">
      <c r="A186" s="26">
        <v>42643</v>
      </c>
      <c r="B186" s="23">
        <v>601.19000000000005</v>
      </c>
      <c r="C186" s="25">
        <f t="shared" si="7"/>
        <v>1.8379239082562629E-2</v>
      </c>
      <c r="K186" s="28">
        <v>42643</v>
      </c>
      <c r="L186" s="23">
        <v>10677.17</v>
      </c>
      <c r="M186" s="25">
        <f t="shared" si="8"/>
        <v>7.8382193034297019E-3</v>
      </c>
      <c r="O186" t="b">
        <f t="shared" si="6"/>
        <v>1</v>
      </c>
    </row>
    <row r="187" spans="1:15">
      <c r="A187" s="27">
        <v>42646</v>
      </c>
      <c r="B187" s="24">
        <v>613.86</v>
      </c>
      <c r="C187" s="25">
        <f t="shared" si="7"/>
        <v>2.107486817811334E-2</v>
      </c>
      <c r="K187" s="29">
        <v>42646</v>
      </c>
      <c r="L187" s="24">
        <v>10875.55</v>
      </c>
      <c r="M187" s="25">
        <f t="shared" si="8"/>
        <v>1.8240916551346756E-2</v>
      </c>
      <c r="O187" t="b">
        <f t="shared" si="6"/>
        <v>1</v>
      </c>
    </row>
    <row r="188" spans="1:15">
      <c r="A188" s="26">
        <v>42647</v>
      </c>
      <c r="B188" s="23">
        <v>617.76</v>
      </c>
      <c r="C188" s="25">
        <f t="shared" si="7"/>
        <v>6.3532401524777262E-3</v>
      </c>
      <c r="K188" s="28">
        <v>42647</v>
      </c>
      <c r="L188" s="23">
        <v>10926.74</v>
      </c>
      <c r="M188" s="25">
        <f t="shared" si="8"/>
        <v>4.684837380591147E-3</v>
      </c>
      <c r="O188" t="b">
        <f t="shared" si="6"/>
        <v>1</v>
      </c>
    </row>
    <row r="189" spans="1:15">
      <c r="A189" s="27">
        <v>42648</v>
      </c>
      <c r="B189" s="24">
        <v>620.9</v>
      </c>
      <c r="C189" s="25">
        <f t="shared" si="7"/>
        <v>5.082880082880061E-3</v>
      </c>
      <c r="K189" s="29">
        <v>42648</v>
      </c>
      <c r="L189" s="24">
        <v>10923.62</v>
      </c>
      <c r="M189" s="25">
        <f t="shared" si="8"/>
        <v>-2.8561960229291951E-4</v>
      </c>
      <c r="O189" t="b">
        <f t="shared" si="6"/>
        <v>1</v>
      </c>
    </row>
    <row r="190" spans="1:15">
      <c r="A190" s="26">
        <v>42649</v>
      </c>
      <c r="B190" s="23">
        <v>618.54</v>
      </c>
      <c r="C190" s="25">
        <f t="shared" si="7"/>
        <v>-3.8009341278789077E-3</v>
      </c>
      <c r="K190" s="28">
        <v>42649</v>
      </c>
      <c r="L190" s="23">
        <v>10882.82</v>
      </c>
      <c r="M190" s="25">
        <f t="shared" si="8"/>
        <v>-3.749028284948303E-3</v>
      </c>
      <c r="O190" t="b">
        <f t="shared" si="6"/>
        <v>1</v>
      </c>
    </row>
    <row r="191" spans="1:15">
      <c r="A191" s="27">
        <v>42650</v>
      </c>
      <c r="B191" s="24">
        <v>617.75</v>
      </c>
      <c r="C191" s="25">
        <f t="shared" si="7"/>
        <v>-1.2772011510976875E-3</v>
      </c>
      <c r="K191" s="29">
        <v>42650</v>
      </c>
      <c r="L191" s="24">
        <v>10868.26</v>
      </c>
      <c r="M191" s="25">
        <f t="shared" si="8"/>
        <v>-1.3396808688786882E-3</v>
      </c>
      <c r="O191" t="b">
        <f t="shared" si="6"/>
        <v>1</v>
      </c>
    </row>
    <row r="192" spans="1:15">
      <c r="A192" s="26">
        <v>42653</v>
      </c>
      <c r="B192" s="23">
        <v>620.91</v>
      </c>
      <c r="C192" s="25">
        <f t="shared" si="7"/>
        <v>5.1153379198704465E-3</v>
      </c>
      <c r="K192" s="28">
        <v>42653</v>
      </c>
      <c r="L192" s="23">
        <v>10876.25</v>
      </c>
      <c r="M192" s="25">
        <f t="shared" si="8"/>
        <v>7.3462820365473227E-4</v>
      </c>
      <c r="O192" t="b">
        <f t="shared" si="6"/>
        <v>1</v>
      </c>
    </row>
    <row r="193" spans="1:15">
      <c r="A193" s="27">
        <v>42656</v>
      </c>
      <c r="B193" s="24">
        <v>612.16999999999996</v>
      </c>
      <c r="C193" s="25">
        <f t="shared" si="7"/>
        <v>-1.407611409060896E-2</v>
      </c>
      <c r="K193" s="29">
        <v>42656</v>
      </c>
      <c r="L193" s="24">
        <v>10711.11</v>
      </c>
      <c r="M193" s="25">
        <f t="shared" si="8"/>
        <v>-1.541763645411161E-2</v>
      </c>
      <c r="O193" t="b">
        <f t="shared" si="6"/>
        <v>1</v>
      </c>
    </row>
    <row r="194" spans="1:15">
      <c r="A194" s="26">
        <v>42657</v>
      </c>
      <c r="B194" s="23">
        <v>613.72</v>
      </c>
      <c r="C194" s="25">
        <f t="shared" si="7"/>
        <v>2.5319764117811526E-3</v>
      </c>
      <c r="K194" s="28">
        <v>42657</v>
      </c>
      <c r="L194" s="23">
        <v>10742.18</v>
      </c>
      <c r="M194" s="25">
        <f t="shared" si="8"/>
        <v>2.8923365648313199E-3</v>
      </c>
      <c r="O194" t="b">
        <f t="shared" si="6"/>
        <v>1</v>
      </c>
    </row>
    <row r="195" spans="1:15">
      <c r="A195" s="27">
        <v>42660</v>
      </c>
      <c r="B195" s="24">
        <v>607.63</v>
      </c>
      <c r="C195" s="25">
        <f t="shared" si="7"/>
        <v>-9.923091963762027E-3</v>
      </c>
      <c r="K195" s="29">
        <v>42660</v>
      </c>
      <c r="L195" s="24">
        <v>10662.28</v>
      </c>
      <c r="M195" s="25">
        <f t="shared" si="8"/>
        <v>-7.4937067869160845E-3</v>
      </c>
      <c r="O195" t="b">
        <f t="shared" ref="O195:O258" si="9">K195=A195</f>
        <v>1</v>
      </c>
    </row>
    <row r="196" spans="1:15">
      <c r="A196" s="26">
        <v>42661</v>
      </c>
      <c r="B196" s="23">
        <v>616.04999999999995</v>
      </c>
      <c r="C196" s="25">
        <f t="shared" ref="C196:C259" si="10">(B196-B195)/B195</f>
        <v>1.3857116995539981E-2</v>
      </c>
      <c r="K196" s="28">
        <v>42661</v>
      </c>
      <c r="L196" s="23">
        <v>10846.76</v>
      </c>
      <c r="M196" s="25">
        <f t="shared" ref="M196:M259" si="11">(L196-L195)/L196</f>
        <v>1.7007843816955439E-2</v>
      </c>
      <c r="O196" t="b">
        <f t="shared" si="9"/>
        <v>1</v>
      </c>
    </row>
    <row r="197" spans="1:15">
      <c r="A197" s="27">
        <v>42662</v>
      </c>
      <c r="B197" s="24">
        <v>617.52</v>
      </c>
      <c r="C197" s="25">
        <f t="shared" si="10"/>
        <v>2.386169953737566E-3</v>
      </c>
      <c r="K197" s="29">
        <v>42662</v>
      </c>
      <c r="L197" s="24">
        <v>10840.51</v>
      </c>
      <c r="M197" s="25">
        <f t="shared" si="11"/>
        <v>-5.7654114059209392E-4</v>
      </c>
      <c r="O197" t="b">
        <f t="shared" si="9"/>
        <v>1</v>
      </c>
    </row>
    <row r="198" spans="1:15">
      <c r="A198" s="26">
        <v>42663</v>
      </c>
      <c r="B198" s="23">
        <v>618.67999999999995</v>
      </c>
      <c r="C198" s="25">
        <f t="shared" si="10"/>
        <v>1.8784816686098721E-3</v>
      </c>
      <c r="K198" s="28">
        <v>42663</v>
      </c>
      <c r="L198" s="23">
        <v>10885.45</v>
      </c>
      <c r="M198" s="25">
        <f t="shared" si="11"/>
        <v>4.1284466880101888E-3</v>
      </c>
      <c r="O198" t="b">
        <f t="shared" si="9"/>
        <v>1</v>
      </c>
    </row>
    <row r="199" spans="1:15">
      <c r="A199" s="27">
        <v>42664</v>
      </c>
      <c r="B199" s="24">
        <v>621.25</v>
      </c>
      <c r="C199" s="25">
        <f t="shared" si="10"/>
        <v>4.1540053016099606E-3</v>
      </c>
      <c r="K199" s="29">
        <v>42664</v>
      </c>
      <c r="L199" s="24">
        <v>10894.59</v>
      </c>
      <c r="M199" s="25">
        <f t="shared" si="11"/>
        <v>8.3894850563439444E-4</v>
      </c>
      <c r="O199" t="b">
        <f t="shared" si="9"/>
        <v>1</v>
      </c>
    </row>
    <row r="200" spans="1:15">
      <c r="A200" s="26">
        <v>42667</v>
      </c>
      <c r="B200" s="23">
        <v>619.59</v>
      </c>
      <c r="C200" s="25">
        <f t="shared" si="10"/>
        <v>-2.6720321931589025E-3</v>
      </c>
      <c r="K200" s="28">
        <v>42667</v>
      </c>
      <c r="L200" s="23">
        <v>10909.63</v>
      </c>
      <c r="M200" s="25">
        <f t="shared" si="11"/>
        <v>1.3785985409220161E-3</v>
      </c>
      <c r="O200" t="b">
        <f t="shared" si="9"/>
        <v>1</v>
      </c>
    </row>
    <row r="201" spans="1:15">
      <c r="A201" s="27">
        <v>42668</v>
      </c>
      <c r="B201" s="24">
        <v>618.23</v>
      </c>
      <c r="C201" s="25">
        <f t="shared" si="10"/>
        <v>-2.1949999193014956E-3</v>
      </c>
      <c r="K201" s="29">
        <v>42668</v>
      </c>
      <c r="L201" s="24">
        <v>10895.14</v>
      </c>
      <c r="M201" s="25">
        <f t="shared" si="11"/>
        <v>-1.3299507853960374E-3</v>
      </c>
      <c r="O201" t="b">
        <f t="shared" si="9"/>
        <v>1</v>
      </c>
    </row>
    <row r="202" spans="1:15">
      <c r="A202" s="26">
        <v>42669</v>
      </c>
      <c r="B202" s="23">
        <v>613.01</v>
      </c>
      <c r="C202" s="25">
        <f t="shared" si="10"/>
        <v>-8.4434595538877555E-3</v>
      </c>
      <c r="K202" s="28">
        <v>42669</v>
      </c>
      <c r="L202" s="23">
        <v>10801.6</v>
      </c>
      <c r="M202" s="25">
        <f t="shared" si="11"/>
        <v>-8.6598281736038219E-3</v>
      </c>
      <c r="O202" t="b">
        <f t="shared" si="9"/>
        <v>1</v>
      </c>
    </row>
    <row r="203" spans="1:15">
      <c r="A203" s="27">
        <v>42670</v>
      </c>
      <c r="B203" s="24">
        <v>608.54999999999995</v>
      </c>
      <c r="C203" s="25">
        <f t="shared" si="10"/>
        <v>-7.2755746235787936E-3</v>
      </c>
      <c r="K203" s="29">
        <v>42670</v>
      </c>
      <c r="L203" s="24">
        <v>10766.87</v>
      </c>
      <c r="M203" s="25">
        <f t="shared" si="11"/>
        <v>-3.2256356768494057E-3</v>
      </c>
      <c r="O203" t="b">
        <f t="shared" si="9"/>
        <v>1</v>
      </c>
    </row>
    <row r="204" spans="1:15">
      <c r="A204" s="26">
        <v>42671</v>
      </c>
      <c r="B204" s="23">
        <v>613.9</v>
      </c>
      <c r="C204" s="25">
        <f t="shared" si="10"/>
        <v>8.7913893681702791E-3</v>
      </c>
      <c r="K204" s="28">
        <v>42671</v>
      </c>
      <c r="L204" s="23">
        <v>10827.51</v>
      </c>
      <c r="M204" s="25">
        <f t="shared" si="11"/>
        <v>5.600548972016596E-3</v>
      </c>
      <c r="O204" t="b">
        <f t="shared" si="9"/>
        <v>1</v>
      </c>
    </row>
    <row r="205" spans="1:15">
      <c r="A205" s="27">
        <v>42675</v>
      </c>
      <c r="B205" s="24">
        <v>619.08000000000004</v>
      </c>
      <c r="C205" s="25">
        <f t="shared" si="10"/>
        <v>8.4378563283923503E-3</v>
      </c>
      <c r="K205" s="29">
        <v>42675</v>
      </c>
      <c r="L205" s="24">
        <v>10840.64</v>
      </c>
      <c r="M205" s="25">
        <f t="shared" si="11"/>
        <v>1.2111831035805265E-3</v>
      </c>
      <c r="O205" t="b">
        <f t="shared" si="9"/>
        <v>1</v>
      </c>
    </row>
    <row r="206" spans="1:15">
      <c r="A206" s="26">
        <v>42676</v>
      </c>
      <c r="B206" s="23">
        <v>609.23</v>
      </c>
      <c r="C206" s="25">
        <f t="shared" si="10"/>
        <v>-1.5910706209213709E-2</v>
      </c>
      <c r="K206" s="28">
        <v>42676</v>
      </c>
      <c r="L206" s="23">
        <v>10681.16</v>
      </c>
      <c r="M206" s="25">
        <f t="shared" si="11"/>
        <v>-1.4930962554628857E-2</v>
      </c>
      <c r="O206" t="b">
        <f t="shared" si="9"/>
        <v>1</v>
      </c>
    </row>
    <row r="207" spans="1:15">
      <c r="A207" s="27">
        <v>42677</v>
      </c>
      <c r="B207" s="24">
        <v>604.34</v>
      </c>
      <c r="C207" s="25">
        <f t="shared" si="10"/>
        <v>-8.0265252860167533E-3</v>
      </c>
      <c r="K207" s="29">
        <v>42677</v>
      </c>
      <c r="L207" s="24">
        <v>10615.11</v>
      </c>
      <c r="M207" s="25">
        <f t="shared" si="11"/>
        <v>-6.2222624164986768E-3</v>
      </c>
      <c r="O207" t="b">
        <f t="shared" si="9"/>
        <v>1</v>
      </c>
    </row>
    <row r="208" spans="1:15">
      <c r="A208" s="26">
        <v>42678</v>
      </c>
      <c r="B208" s="23">
        <v>596.25</v>
      </c>
      <c r="C208" s="25">
        <f t="shared" si="10"/>
        <v>-1.338650428566706E-2</v>
      </c>
      <c r="K208" s="28">
        <v>42678</v>
      </c>
      <c r="L208" s="23">
        <v>10514.14</v>
      </c>
      <c r="M208" s="25">
        <f t="shared" si="11"/>
        <v>-9.6032580886312308E-3</v>
      </c>
      <c r="O208" t="b">
        <f t="shared" si="9"/>
        <v>1</v>
      </c>
    </row>
    <row r="209" spans="1:15">
      <c r="A209" s="27">
        <v>42681</v>
      </c>
      <c r="B209" s="24">
        <v>601.91</v>
      </c>
      <c r="C209" s="25">
        <f t="shared" si="10"/>
        <v>9.4926624737944956E-3</v>
      </c>
      <c r="K209" s="29">
        <v>42681</v>
      </c>
      <c r="L209" s="24">
        <v>10596.79</v>
      </c>
      <c r="M209" s="25">
        <f t="shared" si="11"/>
        <v>7.7995317449908366E-3</v>
      </c>
      <c r="O209" t="b">
        <f t="shared" si="9"/>
        <v>1</v>
      </c>
    </row>
    <row r="210" spans="1:15">
      <c r="A210" s="26">
        <v>42682</v>
      </c>
      <c r="B210" s="23">
        <v>603.69000000000005</v>
      </c>
      <c r="C210" s="25">
        <f t="shared" si="10"/>
        <v>2.9572527454272009E-3</v>
      </c>
      <c r="K210" s="28">
        <v>42682</v>
      </c>
      <c r="L210" s="23">
        <v>10647.68</v>
      </c>
      <c r="M210" s="25">
        <f t="shared" si="11"/>
        <v>4.779444911943204E-3</v>
      </c>
      <c r="O210" t="b">
        <f t="shared" si="9"/>
        <v>1</v>
      </c>
    </row>
    <row r="211" spans="1:15">
      <c r="A211" s="27">
        <v>42683</v>
      </c>
      <c r="B211" s="24">
        <v>594.44000000000005</v>
      </c>
      <c r="C211" s="25">
        <f t="shared" si="10"/>
        <v>-1.5322433699415262E-2</v>
      </c>
      <c r="K211" s="29">
        <v>42683</v>
      </c>
      <c r="L211" s="24">
        <v>10476.32</v>
      </c>
      <c r="M211" s="25">
        <f t="shared" si="11"/>
        <v>-1.6356888678467303E-2</v>
      </c>
      <c r="O211" t="b">
        <f t="shared" si="9"/>
        <v>1</v>
      </c>
    </row>
    <row r="212" spans="1:15">
      <c r="A212" s="26">
        <v>42684</v>
      </c>
      <c r="B212" s="23">
        <v>602.6</v>
      </c>
      <c r="C212" s="25">
        <f t="shared" si="10"/>
        <v>1.3727205437049942E-2</v>
      </c>
      <c r="K212" s="28">
        <v>42684</v>
      </c>
      <c r="L212" s="23">
        <v>10613.46</v>
      </c>
      <c r="M212" s="25">
        <f t="shared" si="11"/>
        <v>1.2921328200228713E-2</v>
      </c>
      <c r="O212" t="b">
        <f t="shared" si="9"/>
        <v>1</v>
      </c>
    </row>
    <row r="213" spans="1:15">
      <c r="A213" s="27">
        <v>42685</v>
      </c>
      <c r="B213" s="24">
        <v>585.69000000000005</v>
      </c>
      <c r="C213" s="25">
        <f t="shared" si="10"/>
        <v>-2.8061732492532306E-2</v>
      </c>
      <c r="K213" s="29">
        <v>42685</v>
      </c>
      <c r="L213" s="24">
        <v>10301.51</v>
      </c>
      <c r="M213" s="25">
        <f t="shared" si="11"/>
        <v>-3.0281968371626965E-2</v>
      </c>
      <c r="O213" t="b">
        <f t="shared" si="9"/>
        <v>1</v>
      </c>
    </row>
    <row r="214" spans="1:15">
      <c r="A214" s="26">
        <v>42689</v>
      </c>
      <c r="B214" s="23">
        <v>562.91999999999996</v>
      </c>
      <c r="C214" s="25">
        <f t="shared" si="10"/>
        <v>-3.8877221738462489E-2</v>
      </c>
      <c r="K214" s="28">
        <v>42689</v>
      </c>
      <c r="L214" s="23">
        <v>9997.98</v>
      </c>
      <c r="M214" s="25">
        <f t="shared" si="11"/>
        <v>-3.0359132544774112E-2</v>
      </c>
      <c r="O214" t="b">
        <f t="shared" si="9"/>
        <v>1</v>
      </c>
    </row>
    <row r="215" spans="1:15">
      <c r="A215" s="27">
        <v>42690</v>
      </c>
      <c r="B215" s="24">
        <v>564.69000000000005</v>
      </c>
      <c r="C215" s="25">
        <f t="shared" si="10"/>
        <v>3.144318908548454E-3</v>
      </c>
      <c r="K215" s="29">
        <v>42690</v>
      </c>
      <c r="L215" s="24">
        <v>10015.14</v>
      </c>
      <c r="M215" s="25">
        <f t="shared" si="11"/>
        <v>1.7134059034621439E-3</v>
      </c>
      <c r="O215" t="b">
        <f t="shared" si="9"/>
        <v>1</v>
      </c>
    </row>
    <row r="216" spans="1:15">
      <c r="A216" s="26">
        <v>42691</v>
      </c>
      <c r="B216" s="23">
        <v>564.21</v>
      </c>
      <c r="C216" s="25">
        <f t="shared" si="10"/>
        <v>-8.5002390692241433E-4</v>
      </c>
      <c r="K216" s="28">
        <v>42691</v>
      </c>
      <c r="L216" s="23">
        <v>9979.7000000000007</v>
      </c>
      <c r="M216" s="25">
        <f t="shared" si="11"/>
        <v>-3.5512089541768479E-3</v>
      </c>
      <c r="O216" t="b">
        <f t="shared" si="9"/>
        <v>1</v>
      </c>
    </row>
    <row r="217" spans="1:15">
      <c r="A217" s="27">
        <v>42692</v>
      </c>
      <c r="B217" s="24">
        <v>562.92999999999995</v>
      </c>
      <c r="C217" s="25">
        <f t="shared" si="10"/>
        <v>-2.2686588327042881E-3</v>
      </c>
      <c r="K217" s="29">
        <v>42692</v>
      </c>
      <c r="L217" s="24">
        <v>9987.01</v>
      </c>
      <c r="M217" s="25">
        <f t="shared" si="11"/>
        <v>7.3195080409446775E-4</v>
      </c>
      <c r="O217" t="b">
        <f t="shared" si="9"/>
        <v>1</v>
      </c>
    </row>
    <row r="218" spans="1:15">
      <c r="A218" s="26">
        <v>42695</v>
      </c>
      <c r="B218" s="23">
        <v>549.78</v>
      </c>
      <c r="C218" s="25">
        <f t="shared" si="10"/>
        <v>-2.3359920416392763E-2</v>
      </c>
      <c r="K218" s="28">
        <v>42695</v>
      </c>
      <c r="L218" s="23">
        <v>9774.6</v>
      </c>
      <c r="M218" s="25">
        <f t="shared" si="11"/>
        <v>-2.1730812514067055E-2</v>
      </c>
      <c r="O218" t="b">
        <f t="shared" si="9"/>
        <v>1</v>
      </c>
    </row>
    <row r="219" spans="1:15">
      <c r="A219" s="27">
        <v>42696</v>
      </c>
      <c r="B219" s="24">
        <v>557.82000000000005</v>
      </c>
      <c r="C219" s="25">
        <f t="shared" si="10"/>
        <v>1.4624031430754261E-2</v>
      </c>
      <c r="K219" s="29">
        <v>42696</v>
      </c>
      <c r="L219" s="24">
        <v>9881.2900000000009</v>
      </c>
      <c r="M219" s="25">
        <f t="shared" si="11"/>
        <v>1.0797173243574524E-2</v>
      </c>
      <c r="O219" t="b">
        <f t="shared" si="9"/>
        <v>1</v>
      </c>
    </row>
    <row r="220" spans="1:15">
      <c r="A220" s="26">
        <v>42697</v>
      </c>
      <c r="B220" s="23">
        <v>563.28</v>
      </c>
      <c r="C220" s="25">
        <f t="shared" si="10"/>
        <v>9.78810368936202E-3</v>
      </c>
      <c r="K220" s="28">
        <v>42697</v>
      </c>
      <c r="L220" s="23">
        <v>9949.77</v>
      </c>
      <c r="M220" s="25">
        <f t="shared" si="11"/>
        <v>6.8825711549110741E-3</v>
      </c>
      <c r="O220" t="b">
        <f t="shared" si="9"/>
        <v>1</v>
      </c>
    </row>
    <row r="221" spans="1:15">
      <c r="A221" s="27">
        <v>42698</v>
      </c>
      <c r="B221" s="24">
        <v>559.34</v>
      </c>
      <c r="C221" s="25">
        <f t="shared" si="10"/>
        <v>-6.9947450646213978E-3</v>
      </c>
      <c r="K221" s="29">
        <v>42698</v>
      </c>
      <c r="L221" s="24">
        <v>9884.6</v>
      </c>
      <c r="M221" s="25">
        <f t="shared" si="11"/>
        <v>-6.5930841915707332E-3</v>
      </c>
      <c r="O221" t="b">
        <f t="shared" si="9"/>
        <v>1</v>
      </c>
    </row>
    <row r="222" spans="1:15">
      <c r="A222" s="26">
        <v>42699</v>
      </c>
      <c r="B222" s="23">
        <v>569.98</v>
      </c>
      <c r="C222" s="25">
        <f t="shared" si="10"/>
        <v>1.9022419279865529E-2</v>
      </c>
      <c r="K222" s="28">
        <v>42699</v>
      </c>
      <c r="L222" s="23">
        <v>10062.81</v>
      </c>
      <c r="M222" s="25">
        <f t="shared" si="11"/>
        <v>1.7709764966246915E-2</v>
      </c>
      <c r="O222" t="b">
        <f t="shared" si="9"/>
        <v>1</v>
      </c>
    </row>
    <row r="223" spans="1:15">
      <c r="A223" s="27">
        <v>42702</v>
      </c>
      <c r="B223" s="24">
        <v>572.62</v>
      </c>
      <c r="C223" s="25">
        <f t="shared" si="10"/>
        <v>4.6317414646127692E-3</v>
      </c>
      <c r="K223" s="29">
        <v>42702</v>
      </c>
      <c r="L223" s="24">
        <v>10095.549999999999</v>
      </c>
      <c r="M223" s="25">
        <f t="shared" si="11"/>
        <v>3.2430130106829032E-3</v>
      </c>
      <c r="O223" t="b">
        <f t="shared" si="9"/>
        <v>1</v>
      </c>
    </row>
    <row r="224" spans="1:15">
      <c r="A224" s="26">
        <v>42703</v>
      </c>
      <c r="B224" s="23">
        <v>574.16999999999996</v>
      </c>
      <c r="C224" s="25">
        <f t="shared" si="10"/>
        <v>2.7068562048128855E-3</v>
      </c>
      <c r="K224" s="28">
        <v>42703</v>
      </c>
      <c r="L224" s="23">
        <v>10124.81</v>
      </c>
      <c r="M224" s="25">
        <f t="shared" si="11"/>
        <v>2.8899307740096079E-3</v>
      </c>
      <c r="O224" t="b">
        <f t="shared" si="9"/>
        <v>1</v>
      </c>
    </row>
    <row r="225" spans="1:15">
      <c r="A225" s="27">
        <v>42704</v>
      </c>
      <c r="B225" s="24">
        <v>580.04999999999995</v>
      </c>
      <c r="C225" s="25">
        <f t="shared" si="10"/>
        <v>1.0240869428914775E-2</v>
      </c>
      <c r="K225" s="29">
        <v>42704</v>
      </c>
      <c r="L225" s="24">
        <v>10234.36</v>
      </c>
      <c r="M225" s="25">
        <f t="shared" si="11"/>
        <v>1.0704137825912034E-2</v>
      </c>
      <c r="O225" t="b">
        <f t="shared" si="9"/>
        <v>1</v>
      </c>
    </row>
    <row r="226" spans="1:15">
      <c r="A226" s="26">
        <v>42705</v>
      </c>
      <c r="B226" s="23">
        <v>577.16</v>
      </c>
      <c r="C226" s="25">
        <f t="shared" si="10"/>
        <v>-4.9823291095594975E-3</v>
      </c>
      <c r="K226" s="28">
        <v>42705</v>
      </c>
      <c r="L226" s="23">
        <v>10177.83</v>
      </c>
      <c r="M226" s="25">
        <f t="shared" si="11"/>
        <v>-5.5542291431474738E-3</v>
      </c>
      <c r="O226" t="b">
        <f t="shared" si="9"/>
        <v>1</v>
      </c>
    </row>
    <row r="227" spans="1:15">
      <c r="A227" s="27">
        <v>42706</v>
      </c>
      <c r="B227" s="24">
        <v>567.85</v>
      </c>
      <c r="C227" s="25">
        <f t="shared" si="10"/>
        <v>-1.6130708988841821E-2</v>
      </c>
      <c r="K227" s="29">
        <v>42706</v>
      </c>
      <c r="L227" s="24">
        <v>10043.450000000001</v>
      </c>
      <c r="M227" s="25">
        <f t="shared" si="11"/>
        <v>-1.3379864488796099E-2</v>
      </c>
      <c r="O227" t="b">
        <f t="shared" si="9"/>
        <v>1</v>
      </c>
    </row>
    <row r="228" spans="1:15">
      <c r="A228" s="26">
        <v>42709</v>
      </c>
      <c r="B228" s="23">
        <v>572.04</v>
      </c>
      <c r="C228" s="25">
        <f t="shared" si="10"/>
        <v>7.3787091661529289E-3</v>
      </c>
      <c r="K228" s="28">
        <v>42709</v>
      </c>
      <c r="L228" s="23">
        <v>10096.81</v>
      </c>
      <c r="M228" s="25">
        <f t="shared" si="11"/>
        <v>5.2848374882758778E-3</v>
      </c>
      <c r="O228" t="b">
        <f t="shared" si="9"/>
        <v>1</v>
      </c>
    </row>
    <row r="229" spans="1:15">
      <c r="A229" s="27">
        <v>42710</v>
      </c>
      <c r="B229" s="24">
        <v>572.79</v>
      </c>
      <c r="C229" s="25">
        <f t="shared" si="10"/>
        <v>1.3110971260750998E-3</v>
      </c>
      <c r="K229" s="29">
        <v>42710</v>
      </c>
      <c r="L229" s="24">
        <v>10121.91</v>
      </c>
      <c r="M229" s="25">
        <f t="shared" si="11"/>
        <v>2.4797691344815714E-3</v>
      </c>
      <c r="O229" t="b">
        <f t="shared" si="9"/>
        <v>1</v>
      </c>
    </row>
    <row r="230" spans="1:15">
      <c r="A230" s="26">
        <v>42711</v>
      </c>
      <c r="B230" s="23">
        <v>569.54999999999995</v>
      </c>
      <c r="C230" s="25">
        <f t="shared" si="10"/>
        <v>-5.6565233331587654E-3</v>
      </c>
      <c r="K230" s="28">
        <v>42711</v>
      </c>
      <c r="L230" s="23">
        <v>10077.98</v>
      </c>
      <c r="M230" s="25">
        <f t="shared" si="11"/>
        <v>-4.3590084520906264E-3</v>
      </c>
      <c r="O230" t="b">
        <f t="shared" si="9"/>
        <v>1</v>
      </c>
    </row>
    <row r="231" spans="1:15">
      <c r="A231" s="27">
        <v>42712</v>
      </c>
      <c r="B231" s="24">
        <v>579.03</v>
      </c>
      <c r="C231" s="25">
        <f t="shared" si="10"/>
        <v>1.6644719515406935E-2</v>
      </c>
      <c r="K231" s="29">
        <v>42712</v>
      </c>
      <c r="L231" s="24">
        <v>10248.68</v>
      </c>
      <c r="M231" s="25">
        <f t="shared" si="11"/>
        <v>1.6655803479082253E-2</v>
      </c>
      <c r="O231" t="b">
        <f t="shared" si="9"/>
        <v>1</v>
      </c>
    </row>
    <row r="232" spans="1:15">
      <c r="A232" s="26">
        <v>42713</v>
      </c>
      <c r="B232" s="23">
        <v>580.63</v>
      </c>
      <c r="C232" s="25">
        <f t="shared" si="10"/>
        <v>2.763241973645619E-3</v>
      </c>
      <c r="K232" s="28">
        <v>42713</v>
      </c>
      <c r="L232" s="23">
        <v>10265.870000000001</v>
      </c>
      <c r="M232" s="25">
        <f t="shared" si="11"/>
        <v>1.674480584694771E-3</v>
      </c>
      <c r="O232" t="b">
        <f t="shared" si="9"/>
        <v>1</v>
      </c>
    </row>
    <row r="233" spans="1:15">
      <c r="A233" s="27">
        <v>42716</v>
      </c>
      <c r="B233" s="24">
        <v>572.37</v>
      </c>
      <c r="C233" s="25">
        <f t="shared" si="10"/>
        <v>-1.4225927010316365E-2</v>
      </c>
      <c r="K233" s="29">
        <v>42716</v>
      </c>
      <c r="L233" s="24">
        <v>10153.18</v>
      </c>
      <c r="M233" s="25">
        <f t="shared" si="11"/>
        <v>-1.109898573648852E-2</v>
      </c>
      <c r="O233" t="b">
        <f t="shared" si="9"/>
        <v>1</v>
      </c>
    </row>
    <row r="234" spans="1:15">
      <c r="A234" s="26">
        <v>42717</v>
      </c>
      <c r="B234" s="23">
        <v>571.92999999999995</v>
      </c>
      <c r="C234" s="25">
        <f t="shared" si="10"/>
        <v>-7.6873351153983356E-4</v>
      </c>
      <c r="K234" s="28">
        <v>42717</v>
      </c>
      <c r="L234" s="23">
        <v>10185.200000000001</v>
      </c>
      <c r="M234" s="25">
        <f t="shared" si="11"/>
        <v>3.1437772454149583E-3</v>
      </c>
      <c r="O234" t="b">
        <f t="shared" si="9"/>
        <v>1</v>
      </c>
    </row>
    <row r="235" spans="1:15">
      <c r="A235" s="27">
        <v>42718</v>
      </c>
      <c r="B235" s="24">
        <v>568.33000000000004</v>
      </c>
      <c r="C235" s="25">
        <f t="shared" si="10"/>
        <v>-6.2944765967861615E-3</v>
      </c>
      <c r="K235" s="29">
        <v>42718</v>
      </c>
      <c r="L235" s="24">
        <v>10126.370000000001</v>
      </c>
      <c r="M235" s="25">
        <f t="shared" si="11"/>
        <v>-5.8095842834105333E-3</v>
      </c>
      <c r="O235" t="b">
        <f t="shared" si="9"/>
        <v>1</v>
      </c>
    </row>
    <row r="236" spans="1:15">
      <c r="A236" s="26">
        <v>42719</v>
      </c>
      <c r="B236" s="23">
        <v>568.24</v>
      </c>
      <c r="C236" s="25">
        <f t="shared" si="10"/>
        <v>-1.5835870005108269E-4</v>
      </c>
      <c r="K236" s="28">
        <v>42719</v>
      </c>
      <c r="L236" s="23">
        <v>10104.18</v>
      </c>
      <c r="M236" s="25">
        <f t="shared" si="11"/>
        <v>-2.1961208133663996E-3</v>
      </c>
      <c r="O236" t="b">
        <f t="shared" si="9"/>
        <v>1</v>
      </c>
    </row>
    <row r="237" spans="1:15">
      <c r="A237" s="27">
        <v>42720</v>
      </c>
      <c r="B237" s="24">
        <v>566.9</v>
      </c>
      <c r="C237" s="25">
        <f t="shared" si="10"/>
        <v>-2.3581585245671401E-3</v>
      </c>
      <c r="K237" s="29">
        <v>42720</v>
      </c>
      <c r="L237" s="24">
        <v>10085.73</v>
      </c>
      <c r="M237" s="25">
        <f t="shared" si="11"/>
        <v>-1.8293172631034867E-3</v>
      </c>
      <c r="O237" t="b">
        <f t="shared" si="9"/>
        <v>1</v>
      </c>
    </row>
    <row r="238" spans="1:15">
      <c r="A238" s="26">
        <v>42723</v>
      </c>
      <c r="B238" s="23">
        <v>564.55999999999995</v>
      </c>
      <c r="C238" s="25">
        <f t="shared" si="10"/>
        <v>-4.1277121185394816E-3</v>
      </c>
      <c r="K238" s="28">
        <v>42723</v>
      </c>
      <c r="L238" s="23">
        <v>10037.84</v>
      </c>
      <c r="M238" s="25">
        <f t="shared" si="11"/>
        <v>-4.7709467375450709E-3</v>
      </c>
      <c r="O238" t="b">
        <f t="shared" si="9"/>
        <v>1</v>
      </c>
    </row>
    <row r="239" spans="1:15">
      <c r="A239" s="27">
        <v>42724</v>
      </c>
      <c r="B239" s="24">
        <v>561.39</v>
      </c>
      <c r="C239" s="25">
        <f t="shared" si="10"/>
        <v>-5.6149922063198944E-3</v>
      </c>
      <c r="K239" s="29">
        <v>42724</v>
      </c>
      <c r="L239" s="24">
        <v>9986.85</v>
      </c>
      <c r="M239" s="25">
        <f t="shared" si="11"/>
        <v>-5.1057140139282933E-3</v>
      </c>
      <c r="O239" t="b">
        <f t="shared" si="9"/>
        <v>1</v>
      </c>
    </row>
    <row r="240" spans="1:15">
      <c r="A240" s="26">
        <v>42725</v>
      </c>
      <c r="B240" s="23">
        <v>560.84</v>
      </c>
      <c r="C240" s="25">
        <f t="shared" si="10"/>
        <v>-9.7971107429764429E-4</v>
      </c>
      <c r="K240" s="28">
        <v>42725</v>
      </c>
      <c r="L240" s="23">
        <v>9969.41</v>
      </c>
      <c r="M240" s="25">
        <f t="shared" si="11"/>
        <v>-1.7493512655212806E-3</v>
      </c>
      <c r="O240" t="b">
        <f t="shared" si="9"/>
        <v>1</v>
      </c>
    </row>
    <row r="241" spans="1:24">
      <c r="A241" s="27">
        <v>42726</v>
      </c>
      <c r="B241" s="24">
        <v>554.98</v>
      </c>
      <c r="C241" s="25">
        <f t="shared" si="10"/>
        <v>-1.0448612795093098E-2</v>
      </c>
      <c r="K241" s="29">
        <v>42726</v>
      </c>
      <c r="L241" s="24">
        <v>9854.23</v>
      </c>
      <c r="M241" s="25">
        <f t="shared" si="11"/>
        <v>-1.1688381537674713E-2</v>
      </c>
      <c r="O241" t="b">
        <f t="shared" si="9"/>
        <v>1</v>
      </c>
    </row>
    <row r="242" spans="1:24">
      <c r="A242" s="26">
        <v>42727</v>
      </c>
      <c r="B242" s="23">
        <v>554.70000000000005</v>
      </c>
      <c r="C242" s="25">
        <f t="shared" si="10"/>
        <v>-5.0452268550213106E-4</v>
      </c>
      <c r="K242" s="28">
        <v>42727</v>
      </c>
      <c r="L242" s="23">
        <v>9852.15</v>
      </c>
      <c r="M242" s="25">
        <f t="shared" si="11"/>
        <v>-2.1112143034768323E-4</v>
      </c>
      <c r="O242" t="b">
        <f t="shared" si="9"/>
        <v>1</v>
      </c>
    </row>
    <row r="243" spans="1:24">
      <c r="A243" s="27">
        <v>42730</v>
      </c>
      <c r="B243" s="24">
        <v>546.70000000000005</v>
      </c>
      <c r="C243" s="25">
        <f t="shared" si="10"/>
        <v>-1.4422210203713717E-2</v>
      </c>
      <c r="K243" s="29">
        <v>42730</v>
      </c>
      <c r="L243" s="24">
        <v>9721.39</v>
      </c>
      <c r="M243" s="25">
        <f t="shared" si="11"/>
        <v>-1.345075138431852E-2</v>
      </c>
      <c r="O243" t="b">
        <f t="shared" si="9"/>
        <v>1</v>
      </c>
    </row>
    <row r="244" spans="1:24">
      <c r="A244" s="26">
        <v>42731</v>
      </c>
      <c r="B244" s="23">
        <v>555.55999999999995</v>
      </c>
      <c r="C244" s="25">
        <f t="shared" si="10"/>
        <v>1.6206328882385036E-2</v>
      </c>
      <c r="K244" s="28">
        <v>42731</v>
      </c>
      <c r="L244" s="23">
        <v>9876.89</v>
      </c>
      <c r="M244" s="25">
        <f t="shared" si="11"/>
        <v>1.5743822195043177E-2</v>
      </c>
      <c r="O244" t="b">
        <f t="shared" si="9"/>
        <v>1</v>
      </c>
    </row>
    <row r="245" spans="1:24">
      <c r="A245" s="27">
        <v>42732</v>
      </c>
      <c r="B245" s="24">
        <v>557.14</v>
      </c>
      <c r="C245" s="25">
        <f t="shared" si="10"/>
        <v>2.8439772481820883E-3</v>
      </c>
      <c r="K245" s="29">
        <v>42732</v>
      </c>
      <c r="L245" s="24">
        <v>9899.09</v>
      </c>
      <c r="M245" s="25">
        <f t="shared" si="11"/>
        <v>2.2426303831969128E-3</v>
      </c>
      <c r="O245" t="b">
        <f t="shared" si="9"/>
        <v>1</v>
      </c>
    </row>
    <row r="246" spans="1:24">
      <c r="A246" s="26">
        <v>42733</v>
      </c>
      <c r="B246" s="23">
        <v>563.23</v>
      </c>
      <c r="C246" s="25">
        <f t="shared" si="10"/>
        <v>1.0930825286283577E-2</v>
      </c>
      <c r="K246" s="28">
        <v>42733</v>
      </c>
      <c r="L246" s="23">
        <v>9997.4699999999993</v>
      </c>
      <c r="M246" s="25">
        <f t="shared" si="11"/>
        <v>9.8404896438798219E-3</v>
      </c>
      <c r="O246" t="b">
        <f t="shared" si="9"/>
        <v>1</v>
      </c>
      <c r="Q246" s="25"/>
    </row>
    <row r="247" spans="1:24">
      <c r="A247" s="27">
        <v>42734</v>
      </c>
      <c r="B247" s="24">
        <v>567.17999999999995</v>
      </c>
      <c r="C247" s="25">
        <f t="shared" si="10"/>
        <v>7.0131207499599304E-3</v>
      </c>
      <c r="E247" s="25">
        <f>(B247/B2)-1</f>
        <v>0.15959273797841012</v>
      </c>
      <c r="K247" s="29">
        <v>42734</v>
      </c>
      <c r="L247" s="24">
        <v>10094.85</v>
      </c>
      <c r="M247" s="25">
        <f t="shared" si="11"/>
        <v>9.6465029198057432E-3</v>
      </c>
      <c r="O247" t="b">
        <f t="shared" si="9"/>
        <v>1</v>
      </c>
      <c r="Q247" s="25">
        <f>(L247/L2)-1</f>
        <v>4.6750359550352227E-2</v>
      </c>
      <c r="X247">
        <f>IF(E247&gt;Q247,1,0)</f>
        <v>1</v>
      </c>
    </row>
    <row r="248" spans="1:24">
      <c r="A248" s="26">
        <v>42737</v>
      </c>
      <c r="B248" s="23">
        <v>570.53</v>
      </c>
      <c r="C248" s="25">
        <f t="shared" si="10"/>
        <v>5.9064141894989647E-3</v>
      </c>
      <c r="E248" s="25">
        <f t="shared" ref="E248:E311" si="12">(B248/B3)-1</f>
        <v>0.18514748649771495</v>
      </c>
      <c r="K248" s="28">
        <v>42737</v>
      </c>
      <c r="L248" s="23">
        <v>10123.35</v>
      </c>
      <c r="M248" s="25">
        <f t="shared" si="11"/>
        <v>2.8152736001422454E-3</v>
      </c>
      <c r="O248" t="b">
        <f t="shared" si="9"/>
        <v>1</v>
      </c>
      <c r="Q248" s="25">
        <f t="shared" ref="Q248:Q311" si="13">(L248/L3)-1</f>
        <v>6.9151868601205368E-2</v>
      </c>
      <c r="X248">
        <f t="shared" ref="X248:X311" si="14">IF(E248&gt;Q248,1,0)</f>
        <v>1</v>
      </c>
    </row>
    <row r="249" spans="1:24">
      <c r="A249" s="27">
        <v>42738</v>
      </c>
      <c r="B249" s="24">
        <v>573.71</v>
      </c>
      <c r="C249" s="25">
        <f t="shared" si="10"/>
        <v>5.5737647450617217E-3</v>
      </c>
      <c r="E249" s="25">
        <f t="shared" si="12"/>
        <v>0.18856823219871965</v>
      </c>
      <c r="K249" s="29">
        <v>42738</v>
      </c>
      <c r="L249" s="24">
        <v>10161.31</v>
      </c>
      <c r="M249" s="25">
        <f t="shared" si="11"/>
        <v>3.7357387974581162E-3</v>
      </c>
      <c r="O249" t="b">
        <f t="shared" si="9"/>
        <v>1</v>
      </c>
      <c r="Q249" s="25">
        <f t="shared" si="13"/>
        <v>7.1751697864050445E-2</v>
      </c>
      <c r="X249">
        <f t="shared" si="14"/>
        <v>1</v>
      </c>
    </row>
    <row r="250" spans="1:24">
      <c r="A250" s="26">
        <v>42739</v>
      </c>
      <c r="B250" s="23">
        <v>573.66999999999996</v>
      </c>
      <c r="C250" s="25">
        <f t="shared" si="10"/>
        <v>-6.9721636366940268E-5</v>
      </c>
      <c r="E250" s="25">
        <f t="shared" si="12"/>
        <v>0.19179391295315251</v>
      </c>
      <c r="K250" s="28">
        <v>42739</v>
      </c>
      <c r="L250" s="23">
        <v>10164.19</v>
      </c>
      <c r="M250" s="25">
        <f t="shared" si="11"/>
        <v>2.8334771388581075E-4</v>
      </c>
      <c r="O250" t="b">
        <f t="shared" si="9"/>
        <v>1</v>
      </c>
      <c r="Q250" s="25">
        <f t="shared" si="13"/>
        <v>7.7226268398562059E-2</v>
      </c>
      <c r="X250">
        <f t="shared" si="14"/>
        <v>1</v>
      </c>
    </row>
    <row r="251" spans="1:24">
      <c r="A251" s="27">
        <v>42740</v>
      </c>
      <c r="B251" s="24">
        <v>580.33000000000004</v>
      </c>
      <c r="C251" s="25">
        <f t="shared" si="10"/>
        <v>1.1609461885753276E-2</v>
      </c>
      <c r="E251" s="25">
        <f t="shared" si="12"/>
        <v>0.2372454962157553</v>
      </c>
      <c r="K251" s="29">
        <v>42740</v>
      </c>
      <c r="L251" s="24">
        <v>10274.280000000001</v>
      </c>
      <c r="M251" s="25">
        <f t="shared" si="11"/>
        <v>1.0715106070693045E-2</v>
      </c>
      <c r="O251" t="b">
        <f t="shared" si="9"/>
        <v>1</v>
      </c>
      <c r="Q251" s="25">
        <f t="shared" si="13"/>
        <v>0.11605383504057198</v>
      </c>
      <c r="X251">
        <f t="shared" si="14"/>
        <v>1</v>
      </c>
    </row>
    <row r="252" spans="1:24">
      <c r="A252" s="26">
        <v>42741</v>
      </c>
      <c r="B252" s="23">
        <v>579.66999999999996</v>
      </c>
      <c r="C252" s="25">
        <f t="shared" si="10"/>
        <v>-1.1372839591268448E-3</v>
      </c>
      <c r="E252" s="25">
        <f t="shared" si="12"/>
        <v>0.22419801060167677</v>
      </c>
      <c r="K252" s="28">
        <v>42741</v>
      </c>
      <c r="L252" s="23">
        <v>10239.870000000001</v>
      </c>
      <c r="M252" s="25">
        <f t="shared" si="11"/>
        <v>-3.3603942237547791E-3</v>
      </c>
      <c r="O252" t="b">
        <f t="shared" si="9"/>
        <v>1</v>
      </c>
      <c r="Q252" s="25">
        <f t="shared" si="13"/>
        <v>0.10477714290646412</v>
      </c>
      <c r="X252">
        <f t="shared" si="14"/>
        <v>1</v>
      </c>
    </row>
    <row r="253" spans="1:24">
      <c r="A253" s="27">
        <v>42744</v>
      </c>
      <c r="B253" s="24">
        <v>581.12</v>
      </c>
      <c r="C253" s="25">
        <f t="shared" si="10"/>
        <v>2.5014232235583099E-3</v>
      </c>
      <c r="E253" s="25">
        <f t="shared" si="12"/>
        <v>0.23440321175945789</v>
      </c>
      <c r="K253" s="29">
        <v>42744</v>
      </c>
      <c r="L253" s="24">
        <v>10242.799999999999</v>
      </c>
      <c r="M253" s="25">
        <f t="shared" si="11"/>
        <v>2.8605459444668182E-4</v>
      </c>
      <c r="O253" t="b">
        <f t="shared" si="9"/>
        <v>1</v>
      </c>
      <c r="Q253" s="25">
        <f t="shared" si="13"/>
        <v>0.11176597645306829</v>
      </c>
      <c r="X253">
        <f t="shared" si="14"/>
        <v>1</v>
      </c>
    </row>
    <row r="254" spans="1:24">
      <c r="A254" s="26">
        <v>42745</v>
      </c>
      <c r="B254" s="23">
        <v>583.84</v>
      </c>
      <c r="C254" s="25">
        <f t="shared" si="10"/>
        <v>4.6806167400881525E-3</v>
      </c>
      <c r="E254" s="25">
        <f t="shared" si="12"/>
        <v>0.25150586268247199</v>
      </c>
      <c r="K254" s="28">
        <v>42745</v>
      </c>
      <c r="L254" s="23">
        <v>10310.82</v>
      </c>
      <c r="M254" s="25">
        <f t="shared" si="11"/>
        <v>6.5969534915749127E-3</v>
      </c>
      <c r="O254" t="b">
        <f t="shared" si="9"/>
        <v>1</v>
      </c>
      <c r="Q254" s="25">
        <f t="shared" si="13"/>
        <v>0.12726350394729491</v>
      </c>
      <c r="X254">
        <f t="shared" si="14"/>
        <v>1</v>
      </c>
    </row>
    <row r="255" spans="1:24">
      <c r="A255" s="27">
        <v>42746</v>
      </c>
      <c r="B255" s="24">
        <v>592.17999999999995</v>
      </c>
      <c r="C255" s="25">
        <f t="shared" si="10"/>
        <v>1.4284735543984512E-2</v>
      </c>
      <c r="E255" s="25">
        <f t="shared" si="12"/>
        <v>0.27079980257087044</v>
      </c>
      <c r="K255" s="29">
        <v>42746</v>
      </c>
      <c r="L255" s="24">
        <v>10429.31</v>
      </c>
      <c r="M255" s="25">
        <f t="shared" si="11"/>
        <v>1.136125016899486E-2</v>
      </c>
      <c r="O255" t="b">
        <f t="shared" si="9"/>
        <v>1</v>
      </c>
      <c r="Q255" s="25">
        <f t="shared" si="13"/>
        <v>0.13834851049849406</v>
      </c>
      <c r="X255">
        <f t="shared" si="14"/>
        <v>1</v>
      </c>
    </row>
    <row r="256" spans="1:24">
      <c r="A256" s="26">
        <v>42747</v>
      </c>
      <c r="B256" s="23">
        <v>593.59</v>
      </c>
      <c r="C256" s="25">
        <f t="shared" si="10"/>
        <v>2.3810327940830185E-3</v>
      </c>
      <c r="E256" s="25">
        <f t="shared" si="12"/>
        <v>0.28329910279969739</v>
      </c>
      <c r="K256" s="28">
        <v>42747</v>
      </c>
      <c r="L256" s="23">
        <v>10454.93</v>
      </c>
      <c r="M256" s="25">
        <f t="shared" si="11"/>
        <v>2.4505185591869863E-3</v>
      </c>
      <c r="O256" t="b">
        <f t="shared" si="9"/>
        <v>1</v>
      </c>
      <c r="Q256" s="25">
        <f t="shared" si="13"/>
        <v>0.14790192207609687</v>
      </c>
      <c r="X256">
        <f t="shared" si="14"/>
        <v>1</v>
      </c>
    </row>
    <row r="257" spans="1:24">
      <c r="A257" s="27">
        <v>42748</v>
      </c>
      <c r="B257" s="24">
        <v>592.61</v>
      </c>
      <c r="C257" s="25">
        <f t="shared" si="10"/>
        <v>-1.6509712090837416E-3</v>
      </c>
      <c r="E257" s="25">
        <f t="shared" si="12"/>
        <v>0.30341353978797336</v>
      </c>
      <c r="K257" s="29">
        <v>42748</v>
      </c>
      <c r="L257" s="24">
        <v>10449.780000000001</v>
      </c>
      <c r="M257" s="25">
        <f t="shared" si="11"/>
        <v>-4.9283334194591996E-4</v>
      </c>
      <c r="O257" t="b">
        <f t="shared" si="9"/>
        <v>1</v>
      </c>
      <c r="Q257" s="25">
        <f t="shared" si="13"/>
        <v>0.16855111148883251</v>
      </c>
      <c r="X257">
        <f t="shared" si="14"/>
        <v>1</v>
      </c>
    </row>
    <row r="258" spans="1:24">
      <c r="A258" s="26">
        <v>42751</v>
      </c>
      <c r="B258" s="23">
        <v>595.22</v>
      </c>
      <c r="C258" s="25">
        <f t="shared" si="10"/>
        <v>4.4042456252847799E-3</v>
      </c>
      <c r="E258" s="25">
        <f t="shared" si="12"/>
        <v>0.33451414734765272</v>
      </c>
      <c r="K258" s="28">
        <v>42751</v>
      </c>
      <c r="L258" s="23">
        <v>10478.19</v>
      </c>
      <c r="M258" s="25">
        <f t="shared" si="11"/>
        <v>2.711346138980096E-3</v>
      </c>
      <c r="O258" t="b">
        <f t="shared" si="9"/>
        <v>1</v>
      </c>
      <c r="Q258" s="25">
        <f t="shared" si="13"/>
        <v>0.19330562897955894</v>
      </c>
      <c r="X258">
        <f t="shared" si="14"/>
        <v>1</v>
      </c>
    </row>
    <row r="259" spans="1:24">
      <c r="A259" s="27">
        <v>42752</v>
      </c>
      <c r="B259" s="24">
        <v>594.48</v>
      </c>
      <c r="C259" s="25">
        <f t="shared" si="10"/>
        <v>-1.2432377944289659E-3</v>
      </c>
      <c r="E259" s="25">
        <f t="shared" si="12"/>
        <v>0.31883929363741248</v>
      </c>
      <c r="K259" s="29">
        <v>42752</v>
      </c>
      <c r="L259" s="24">
        <v>10471.94</v>
      </c>
      <c r="M259" s="25">
        <f t="shared" si="11"/>
        <v>-5.9683306054083575E-4</v>
      </c>
      <c r="O259" t="b">
        <f t="shared" ref="O259:O322" si="15">K259=A259</f>
        <v>1</v>
      </c>
      <c r="Q259" s="25">
        <f t="shared" si="13"/>
        <v>0.17799238440208565</v>
      </c>
      <c r="X259">
        <f t="shared" si="14"/>
        <v>1</v>
      </c>
    </row>
    <row r="260" spans="1:24">
      <c r="A260" s="26">
        <v>42753</v>
      </c>
      <c r="B260" s="23">
        <v>598.62</v>
      </c>
      <c r="C260" s="25">
        <f t="shared" ref="C260:C323" si="16">(B260-B259)/B259</f>
        <v>6.9640694388372797E-3</v>
      </c>
      <c r="E260" s="25">
        <f t="shared" si="12"/>
        <v>0.35165281791907521</v>
      </c>
      <c r="K260" s="28">
        <v>42753</v>
      </c>
      <c r="L260" s="23">
        <v>10508.63</v>
      </c>
      <c r="M260" s="25">
        <f t="shared" ref="M260:M323" si="17">(L260-L259)/L260</f>
        <v>3.4914161027649365E-3</v>
      </c>
      <c r="O260" t="b">
        <f t="shared" si="15"/>
        <v>1</v>
      </c>
      <c r="Q260" s="25">
        <f t="shared" si="13"/>
        <v>0.20327043679487566</v>
      </c>
      <c r="X260">
        <f t="shared" si="14"/>
        <v>1</v>
      </c>
    </row>
    <row r="261" spans="1:24">
      <c r="A261" s="27">
        <v>42754</v>
      </c>
      <c r="B261" s="24">
        <v>599.92999999999995</v>
      </c>
      <c r="C261" s="25">
        <f t="shared" si="16"/>
        <v>2.1883665764590981E-3</v>
      </c>
      <c r="E261" s="25">
        <f t="shared" si="12"/>
        <v>0.3562644119907763</v>
      </c>
      <c r="K261" s="29">
        <v>42754</v>
      </c>
      <c r="L261" s="24">
        <v>10536.59</v>
      </c>
      <c r="M261" s="25">
        <f t="shared" si="17"/>
        <v>2.6536099440142348E-3</v>
      </c>
      <c r="O261" t="b">
        <f t="shared" si="15"/>
        <v>1</v>
      </c>
      <c r="Q261" s="25">
        <f t="shared" si="13"/>
        <v>0.21107863409565564</v>
      </c>
      <c r="X261">
        <f t="shared" si="14"/>
        <v>1</v>
      </c>
    </row>
    <row r="262" spans="1:24">
      <c r="A262" s="26">
        <v>42755</v>
      </c>
      <c r="B262" s="23">
        <v>593.54999999999995</v>
      </c>
      <c r="C262" s="25">
        <f t="shared" si="16"/>
        <v>-1.0634574033637252E-2</v>
      </c>
      <c r="E262" s="25">
        <f t="shared" si="12"/>
        <v>0.31168371969680231</v>
      </c>
      <c r="K262" s="28">
        <v>42755</v>
      </c>
      <c r="L262" s="23">
        <v>10413.709999999999</v>
      </c>
      <c r="M262" s="25">
        <f t="shared" si="17"/>
        <v>-1.1799829263538262E-2</v>
      </c>
      <c r="O262" t="b">
        <f t="shared" si="15"/>
        <v>1</v>
      </c>
      <c r="Q262" s="25">
        <f t="shared" si="13"/>
        <v>0.1729594566435575</v>
      </c>
      <c r="X262">
        <f t="shared" si="14"/>
        <v>1</v>
      </c>
    </row>
    <row r="263" spans="1:24">
      <c r="A263" s="27">
        <v>42758</v>
      </c>
      <c r="B263" s="24">
        <v>597.65</v>
      </c>
      <c r="C263" s="25">
        <f t="shared" si="16"/>
        <v>6.9075899250274162E-3</v>
      </c>
      <c r="E263" s="25">
        <f t="shared" si="12"/>
        <v>0.31701888538751399</v>
      </c>
      <c r="K263" s="29">
        <v>42758</v>
      </c>
      <c r="L263" s="24">
        <v>10472.14</v>
      </c>
      <c r="M263" s="25">
        <f t="shared" si="17"/>
        <v>5.5795663541549573E-3</v>
      </c>
      <c r="O263" t="b">
        <f t="shared" si="15"/>
        <v>1</v>
      </c>
      <c r="Q263" s="25">
        <f t="shared" si="13"/>
        <v>0.1761084269423161</v>
      </c>
      <c r="X263">
        <f t="shared" si="14"/>
        <v>1</v>
      </c>
    </row>
    <row r="264" spans="1:24">
      <c r="A264" s="26">
        <v>42759</v>
      </c>
      <c r="B264" s="23">
        <v>603.76</v>
      </c>
      <c r="C264" s="25">
        <f t="shared" si="16"/>
        <v>1.0223374884966141E-2</v>
      </c>
      <c r="E264" s="25">
        <f t="shared" si="12"/>
        <v>0.32811262648482176</v>
      </c>
      <c r="K264" s="28">
        <v>42759</v>
      </c>
      <c r="L264" s="23">
        <v>10577.27</v>
      </c>
      <c r="M264" s="25">
        <f t="shared" si="17"/>
        <v>9.9392376293694889E-3</v>
      </c>
      <c r="O264" t="b">
        <f t="shared" si="15"/>
        <v>1</v>
      </c>
      <c r="Q264" s="25">
        <f t="shared" si="13"/>
        <v>0.18633123783780747</v>
      </c>
      <c r="X264">
        <f t="shared" si="14"/>
        <v>1</v>
      </c>
    </row>
    <row r="265" spans="1:24">
      <c r="A265" s="27">
        <v>42760</v>
      </c>
      <c r="B265" s="24">
        <v>612.39</v>
      </c>
      <c r="C265" s="25">
        <f t="shared" si="16"/>
        <v>1.4293759109579958E-2</v>
      </c>
      <c r="E265" s="25">
        <f t="shared" si="12"/>
        <v>0.34997685338271278</v>
      </c>
      <c r="K265" s="29">
        <v>42760</v>
      </c>
      <c r="L265" s="24">
        <v>10725.46</v>
      </c>
      <c r="M265" s="25">
        <f t="shared" si="17"/>
        <v>1.3816656814719247E-2</v>
      </c>
      <c r="O265" t="b">
        <f t="shared" si="15"/>
        <v>1</v>
      </c>
      <c r="Q265" s="25">
        <f t="shared" si="13"/>
        <v>0.20534487118253586</v>
      </c>
      <c r="X265">
        <f t="shared" si="14"/>
        <v>1</v>
      </c>
    </row>
    <row r="266" spans="1:24">
      <c r="A266" s="26">
        <v>42762</v>
      </c>
      <c r="B266" s="23">
        <v>614.91</v>
      </c>
      <c r="C266" s="25">
        <f t="shared" si="16"/>
        <v>4.1150247391367953E-3</v>
      </c>
      <c r="E266" s="25">
        <f t="shared" si="12"/>
        <v>0.3350195397307858</v>
      </c>
      <c r="K266" s="28">
        <v>42762</v>
      </c>
      <c r="L266" s="23">
        <v>10779.67</v>
      </c>
      <c r="M266" s="25">
        <f t="shared" si="17"/>
        <v>5.0289109035806237E-3</v>
      </c>
      <c r="O266" t="b">
        <f t="shared" si="15"/>
        <v>1</v>
      </c>
      <c r="Q266" s="25">
        <f t="shared" si="13"/>
        <v>0.19052389072467357</v>
      </c>
      <c r="X266">
        <f t="shared" si="14"/>
        <v>1</v>
      </c>
    </row>
    <row r="267" spans="1:24">
      <c r="A267" s="27">
        <v>42765</v>
      </c>
      <c r="B267" s="24">
        <v>614.1</v>
      </c>
      <c r="C267" s="25">
        <f t="shared" si="16"/>
        <v>-1.3172659413571831E-3</v>
      </c>
      <c r="E267" s="25">
        <f t="shared" si="12"/>
        <v>0.32945098718392796</v>
      </c>
      <c r="K267" s="29">
        <v>42765</v>
      </c>
      <c r="L267" s="24">
        <v>10775.29</v>
      </c>
      <c r="M267" s="25">
        <f t="shared" si="17"/>
        <v>-4.0648557950637051E-4</v>
      </c>
      <c r="O267" t="b">
        <f t="shared" si="15"/>
        <v>1</v>
      </c>
      <c r="Q267" s="25">
        <f t="shared" si="13"/>
        <v>0.18957901628051022</v>
      </c>
      <c r="X267">
        <f t="shared" si="14"/>
        <v>1</v>
      </c>
    </row>
    <row r="268" spans="1:24">
      <c r="A268" s="26">
        <v>42766</v>
      </c>
      <c r="B268" s="23">
        <v>606.97</v>
      </c>
      <c r="C268" s="25">
        <f t="shared" si="16"/>
        <v>-1.161048689138576E-2</v>
      </c>
      <c r="E268" s="25">
        <f t="shared" si="12"/>
        <v>0.33479207441778636</v>
      </c>
      <c r="K268" s="28">
        <v>42766</v>
      </c>
      <c r="L268" s="23">
        <v>10670.2</v>
      </c>
      <c r="M268" s="25">
        <f t="shared" si="17"/>
        <v>-9.8489250435793273E-3</v>
      </c>
      <c r="O268" t="b">
        <f t="shared" si="15"/>
        <v>1</v>
      </c>
      <c r="Q268" s="25">
        <f t="shared" si="13"/>
        <v>0.19473074274581403</v>
      </c>
      <c r="X268">
        <f t="shared" si="14"/>
        <v>1</v>
      </c>
    </row>
    <row r="269" spans="1:24">
      <c r="A269" s="27">
        <v>42767</v>
      </c>
      <c r="B269" s="24">
        <v>617.19000000000005</v>
      </c>
      <c r="C269" s="25">
        <f t="shared" si="16"/>
        <v>1.6837734978664559E-2</v>
      </c>
      <c r="E269" s="25">
        <f t="shared" si="12"/>
        <v>0.37339504661875011</v>
      </c>
      <c r="K269" s="29">
        <v>42767</v>
      </c>
      <c r="L269" s="24">
        <v>10868.73</v>
      </c>
      <c r="M269" s="25">
        <f t="shared" si="17"/>
        <v>1.8266163572008765E-2</v>
      </c>
      <c r="O269" t="b">
        <f t="shared" si="15"/>
        <v>1</v>
      </c>
      <c r="Q269" s="25">
        <f t="shared" si="13"/>
        <v>0.23388552472941004</v>
      </c>
      <c r="X269">
        <f t="shared" si="14"/>
        <v>1</v>
      </c>
    </row>
    <row r="270" spans="1:24">
      <c r="A270" s="26">
        <v>42768</v>
      </c>
      <c r="B270" s="23">
        <v>622.01</v>
      </c>
      <c r="C270" s="25">
        <f t="shared" si="16"/>
        <v>7.8095886193877669E-3</v>
      </c>
      <c r="E270" s="25">
        <f t="shared" si="12"/>
        <v>0.38009762591524288</v>
      </c>
      <c r="K270" s="28">
        <v>42768</v>
      </c>
      <c r="L270" s="23">
        <v>10915.2</v>
      </c>
      <c r="M270" s="25">
        <f t="shared" si="17"/>
        <v>4.2573658751100451E-3</v>
      </c>
      <c r="O270" t="b">
        <f t="shared" si="15"/>
        <v>1</v>
      </c>
      <c r="Q270" s="25">
        <f t="shared" si="13"/>
        <v>0.23513676215651058</v>
      </c>
      <c r="X270">
        <f t="shared" si="14"/>
        <v>1</v>
      </c>
    </row>
    <row r="271" spans="1:24">
      <c r="A271" s="27">
        <v>42769</v>
      </c>
      <c r="B271" s="24">
        <v>623.72</v>
      </c>
      <c r="C271" s="25">
        <f t="shared" si="16"/>
        <v>2.7491519428948672E-3</v>
      </c>
      <c r="E271" s="25">
        <f t="shared" si="12"/>
        <v>0.35845275950690425</v>
      </c>
      <c r="K271" s="29">
        <v>42769</v>
      </c>
      <c r="L271" s="24">
        <v>10948.16</v>
      </c>
      <c r="M271" s="25">
        <f t="shared" si="17"/>
        <v>3.010551544734378E-3</v>
      </c>
      <c r="O271" t="b">
        <f t="shared" si="15"/>
        <v>1</v>
      </c>
      <c r="Q271" s="25">
        <f t="shared" si="13"/>
        <v>0.22209062850572914</v>
      </c>
      <c r="X271">
        <f t="shared" si="14"/>
        <v>1</v>
      </c>
    </row>
    <row r="272" spans="1:24">
      <c r="A272" s="26">
        <v>42772</v>
      </c>
      <c r="B272" s="23">
        <v>627.17999999999995</v>
      </c>
      <c r="C272" s="25">
        <f t="shared" si="16"/>
        <v>5.5473609953182882E-3</v>
      </c>
      <c r="E272" s="25">
        <f t="shared" si="12"/>
        <v>0.37711613200711414</v>
      </c>
      <c r="K272" s="28">
        <v>42772</v>
      </c>
      <c r="L272" s="23">
        <v>11032.65</v>
      </c>
      <c r="M272" s="25">
        <f t="shared" si="17"/>
        <v>7.6581782255396285E-3</v>
      </c>
      <c r="O272" t="b">
        <f t="shared" si="15"/>
        <v>1</v>
      </c>
      <c r="Q272" s="25">
        <f t="shared" si="13"/>
        <v>0.24356247485011506</v>
      </c>
      <c r="X272">
        <f t="shared" si="14"/>
        <v>1</v>
      </c>
    </row>
    <row r="273" spans="1:24">
      <c r="A273" s="27">
        <v>42773</v>
      </c>
      <c r="B273" s="24">
        <v>625.45000000000005</v>
      </c>
      <c r="C273" s="25">
        <f t="shared" si="16"/>
        <v>-2.758378774833229E-3</v>
      </c>
      <c r="E273" s="25">
        <f t="shared" si="12"/>
        <v>0.39649898408020201</v>
      </c>
      <c r="K273" s="29">
        <v>42773</v>
      </c>
      <c r="L273" s="24">
        <v>10997.99</v>
      </c>
      <c r="M273" s="25">
        <f t="shared" si="17"/>
        <v>-3.1514849531596098E-3</v>
      </c>
      <c r="O273" t="b">
        <f t="shared" si="15"/>
        <v>1</v>
      </c>
      <c r="Q273" s="25">
        <f t="shared" si="13"/>
        <v>0.25668622123090912</v>
      </c>
      <c r="X273">
        <f t="shared" si="14"/>
        <v>1</v>
      </c>
    </row>
    <row r="274" spans="1:24">
      <c r="A274" s="26">
        <v>42774</v>
      </c>
      <c r="B274" s="23">
        <v>627.52</v>
      </c>
      <c r="C274" s="25">
        <f t="shared" si="16"/>
        <v>3.3096170757053898E-3</v>
      </c>
      <c r="E274" s="25">
        <f t="shared" si="12"/>
        <v>0.42078927706205982</v>
      </c>
      <c r="K274" s="28">
        <v>42774</v>
      </c>
      <c r="L274" s="23">
        <v>11014.74</v>
      </c>
      <c r="M274" s="25">
        <f t="shared" si="17"/>
        <v>1.520689548731972E-3</v>
      </c>
      <c r="O274" t="b">
        <f t="shared" si="15"/>
        <v>1</v>
      </c>
      <c r="Q274" s="25">
        <f t="shared" si="13"/>
        <v>0.27388106307681626</v>
      </c>
      <c r="X274">
        <f t="shared" si="14"/>
        <v>1</v>
      </c>
    </row>
    <row r="275" spans="1:24">
      <c r="A275" s="27">
        <v>42775</v>
      </c>
      <c r="B275" s="24">
        <v>627.37</v>
      </c>
      <c r="C275" s="25">
        <f t="shared" si="16"/>
        <v>-2.3903620601730186E-4</v>
      </c>
      <c r="E275" s="25">
        <f t="shared" si="12"/>
        <v>0.46691451552562668</v>
      </c>
      <c r="K275" s="29">
        <v>42775</v>
      </c>
      <c r="L275" s="24">
        <v>11031.66</v>
      </c>
      <c r="M275" s="25">
        <f t="shared" si="17"/>
        <v>1.5337673568619839E-3</v>
      </c>
      <c r="O275" t="b">
        <f t="shared" si="15"/>
        <v>1</v>
      </c>
      <c r="Q275" s="25">
        <f t="shared" si="13"/>
        <v>0.32130404943305058</v>
      </c>
      <c r="X275">
        <f t="shared" si="14"/>
        <v>1</v>
      </c>
    </row>
    <row r="276" spans="1:24">
      <c r="A276" s="26">
        <v>42776</v>
      </c>
      <c r="B276" s="23">
        <v>626.98</v>
      </c>
      <c r="C276" s="25">
        <f t="shared" si="16"/>
        <v>-6.2164273076491759E-4</v>
      </c>
      <c r="E276" s="25">
        <f t="shared" si="12"/>
        <v>0.46531737870430967</v>
      </c>
      <c r="K276" s="28">
        <v>42776</v>
      </c>
      <c r="L276" s="23">
        <v>11042.84</v>
      </c>
      <c r="M276" s="25">
        <f t="shared" si="17"/>
        <v>1.0124207178588381E-3</v>
      </c>
      <c r="O276" t="b">
        <f t="shared" si="15"/>
        <v>1</v>
      </c>
      <c r="Q276" s="25">
        <f t="shared" si="13"/>
        <v>0.32485675071264719</v>
      </c>
      <c r="X276">
        <f t="shared" si="14"/>
        <v>1</v>
      </c>
    </row>
    <row r="277" spans="1:24">
      <c r="A277" s="27">
        <v>42779</v>
      </c>
      <c r="B277" s="24">
        <v>627.04</v>
      </c>
      <c r="C277" s="25">
        <f t="shared" si="16"/>
        <v>9.5696832434759361E-5</v>
      </c>
      <c r="E277" s="25">
        <f t="shared" si="12"/>
        <v>0.42379654859218885</v>
      </c>
      <c r="K277" s="29">
        <v>42779</v>
      </c>
      <c r="L277" s="24">
        <v>11036.99</v>
      </c>
      <c r="M277" s="25">
        <f t="shared" si="17"/>
        <v>-5.3003581592448335E-4</v>
      </c>
      <c r="O277" t="b">
        <f t="shared" si="15"/>
        <v>1</v>
      </c>
      <c r="Q277" s="25">
        <f t="shared" si="13"/>
        <v>0.28757801654242354</v>
      </c>
      <c r="X277">
        <f t="shared" si="14"/>
        <v>1</v>
      </c>
    </row>
    <row r="278" spans="1:24">
      <c r="A278" s="26">
        <v>42780</v>
      </c>
      <c r="B278" s="23">
        <v>623.61</v>
      </c>
      <c r="C278" s="25">
        <f t="shared" si="16"/>
        <v>-5.4701454452665702E-3</v>
      </c>
      <c r="E278" s="25">
        <f t="shared" si="12"/>
        <v>0.44518087645709259</v>
      </c>
      <c r="K278" s="28">
        <v>42780</v>
      </c>
      <c r="L278" s="23">
        <v>11005.75</v>
      </c>
      <c r="M278" s="25">
        <f t="shared" si="17"/>
        <v>-2.8385162301524003E-3</v>
      </c>
      <c r="O278" t="b">
        <f t="shared" si="15"/>
        <v>1</v>
      </c>
      <c r="Q278" s="25">
        <f t="shared" si="13"/>
        <v>0.30782000489582129</v>
      </c>
      <c r="X278">
        <f t="shared" si="14"/>
        <v>1</v>
      </c>
    </row>
    <row r="279" spans="1:24">
      <c r="A279" s="27">
        <v>42781</v>
      </c>
      <c r="B279" s="24">
        <v>616.20000000000005</v>
      </c>
      <c r="C279" s="25">
        <f t="shared" si="16"/>
        <v>-1.1882426516572807E-2</v>
      </c>
      <c r="E279" s="25">
        <f t="shared" si="12"/>
        <v>0.41684486445471469</v>
      </c>
      <c r="K279" s="29">
        <v>42781</v>
      </c>
      <c r="L279" s="24">
        <v>10900.89</v>
      </c>
      <c r="M279" s="25">
        <f t="shared" si="17"/>
        <v>-9.6193980491501695E-3</v>
      </c>
      <c r="O279" t="b">
        <f t="shared" si="15"/>
        <v>1</v>
      </c>
      <c r="Q279" s="25">
        <f t="shared" si="13"/>
        <v>0.28623160190016361</v>
      </c>
      <c r="X279">
        <f t="shared" si="14"/>
        <v>1</v>
      </c>
    </row>
    <row r="280" spans="1:24">
      <c r="A280" s="26">
        <v>42782</v>
      </c>
      <c r="B280" s="23">
        <v>624.41999999999996</v>
      </c>
      <c r="C280" s="25">
        <f t="shared" si="16"/>
        <v>1.3339824732229654E-2</v>
      </c>
      <c r="E280" s="25">
        <f t="shared" si="12"/>
        <v>0.42551880008218612</v>
      </c>
      <c r="K280" s="28">
        <v>42782</v>
      </c>
      <c r="L280" s="23">
        <v>10999.92</v>
      </c>
      <c r="M280" s="25">
        <f t="shared" si="17"/>
        <v>9.002792747583678E-3</v>
      </c>
      <c r="O280" t="b">
        <f t="shared" si="15"/>
        <v>1</v>
      </c>
      <c r="Q280" s="25">
        <f t="shared" si="13"/>
        <v>0.28517250645511782</v>
      </c>
      <c r="X280">
        <f t="shared" si="14"/>
        <v>1</v>
      </c>
    </row>
    <row r="281" spans="1:24">
      <c r="A281" s="27">
        <v>42783</v>
      </c>
      <c r="B281" s="24">
        <v>628.09</v>
      </c>
      <c r="C281" s="25">
        <f t="shared" si="16"/>
        <v>5.8774542775697014E-3</v>
      </c>
      <c r="E281" s="25">
        <f t="shared" si="12"/>
        <v>0.43530621572212058</v>
      </c>
      <c r="K281" s="29">
        <v>42783</v>
      </c>
      <c r="L281" s="24">
        <v>11056.01</v>
      </c>
      <c r="M281" s="25">
        <f t="shared" si="17"/>
        <v>5.0732587977037058E-3</v>
      </c>
      <c r="O281" t="b">
        <f t="shared" si="15"/>
        <v>1</v>
      </c>
      <c r="Q281" s="25">
        <f t="shared" si="13"/>
        <v>0.28922687270645264</v>
      </c>
      <c r="X281">
        <f t="shared" si="14"/>
        <v>1</v>
      </c>
    </row>
    <row r="282" spans="1:24">
      <c r="A282" s="26">
        <v>42786</v>
      </c>
      <c r="B282" s="23">
        <v>632.55999999999995</v>
      </c>
      <c r="C282" s="25">
        <f t="shared" si="16"/>
        <v>7.1168144692638213E-3</v>
      </c>
      <c r="E282" s="25">
        <f t="shared" si="12"/>
        <v>0.44094398505660704</v>
      </c>
      <c r="K282" s="28">
        <v>42786</v>
      </c>
      <c r="L282" s="23">
        <v>11133.95</v>
      </c>
      <c r="M282" s="25">
        <f t="shared" si="17"/>
        <v>7.0002110661535671E-3</v>
      </c>
      <c r="O282" t="b">
        <f t="shared" si="15"/>
        <v>1</v>
      </c>
      <c r="Q282" s="25">
        <f t="shared" si="13"/>
        <v>0.29315821688778843</v>
      </c>
      <c r="X282">
        <f t="shared" si="14"/>
        <v>1</v>
      </c>
    </row>
    <row r="283" spans="1:24">
      <c r="A283" s="27">
        <v>42787</v>
      </c>
      <c r="B283" s="24">
        <v>634.70000000000005</v>
      </c>
      <c r="C283" s="25">
        <f t="shared" si="16"/>
        <v>3.3830782850640261E-3</v>
      </c>
      <c r="E283" s="25">
        <f t="shared" si="12"/>
        <v>0.46832924628695705</v>
      </c>
      <c r="K283" s="29">
        <v>42787</v>
      </c>
      <c r="L283" s="24">
        <v>11182.31</v>
      </c>
      <c r="M283" s="25">
        <f t="shared" si="17"/>
        <v>4.32468783283586E-3</v>
      </c>
      <c r="O283" t="b">
        <f t="shared" si="15"/>
        <v>1</v>
      </c>
      <c r="Q283" s="25">
        <f t="shared" si="13"/>
        <v>0.31913063891480853</v>
      </c>
      <c r="X283">
        <f t="shared" si="14"/>
        <v>1</v>
      </c>
    </row>
    <row r="284" spans="1:24">
      <c r="A284" s="26">
        <v>42788</v>
      </c>
      <c r="B284" s="23">
        <v>631.71</v>
      </c>
      <c r="C284" s="25">
        <f t="shared" si="16"/>
        <v>-4.7108870332440659E-3</v>
      </c>
      <c r="E284" s="25">
        <f t="shared" si="12"/>
        <v>0.47858346596760604</v>
      </c>
      <c r="K284" s="28">
        <v>42788</v>
      </c>
      <c r="L284" s="23">
        <v>11177.66</v>
      </c>
      <c r="M284" s="25">
        <f t="shared" si="17"/>
        <v>-4.1600835953138995E-4</v>
      </c>
      <c r="O284" t="b">
        <f t="shared" si="15"/>
        <v>1</v>
      </c>
      <c r="Q284" s="25">
        <f t="shared" si="13"/>
        <v>0.33458541582590895</v>
      </c>
      <c r="X284">
        <f t="shared" si="14"/>
        <v>1</v>
      </c>
    </row>
    <row r="285" spans="1:24">
      <c r="A285" s="27">
        <v>42789</v>
      </c>
      <c r="B285" s="24">
        <v>630.44000000000005</v>
      </c>
      <c r="C285" s="25">
        <f t="shared" si="16"/>
        <v>-2.0104161719776189E-3</v>
      </c>
      <c r="E285" s="25">
        <f t="shared" si="12"/>
        <v>0.49230696397292073</v>
      </c>
      <c r="K285" s="29">
        <v>42789</v>
      </c>
      <c r="L285" s="24">
        <v>11189.57</v>
      </c>
      <c r="M285" s="25">
        <f t="shared" si="17"/>
        <v>1.0643840648031921E-3</v>
      </c>
      <c r="O285" t="b">
        <f t="shared" si="15"/>
        <v>1</v>
      </c>
      <c r="Q285" s="25">
        <f t="shared" si="13"/>
        <v>0.34594205129932298</v>
      </c>
      <c r="X285">
        <f t="shared" si="14"/>
        <v>1</v>
      </c>
    </row>
    <row r="286" spans="1:24">
      <c r="A286" s="26">
        <v>42793</v>
      </c>
      <c r="B286" s="23">
        <v>625.84</v>
      </c>
      <c r="C286" s="25">
        <f t="shared" si="16"/>
        <v>-7.2964913393820541E-3</v>
      </c>
      <c r="E286" s="25">
        <f t="shared" si="12"/>
        <v>0.47239148335489944</v>
      </c>
      <c r="K286" s="28">
        <v>42793</v>
      </c>
      <c r="L286" s="23">
        <v>11157.3</v>
      </c>
      <c r="M286" s="25">
        <f t="shared" si="17"/>
        <v>-2.8922768053203231E-3</v>
      </c>
      <c r="O286" t="b">
        <f t="shared" si="15"/>
        <v>1</v>
      </c>
      <c r="Q286" s="25">
        <f t="shared" si="13"/>
        <v>0.33371824480369505</v>
      </c>
      <c r="X286">
        <f t="shared" si="14"/>
        <v>1</v>
      </c>
    </row>
    <row r="287" spans="1:24">
      <c r="A287" s="27">
        <v>42794</v>
      </c>
      <c r="B287" s="24">
        <v>627.23</v>
      </c>
      <c r="C287" s="25">
        <f t="shared" si="16"/>
        <v>2.2210149558992494E-3</v>
      </c>
      <c r="E287" s="25">
        <f t="shared" si="12"/>
        <v>0.48053818010149896</v>
      </c>
      <c r="K287" s="29">
        <v>42794</v>
      </c>
      <c r="L287" s="24">
        <v>11163.37</v>
      </c>
      <c r="M287" s="25">
        <f t="shared" si="17"/>
        <v>5.4374261535732732E-4</v>
      </c>
      <c r="O287" t="b">
        <f t="shared" si="15"/>
        <v>1</v>
      </c>
      <c r="Q287" s="25">
        <f t="shared" si="13"/>
        <v>0.33969978662480771</v>
      </c>
      <c r="X287">
        <f t="shared" si="14"/>
        <v>1</v>
      </c>
    </row>
    <row r="288" spans="1:24">
      <c r="A288" s="26">
        <v>42795</v>
      </c>
      <c r="B288" s="23">
        <v>630.5</v>
      </c>
      <c r="C288" s="25">
        <f t="shared" si="16"/>
        <v>5.2133985938172308E-3</v>
      </c>
      <c r="E288" s="25">
        <f t="shared" si="12"/>
        <v>0.43910344197936646</v>
      </c>
      <c r="K288" s="28">
        <v>42795</v>
      </c>
      <c r="L288" s="23">
        <v>11231.97</v>
      </c>
      <c r="M288" s="25">
        <f t="shared" si="17"/>
        <v>6.1075661704935594E-3</v>
      </c>
      <c r="O288" t="b">
        <f t="shared" si="15"/>
        <v>1</v>
      </c>
      <c r="Q288" s="25">
        <f t="shared" si="13"/>
        <v>0.30535998605380898</v>
      </c>
      <c r="X288">
        <f t="shared" si="14"/>
        <v>1</v>
      </c>
    </row>
    <row r="289" spans="1:24">
      <c r="A289" s="27">
        <v>42796</v>
      </c>
      <c r="B289" s="24">
        <v>625.35</v>
      </c>
      <c r="C289" s="25">
        <f t="shared" si="16"/>
        <v>-8.1681205392545239E-3</v>
      </c>
      <c r="E289" s="25">
        <f t="shared" si="12"/>
        <v>0.39718039233209712</v>
      </c>
      <c r="K289" s="29">
        <v>42796</v>
      </c>
      <c r="L289" s="24">
        <v>11140.72</v>
      </c>
      <c r="M289" s="25">
        <f t="shared" si="17"/>
        <v>-8.1906734932751211E-3</v>
      </c>
      <c r="O289" t="b">
        <f t="shared" si="15"/>
        <v>1</v>
      </c>
      <c r="Q289" s="25">
        <f t="shared" si="13"/>
        <v>0.27005508536407397</v>
      </c>
      <c r="X289">
        <f t="shared" si="14"/>
        <v>1</v>
      </c>
    </row>
    <row r="290" spans="1:24">
      <c r="A290" s="26">
        <v>42797</v>
      </c>
      <c r="B290" s="23">
        <v>625.62</v>
      </c>
      <c r="C290" s="25">
        <f t="shared" si="16"/>
        <v>4.3175821539934725E-4</v>
      </c>
      <c r="E290" s="25">
        <f t="shared" si="12"/>
        <v>0.37616858406106335</v>
      </c>
      <c r="K290" s="28">
        <v>42797</v>
      </c>
      <c r="L290" s="23">
        <v>11147.38</v>
      </c>
      <c r="M290" s="25">
        <f t="shared" si="17"/>
        <v>5.9744980434863219E-4</v>
      </c>
      <c r="O290" t="b">
        <f t="shared" si="15"/>
        <v>1</v>
      </c>
      <c r="Q290" s="25">
        <f t="shared" si="13"/>
        <v>0.25418732624297791</v>
      </c>
      <c r="X290">
        <f t="shared" si="14"/>
        <v>1</v>
      </c>
    </row>
    <row r="291" spans="1:24">
      <c r="A291" s="27">
        <v>42800</v>
      </c>
      <c r="B291" s="24">
        <v>628.26</v>
      </c>
      <c r="C291" s="25">
        <f t="shared" si="16"/>
        <v>4.2198139445669674E-3</v>
      </c>
      <c r="E291" s="25">
        <f t="shared" si="12"/>
        <v>0.37670647529308643</v>
      </c>
      <c r="K291" s="29">
        <v>42800</v>
      </c>
      <c r="L291" s="24">
        <v>11218.67</v>
      </c>
      <c r="M291" s="25">
        <f t="shared" si="17"/>
        <v>6.3545857040095549E-3</v>
      </c>
      <c r="O291" t="b">
        <f t="shared" si="15"/>
        <v>1</v>
      </c>
      <c r="Q291" s="25">
        <f t="shared" si="13"/>
        <v>0.25797202530595231</v>
      </c>
      <c r="X291">
        <f t="shared" si="14"/>
        <v>1</v>
      </c>
    </row>
    <row r="292" spans="1:24">
      <c r="A292" s="26">
        <v>42801</v>
      </c>
      <c r="B292" s="23">
        <v>626.85</v>
      </c>
      <c r="C292" s="25">
        <f t="shared" si="16"/>
        <v>-2.2442937637283419E-3</v>
      </c>
      <c r="E292" s="25">
        <f t="shared" si="12"/>
        <v>0.37811634349030476</v>
      </c>
      <c r="K292" s="28">
        <v>42801</v>
      </c>
      <c r="L292" s="23">
        <v>11204.1</v>
      </c>
      <c r="M292" s="25">
        <f t="shared" si="17"/>
        <v>-1.3004168117028328E-3</v>
      </c>
      <c r="O292" t="b">
        <f t="shared" si="15"/>
        <v>1</v>
      </c>
      <c r="Q292" s="25">
        <f t="shared" si="13"/>
        <v>0.25545559162424514</v>
      </c>
      <c r="X292">
        <f t="shared" si="14"/>
        <v>1</v>
      </c>
    </row>
    <row r="293" spans="1:24">
      <c r="A293" s="27">
        <v>42802</v>
      </c>
      <c r="B293" s="24">
        <v>623.73</v>
      </c>
      <c r="C293" s="25">
        <f t="shared" si="16"/>
        <v>-4.977267288825085E-3</v>
      </c>
      <c r="E293" s="25">
        <f t="shared" si="12"/>
        <v>0.35741022850924931</v>
      </c>
      <c r="K293" s="29">
        <v>42802</v>
      </c>
      <c r="L293" s="24">
        <v>11168.88</v>
      </c>
      <c r="M293" s="25">
        <f t="shared" si="17"/>
        <v>-3.1534048176720644E-3</v>
      </c>
      <c r="O293" t="b">
        <f t="shared" si="15"/>
        <v>1</v>
      </c>
      <c r="Q293" s="25">
        <f t="shared" si="13"/>
        <v>0.24524401760240289</v>
      </c>
      <c r="X293">
        <f t="shared" si="14"/>
        <v>1</v>
      </c>
    </row>
    <row r="294" spans="1:24">
      <c r="A294" s="26">
        <v>42803</v>
      </c>
      <c r="B294" s="23">
        <v>623.59</v>
      </c>
      <c r="C294" s="25">
        <f t="shared" si="16"/>
        <v>-2.2445609478458043E-4</v>
      </c>
      <c r="E294" s="25">
        <f t="shared" si="12"/>
        <v>0.3620557848983248</v>
      </c>
      <c r="K294" s="28">
        <v>42803</v>
      </c>
      <c r="L294" s="23">
        <v>11168.88</v>
      </c>
      <c r="M294" s="25">
        <f t="shared" si="17"/>
        <v>0</v>
      </c>
      <c r="O294" t="b">
        <f t="shared" si="15"/>
        <v>1</v>
      </c>
      <c r="Q294" s="25">
        <f t="shared" si="13"/>
        <v>0.25165073089388246</v>
      </c>
      <c r="X294">
        <f t="shared" si="14"/>
        <v>1</v>
      </c>
    </row>
    <row r="295" spans="1:24">
      <c r="A295" s="27">
        <v>42804</v>
      </c>
      <c r="B295" s="24">
        <v>622.04</v>
      </c>
      <c r="C295" s="25">
        <f t="shared" si="16"/>
        <v>-2.4856075305891181E-3</v>
      </c>
      <c r="E295" s="25">
        <f t="shared" si="12"/>
        <v>0.35364394054795123</v>
      </c>
      <c r="K295" s="29">
        <v>42804</v>
      </c>
      <c r="L295" s="24">
        <v>11170.2</v>
      </c>
      <c r="M295" s="25">
        <f t="shared" si="17"/>
        <v>1.1817156362478093E-4</v>
      </c>
      <c r="O295" t="b">
        <f t="shared" si="15"/>
        <v>1</v>
      </c>
      <c r="Q295" s="25">
        <f t="shared" si="13"/>
        <v>0.24870185401516975</v>
      </c>
      <c r="X295">
        <f t="shared" si="14"/>
        <v>1</v>
      </c>
    </row>
    <row r="296" spans="1:24">
      <c r="A296" s="26">
        <v>42808</v>
      </c>
      <c r="B296" s="23">
        <v>630.87</v>
      </c>
      <c r="C296" s="25">
        <f t="shared" si="16"/>
        <v>1.4195228602662275E-2</v>
      </c>
      <c r="E296" s="25">
        <f t="shared" si="12"/>
        <v>0.36664355963779727</v>
      </c>
      <c r="K296" s="28">
        <v>42808</v>
      </c>
      <c r="L296" s="23">
        <v>11356.47</v>
      </c>
      <c r="M296" s="25">
        <f t="shared" si="17"/>
        <v>1.6402103822754661E-2</v>
      </c>
      <c r="O296" t="b">
        <f t="shared" si="15"/>
        <v>1</v>
      </c>
      <c r="Q296" s="25">
        <f t="shared" si="13"/>
        <v>0.2638310658542693</v>
      </c>
      <c r="X296">
        <f t="shared" si="14"/>
        <v>1</v>
      </c>
    </row>
    <row r="297" spans="1:24">
      <c r="A297" s="27">
        <v>42809</v>
      </c>
      <c r="B297" s="24">
        <v>635.01</v>
      </c>
      <c r="C297" s="25">
        <f t="shared" si="16"/>
        <v>6.5623662561224757E-3</v>
      </c>
      <c r="E297" s="25">
        <f t="shared" si="12"/>
        <v>0.38606102937966558</v>
      </c>
      <c r="K297" s="29">
        <v>42809</v>
      </c>
      <c r="L297" s="24">
        <v>11384.1</v>
      </c>
      <c r="M297" s="25">
        <f t="shared" si="17"/>
        <v>2.427069333544243E-3</v>
      </c>
      <c r="O297" t="b">
        <f t="shared" si="15"/>
        <v>1</v>
      </c>
      <c r="Q297" s="25">
        <f t="shared" si="13"/>
        <v>0.27912242006397814</v>
      </c>
      <c r="X297">
        <f t="shared" si="14"/>
        <v>1</v>
      </c>
    </row>
    <row r="298" spans="1:24">
      <c r="A298" s="26">
        <v>42810</v>
      </c>
      <c r="B298" s="23">
        <v>641.89</v>
      </c>
      <c r="C298" s="25">
        <f t="shared" si="16"/>
        <v>1.0834475047637038E-2</v>
      </c>
      <c r="E298" s="25">
        <f t="shared" si="12"/>
        <v>0.39948981816596163</v>
      </c>
      <c r="K298" s="28">
        <v>42810</v>
      </c>
      <c r="L298" s="23">
        <v>11493.89</v>
      </c>
      <c r="M298" s="25">
        <f t="shared" si="17"/>
        <v>9.5520315576361932E-3</v>
      </c>
      <c r="O298" t="b">
        <f t="shared" si="15"/>
        <v>1</v>
      </c>
      <c r="Q298" s="25">
        <f t="shared" si="13"/>
        <v>0.28790007753918401</v>
      </c>
      <c r="X298">
        <f t="shared" si="14"/>
        <v>1</v>
      </c>
    </row>
    <row r="299" spans="1:24">
      <c r="A299" s="27">
        <v>42811</v>
      </c>
      <c r="B299" s="24">
        <v>640.95000000000005</v>
      </c>
      <c r="C299" s="25">
        <f t="shared" si="16"/>
        <v>-1.464425368832574E-3</v>
      </c>
      <c r="E299" s="25">
        <f t="shared" si="12"/>
        <v>0.3918869030815002</v>
      </c>
      <c r="K299" s="29">
        <v>42811</v>
      </c>
      <c r="L299" s="24">
        <v>11500.51</v>
      </c>
      <c r="M299" s="25">
        <f t="shared" si="17"/>
        <v>5.7562664612271976E-4</v>
      </c>
      <c r="O299" t="b">
        <f t="shared" si="15"/>
        <v>1</v>
      </c>
      <c r="Q299" s="25">
        <f t="shared" si="13"/>
        <v>0.28437046302293889</v>
      </c>
      <c r="X299">
        <f t="shared" si="14"/>
        <v>1</v>
      </c>
    </row>
    <row r="300" spans="1:24">
      <c r="A300" s="26">
        <v>42814</v>
      </c>
      <c r="B300" s="23">
        <v>639.89</v>
      </c>
      <c r="C300" s="25">
        <f t="shared" si="16"/>
        <v>-1.6537951478275358E-3</v>
      </c>
      <c r="E300" s="25">
        <f t="shared" si="12"/>
        <v>0.37524984418319751</v>
      </c>
      <c r="K300" s="28">
        <v>42814</v>
      </c>
      <c r="L300" s="23">
        <v>11479.48</v>
      </c>
      <c r="M300" s="25">
        <f t="shared" si="17"/>
        <v>-1.8319645140721231E-3</v>
      </c>
      <c r="O300" t="b">
        <f t="shared" si="15"/>
        <v>1</v>
      </c>
      <c r="Q300" s="25">
        <f t="shared" si="13"/>
        <v>0.26833730903642872</v>
      </c>
      <c r="X300">
        <f t="shared" si="14"/>
        <v>1</v>
      </c>
    </row>
    <row r="301" spans="1:24">
      <c r="A301" s="27">
        <v>42815</v>
      </c>
      <c r="B301" s="24">
        <v>638.42999999999995</v>
      </c>
      <c r="C301" s="25">
        <f t="shared" si="16"/>
        <v>-2.2816421572458335E-3</v>
      </c>
      <c r="E301" s="25">
        <f t="shared" si="12"/>
        <v>0.35562161588279007</v>
      </c>
      <c r="K301" s="29">
        <v>42815</v>
      </c>
      <c r="L301" s="24">
        <v>11465.92</v>
      </c>
      <c r="M301" s="25">
        <f t="shared" si="17"/>
        <v>-1.1826351483351959E-3</v>
      </c>
      <c r="O301" t="b">
        <f t="shared" si="15"/>
        <v>1</v>
      </c>
      <c r="Q301" s="25">
        <f t="shared" si="13"/>
        <v>0.25005941803037413</v>
      </c>
      <c r="X301">
        <f t="shared" si="14"/>
        <v>1</v>
      </c>
    </row>
    <row r="302" spans="1:24">
      <c r="A302" s="26">
        <v>42816</v>
      </c>
      <c r="B302" s="23">
        <v>633.34</v>
      </c>
      <c r="C302" s="25">
        <f t="shared" si="16"/>
        <v>-7.972682987954699E-3</v>
      </c>
      <c r="E302" s="25">
        <f t="shared" si="12"/>
        <v>0.34213481955540503</v>
      </c>
      <c r="K302" s="28">
        <v>42816</v>
      </c>
      <c r="L302" s="23">
        <v>11351.31</v>
      </c>
      <c r="M302" s="25">
        <f t="shared" si="17"/>
        <v>-1.0096632018683358E-2</v>
      </c>
      <c r="O302" t="b">
        <f t="shared" si="15"/>
        <v>1</v>
      </c>
      <c r="Q302" s="25">
        <f t="shared" si="13"/>
        <v>0.23516719078138415</v>
      </c>
      <c r="X302">
        <f t="shared" si="14"/>
        <v>1</v>
      </c>
    </row>
    <row r="303" spans="1:24">
      <c r="A303" s="27">
        <v>42817</v>
      </c>
      <c r="B303" s="24">
        <v>638.67999999999995</v>
      </c>
      <c r="C303" s="25">
        <f t="shared" si="16"/>
        <v>8.4314901948399253E-3</v>
      </c>
      <c r="E303" s="25">
        <f t="shared" si="12"/>
        <v>0.35036048798021002</v>
      </c>
      <c r="K303" s="29">
        <v>42817</v>
      </c>
      <c r="L303" s="24">
        <v>11432.1</v>
      </c>
      <c r="M303" s="25">
        <f t="shared" si="17"/>
        <v>7.0669430813237177E-3</v>
      </c>
      <c r="O303" t="b">
        <f t="shared" si="15"/>
        <v>1</v>
      </c>
      <c r="Q303" s="25">
        <f t="shared" si="13"/>
        <v>0.24290056882425604</v>
      </c>
      <c r="X303">
        <f t="shared" si="14"/>
        <v>1</v>
      </c>
    </row>
    <row r="304" spans="1:24">
      <c r="A304" s="26">
        <v>42818</v>
      </c>
      <c r="B304" s="23">
        <v>638.79999999999995</v>
      </c>
      <c r="C304" s="25">
        <f t="shared" si="16"/>
        <v>1.8788751800589428E-4</v>
      </c>
      <c r="E304" s="25">
        <f t="shared" si="12"/>
        <v>0.36615410936931925</v>
      </c>
      <c r="K304" s="28">
        <v>42818</v>
      </c>
      <c r="L304" s="23">
        <v>11463.91</v>
      </c>
      <c r="M304" s="25">
        <f t="shared" si="17"/>
        <v>2.7747949870506215E-3</v>
      </c>
      <c r="O304" t="b">
        <f t="shared" si="15"/>
        <v>1</v>
      </c>
      <c r="Q304" s="25">
        <f t="shared" si="13"/>
        <v>0.26384240211318222</v>
      </c>
      <c r="X304">
        <f t="shared" si="14"/>
        <v>1</v>
      </c>
    </row>
    <row r="305" spans="1:24">
      <c r="A305" s="27">
        <v>42821</v>
      </c>
      <c r="B305" s="24">
        <v>636.08000000000004</v>
      </c>
      <c r="C305" s="25">
        <f t="shared" si="16"/>
        <v>-4.2579837194738788E-3</v>
      </c>
      <c r="E305" s="25">
        <f t="shared" si="12"/>
        <v>0.36036614055348837</v>
      </c>
      <c r="K305" s="29">
        <v>42821</v>
      </c>
      <c r="L305" s="24">
        <v>11406.27</v>
      </c>
      <c r="M305" s="25">
        <f t="shared" si="17"/>
        <v>-5.0533610023258627E-3</v>
      </c>
      <c r="O305" t="b">
        <f t="shared" si="15"/>
        <v>1</v>
      </c>
      <c r="Q305" s="25">
        <f t="shared" si="13"/>
        <v>0.25980728917006668</v>
      </c>
      <c r="X305">
        <f t="shared" si="14"/>
        <v>1</v>
      </c>
    </row>
    <row r="306" spans="1:24">
      <c r="A306" s="26">
        <v>42822</v>
      </c>
      <c r="B306" s="23">
        <v>640.61</v>
      </c>
      <c r="C306" s="25">
        <f t="shared" si="16"/>
        <v>7.1217456923656965E-3</v>
      </c>
      <c r="E306" s="25">
        <f t="shared" si="12"/>
        <v>0.34856745889733287</v>
      </c>
      <c r="K306" s="28">
        <v>42822</v>
      </c>
      <c r="L306" s="23">
        <v>11474.13</v>
      </c>
      <c r="M306" s="25">
        <f t="shared" si="17"/>
        <v>5.9141738850787611E-3</v>
      </c>
      <c r="O306" t="b">
        <f t="shared" si="15"/>
        <v>1</v>
      </c>
      <c r="Q306" s="25">
        <f t="shared" si="13"/>
        <v>0.2447823662530455</v>
      </c>
      <c r="X306">
        <f t="shared" si="14"/>
        <v>1</v>
      </c>
    </row>
    <row r="307" spans="1:24">
      <c r="A307" s="27">
        <v>42823</v>
      </c>
      <c r="B307" s="24">
        <v>644.27</v>
      </c>
      <c r="C307" s="25">
        <f t="shared" si="16"/>
        <v>5.7133045066420571E-3</v>
      </c>
      <c r="E307" s="25">
        <f t="shared" si="12"/>
        <v>0.35271269001427741</v>
      </c>
      <c r="K307" s="29">
        <v>42823</v>
      </c>
      <c r="L307" s="24">
        <v>11524</v>
      </c>
      <c r="M307" s="25">
        <f t="shared" si="17"/>
        <v>4.3274904547032974E-3</v>
      </c>
      <c r="O307" t="b">
        <f t="shared" si="15"/>
        <v>1</v>
      </c>
      <c r="Q307" s="25">
        <f t="shared" si="13"/>
        <v>0.24719694542809889</v>
      </c>
      <c r="X307">
        <f t="shared" si="14"/>
        <v>1</v>
      </c>
    </row>
    <row r="308" spans="1:24">
      <c r="A308" s="26">
        <v>42824</v>
      </c>
      <c r="B308" s="23">
        <v>646.63</v>
      </c>
      <c r="C308" s="25">
        <f t="shared" si="16"/>
        <v>3.6630605181057845E-3</v>
      </c>
      <c r="E308" s="25">
        <f t="shared" si="12"/>
        <v>0.35798139319990763</v>
      </c>
      <c r="K308" s="28">
        <v>42824</v>
      </c>
      <c r="L308" s="23">
        <v>11570.97</v>
      </c>
      <c r="M308" s="25">
        <f t="shared" si="17"/>
        <v>4.0592966708927038E-3</v>
      </c>
      <c r="O308" t="b">
        <f t="shared" si="15"/>
        <v>1</v>
      </c>
      <c r="Q308" s="25">
        <f t="shared" si="13"/>
        <v>0.25358004147192825</v>
      </c>
      <c r="X308">
        <f t="shared" si="14"/>
        <v>1</v>
      </c>
    </row>
    <row r="309" spans="1:24">
      <c r="A309" s="27">
        <v>42825</v>
      </c>
      <c r="B309" s="24">
        <v>648.96</v>
      </c>
      <c r="C309" s="25">
        <f t="shared" si="16"/>
        <v>3.6032970941651966E-3</v>
      </c>
      <c r="E309" s="25">
        <f t="shared" si="12"/>
        <v>0.35485083195891365</v>
      </c>
      <c r="K309" s="29">
        <v>42825</v>
      </c>
      <c r="L309" s="24">
        <v>11598.65</v>
      </c>
      <c r="M309" s="25">
        <f t="shared" si="17"/>
        <v>2.3864846339876015E-3</v>
      </c>
      <c r="O309" t="b">
        <f t="shared" si="15"/>
        <v>1</v>
      </c>
      <c r="Q309" s="25">
        <f t="shared" si="13"/>
        <v>0.24995824006948864</v>
      </c>
      <c r="X309">
        <f t="shared" si="14"/>
        <v>1</v>
      </c>
    </row>
    <row r="310" spans="1:24">
      <c r="A310" s="26">
        <v>42828</v>
      </c>
      <c r="B310" s="23">
        <v>650.54999999999995</v>
      </c>
      <c r="C310" s="25">
        <f t="shared" si="16"/>
        <v>2.4500739644969152E-3</v>
      </c>
      <c r="E310" s="25">
        <f t="shared" si="12"/>
        <v>0.38079976227872803</v>
      </c>
      <c r="K310" s="28">
        <v>42828</v>
      </c>
      <c r="L310" s="23">
        <v>11682.98</v>
      </c>
      <c r="M310" s="25">
        <f t="shared" si="17"/>
        <v>7.2181926186640679E-3</v>
      </c>
      <c r="O310" t="b">
        <f t="shared" si="15"/>
        <v>1</v>
      </c>
      <c r="Q310" s="25">
        <f t="shared" si="13"/>
        <v>0.28306002047100898</v>
      </c>
      <c r="X310">
        <f t="shared" si="14"/>
        <v>1</v>
      </c>
    </row>
    <row r="311" spans="1:24">
      <c r="A311" s="27">
        <v>42830</v>
      </c>
      <c r="B311" s="24">
        <v>653.02</v>
      </c>
      <c r="C311" s="25">
        <f t="shared" si="16"/>
        <v>3.796787333794524E-3</v>
      </c>
      <c r="E311" s="25">
        <f t="shared" si="12"/>
        <v>0.38176047397376212</v>
      </c>
      <c r="K311" s="29">
        <v>42830</v>
      </c>
      <c r="L311" s="24">
        <v>11743.79</v>
      </c>
      <c r="M311" s="25">
        <f t="shared" si="17"/>
        <v>5.1780558065157248E-3</v>
      </c>
      <c r="O311" t="b">
        <f t="shared" si="15"/>
        <v>1</v>
      </c>
      <c r="Q311" s="25">
        <f t="shared" si="13"/>
        <v>0.28574932038218459</v>
      </c>
      <c r="X311">
        <f t="shared" si="14"/>
        <v>1</v>
      </c>
    </row>
    <row r="312" spans="1:24">
      <c r="A312" s="26">
        <v>42831</v>
      </c>
      <c r="B312" s="23">
        <v>652.76</v>
      </c>
      <c r="C312" s="25">
        <f t="shared" si="16"/>
        <v>-3.9815013322714606E-4</v>
      </c>
      <c r="E312" s="25">
        <f t="shared" ref="E312:E375" si="18">(B312/B67)-1</f>
        <v>0.38728667672624484</v>
      </c>
      <c r="K312" s="28">
        <v>42831</v>
      </c>
      <c r="L312" s="23">
        <v>11739.48</v>
      </c>
      <c r="M312" s="25">
        <f t="shared" si="17"/>
        <v>-3.6713721561783909E-4</v>
      </c>
      <c r="O312" t="b">
        <f t="shared" si="15"/>
        <v>1</v>
      </c>
      <c r="Q312" s="25">
        <f t="shared" ref="Q312:Q375" si="19">(L312/L67)-1</f>
        <v>0.29506364736524482</v>
      </c>
      <c r="X312">
        <f t="shared" ref="X312:X375" si="20">IF(E312&gt;Q312,1,0)</f>
        <v>1</v>
      </c>
    </row>
    <row r="313" spans="1:24">
      <c r="A313" s="27">
        <v>42832</v>
      </c>
      <c r="B313" s="24">
        <v>649.91</v>
      </c>
      <c r="C313" s="25">
        <f t="shared" si="16"/>
        <v>-4.3660763527177257E-3</v>
      </c>
      <c r="E313" s="25">
        <f t="shared" si="18"/>
        <v>0.37401691331923881</v>
      </c>
      <c r="K313" s="29">
        <v>42832</v>
      </c>
      <c r="L313" s="24">
        <v>11671.65</v>
      </c>
      <c r="M313" s="25">
        <f t="shared" si="17"/>
        <v>-5.8115176517458912E-3</v>
      </c>
      <c r="O313" t="b">
        <f t="shared" si="15"/>
        <v>1</v>
      </c>
      <c r="Q313" s="25">
        <f t="shared" si="19"/>
        <v>0.28416247474947509</v>
      </c>
      <c r="X313">
        <f t="shared" si="20"/>
        <v>1</v>
      </c>
    </row>
    <row r="314" spans="1:24">
      <c r="A314" s="26">
        <v>42835</v>
      </c>
      <c r="B314" s="23">
        <v>652.85</v>
      </c>
      <c r="C314" s="25">
        <f t="shared" si="16"/>
        <v>4.5237032819929754E-3</v>
      </c>
      <c r="E314" s="25">
        <f t="shared" si="18"/>
        <v>0.3669961053645463</v>
      </c>
      <c r="K314" s="28">
        <v>42835</v>
      </c>
      <c r="L314" s="23">
        <v>11681.59</v>
      </c>
      <c r="M314" s="25">
        <f t="shared" si="17"/>
        <v>8.5091156255274406E-4</v>
      </c>
      <c r="O314" t="b">
        <f t="shared" si="15"/>
        <v>1</v>
      </c>
      <c r="Q314" s="25">
        <f t="shared" si="19"/>
        <v>0.26846819651197018</v>
      </c>
      <c r="X314">
        <f t="shared" si="20"/>
        <v>1</v>
      </c>
    </row>
    <row r="315" spans="1:24">
      <c r="A315" s="27">
        <v>42836</v>
      </c>
      <c r="B315" s="24">
        <v>656.61</v>
      </c>
      <c r="C315" s="25">
        <f t="shared" si="16"/>
        <v>5.7593627939036387E-3</v>
      </c>
      <c r="E315" s="25">
        <f t="shared" si="18"/>
        <v>0.36243100800929584</v>
      </c>
      <c r="K315" s="29">
        <v>42836</v>
      </c>
      <c r="L315" s="24">
        <v>11765.69</v>
      </c>
      <c r="M315" s="25">
        <f t="shared" si="17"/>
        <v>7.1479020779912066E-3</v>
      </c>
      <c r="O315" t="b">
        <f t="shared" si="15"/>
        <v>1</v>
      </c>
      <c r="Q315" s="25">
        <f t="shared" si="19"/>
        <v>0.26980438712462562</v>
      </c>
      <c r="X315">
        <f t="shared" si="20"/>
        <v>1</v>
      </c>
    </row>
    <row r="316" spans="1:24">
      <c r="A316" s="26">
        <v>42837</v>
      </c>
      <c r="B316" s="23">
        <v>656.04</v>
      </c>
      <c r="C316" s="25">
        <f t="shared" si="16"/>
        <v>-8.6809521633854196E-4</v>
      </c>
      <c r="E316" s="25">
        <f t="shared" si="18"/>
        <v>0.34033424590364891</v>
      </c>
      <c r="K316" s="28">
        <v>42837</v>
      </c>
      <c r="L316" s="23">
        <v>11724.71</v>
      </c>
      <c r="M316" s="25">
        <f t="shared" si="17"/>
        <v>-3.4951823968355196E-3</v>
      </c>
      <c r="O316" t="b">
        <f t="shared" si="15"/>
        <v>1</v>
      </c>
      <c r="Q316" s="25">
        <f t="shared" si="19"/>
        <v>0.24510282839138275</v>
      </c>
      <c r="X316">
        <f t="shared" si="20"/>
        <v>1</v>
      </c>
    </row>
    <row r="317" spans="1:24">
      <c r="A317" s="27">
        <v>42838</v>
      </c>
      <c r="B317" s="24">
        <v>651.91999999999996</v>
      </c>
      <c r="C317" s="25">
        <f t="shared" si="16"/>
        <v>-6.2801048716541749E-3</v>
      </c>
      <c r="E317" s="25">
        <f t="shared" si="18"/>
        <v>0.3248790797870178</v>
      </c>
      <c r="K317" s="29">
        <v>42838</v>
      </c>
      <c r="L317" s="24">
        <v>11675.47</v>
      </c>
      <c r="M317" s="25">
        <f t="shared" si="17"/>
        <v>-4.2173891072479121E-3</v>
      </c>
      <c r="O317" t="b">
        <f t="shared" si="15"/>
        <v>1</v>
      </c>
      <c r="Q317" s="25">
        <f t="shared" si="19"/>
        <v>0.22872134984471915</v>
      </c>
      <c r="X317">
        <f t="shared" si="20"/>
        <v>1</v>
      </c>
    </row>
    <row r="318" spans="1:24">
      <c r="A318" s="26">
        <v>42842</v>
      </c>
      <c r="B318" s="23">
        <v>651.70000000000005</v>
      </c>
      <c r="C318" s="25">
        <f t="shared" si="16"/>
        <v>-3.3746471959736411E-4</v>
      </c>
      <c r="E318" s="25">
        <f t="shared" si="18"/>
        <v>0.32402836187806039</v>
      </c>
      <c r="K318" s="28">
        <v>42842</v>
      </c>
      <c r="L318" s="23">
        <v>11672.13</v>
      </c>
      <c r="M318" s="25">
        <f t="shared" si="17"/>
        <v>-2.861517135261641E-4</v>
      </c>
      <c r="O318" t="b">
        <f t="shared" si="15"/>
        <v>1</v>
      </c>
      <c r="Q318" s="25">
        <f t="shared" si="19"/>
        <v>0.22683858191988837</v>
      </c>
      <c r="X318">
        <f t="shared" si="20"/>
        <v>1</v>
      </c>
    </row>
    <row r="319" spans="1:24">
      <c r="A319" s="27">
        <v>42843</v>
      </c>
      <c r="B319" s="24">
        <v>648.52</v>
      </c>
      <c r="C319" s="25">
        <f t="shared" si="16"/>
        <v>-4.879545803283817E-3</v>
      </c>
      <c r="E319" s="25">
        <f t="shared" si="18"/>
        <v>0.3183980483838178</v>
      </c>
      <c r="K319" s="29">
        <v>42843</v>
      </c>
      <c r="L319" s="24">
        <v>11614.85</v>
      </c>
      <c r="M319" s="25">
        <f t="shared" si="17"/>
        <v>-4.9316177135304232E-3</v>
      </c>
      <c r="O319" t="b">
        <f t="shared" si="15"/>
        <v>1</v>
      </c>
      <c r="Q319" s="25">
        <f t="shared" si="19"/>
        <v>0.22247809983507127</v>
      </c>
      <c r="X319">
        <f t="shared" si="20"/>
        <v>1</v>
      </c>
    </row>
    <row r="320" spans="1:24">
      <c r="A320" s="26">
        <v>42844</v>
      </c>
      <c r="B320" s="23">
        <v>651.21</v>
      </c>
      <c r="C320" s="25">
        <f t="shared" si="16"/>
        <v>4.1479060013570202E-3</v>
      </c>
      <c r="E320" s="25">
        <f t="shared" si="18"/>
        <v>0.32067168265428236</v>
      </c>
      <c r="K320" s="28">
        <v>42844</v>
      </c>
      <c r="L320" s="23">
        <v>11641.62</v>
      </c>
      <c r="M320" s="25">
        <f t="shared" si="17"/>
        <v>2.29950814405559E-3</v>
      </c>
      <c r="O320" t="b">
        <f t="shared" si="15"/>
        <v>1</v>
      </c>
      <c r="Q320" s="25">
        <f t="shared" si="19"/>
        <v>0.2264677902104828</v>
      </c>
      <c r="X320">
        <f t="shared" si="20"/>
        <v>1</v>
      </c>
    </row>
    <row r="321" spans="1:24">
      <c r="A321" s="27">
        <v>42845</v>
      </c>
      <c r="B321" s="24">
        <v>653.39</v>
      </c>
      <c r="C321" s="25">
        <f t="shared" si="16"/>
        <v>3.3476144408101072E-3</v>
      </c>
      <c r="E321" s="25">
        <f t="shared" si="18"/>
        <v>0.33011013171019687</v>
      </c>
      <c r="K321" s="29">
        <v>42845</v>
      </c>
      <c r="L321" s="24">
        <v>11702.74</v>
      </c>
      <c r="M321" s="25">
        <f t="shared" si="17"/>
        <v>5.2227085280882072E-3</v>
      </c>
      <c r="O321" t="b">
        <f t="shared" si="15"/>
        <v>1</v>
      </c>
      <c r="Q321" s="25">
        <f t="shared" si="19"/>
        <v>0.23935568593395873</v>
      </c>
      <c r="X321">
        <f t="shared" si="20"/>
        <v>1</v>
      </c>
    </row>
    <row r="322" spans="1:24">
      <c r="A322" s="26">
        <v>42846</v>
      </c>
      <c r="B322" s="23">
        <v>652.70000000000005</v>
      </c>
      <c r="C322" s="25">
        <f t="shared" si="16"/>
        <v>-1.0560308544666139E-3</v>
      </c>
      <c r="E322" s="25">
        <f t="shared" si="18"/>
        <v>0.31238187155668173</v>
      </c>
      <c r="K322" s="28">
        <v>42846</v>
      </c>
      <c r="L322" s="23">
        <v>11694.88</v>
      </c>
      <c r="M322" s="25">
        <f t="shared" si="17"/>
        <v>-6.7208898252915661E-4</v>
      </c>
      <c r="O322" t="b">
        <f t="shared" si="15"/>
        <v>1</v>
      </c>
      <c r="Q322" s="25">
        <f t="shared" si="19"/>
        <v>0.22439732231661047</v>
      </c>
      <c r="X322">
        <f t="shared" si="20"/>
        <v>1</v>
      </c>
    </row>
    <row r="323" spans="1:24">
      <c r="A323" s="27">
        <v>42849</v>
      </c>
      <c r="B323" s="24">
        <v>657.12</v>
      </c>
      <c r="C323" s="25">
        <f t="shared" si="16"/>
        <v>6.7718706909758826E-3</v>
      </c>
      <c r="E323" s="25">
        <f t="shared" si="18"/>
        <v>0.31996866400176782</v>
      </c>
      <c r="K323" s="29">
        <v>42849</v>
      </c>
      <c r="L323" s="24">
        <v>11810.47</v>
      </c>
      <c r="M323" s="25">
        <f t="shared" si="17"/>
        <v>9.7870787530047621E-3</v>
      </c>
      <c r="O323" t="b">
        <f t="shared" ref="O323:O386" si="21">K323=A323</f>
        <v>1</v>
      </c>
      <c r="Q323" s="25">
        <f t="shared" si="19"/>
        <v>0.23374261455277834</v>
      </c>
      <c r="X323">
        <f t="shared" si="20"/>
        <v>1</v>
      </c>
    </row>
    <row r="324" spans="1:24">
      <c r="A324" s="26">
        <v>42850</v>
      </c>
      <c r="B324" s="23">
        <v>661.67</v>
      </c>
      <c r="C324" s="25">
        <f t="shared" ref="C324:C387" si="22">(B324-B323)/B323</f>
        <v>6.9241538836132734E-3</v>
      </c>
      <c r="E324" s="25">
        <f t="shared" si="18"/>
        <v>0.34472106493242549</v>
      </c>
      <c r="K324" s="28">
        <v>42850</v>
      </c>
      <c r="L324" s="23">
        <v>11925.74</v>
      </c>
      <c r="M324" s="25">
        <f t="shared" ref="M324:M387" si="23">(L324-L323)/L324</f>
        <v>9.6656475824561366E-3</v>
      </c>
      <c r="O324" t="b">
        <f t="shared" si="21"/>
        <v>1</v>
      </c>
      <c r="Q324" s="25">
        <f t="shared" si="19"/>
        <v>0.26492653274657108</v>
      </c>
      <c r="X324">
        <f t="shared" si="20"/>
        <v>1</v>
      </c>
    </row>
    <row r="325" spans="1:24">
      <c r="A325" s="27">
        <v>42851</v>
      </c>
      <c r="B325" s="24">
        <v>662.89</v>
      </c>
      <c r="C325" s="25">
        <f t="shared" si="22"/>
        <v>1.8438194266024261E-3</v>
      </c>
      <c r="E325" s="25">
        <f t="shared" si="18"/>
        <v>0.34261640977862395</v>
      </c>
      <c r="K325" s="29">
        <v>42851</v>
      </c>
      <c r="L325" s="24">
        <v>11946.26</v>
      </c>
      <c r="M325" s="25">
        <f t="shared" si="23"/>
        <v>1.7176923991274622E-3</v>
      </c>
      <c r="O325" t="b">
        <f t="shared" si="21"/>
        <v>1</v>
      </c>
      <c r="Q325" s="25">
        <f t="shared" si="19"/>
        <v>0.2660609573993431</v>
      </c>
      <c r="X325">
        <f t="shared" si="20"/>
        <v>1</v>
      </c>
    </row>
    <row r="326" spans="1:24">
      <c r="A326" s="26">
        <v>42852</v>
      </c>
      <c r="B326" s="23">
        <v>663.05</v>
      </c>
      <c r="C326" s="25">
        <f t="shared" si="22"/>
        <v>2.4136734601512796E-4</v>
      </c>
      <c r="E326" s="25">
        <f t="shared" si="18"/>
        <v>0.34166329421286923</v>
      </c>
      <c r="K326" s="28">
        <v>42852</v>
      </c>
      <c r="L326" s="23">
        <v>11933.7</v>
      </c>
      <c r="M326" s="25">
        <f t="shared" si="23"/>
        <v>-1.0524816276594425E-3</v>
      </c>
      <c r="O326" t="b">
        <f t="shared" si="21"/>
        <v>1</v>
      </c>
      <c r="Q326" s="25">
        <f t="shared" si="19"/>
        <v>0.26634704766270656</v>
      </c>
      <c r="X326">
        <f t="shared" si="20"/>
        <v>1</v>
      </c>
    </row>
    <row r="327" spans="1:24">
      <c r="A327" s="27">
        <v>42853</v>
      </c>
      <c r="B327" s="24">
        <v>664.61</v>
      </c>
      <c r="C327" s="25">
        <f t="shared" si="22"/>
        <v>2.3527637433075322E-3</v>
      </c>
      <c r="E327" s="25">
        <f t="shared" si="18"/>
        <v>0.35430166687044062</v>
      </c>
      <c r="K327" s="29">
        <v>42853</v>
      </c>
      <c r="L327" s="24">
        <v>11922.34</v>
      </c>
      <c r="M327" s="25">
        <f t="shared" si="23"/>
        <v>-9.5283308478038556E-4</v>
      </c>
      <c r="O327" t="b">
        <f t="shared" si="21"/>
        <v>1</v>
      </c>
      <c r="Q327" s="25">
        <f t="shared" si="19"/>
        <v>0.2741667441490141</v>
      </c>
      <c r="X327">
        <f t="shared" si="20"/>
        <v>1</v>
      </c>
    </row>
    <row r="328" spans="1:24">
      <c r="A328" s="26">
        <v>42857</v>
      </c>
      <c r="B328" s="23">
        <v>663.79</v>
      </c>
      <c r="C328" s="25">
        <f t="shared" si="22"/>
        <v>-1.2338062924121666E-3</v>
      </c>
      <c r="E328" s="25">
        <f t="shared" si="18"/>
        <v>0.36271068136560514</v>
      </c>
      <c r="K328" s="28">
        <v>42857</v>
      </c>
      <c r="L328" s="23">
        <v>11947.1</v>
      </c>
      <c r="M328" s="25">
        <f t="shared" si="23"/>
        <v>2.0724694695784095E-3</v>
      </c>
      <c r="O328" t="b">
        <f t="shared" si="21"/>
        <v>1</v>
      </c>
      <c r="Q328" s="25">
        <f t="shared" si="19"/>
        <v>0.28648944338018589</v>
      </c>
      <c r="X328">
        <f t="shared" si="20"/>
        <v>1</v>
      </c>
    </row>
    <row r="329" spans="1:24">
      <c r="A329" s="27">
        <v>42858</v>
      </c>
      <c r="B329" s="24">
        <v>663.15</v>
      </c>
      <c r="C329" s="25">
        <f t="shared" si="22"/>
        <v>-9.6416035191850794E-4</v>
      </c>
      <c r="E329" s="25">
        <f t="shared" si="18"/>
        <v>0.35805123794310978</v>
      </c>
      <c r="K329" s="29">
        <v>42858</v>
      </c>
      <c r="L329" s="24">
        <v>11941.8</v>
      </c>
      <c r="M329" s="25">
        <f t="shared" si="23"/>
        <v>-4.4381918973698201E-4</v>
      </c>
      <c r="O329" t="b">
        <f t="shared" si="21"/>
        <v>1</v>
      </c>
      <c r="Q329" s="25">
        <f t="shared" si="19"/>
        <v>0.28269630673518131</v>
      </c>
      <c r="X329">
        <f t="shared" si="20"/>
        <v>1</v>
      </c>
    </row>
    <row r="330" spans="1:24">
      <c r="A330" s="26">
        <v>42859</v>
      </c>
      <c r="B330" s="23">
        <v>666.19</v>
      </c>
      <c r="C330" s="25">
        <f t="shared" si="22"/>
        <v>4.5841815577170736E-3</v>
      </c>
      <c r="E330" s="25">
        <f t="shared" si="18"/>
        <v>0.36800279272249381</v>
      </c>
      <c r="K330" s="28">
        <v>42859</v>
      </c>
      <c r="L330" s="23">
        <v>11997.73</v>
      </c>
      <c r="M330" s="25">
        <f t="shared" si="23"/>
        <v>4.6617151744538588E-3</v>
      </c>
      <c r="O330" t="b">
        <f t="shared" si="21"/>
        <v>1</v>
      </c>
      <c r="Q330" s="25">
        <f t="shared" si="19"/>
        <v>0.2878102868281458</v>
      </c>
      <c r="X330">
        <f t="shared" si="20"/>
        <v>1</v>
      </c>
    </row>
    <row r="331" spans="1:24">
      <c r="A331" s="27">
        <v>42860</v>
      </c>
      <c r="B331" s="24">
        <v>660.03</v>
      </c>
      <c r="C331" s="25">
        <f t="shared" si="22"/>
        <v>-9.2466113270989973E-3</v>
      </c>
      <c r="E331" s="25">
        <f t="shared" si="18"/>
        <v>0.3379619306318542</v>
      </c>
      <c r="K331" s="29">
        <v>42860</v>
      </c>
      <c r="L331" s="24">
        <v>11892.47</v>
      </c>
      <c r="M331" s="25">
        <f t="shared" si="23"/>
        <v>-8.8509788126436492E-3</v>
      </c>
      <c r="O331" t="b">
        <f t="shared" si="21"/>
        <v>1</v>
      </c>
      <c r="Q331" s="25">
        <f t="shared" si="19"/>
        <v>0.25743519579771879</v>
      </c>
      <c r="X331">
        <f t="shared" si="20"/>
        <v>1</v>
      </c>
    </row>
    <row r="332" spans="1:24">
      <c r="A332" s="26">
        <v>42863</v>
      </c>
      <c r="B332" s="23">
        <v>662.96</v>
      </c>
      <c r="C332" s="25">
        <f t="shared" si="22"/>
        <v>4.439192157932312E-3</v>
      </c>
      <c r="E332" s="25">
        <f t="shared" si="18"/>
        <v>0.33939430672566018</v>
      </c>
      <c r="K332" s="28">
        <v>42863</v>
      </c>
      <c r="L332" s="23">
        <v>11940.14</v>
      </c>
      <c r="M332" s="25">
        <f t="shared" si="23"/>
        <v>3.9924154993157598E-3</v>
      </c>
      <c r="O332" t="b">
        <f t="shared" si="21"/>
        <v>1</v>
      </c>
      <c r="Q332" s="25">
        <f t="shared" si="19"/>
        <v>0.25979282243037982</v>
      </c>
      <c r="X332">
        <f t="shared" si="20"/>
        <v>1</v>
      </c>
    </row>
    <row r="333" spans="1:24">
      <c r="A333" s="27">
        <v>42864</v>
      </c>
      <c r="B333" s="24">
        <v>663.86</v>
      </c>
      <c r="C333" s="25">
        <f t="shared" si="22"/>
        <v>1.3575479666947889E-3</v>
      </c>
      <c r="E333" s="25">
        <f t="shared" si="18"/>
        <v>0.34335667165810024</v>
      </c>
      <c r="K333" s="29">
        <v>42864</v>
      </c>
      <c r="L333" s="24">
        <v>11964.28</v>
      </c>
      <c r="M333" s="25">
        <f t="shared" si="23"/>
        <v>2.0176726054556759E-3</v>
      </c>
      <c r="O333" t="b">
        <f t="shared" si="21"/>
        <v>1</v>
      </c>
      <c r="Q333" s="25">
        <f t="shared" si="19"/>
        <v>0.26698916031633746</v>
      </c>
      <c r="X333">
        <f t="shared" si="20"/>
        <v>1</v>
      </c>
    </row>
    <row r="334" spans="1:24">
      <c r="A334" s="26">
        <v>42865</v>
      </c>
      <c r="B334" s="23">
        <v>668.87</v>
      </c>
      <c r="C334" s="25">
        <f t="shared" si="22"/>
        <v>7.5467719097399915E-3</v>
      </c>
      <c r="E334" s="25">
        <f t="shared" si="18"/>
        <v>0.34486779933648326</v>
      </c>
      <c r="K334" s="28">
        <v>42865</v>
      </c>
      <c r="L334" s="23">
        <v>12076.74</v>
      </c>
      <c r="M334" s="25">
        <f t="shared" si="23"/>
        <v>9.3121156868491931E-3</v>
      </c>
      <c r="O334" t="b">
        <f t="shared" si="21"/>
        <v>1</v>
      </c>
      <c r="Q334" s="25">
        <f t="shared" si="19"/>
        <v>0.26967342291432961</v>
      </c>
      <c r="X334">
        <f t="shared" si="20"/>
        <v>1</v>
      </c>
    </row>
    <row r="335" spans="1:24">
      <c r="A335" s="27">
        <v>42866</v>
      </c>
      <c r="B335" s="24">
        <v>671.93</v>
      </c>
      <c r="C335" s="25">
        <f t="shared" si="22"/>
        <v>4.5748800215287657E-3</v>
      </c>
      <c r="E335" s="25">
        <f t="shared" si="18"/>
        <v>0.35787325196022945</v>
      </c>
      <c r="K335" s="29">
        <v>42866</v>
      </c>
      <c r="L335" s="24">
        <v>12092.44</v>
      </c>
      <c r="M335" s="25">
        <f t="shared" si="23"/>
        <v>1.2983318503131482E-3</v>
      </c>
      <c r="O335" t="b">
        <f t="shared" si="21"/>
        <v>1</v>
      </c>
      <c r="Q335" s="25">
        <f t="shared" si="19"/>
        <v>0.28263101622428888</v>
      </c>
      <c r="X335">
        <f t="shared" si="20"/>
        <v>1</v>
      </c>
    </row>
    <row r="336" spans="1:24">
      <c r="A336" s="26">
        <v>42867</v>
      </c>
      <c r="B336" s="23">
        <v>668.65</v>
      </c>
      <c r="C336" s="25">
        <f t="shared" si="22"/>
        <v>-4.8814608664592635E-3</v>
      </c>
      <c r="E336" s="25">
        <f t="shared" si="18"/>
        <v>0.34466878494147934</v>
      </c>
      <c r="K336" s="28">
        <v>42867</v>
      </c>
      <c r="L336" s="23">
        <v>12046.33</v>
      </c>
      <c r="M336" s="25">
        <f t="shared" si="23"/>
        <v>-3.8277218040681754E-3</v>
      </c>
      <c r="O336" t="b">
        <f t="shared" si="21"/>
        <v>1</v>
      </c>
      <c r="Q336" s="25">
        <f t="shared" si="19"/>
        <v>0.27272102964388867</v>
      </c>
      <c r="X336">
        <f t="shared" si="20"/>
        <v>1</v>
      </c>
    </row>
    <row r="337" spans="1:24">
      <c r="A337" s="27">
        <v>42870</v>
      </c>
      <c r="B337" s="24">
        <v>673.92</v>
      </c>
      <c r="C337" s="25">
        <f t="shared" si="22"/>
        <v>7.8815523816645212E-3</v>
      </c>
      <c r="E337" s="25">
        <f t="shared" si="18"/>
        <v>0.35368793186565961</v>
      </c>
      <c r="K337" s="29">
        <v>42870</v>
      </c>
      <c r="L337" s="24">
        <v>12121.96</v>
      </c>
      <c r="M337" s="25">
        <f t="shared" si="23"/>
        <v>6.2390900481439637E-3</v>
      </c>
      <c r="O337" t="b">
        <f t="shared" si="21"/>
        <v>1</v>
      </c>
      <c r="Q337" s="25">
        <f t="shared" si="19"/>
        <v>0.27656957390321746</v>
      </c>
      <c r="X337">
        <f t="shared" si="20"/>
        <v>1</v>
      </c>
    </row>
    <row r="338" spans="1:24">
      <c r="A338" s="26">
        <v>42871</v>
      </c>
      <c r="B338" s="23">
        <v>677.2</v>
      </c>
      <c r="C338" s="25">
        <f t="shared" si="22"/>
        <v>4.8670465337133286E-3</v>
      </c>
      <c r="E338" s="25">
        <f t="shared" si="18"/>
        <v>0.36071371162192589</v>
      </c>
      <c r="K338" s="28">
        <v>42871</v>
      </c>
      <c r="L338" s="23">
        <v>12191.44</v>
      </c>
      <c r="M338" s="25">
        <f t="shared" si="23"/>
        <v>5.6990806664349233E-3</v>
      </c>
      <c r="O338" t="b">
        <f t="shared" si="21"/>
        <v>1</v>
      </c>
      <c r="Q338" s="25">
        <f t="shared" si="19"/>
        <v>0.28546770630690488</v>
      </c>
      <c r="X338">
        <f t="shared" si="20"/>
        <v>1</v>
      </c>
    </row>
    <row r="339" spans="1:24">
      <c r="A339" s="27">
        <v>42872</v>
      </c>
      <c r="B339" s="24">
        <v>677.7</v>
      </c>
      <c r="C339" s="25">
        <f t="shared" si="22"/>
        <v>7.3833431777909036E-4</v>
      </c>
      <c r="E339" s="25">
        <f t="shared" si="18"/>
        <v>0.37258476121035367</v>
      </c>
      <c r="K339" s="29">
        <v>42872</v>
      </c>
      <c r="L339" s="24">
        <v>12188.17</v>
      </c>
      <c r="M339" s="25">
        <f t="shared" si="23"/>
        <v>-2.6829294307516521E-4</v>
      </c>
      <c r="O339" t="b">
        <f t="shared" si="21"/>
        <v>1</v>
      </c>
      <c r="Q339" s="25">
        <f t="shared" si="19"/>
        <v>0.29985655704923464</v>
      </c>
      <c r="X339">
        <f t="shared" si="20"/>
        <v>1</v>
      </c>
    </row>
    <row r="340" spans="1:24">
      <c r="A340" s="26">
        <v>42873</v>
      </c>
      <c r="B340" s="23">
        <v>665.96</v>
      </c>
      <c r="C340" s="25">
        <f t="shared" si="22"/>
        <v>-1.7323299395012554E-2</v>
      </c>
      <c r="E340" s="25">
        <f t="shared" si="18"/>
        <v>0.35410016063113803</v>
      </c>
      <c r="K340" s="28">
        <v>42873</v>
      </c>
      <c r="L340" s="23">
        <v>12018.6</v>
      </c>
      <c r="M340" s="25">
        <f t="shared" si="23"/>
        <v>-1.4108964438453706E-2</v>
      </c>
      <c r="O340" t="b">
        <f t="shared" si="21"/>
        <v>1</v>
      </c>
      <c r="Q340" s="25">
        <f t="shared" si="19"/>
        <v>0.28834533392076733</v>
      </c>
      <c r="X340">
        <f t="shared" si="20"/>
        <v>1</v>
      </c>
    </row>
    <row r="341" spans="1:24">
      <c r="A341" s="27">
        <v>42874</v>
      </c>
      <c r="B341" s="24">
        <v>664.23</v>
      </c>
      <c r="C341" s="25">
        <f t="shared" si="22"/>
        <v>-2.5977536188359933E-3</v>
      </c>
      <c r="E341" s="25">
        <f t="shared" si="18"/>
        <v>0.35626339969372123</v>
      </c>
      <c r="K341" s="29">
        <v>42874</v>
      </c>
      <c r="L341" s="24">
        <v>11988.17</v>
      </c>
      <c r="M341" s="25">
        <f t="shared" si="23"/>
        <v>-2.5383357092867626E-3</v>
      </c>
      <c r="O341" t="b">
        <f t="shared" si="21"/>
        <v>1</v>
      </c>
      <c r="Q341" s="25">
        <f t="shared" si="19"/>
        <v>0.28860576080729139</v>
      </c>
      <c r="X341">
        <f t="shared" si="20"/>
        <v>1</v>
      </c>
    </row>
    <row r="342" spans="1:24">
      <c r="A342" s="26">
        <v>42877</v>
      </c>
      <c r="B342" s="23">
        <v>661.2</v>
      </c>
      <c r="C342" s="25">
        <f t="shared" si="22"/>
        <v>-4.5616729145024652E-3</v>
      </c>
      <c r="E342" s="25">
        <f t="shared" si="18"/>
        <v>0.3507936832213121</v>
      </c>
      <c r="K342" s="28">
        <v>42877</v>
      </c>
      <c r="L342" s="23">
        <v>11954.78</v>
      </c>
      <c r="M342" s="25">
        <f t="shared" si="23"/>
        <v>-2.7930250493944193E-3</v>
      </c>
      <c r="O342" t="b">
        <f t="shared" si="21"/>
        <v>1</v>
      </c>
      <c r="Q342" s="25">
        <f t="shared" si="19"/>
        <v>0.28435677305196938</v>
      </c>
      <c r="X342">
        <f t="shared" si="20"/>
        <v>1</v>
      </c>
    </row>
    <row r="343" spans="1:24">
      <c r="A343" s="27">
        <v>42878</v>
      </c>
      <c r="B343" s="24">
        <v>657.7</v>
      </c>
      <c r="C343" s="25">
        <f t="shared" si="22"/>
        <v>-5.2934059286146393E-3</v>
      </c>
      <c r="E343" s="25">
        <f t="shared" si="18"/>
        <v>0.32230241862522369</v>
      </c>
      <c r="K343" s="29">
        <v>42878</v>
      </c>
      <c r="L343" s="24">
        <v>11844.6</v>
      </c>
      <c r="M343" s="25">
        <f t="shared" si="23"/>
        <v>-9.3021292403289504E-3</v>
      </c>
      <c r="O343" t="b">
        <f t="shared" si="21"/>
        <v>1</v>
      </c>
      <c r="Q343" s="25">
        <f t="shared" si="19"/>
        <v>0.24789157673712481</v>
      </c>
      <c r="X343">
        <f t="shared" si="20"/>
        <v>1</v>
      </c>
    </row>
    <row r="344" spans="1:24">
      <c r="A344" s="26">
        <v>42879</v>
      </c>
      <c r="B344" s="23">
        <v>651.74</v>
      </c>
      <c r="C344" s="25">
        <f t="shared" si="22"/>
        <v>-9.0618823171659361E-3</v>
      </c>
      <c r="E344" s="25">
        <f t="shared" si="18"/>
        <v>0.29968492003350233</v>
      </c>
      <c r="K344" s="28">
        <v>42879</v>
      </c>
      <c r="L344" s="23">
        <v>11769.11</v>
      </c>
      <c r="M344" s="25">
        <f t="shared" si="23"/>
        <v>-6.4142488259519856E-3</v>
      </c>
      <c r="O344" t="b">
        <f t="shared" si="21"/>
        <v>1</v>
      </c>
      <c r="Q344" s="25">
        <f t="shared" si="19"/>
        <v>0.22180119780868912</v>
      </c>
      <c r="X344">
        <f t="shared" si="20"/>
        <v>1</v>
      </c>
    </row>
    <row r="345" spans="1:24">
      <c r="A345" s="27">
        <v>42880</v>
      </c>
      <c r="B345" s="24">
        <v>660.59</v>
      </c>
      <c r="C345" s="25">
        <f t="shared" si="22"/>
        <v>1.3579034584343485E-2</v>
      </c>
      <c r="E345" s="25">
        <f t="shared" si="18"/>
        <v>0.30665005142811941</v>
      </c>
      <c r="K345" s="29">
        <v>42880</v>
      </c>
      <c r="L345" s="24">
        <v>11954.04</v>
      </c>
      <c r="M345" s="25">
        <f t="shared" si="23"/>
        <v>1.5470083754111604E-2</v>
      </c>
      <c r="O345" t="b">
        <f t="shared" si="21"/>
        <v>1</v>
      </c>
      <c r="Q345" s="25">
        <f t="shared" si="19"/>
        <v>0.2278890322368583</v>
      </c>
      <c r="X345">
        <f t="shared" si="20"/>
        <v>1</v>
      </c>
    </row>
    <row r="346" spans="1:24">
      <c r="A346" s="26">
        <v>42881</v>
      </c>
      <c r="B346" s="23">
        <v>669.18</v>
      </c>
      <c r="C346" s="25">
        <f t="shared" si="22"/>
        <v>1.3003527149971871E-2</v>
      </c>
      <c r="E346" s="25">
        <f t="shared" si="18"/>
        <v>0.32048069143793034</v>
      </c>
      <c r="K346" s="28">
        <v>42881</v>
      </c>
      <c r="L346" s="23">
        <v>12098.08</v>
      </c>
      <c r="M346" s="25">
        <f t="shared" si="23"/>
        <v>1.1906021451337654E-2</v>
      </c>
      <c r="O346" t="b">
        <f t="shared" si="21"/>
        <v>1</v>
      </c>
      <c r="Q346" s="25">
        <f t="shared" si="19"/>
        <v>0.23697190298965287</v>
      </c>
      <c r="X346">
        <f t="shared" si="20"/>
        <v>1</v>
      </c>
    </row>
    <row r="347" spans="1:24">
      <c r="A347" s="27">
        <v>42884</v>
      </c>
      <c r="B347" s="24">
        <v>666.99</v>
      </c>
      <c r="C347" s="25">
        <f t="shared" si="22"/>
        <v>-3.2726620640185617E-3</v>
      </c>
      <c r="E347" s="25">
        <f t="shared" si="18"/>
        <v>0.31527676441008845</v>
      </c>
      <c r="K347" s="29">
        <v>42884</v>
      </c>
      <c r="L347" s="24">
        <v>12052.09</v>
      </c>
      <c r="M347" s="25">
        <f t="shared" si="23"/>
        <v>-3.8159356592922704E-3</v>
      </c>
      <c r="O347" t="b">
        <f t="shared" si="21"/>
        <v>1</v>
      </c>
      <c r="Q347" s="25">
        <f t="shared" si="19"/>
        <v>0.23521357289929679</v>
      </c>
      <c r="X347">
        <f t="shared" si="20"/>
        <v>1</v>
      </c>
    </row>
    <row r="348" spans="1:24">
      <c r="A348" s="26">
        <v>42885</v>
      </c>
      <c r="B348" s="23">
        <v>671.11</v>
      </c>
      <c r="C348" s="25">
        <f t="shared" si="22"/>
        <v>6.1770041529858087E-3</v>
      </c>
      <c r="E348" s="25">
        <f t="shared" si="18"/>
        <v>0.32475966758127894</v>
      </c>
      <c r="K348" s="28">
        <v>42885</v>
      </c>
      <c r="L348" s="23">
        <v>12094.79</v>
      </c>
      <c r="M348" s="25">
        <f t="shared" si="23"/>
        <v>3.5304457539155889E-3</v>
      </c>
      <c r="O348" t="b">
        <f t="shared" si="21"/>
        <v>1</v>
      </c>
      <c r="Q348" s="25">
        <f t="shared" si="19"/>
        <v>0.23751236766470885</v>
      </c>
      <c r="X348">
        <f t="shared" si="20"/>
        <v>1</v>
      </c>
    </row>
    <row r="349" spans="1:24">
      <c r="A349" s="27">
        <v>42886</v>
      </c>
      <c r="B349" s="24">
        <v>673.95</v>
      </c>
      <c r="C349" s="25">
        <f t="shared" si="22"/>
        <v>4.2317950857535007E-3</v>
      </c>
      <c r="E349" s="25">
        <f t="shared" si="18"/>
        <v>0.32401477348630725</v>
      </c>
      <c r="K349" s="29">
        <v>42886</v>
      </c>
      <c r="L349" s="24">
        <v>12126.76</v>
      </c>
      <c r="M349" s="25">
        <f t="shared" si="23"/>
        <v>2.6363183570879069E-3</v>
      </c>
      <c r="O349" t="b">
        <f t="shared" si="21"/>
        <v>1</v>
      </c>
      <c r="Q349" s="25">
        <f t="shared" si="19"/>
        <v>0.23465030614883697</v>
      </c>
      <c r="X349">
        <f t="shared" si="20"/>
        <v>1</v>
      </c>
    </row>
    <row r="350" spans="1:24">
      <c r="A350" s="26">
        <v>42887</v>
      </c>
      <c r="B350" s="23">
        <v>674.43</v>
      </c>
      <c r="C350" s="25">
        <f t="shared" si="22"/>
        <v>7.1221900734461671E-4</v>
      </c>
      <c r="E350" s="25">
        <f t="shared" si="18"/>
        <v>0.32527019060719198</v>
      </c>
      <c r="K350" s="28">
        <v>42887</v>
      </c>
      <c r="L350" s="23">
        <v>12156.89</v>
      </c>
      <c r="M350" s="25">
        <f t="shared" si="23"/>
        <v>2.4784299273909035E-3</v>
      </c>
      <c r="O350" t="b">
        <f t="shared" si="21"/>
        <v>1</v>
      </c>
      <c r="Q350" s="25">
        <f t="shared" si="19"/>
        <v>0.23829658067335324</v>
      </c>
      <c r="X350">
        <f t="shared" si="20"/>
        <v>1</v>
      </c>
    </row>
    <row r="351" spans="1:24">
      <c r="A351" s="27">
        <v>42888</v>
      </c>
      <c r="B351" s="24">
        <v>676.88</v>
      </c>
      <c r="C351" s="25">
        <f t="shared" si="22"/>
        <v>3.6326972406328984E-3</v>
      </c>
      <c r="E351" s="25">
        <f t="shared" si="18"/>
        <v>0.33228358855253326</v>
      </c>
      <c r="K351" s="29">
        <v>42888</v>
      </c>
      <c r="L351" s="24">
        <v>12214.27</v>
      </c>
      <c r="M351" s="25">
        <f t="shared" si="23"/>
        <v>4.6977838217102628E-3</v>
      </c>
      <c r="O351" t="b">
        <f t="shared" si="21"/>
        <v>1</v>
      </c>
      <c r="Q351" s="25">
        <f t="shared" si="19"/>
        <v>0.24588115531655341</v>
      </c>
      <c r="X351">
        <f t="shared" si="20"/>
        <v>1</v>
      </c>
    </row>
    <row r="352" spans="1:24">
      <c r="A352" s="26">
        <v>42891</v>
      </c>
      <c r="B352" s="23">
        <v>679.34</v>
      </c>
      <c r="C352" s="25">
        <f t="shared" si="22"/>
        <v>3.6343221841390445E-3</v>
      </c>
      <c r="E352" s="25">
        <f t="shared" si="18"/>
        <v>0.32797716787864584</v>
      </c>
      <c r="K352" s="28">
        <v>42891</v>
      </c>
      <c r="L352" s="23">
        <v>12265.94</v>
      </c>
      <c r="M352" s="25">
        <f t="shared" si="23"/>
        <v>4.2124778043916792E-3</v>
      </c>
      <c r="O352" t="b">
        <f t="shared" si="21"/>
        <v>1</v>
      </c>
      <c r="Q352" s="25">
        <f t="shared" si="19"/>
        <v>0.24172692604774393</v>
      </c>
      <c r="X352">
        <f t="shared" si="20"/>
        <v>1</v>
      </c>
    </row>
    <row r="353" spans="1:24">
      <c r="A353" s="27">
        <v>42892</v>
      </c>
      <c r="B353" s="24">
        <v>675.95</v>
      </c>
      <c r="C353" s="25">
        <f t="shared" si="22"/>
        <v>-4.9901374863838225E-3</v>
      </c>
      <c r="E353" s="25">
        <f t="shared" si="18"/>
        <v>0.31838661231495391</v>
      </c>
      <c r="K353" s="29">
        <v>42892</v>
      </c>
      <c r="L353" s="24">
        <v>12209.99</v>
      </c>
      <c r="M353" s="25">
        <f t="shared" si="23"/>
        <v>-4.5823133352280165E-3</v>
      </c>
      <c r="O353" t="b">
        <f t="shared" si="21"/>
        <v>1</v>
      </c>
      <c r="Q353" s="25">
        <f t="shared" si="19"/>
        <v>0.23290516518014459</v>
      </c>
      <c r="X353">
        <f t="shared" si="20"/>
        <v>1</v>
      </c>
    </row>
    <row r="354" spans="1:24">
      <c r="A354" s="26">
        <v>42893</v>
      </c>
      <c r="B354" s="23">
        <v>678.14</v>
      </c>
      <c r="C354" s="25">
        <f t="shared" si="22"/>
        <v>3.2398846068495313E-3</v>
      </c>
      <c r="E354" s="25">
        <f t="shared" si="18"/>
        <v>0.32602021861129016</v>
      </c>
      <c r="K354" s="28">
        <v>42893</v>
      </c>
      <c r="L354" s="23">
        <v>12259.86</v>
      </c>
      <c r="M354" s="25">
        <f t="shared" si="23"/>
        <v>4.0677462874780627E-3</v>
      </c>
      <c r="O354" t="b">
        <f t="shared" si="21"/>
        <v>1</v>
      </c>
      <c r="Q354" s="25">
        <f t="shared" si="19"/>
        <v>0.24503756481682726</v>
      </c>
      <c r="X354">
        <f t="shared" si="20"/>
        <v>1</v>
      </c>
    </row>
    <row r="355" spans="1:24">
      <c r="A355" s="27">
        <v>42894</v>
      </c>
      <c r="B355" s="24">
        <v>678.34</v>
      </c>
      <c r="C355" s="25">
        <f t="shared" si="22"/>
        <v>2.9492435190380374E-4</v>
      </c>
      <c r="E355" s="25">
        <f t="shared" si="18"/>
        <v>0.33216810683424991</v>
      </c>
      <c r="K355" s="29">
        <v>42894</v>
      </c>
      <c r="L355" s="24">
        <v>12256.91</v>
      </c>
      <c r="M355" s="25">
        <f t="shared" si="23"/>
        <v>-2.4068056304572095E-4</v>
      </c>
      <c r="O355" t="b">
        <f t="shared" si="21"/>
        <v>1</v>
      </c>
      <c r="Q355" s="25">
        <f t="shared" si="19"/>
        <v>0.24940852197260588</v>
      </c>
      <c r="X355">
        <f t="shared" si="20"/>
        <v>1</v>
      </c>
    </row>
    <row r="356" spans="1:24">
      <c r="A356" s="26">
        <v>42895</v>
      </c>
      <c r="B356" s="23">
        <v>682.02</v>
      </c>
      <c r="C356" s="25">
        <f t="shared" si="22"/>
        <v>5.4250081080283487E-3</v>
      </c>
      <c r="E356" s="25">
        <f t="shared" si="18"/>
        <v>0.34677435279714053</v>
      </c>
      <c r="K356" s="28">
        <v>42895</v>
      </c>
      <c r="L356" s="23">
        <v>12291.31</v>
      </c>
      <c r="M356" s="25">
        <f t="shared" si="23"/>
        <v>2.798725278265672E-3</v>
      </c>
      <c r="O356" t="b">
        <f t="shared" si="21"/>
        <v>1</v>
      </c>
      <c r="Q356" s="25">
        <f t="shared" si="19"/>
        <v>0.26157233253103551</v>
      </c>
      <c r="X356">
        <f t="shared" si="20"/>
        <v>1</v>
      </c>
    </row>
    <row r="357" spans="1:24">
      <c r="A357" s="27">
        <v>42898</v>
      </c>
      <c r="B357" s="24">
        <v>679.34</v>
      </c>
      <c r="C357" s="25">
        <f t="shared" si="22"/>
        <v>-3.9295035336206416E-3</v>
      </c>
      <c r="E357" s="25">
        <f t="shared" si="18"/>
        <v>0.34068796747646601</v>
      </c>
      <c r="K357" s="29">
        <v>42898</v>
      </c>
      <c r="L357" s="24">
        <v>12227.81</v>
      </c>
      <c r="M357" s="25">
        <f t="shared" si="23"/>
        <v>-5.1930803635319815E-3</v>
      </c>
      <c r="O357" t="b">
        <f t="shared" si="21"/>
        <v>1</v>
      </c>
      <c r="Q357" s="25">
        <f t="shared" si="19"/>
        <v>0.25343500651943929</v>
      </c>
      <c r="X357">
        <f t="shared" si="20"/>
        <v>1</v>
      </c>
    </row>
    <row r="358" spans="1:24">
      <c r="A358" s="26">
        <v>42899</v>
      </c>
      <c r="B358" s="23">
        <v>680.36</v>
      </c>
      <c r="C358" s="25">
        <f t="shared" si="22"/>
        <v>1.5014572967880322E-3</v>
      </c>
      <c r="E358" s="25">
        <f t="shared" si="18"/>
        <v>0.33142857142857141</v>
      </c>
      <c r="K358" s="28">
        <v>42899</v>
      </c>
      <c r="L358" s="23">
        <v>12230.1</v>
      </c>
      <c r="M358" s="25">
        <f t="shared" si="23"/>
        <v>1.8724294977153687E-4</v>
      </c>
      <c r="O358" t="b">
        <f t="shared" si="21"/>
        <v>1</v>
      </c>
      <c r="Q358" s="25">
        <f t="shared" si="19"/>
        <v>0.24066591665998827</v>
      </c>
      <c r="X358">
        <f t="shared" si="20"/>
        <v>1</v>
      </c>
    </row>
    <row r="359" spans="1:24">
      <c r="A359" s="27">
        <v>42900</v>
      </c>
      <c r="B359" s="24">
        <v>679.42</v>
      </c>
      <c r="C359" s="25">
        <f t="shared" si="22"/>
        <v>-1.3816214945029904E-3</v>
      </c>
      <c r="E359" s="25">
        <f t="shared" si="18"/>
        <v>0.33978821163061257</v>
      </c>
      <c r="K359" s="29">
        <v>42900</v>
      </c>
      <c r="L359" s="24">
        <v>12248.8</v>
      </c>
      <c r="M359" s="25">
        <f t="shared" si="23"/>
        <v>1.5266801645874625E-3</v>
      </c>
      <c r="O359" t="b">
        <f t="shared" si="21"/>
        <v>1</v>
      </c>
      <c r="Q359" s="25">
        <f t="shared" si="19"/>
        <v>0.24983674002481537</v>
      </c>
      <c r="X359">
        <f t="shared" si="20"/>
        <v>1</v>
      </c>
    </row>
    <row r="360" spans="1:24">
      <c r="A360" s="26">
        <v>42901</v>
      </c>
      <c r="B360" s="23">
        <v>678.95</v>
      </c>
      <c r="C360" s="25">
        <f t="shared" si="22"/>
        <v>-6.9176650672619824E-4</v>
      </c>
      <c r="E360" s="25">
        <f t="shared" si="18"/>
        <v>0.33638421415215047</v>
      </c>
      <c r="K360" s="28">
        <v>42901</v>
      </c>
      <c r="L360" s="23">
        <v>12219.65</v>
      </c>
      <c r="M360" s="25">
        <f t="shared" si="23"/>
        <v>-2.3855020397474261E-3</v>
      </c>
      <c r="O360" t="b">
        <f t="shared" si="21"/>
        <v>1</v>
      </c>
      <c r="Q360" s="25">
        <f t="shared" si="19"/>
        <v>0.24274872975644679</v>
      </c>
      <c r="X360">
        <f t="shared" si="20"/>
        <v>1</v>
      </c>
    </row>
    <row r="361" spans="1:24">
      <c r="A361" s="27">
        <v>42902</v>
      </c>
      <c r="B361" s="24">
        <v>679.82</v>
      </c>
      <c r="C361" s="25">
        <f t="shared" si="22"/>
        <v>1.2813903822078275E-3</v>
      </c>
      <c r="E361" s="25">
        <f t="shared" si="18"/>
        <v>0.32946123007724659</v>
      </c>
      <c r="K361" s="29">
        <v>42902</v>
      </c>
      <c r="L361" s="24">
        <v>12236.16</v>
      </c>
      <c r="M361" s="25">
        <f t="shared" si="23"/>
        <v>1.3492795125268236E-3</v>
      </c>
      <c r="O361" t="b">
        <f t="shared" si="21"/>
        <v>1</v>
      </c>
      <c r="Q361" s="25">
        <f t="shared" si="19"/>
        <v>0.23559509444060178</v>
      </c>
      <c r="X361">
        <f t="shared" si="20"/>
        <v>1</v>
      </c>
    </row>
    <row r="362" spans="1:24">
      <c r="A362" s="26">
        <v>42905</v>
      </c>
      <c r="B362" s="23">
        <v>683.09</v>
      </c>
      <c r="C362" s="25">
        <f t="shared" si="22"/>
        <v>4.8100967903268238E-3</v>
      </c>
      <c r="E362" s="25">
        <f t="shared" si="18"/>
        <v>0.33622190489231452</v>
      </c>
      <c r="K362" s="28">
        <v>42905</v>
      </c>
      <c r="L362" s="23">
        <v>12296.81</v>
      </c>
      <c r="M362" s="25">
        <f t="shared" si="23"/>
        <v>4.9321734661265512E-3</v>
      </c>
      <c r="O362" t="b">
        <f t="shared" si="21"/>
        <v>1</v>
      </c>
      <c r="Q362" s="25">
        <f t="shared" si="19"/>
        <v>0.2426430092292704</v>
      </c>
      <c r="X362">
        <f t="shared" si="20"/>
        <v>1</v>
      </c>
    </row>
    <row r="363" spans="1:24">
      <c r="A363" s="27">
        <v>42906</v>
      </c>
      <c r="B363" s="24">
        <v>684.86</v>
      </c>
      <c r="C363" s="25">
        <f t="shared" si="22"/>
        <v>2.5911666105490954E-3</v>
      </c>
      <c r="E363" s="25">
        <f t="shared" si="18"/>
        <v>0.34041845262560422</v>
      </c>
      <c r="K363" s="29">
        <v>42906</v>
      </c>
      <c r="L363" s="24">
        <v>12301.38</v>
      </c>
      <c r="M363" s="25">
        <f t="shared" si="23"/>
        <v>3.7150303461885653E-4</v>
      </c>
      <c r="O363" t="b">
        <f t="shared" si="21"/>
        <v>1</v>
      </c>
      <c r="Q363" s="25">
        <f t="shared" si="19"/>
        <v>0.24565134181091319</v>
      </c>
      <c r="X363">
        <f t="shared" si="20"/>
        <v>1</v>
      </c>
    </row>
    <row r="364" spans="1:24">
      <c r="A364" s="26">
        <v>42907</v>
      </c>
      <c r="B364" s="23">
        <v>684.29</v>
      </c>
      <c r="C364" s="25">
        <f t="shared" si="22"/>
        <v>-8.3228689075146749E-4</v>
      </c>
      <c r="E364" s="25">
        <f t="shared" si="18"/>
        <v>0.32962207325366744</v>
      </c>
      <c r="K364" s="28">
        <v>42907</v>
      </c>
      <c r="L364" s="23">
        <v>12286.83</v>
      </c>
      <c r="M364" s="25">
        <f t="shared" si="23"/>
        <v>-1.1841947841712852E-3</v>
      </c>
      <c r="O364" t="b">
        <f t="shared" si="21"/>
        <v>1</v>
      </c>
      <c r="Q364" s="25">
        <f t="shared" si="19"/>
        <v>0.23699062906479917</v>
      </c>
      <c r="X364">
        <f t="shared" si="20"/>
        <v>1</v>
      </c>
    </row>
    <row r="365" spans="1:24">
      <c r="A365" s="27">
        <v>42908</v>
      </c>
      <c r="B365" s="24">
        <v>681.8</v>
      </c>
      <c r="C365" s="25">
        <f t="shared" si="22"/>
        <v>-3.6388081076736607E-3</v>
      </c>
      <c r="E365" s="25">
        <f t="shared" si="18"/>
        <v>0.35087475976303217</v>
      </c>
      <c r="K365" s="29">
        <v>42908</v>
      </c>
      <c r="L365" s="24">
        <v>12260.64</v>
      </c>
      <c r="M365" s="25">
        <f t="shared" si="23"/>
        <v>-2.1361038249227212E-3</v>
      </c>
      <c r="O365" t="b">
        <f t="shared" si="21"/>
        <v>1</v>
      </c>
      <c r="Q365" s="25">
        <f t="shared" si="19"/>
        <v>0.25895159244955979</v>
      </c>
      <c r="X365">
        <f t="shared" si="20"/>
        <v>1</v>
      </c>
    </row>
    <row r="366" spans="1:24">
      <c r="A366" s="26">
        <v>42909</v>
      </c>
      <c r="B366" s="23">
        <v>676.54</v>
      </c>
      <c r="C366" s="25">
        <f t="shared" si="22"/>
        <v>-7.7148723965972301E-3</v>
      </c>
      <c r="E366" s="25">
        <f t="shared" si="18"/>
        <v>0.33389853900904987</v>
      </c>
      <c r="K366" s="28">
        <v>42909</v>
      </c>
      <c r="L366" s="23">
        <v>12160.56</v>
      </c>
      <c r="M366" s="25">
        <f t="shared" si="23"/>
        <v>-8.229884150072031E-3</v>
      </c>
      <c r="O366" t="b">
        <f t="shared" si="21"/>
        <v>1</v>
      </c>
      <c r="Q366" s="25">
        <f t="shared" si="19"/>
        <v>0.24349750289386174</v>
      </c>
      <c r="X366">
        <f t="shared" si="20"/>
        <v>1</v>
      </c>
    </row>
    <row r="367" spans="1:24">
      <c r="A367" s="27">
        <v>42913</v>
      </c>
      <c r="B367" s="24">
        <v>672.2</v>
      </c>
      <c r="C367" s="25">
        <f t="shared" si="22"/>
        <v>-6.4149939397521484E-3</v>
      </c>
      <c r="E367" s="25">
        <f t="shared" si="18"/>
        <v>0.31886673991524095</v>
      </c>
      <c r="K367" s="29">
        <v>42913</v>
      </c>
      <c r="L367" s="24">
        <v>12059.45</v>
      </c>
      <c r="M367" s="25">
        <f t="shared" si="23"/>
        <v>-8.3842961329081145E-3</v>
      </c>
      <c r="O367" t="b">
        <f t="shared" si="21"/>
        <v>1</v>
      </c>
      <c r="Q367" s="25">
        <f t="shared" si="19"/>
        <v>0.22701655530423981</v>
      </c>
      <c r="X367">
        <f t="shared" si="20"/>
        <v>1</v>
      </c>
    </row>
    <row r="368" spans="1:24">
      <c r="A368" s="26">
        <v>42914</v>
      </c>
      <c r="B368" s="23">
        <v>674.57</v>
      </c>
      <c r="C368" s="25">
        <f t="shared" si="22"/>
        <v>3.5257363879797744E-3</v>
      </c>
      <c r="E368" s="25">
        <f t="shared" si="18"/>
        <v>0.30941242696585602</v>
      </c>
      <c r="K368" s="28">
        <v>42914</v>
      </c>
      <c r="L368" s="23">
        <v>12051.07</v>
      </c>
      <c r="M368" s="25">
        <f t="shared" si="23"/>
        <v>-6.9537393775001045E-4</v>
      </c>
      <c r="O368" t="b">
        <f t="shared" si="21"/>
        <v>1</v>
      </c>
      <c r="Q368" s="25">
        <f t="shared" si="19"/>
        <v>0.2132943100039062</v>
      </c>
      <c r="X368">
        <f t="shared" si="20"/>
        <v>1</v>
      </c>
    </row>
    <row r="369" spans="1:24">
      <c r="A369" s="27">
        <v>42915</v>
      </c>
      <c r="B369" s="24">
        <v>677.07</v>
      </c>
      <c r="C369" s="25">
        <f t="shared" si="22"/>
        <v>3.7060646041181789E-3</v>
      </c>
      <c r="E369" s="25">
        <f t="shared" si="18"/>
        <v>0.30008256686956369</v>
      </c>
      <c r="K369" s="29">
        <v>42915</v>
      </c>
      <c r="L369" s="24">
        <v>12087.21</v>
      </c>
      <c r="M369" s="25">
        <f t="shared" si="23"/>
        <v>2.9899372973580685E-3</v>
      </c>
      <c r="O369" t="b">
        <f t="shared" si="21"/>
        <v>1</v>
      </c>
      <c r="Q369" s="25">
        <f t="shared" si="19"/>
        <v>0.20405768458759233</v>
      </c>
      <c r="X369">
        <f t="shared" si="20"/>
        <v>1</v>
      </c>
    </row>
    <row r="370" spans="1:24">
      <c r="A370" s="26">
        <v>42916</v>
      </c>
      <c r="B370" s="23">
        <v>680.27</v>
      </c>
      <c r="C370" s="25">
        <f t="shared" si="22"/>
        <v>4.7262469168622614E-3</v>
      </c>
      <c r="E370" s="25">
        <f t="shared" si="18"/>
        <v>0.29287112530170867</v>
      </c>
      <c r="K370" s="28">
        <v>42916</v>
      </c>
      <c r="L370" s="23">
        <v>12132.6</v>
      </c>
      <c r="M370" s="25">
        <f t="shared" si="23"/>
        <v>3.7411601800109817E-3</v>
      </c>
      <c r="O370" t="b">
        <f t="shared" si="21"/>
        <v>1</v>
      </c>
      <c r="Q370" s="25">
        <f t="shared" si="19"/>
        <v>0.2004880080820155</v>
      </c>
      <c r="X370">
        <f t="shared" si="20"/>
        <v>1</v>
      </c>
    </row>
    <row r="371" spans="1:24">
      <c r="A371" s="27">
        <v>42919</v>
      </c>
      <c r="B371" s="24">
        <v>686.31</v>
      </c>
      <c r="C371" s="25">
        <f t="shared" si="22"/>
        <v>8.8788275243652723E-3</v>
      </c>
      <c r="E371" s="25">
        <f t="shared" si="18"/>
        <v>0.29744597992324695</v>
      </c>
      <c r="K371" s="29">
        <v>42919</v>
      </c>
      <c r="L371" s="24">
        <v>12256.67</v>
      </c>
      <c r="M371" s="25">
        <f t="shared" si="23"/>
        <v>1.0122651584810533E-2</v>
      </c>
      <c r="O371" t="b">
        <f t="shared" si="21"/>
        <v>1</v>
      </c>
      <c r="Q371" s="25">
        <f t="shared" si="19"/>
        <v>0.20516829251265234</v>
      </c>
      <c r="X371">
        <f t="shared" si="20"/>
        <v>1</v>
      </c>
    </row>
    <row r="372" spans="1:24">
      <c r="A372" s="26">
        <v>42920</v>
      </c>
      <c r="B372" s="23">
        <v>685.27</v>
      </c>
      <c r="C372" s="25">
        <f t="shared" si="22"/>
        <v>-1.5153502061749991E-3</v>
      </c>
      <c r="E372" s="25">
        <f t="shared" si="18"/>
        <v>0.29778611063765315</v>
      </c>
      <c r="K372" s="28">
        <v>42920</v>
      </c>
      <c r="L372" s="23">
        <v>12248.5</v>
      </c>
      <c r="M372" s="25">
        <f t="shared" si="23"/>
        <v>-6.6702045148386109E-4</v>
      </c>
      <c r="O372" t="b">
        <f t="shared" si="21"/>
        <v>1</v>
      </c>
      <c r="Q372" s="25">
        <f t="shared" si="19"/>
        <v>0.20792098736211995</v>
      </c>
      <c r="X372">
        <f t="shared" si="20"/>
        <v>1</v>
      </c>
    </row>
    <row r="373" spans="1:24">
      <c r="A373" s="27">
        <v>42921</v>
      </c>
      <c r="B373" s="24">
        <v>690.31</v>
      </c>
      <c r="C373" s="25">
        <f t="shared" si="22"/>
        <v>7.354765275001042E-3</v>
      </c>
      <c r="E373" s="25">
        <f t="shared" si="18"/>
        <v>0.31113010446343758</v>
      </c>
      <c r="K373" s="29">
        <v>42921</v>
      </c>
      <c r="L373" s="24">
        <v>12308.37</v>
      </c>
      <c r="M373" s="25">
        <f t="shared" si="23"/>
        <v>4.8641696666577947E-3</v>
      </c>
      <c r="O373" t="b">
        <f t="shared" si="21"/>
        <v>1</v>
      </c>
      <c r="Q373" s="25">
        <f t="shared" si="19"/>
        <v>0.21375342060498492</v>
      </c>
      <c r="X373">
        <f t="shared" si="20"/>
        <v>1</v>
      </c>
    </row>
    <row r="374" spans="1:24">
      <c r="A374" s="26">
        <v>42922</v>
      </c>
      <c r="B374" s="23">
        <v>691.09</v>
      </c>
      <c r="C374" s="25">
        <f t="shared" si="22"/>
        <v>1.1299271341862155E-3</v>
      </c>
      <c r="E374" s="25">
        <f t="shared" si="18"/>
        <v>0.31288588309048437</v>
      </c>
      <c r="K374" s="28">
        <v>42922</v>
      </c>
      <c r="L374" s="23">
        <v>12357.06</v>
      </c>
      <c r="M374" s="25">
        <f t="shared" si="23"/>
        <v>3.940257634097325E-3</v>
      </c>
      <c r="O374" t="b">
        <f t="shared" si="21"/>
        <v>1</v>
      </c>
      <c r="Q374" s="25">
        <f t="shared" si="19"/>
        <v>0.22032984396602795</v>
      </c>
      <c r="X374">
        <f t="shared" si="20"/>
        <v>1</v>
      </c>
    </row>
    <row r="375" spans="1:24">
      <c r="A375" s="27">
        <v>42923</v>
      </c>
      <c r="B375" s="24">
        <v>689.84</v>
      </c>
      <c r="C375" s="25">
        <f t="shared" si="22"/>
        <v>-1.8087369228320478E-3</v>
      </c>
      <c r="E375" s="25">
        <f t="shared" si="18"/>
        <v>0.29120652865645957</v>
      </c>
      <c r="K375" s="29">
        <v>42923</v>
      </c>
      <c r="L375" s="24">
        <v>12353.92</v>
      </c>
      <c r="M375" s="25">
        <f t="shared" si="23"/>
        <v>-2.5417033621712122E-4</v>
      </c>
      <c r="O375" t="b">
        <f t="shared" si="21"/>
        <v>1</v>
      </c>
      <c r="Q375" s="25">
        <f t="shared" si="19"/>
        <v>0.20085890059557321</v>
      </c>
      <c r="X375">
        <f t="shared" si="20"/>
        <v>1</v>
      </c>
    </row>
    <row r="376" spans="1:24">
      <c r="A376" s="26">
        <v>42926</v>
      </c>
      <c r="B376" s="23">
        <v>693.79</v>
      </c>
      <c r="C376" s="25">
        <f t="shared" si="22"/>
        <v>5.7259654412616431E-3</v>
      </c>
      <c r="E376" s="25">
        <f t="shared" ref="E376:E439" si="24">(B376/B131)-1</f>
        <v>0.2917333829826847</v>
      </c>
      <c r="K376" s="28">
        <v>42926</v>
      </c>
      <c r="L376" s="23">
        <v>12467.16</v>
      </c>
      <c r="M376" s="25">
        <f t="shared" si="23"/>
        <v>9.0830630231744664E-3</v>
      </c>
      <c r="O376" t="b">
        <f t="shared" si="21"/>
        <v>1</v>
      </c>
      <c r="Q376" s="25">
        <f t="shared" ref="Q376:Q439" si="25">(L376/L131)-1</f>
        <v>0.20496399748707295</v>
      </c>
      <c r="X376">
        <f t="shared" ref="X376:X439" si="26">IF(E376&gt;Q376,1,0)</f>
        <v>1</v>
      </c>
    </row>
    <row r="377" spans="1:24">
      <c r="A377" s="27">
        <v>42927</v>
      </c>
      <c r="B377" s="24">
        <v>692.32</v>
      </c>
      <c r="C377" s="25">
        <f t="shared" si="22"/>
        <v>-2.1187967540609027E-3</v>
      </c>
      <c r="E377" s="25">
        <f t="shared" si="24"/>
        <v>0.29347582392945237</v>
      </c>
      <c r="K377" s="29">
        <v>42927</v>
      </c>
      <c r="L377" s="24">
        <v>12450.31</v>
      </c>
      <c r="M377" s="25">
        <f t="shared" si="23"/>
        <v>-1.3533799560011249E-3</v>
      </c>
      <c r="O377" t="b">
        <f t="shared" si="21"/>
        <v>1</v>
      </c>
      <c r="Q377" s="25">
        <f t="shared" si="25"/>
        <v>0.20585284118974512</v>
      </c>
      <c r="X377">
        <f t="shared" si="26"/>
        <v>1</v>
      </c>
    </row>
    <row r="378" spans="1:24">
      <c r="A378" s="26">
        <v>42928</v>
      </c>
      <c r="B378" s="23">
        <v>696.42</v>
      </c>
      <c r="C378" s="25">
        <f t="shared" si="22"/>
        <v>5.9221169401431541E-3</v>
      </c>
      <c r="E378" s="25">
        <f t="shared" si="24"/>
        <v>0.29150826178068723</v>
      </c>
      <c r="K378" s="28">
        <v>42928</v>
      </c>
      <c r="L378" s="23">
        <v>12510.04</v>
      </c>
      <c r="M378" s="25">
        <f t="shared" si="23"/>
        <v>4.7745650693364191E-3</v>
      </c>
      <c r="O378" t="b">
        <f t="shared" si="21"/>
        <v>1</v>
      </c>
      <c r="Q378" s="25">
        <f t="shared" si="25"/>
        <v>0.20509935535578738</v>
      </c>
      <c r="X378">
        <f t="shared" si="26"/>
        <v>1</v>
      </c>
    </row>
    <row r="379" spans="1:24">
      <c r="A379" s="27">
        <v>42929</v>
      </c>
      <c r="B379" s="24">
        <v>701.24</v>
      </c>
      <c r="C379" s="25">
        <f t="shared" si="22"/>
        <v>6.9211108239281612E-3</v>
      </c>
      <c r="E379" s="25">
        <f t="shared" si="24"/>
        <v>0.29977201534725961</v>
      </c>
      <c r="K379" s="29">
        <v>42929</v>
      </c>
      <c r="L379" s="24">
        <v>12605.02</v>
      </c>
      <c r="M379" s="25">
        <f t="shared" si="23"/>
        <v>7.5350931612960205E-3</v>
      </c>
      <c r="O379" t="b">
        <f t="shared" si="21"/>
        <v>1</v>
      </c>
      <c r="Q379" s="25">
        <f t="shared" si="25"/>
        <v>0.217151917312981</v>
      </c>
      <c r="X379">
        <f t="shared" si="26"/>
        <v>1</v>
      </c>
    </row>
    <row r="380" spans="1:24">
      <c r="A380" s="26">
        <v>42930</v>
      </c>
      <c r="B380" s="23">
        <v>702.16</v>
      </c>
      <c r="C380" s="25">
        <f t="shared" si="22"/>
        <v>1.3119616679025143E-3</v>
      </c>
      <c r="E380" s="25">
        <f t="shared" si="24"/>
        <v>0.30488756736666045</v>
      </c>
      <c r="K380" s="28">
        <v>42930</v>
      </c>
      <c r="L380" s="23">
        <v>12602.52</v>
      </c>
      <c r="M380" s="25">
        <f t="shared" si="23"/>
        <v>-1.9837302380793683E-4</v>
      </c>
      <c r="O380" t="b">
        <f t="shared" si="21"/>
        <v>1</v>
      </c>
      <c r="Q380" s="25">
        <f t="shared" si="25"/>
        <v>0.2222557359369286</v>
      </c>
      <c r="X380">
        <f t="shared" si="26"/>
        <v>1</v>
      </c>
    </row>
    <row r="381" spans="1:24">
      <c r="A381" s="27">
        <v>42933</v>
      </c>
      <c r="B381" s="24">
        <v>704.4</v>
      </c>
      <c r="C381" s="25">
        <f t="shared" si="22"/>
        <v>3.1901560897801204E-3</v>
      </c>
      <c r="E381" s="25">
        <f t="shared" si="24"/>
        <v>0.30756807930055108</v>
      </c>
      <c r="K381" s="29">
        <v>42933</v>
      </c>
      <c r="L381" s="24">
        <v>12630.62</v>
      </c>
      <c r="M381" s="25">
        <f t="shared" si="23"/>
        <v>2.2247522291067548E-3</v>
      </c>
      <c r="O381" t="b">
        <f t="shared" si="21"/>
        <v>1</v>
      </c>
      <c r="Q381" s="25">
        <f t="shared" si="25"/>
        <v>0.22221437342573869</v>
      </c>
      <c r="X381">
        <f t="shared" si="26"/>
        <v>1</v>
      </c>
    </row>
    <row r="382" spans="1:24">
      <c r="A382" s="26">
        <v>42934</v>
      </c>
      <c r="B382" s="23">
        <v>701.47</v>
      </c>
      <c r="C382" s="25">
        <f t="shared" si="22"/>
        <v>-4.1595684270300257E-3</v>
      </c>
      <c r="E382" s="25">
        <f t="shared" si="24"/>
        <v>0.29060568148366217</v>
      </c>
      <c r="K382" s="28">
        <v>42934</v>
      </c>
      <c r="L382" s="23">
        <v>12529.83</v>
      </c>
      <c r="M382" s="25">
        <f t="shared" si="23"/>
        <v>-8.0440037893571483E-3</v>
      </c>
      <c r="O382" t="b">
        <f t="shared" si="21"/>
        <v>1</v>
      </c>
      <c r="Q382" s="25">
        <f t="shared" si="25"/>
        <v>0.20517839383032621</v>
      </c>
      <c r="X382">
        <f t="shared" si="26"/>
        <v>1</v>
      </c>
    </row>
    <row r="383" spans="1:24">
      <c r="A383" s="27">
        <v>42935</v>
      </c>
      <c r="B383" s="24">
        <v>708.34</v>
      </c>
      <c r="C383" s="25">
        <f t="shared" si="22"/>
        <v>9.7937189045860899E-3</v>
      </c>
      <c r="E383" s="25">
        <f t="shared" si="24"/>
        <v>0.30641829583179625</v>
      </c>
      <c r="K383" s="29">
        <v>42935</v>
      </c>
      <c r="L383" s="24">
        <v>12635.56</v>
      </c>
      <c r="M383" s="25">
        <f t="shared" si="23"/>
        <v>8.3676544609023722E-3</v>
      </c>
      <c r="O383" t="b">
        <f t="shared" si="21"/>
        <v>1</v>
      </c>
      <c r="Q383" s="25">
        <f t="shared" si="25"/>
        <v>0.22099221150687032</v>
      </c>
      <c r="X383">
        <f t="shared" si="26"/>
        <v>1</v>
      </c>
    </row>
    <row r="384" spans="1:24">
      <c r="A384" s="26">
        <v>42936</v>
      </c>
      <c r="B384" s="23">
        <v>704.37</v>
      </c>
      <c r="C384" s="25">
        <f t="shared" si="22"/>
        <v>-5.6046531326764369E-3</v>
      </c>
      <c r="E384" s="25">
        <f t="shared" si="24"/>
        <v>0.28652054794520554</v>
      </c>
      <c r="K384" s="28">
        <v>42936</v>
      </c>
      <c r="L384" s="23">
        <v>12608.51</v>
      </c>
      <c r="M384" s="25">
        <f t="shared" si="23"/>
        <v>-2.1453764164044184E-3</v>
      </c>
      <c r="O384" t="b">
        <f t="shared" si="21"/>
        <v>1</v>
      </c>
      <c r="Q384" s="25">
        <f t="shared" si="25"/>
        <v>0.21149004942617977</v>
      </c>
      <c r="X384">
        <f t="shared" si="26"/>
        <v>1</v>
      </c>
    </row>
    <row r="385" spans="1:24">
      <c r="A385" s="27">
        <v>42937</v>
      </c>
      <c r="B385" s="24">
        <v>704.86</v>
      </c>
      <c r="C385" s="25">
        <f t="shared" si="22"/>
        <v>6.9565711202920213E-4</v>
      </c>
      <c r="E385" s="25">
        <f t="shared" si="24"/>
        <v>0.27362087346186525</v>
      </c>
      <c r="K385" s="29">
        <v>42937</v>
      </c>
      <c r="L385" s="24">
        <v>12650.09</v>
      </c>
      <c r="M385" s="25">
        <f t="shared" si="23"/>
        <v>3.2869331364440827E-3</v>
      </c>
      <c r="O385" t="b">
        <f t="shared" si="21"/>
        <v>1</v>
      </c>
      <c r="Q385" s="25">
        <f t="shared" si="25"/>
        <v>0.20234745978580304</v>
      </c>
      <c r="X385">
        <f t="shared" si="26"/>
        <v>1</v>
      </c>
    </row>
    <row r="386" spans="1:24">
      <c r="A386" s="26">
        <v>42940</v>
      </c>
      <c r="B386" s="23">
        <v>704.39</v>
      </c>
      <c r="C386" s="25">
        <f t="shared" si="22"/>
        <v>-6.6679908066854024E-4</v>
      </c>
      <c r="E386" s="25">
        <f t="shared" si="24"/>
        <v>0.27581460216261244</v>
      </c>
      <c r="K386" s="28">
        <v>42940</v>
      </c>
      <c r="L386" s="23">
        <v>12700.15</v>
      </c>
      <c r="M386" s="25">
        <f t="shared" si="23"/>
        <v>3.9416857281212815E-3</v>
      </c>
      <c r="O386" t="b">
        <f t="shared" si="21"/>
        <v>1</v>
      </c>
      <c r="Q386" s="25">
        <f t="shared" si="25"/>
        <v>0.21296790639436658</v>
      </c>
      <c r="X386">
        <f t="shared" si="26"/>
        <v>1</v>
      </c>
    </row>
    <row r="387" spans="1:24">
      <c r="A387" s="27">
        <v>42941</v>
      </c>
      <c r="B387" s="24">
        <v>707.39</v>
      </c>
      <c r="C387" s="25">
        <f t="shared" si="22"/>
        <v>4.2590042448075642E-3</v>
      </c>
      <c r="E387" s="25">
        <f t="shared" si="24"/>
        <v>0.27902435496410938</v>
      </c>
      <c r="K387" s="29">
        <v>42941</v>
      </c>
      <c r="L387" s="24">
        <v>12711.75</v>
      </c>
      <c r="M387" s="25">
        <f t="shared" si="23"/>
        <v>9.1254154620727787E-4</v>
      </c>
      <c r="O387" t="b">
        <f t="shared" ref="O387:O450" si="27">K387=A387</f>
        <v>1</v>
      </c>
      <c r="Q387" s="25">
        <f t="shared" si="25"/>
        <v>0.20941731426440269</v>
      </c>
      <c r="X387">
        <f t="shared" si="26"/>
        <v>1</v>
      </c>
    </row>
    <row r="388" spans="1:24">
      <c r="A388" s="26">
        <v>42942</v>
      </c>
      <c r="B388" s="23">
        <v>711.8</v>
      </c>
      <c r="C388" s="25">
        <f t="shared" ref="C388:C451" si="28">(B388-B387)/B387</f>
        <v>6.2341848202546943E-3</v>
      </c>
      <c r="E388" s="25">
        <f t="shared" si="24"/>
        <v>0.27574155390267929</v>
      </c>
      <c r="K388" s="28">
        <v>42942</v>
      </c>
      <c r="L388" s="23">
        <v>12767.91</v>
      </c>
      <c r="M388" s="25">
        <f t="shared" ref="M388:M451" si="29">(L388-L387)/L388</f>
        <v>4.3985272452578264E-3</v>
      </c>
      <c r="O388" t="b">
        <f t="shared" si="27"/>
        <v>1</v>
      </c>
      <c r="Q388" s="25">
        <f t="shared" si="25"/>
        <v>0.20754779437495152</v>
      </c>
      <c r="X388">
        <f t="shared" si="26"/>
        <v>1</v>
      </c>
    </row>
    <row r="389" spans="1:24">
      <c r="A389" s="27">
        <v>42943</v>
      </c>
      <c r="B389" s="24">
        <v>711.71</v>
      </c>
      <c r="C389" s="25">
        <f t="shared" si="28"/>
        <v>-1.2644001123899713E-4</v>
      </c>
      <c r="E389" s="25">
        <f t="shared" si="24"/>
        <v>0.2733664925212913</v>
      </c>
      <c r="K389" s="29">
        <v>42943</v>
      </c>
      <c r="L389" s="24">
        <v>12753.12</v>
      </c>
      <c r="M389" s="25">
        <f t="shared" si="29"/>
        <v>-1.1597162106213267E-3</v>
      </c>
      <c r="O389" t="b">
        <f t="shared" si="27"/>
        <v>1</v>
      </c>
      <c r="Q389" s="25">
        <f t="shared" si="25"/>
        <v>0.20750686690280662</v>
      </c>
      <c r="X389">
        <f t="shared" si="26"/>
        <v>1</v>
      </c>
    </row>
    <row r="390" spans="1:24">
      <c r="A390" s="26">
        <v>42944</v>
      </c>
      <c r="B390" s="23">
        <v>711.42</v>
      </c>
      <c r="C390" s="25">
        <f t="shared" si="28"/>
        <v>-4.0746933442002681E-4</v>
      </c>
      <c r="E390" s="25">
        <f t="shared" si="24"/>
        <v>0.26539905017698007</v>
      </c>
      <c r="K390" s="28">
        <v>42944</v>
      </c>
      <c r="L390" s="23">
        <v>12768.97</v>
      </c>
      <c r="M390" s="25">
        <f t="shared" si="29"/>
        <v>1.2412904094847544E-3</v>
      </c>
      <c r="O390" t="b">
        <f t="shared" si="27"/>
        <v>1</v>
      </c>
      <c r="Q390" s="25">
        <f t="shared" si="25"/>
        <v>0.20815880480085514</v>
      </c>
      <c r="X390">
        <f t="shared" si="26"/>
        <v>1</v>
      </c>
    </row>
    <row r="391" spans="1:24">
      <c r="A391" s="27">
        <v>42947</v>
      </c>
      <c r="B391" s="24">
        <v>714.14</v>
      </c>
      <c r="C391" s="25">
        <f t="shared" si="28"/>
        <v>3.8233392370189585E-3</v>
      </c>
      <c r="E391" s="25">
        <f t="shared" si="24"/>
        <v>0.27132252149609237</v>
      </c>
      <c r="K391" s="29">
        <v>42947</v>
      </c>
      <c r="L391" s="24">
        <v>12837.04</v>
      </c>
      <c r="M391" s="25">
        <f t="shared" si="29"/>
        <v>5.3026242809870129E-3</v>
      </c>
      <c r="O391" t="b">
        <f t="shared" si="27"/>
        <v>1</v>
      </c>
      <c r="Q391" s="25">
        <f t="shared" si="25"/>
        <v>0.21848692434811601</v>
      </c>
      <c r="X391">
        <f t="shared" si="26"/>
        <v>1</v>
      </c>
    </row>
    <row r="392" spans="1:24">
      <c r="A392" s="26">
        <v>42948</v>
      </c>
      <c r="B392" s="23">
        <v>716.17</v>
      </c>
      <c r="C392" s="25">
        <f t="shared" si="28"/>
        <v>2.8425798862967665E-3</v>
      </c>
      <c r="E392" s="25">
        <f t="shared" si="24"/>
        <v>0.28502476135792709</v>
      </c>
      <c r="K392" s="28">
        <v>42948</v>
      </c>
      <c r="L392" s="23">
        <v>12865.27</v>
      </c>
      <c r="M392" s="25">
        <f t="shared" si="29"/>
        <v>2.1942796381264882E-3</v>
      </c>
      <c r="O392" t="b">
        <f t="shared" si="27"/>
        <v>1</v>
      </c>
      <c r="Q392" s="25">
        <f t="shared" si="25"/>
        <v>0.2343166404265955</v>
      </c>
      <c r="X392">
        <f t="shared" si="26"/>
        <v>1</v>
      </c>
    </row>
    <row r="393" spans="1:24">
      <c r="A393" s="27">
        <v>42949</v>
      </c>
      <c r="B393" s="24">
        <v>714.91</v>
      </c>
      <c r="C393" s="25">
        <f t="shared" si="28"/>
        <v>-1.7593588114553681E-3</v>
      </c>
      <c r="E393" s="25">
        <f t="shared" si="24"/>
        <v>0.27765168438924137</v>
      </c>
      <c r="K393" s="29">
        <v>42949</v>
      </c>
      <c r="L393" s="24">
        <v>12829.27</v>
      </c>
      <c r="M393" s="25">
        <f t="shared" si="29"/>
        <v>-2.8060832767569785E-3</v>
      </c>
      <c r="O393" t="b">
        <f t="shared" si="27"/>
        <v>1</v>
      </c>
      <c r="Q393" s="25">
        <f t="shared" si="25"/>
        <v>0.22817966332751283</v>
      </c>
      <c r="X393">
        <f t="shared" si="26"/>
        <v>1</v>
      </c>
    </row>
    <row r="394" spans="1:24">
      <c r="A394" s="26">
        <v>42950</v>
      </c>
      <c r="B394" s="23">
        <v>710.12</v>
      </c>
      <c r="C394" s="25">
        <f t="shared" si="28"/>
        <v>-6.7001440740792045E-3</v>
      </c>
      <c r="E394" s="25">
        <f t="shared" si="24"/>
        <v>0.24968323243699841</v>
      </c>
      <c r="K394" s="28">
        <v>42950</v>
      </c>
      <c r="L394" s="23">
        <v>12745.7</v>
      </c>
      <c r="M394" s="25">
        <f t="shared" si="29"/>
        <v>-6.5567210902500216E-3</v>
      </c>
      <c r="O394" t="b">
        <f t="shared" si="27"/>
        <v>1</v>
      </c>
      <c r="Q394" s="25">
        <f t="shared" si="25"/>
        <v>0.20093468951253879</v>
      </c>
      <c r="X394">
        <f t="shared" si="26"/>
        <v>1</v>
      </c>
    </row>
    <row r="395" spans="1:24">
      <c r="A395" s="27">
        <v>42951</v>
      </c>
      <c r="B395" s="24">
        <v>715.49</v>
      </c>
      <c r="C395" s="25">
        <f t="shared" si="28"/>
        <v>7.5621021799132607E-3</v>
      </c>
      <c r="E395" s="25">
        <f t="shared" si="24"/>
        <v>0.25619326860614144</v>
      </c>
      <c r="K395" s="29">
        <v>42951</v>
      </c>
      <c r="L395" s="24">
        <v>12814.74</v>
      </c>
      <c r="M395" s="25">
        <f t="shared" si="29"/>
        <v>5.3875459041696555E-3</v>
      </c>
      <c r="O395" t="b">
        <f t="shared" si="27"/>
        <v>1</v>
      </c>
      <c r="Q395" s="25">
        <f t="shared" si="25"/>
        <v>0.201818660969596</v>
      </c>
      <c r="X395">
        <f t="shared" si="26"/>
        <v>1</v>
      </c>
    </row>
    <row r="396" spans="1:24">
      <c r="A396" s="26">
        <v>42954</v>
      </c>
      <c r="B396" s="23">
        <v>718.36</v>
      </c>
      <c r="C396" s="25">
        <f t="shared" si="28"/>
        <v>4.0112370543264123E-3</v>
      </c>
      <c r="E396" s="25">
        <f t="shared" si="24"/>
        <v>0.26623422407107089</v>
      </c>
      <c r="K396" s="28">
        <v>42954</v>
      </c>
      <c r="L396" s="23">
        <v>12859.07</v>
      </c>
      <c r="M396" s="25">
        <f t="shared" si="29"/>
        <v>3.4473721661053194E-3</v>
      </c>
      <c r="O396" t="b">
        <f t="shared" si="27"/>
        <v>1</v>
      </c>
      <c r="Q396" s="25">
        <f t="shared" si="25"/>
        <v>0.21077137175440841</v>
      </c>
      <c r="X396">
        <f t="shared" si="26"/>
        <v>1</v>
      </c>
    </row>
    <row r="397" spans="1:24">
      <c r="A397" s="27">
        <v>42955</v>
      </c>
      <c r="B397" s="24">
        <v>714</v>
      </c>
      <c r="C397" s="25">
        <f t="shared" si="28"/>
        <v>-6.0693802550253542E-3</v>
      </c>
      <c r="E397" s="25">
        <f t="shared" si="24"/>
        <v>0.26640652713728286</v>
      </c>
      <c r="K397" s="29">
        <v>42955</v>
      </c>
      <c r="L397" s="24">
        <v>12743.25</v>
      </c>
      <c r="M397" s="25">
        <f t="shared" si="29"/>
        <v>-9.088733250936747E-3</v>
      </c>
      <c r="O397" t="b">
        <f t="shared" si="27"/>
        <v>1</v>
      </c>
      <c r="Q397" s="25">
        <f t="shared" si="25"/>
        <v>0.21485308221332855</v>
      </c>
      <c r="X397">
        <f t="shared" si="26"/>
        <v>1</v>
      </c>
    </row>
    <row r="398" spans="1:24">
      <c r="A398" s="26">
        <v>42956</v>
      </c>
      <c r="B398" s="23">
        <v>706.96</v>
      </c>
      <c r="C398" s="25">
        <f t="shared" si="28"/>
        <v>-9.8599439775909851E-3</v>
      </c>
      <c r="E398" s="25">
        <f t="shared" si="24"/>
        <v>0.25518882161816658</v>
      </c>
      <c r="K398" s="28">
        <v>42956</v>
      </c>
      <c r="L398" s="23">
        <v>12612.37</v>
      </c>
      <c r="M398" s="25">
        <f t="shared" si="29"/>
        <v>-1.0377113896912253E-2</v>
      </c>
      <c r="O398" t="b">
        <f t="shared" si="27"/>
        <v>1</v>
      </c>
      <c r="Q398" s="25">
        <f t="shared" si="25"/>
        <v>0.2002487597698166</v>
      </c>
      <c r="X398">
        <f t="shared" si="26"/>
        <v>1</v>
      </c>
    </row>
    <row r="399" spans="1:24">
      <c r="A399" s="27">
        <v>42957</v>
      </c>
      <c r="B399" s="24">
        <v>696.67</v>
      </c>
      <c r="C399" s="25">
        <f t="shared" si="28"/>
        <v>-1.4555278940817129E-2</v>
      </c>
      <c r="E399" s="25">
        <f t="shared" si="24"/>
        <v>0.22980105562322373</v>
      </c>
      <c r="K399" s="29">
        <v>42957</v>
      </c>
      <c r="L399" s="24">
        <v>12409.81</v>
      </c>
      <c r="M399" s="25">
        <f t="shared" si="29"/>
        <v>-1.6322570611476028E-2</v>
      </c>
      <c r="O399" t="b">
        <f t="shared" si="27"/>
        <v>1</v>
      </c>
      <c r="Q399" s="25">
        <f t="shared" si="25"/>
        <v>0.17157789696187553</v>
      </c>
      <c r="X399">
        <f t="shared" si="26"/>
        <v>1</v>
      </c>
    </row>
    <row r="400" spans="1:24">
      <c r="A400" s="26">
        <v>42958</v>
      </c>
      <c r="B400" s="23">
        <v>691.48</v>
      </c>
      <c r="C400" s="25">
        <f t="shared" si="28"/>
        <v>-7.4497251209323517E-3</v>
      </c>
      <c r="E400" s="25">
        <f t="shared" si="24"/>
        <v>0.2160883558150577</v>
      </c>
      <c r="K400" s="28">
        <v>42958</v>
      </c>
      <c r="L400" s="23">
        <v>12311.4</v>
      </c>
      <c r="M400" s="25">
        <f t="shared" si="29"/>
        <v>-7.9934044868983107E-3</v>
      </c>
      <c r="O400" t="b">
        <f t="shared" si="27"/>
        <v>1</v>
      </c>
      <c r="Q400" s="25">
        <f t="shared" si="25"/>
        <v>0.16358350526766463</v>
      </c>
      <c r="X400">
        <f t="shared" si="26"/>
        <v>1</v>
      </c>
    </row>
    <row r="401" spans="1:24">
      <c r="A401" s="27">
        <v>42961</v>
      </c>
      <c r="B401" s="24">
        <v>702.81</v>
      </c>
      <c r="C401" s="25">
        <f t="shared" si="28"/>
        <v>1.6385144906577092E-2</v>
      </c>
      <c r="E401" s="25">
        <f t="shared" si="24"/>
        <v>0.2326972322587435</v>
      </c>
      <c r="K401" s="29">
        <v>42961</v>
      </c>
      <c r="L401" s="24">
        <v>12478.55</v>
      </c>
      <c r="M401" s="25">
        <f t="shared" si="29"/>
        <v>1.3394985795625265E-2</v>
      </c>
      <c r="O401" t="b">
        <f t="shared" si="27"/>
        <v>1</v>
      </c>
      <c r="Q401" s="25">
        <f t="shared" si="25"/>
        <v>0.17866389346209455</v>
      </c>
      <c r="X401">
        <f t="shared" si="26"/>
        <v>1</v>
      </c>
    </row>
    <row r="402" spans="1:24">
      <c r="A402" s="26">
        <v>42963</v>
      </c>
      <c r="B402" s="23">
        <v>711.14</v>
      </c>
      <c r="C402" s="25">
        <f t="shared" si="28"/>
        <v>1.1852420995717252E-2</v>
      </c>
      <c r="E402" s="25">
        <f t="shared" si="24"/>
        <v>0.2356262922871093</v>
      </c>
      <c r="K402" s="28">
        <v>42963</v>
      </c>
      <c r="L402" s="23">
        <v>12616.44</v>
      </c>
      <c r="M402" s="25">
        <f t="shared" si="29"/>
        <v>1.0929390541230429E-2</v>
      </c>
      <c r="O402" t="b">
        <f t="shared" si="27"/>
        <v>1</v>
      </c>
      <c r="Q402" s="25">
        <f t="shared" si="25"/>
        <v>0.18377970605455562</v>
      </c>
      <c r="X402">
        <f t="shared" si="26"/>
        <v>1</v>
      </c>
    </row>
    <row r="403" spans="1:24">
      <c r="A403" s="27">
        <v>42964</v>
      </c>
      <c r="B403" s="24">
        <v>712.2</v>
      </c>
      <c r="C403" s="25">
        <f t="shared" si="28"/>
        <v>1.4905644458194718E-3</v>
      </c>
      <c r="E403" s="25">
        <f t="shared" si="24"/>
        <v>0.23105111230186859</v>
      </c>
      <c r="K403" s="29">
        <v>42964</v>
      </c>
      <c r="L403" s="24">
        <v>12627.5</v>
      </c>
      <c r="M403" s="25">
        <f t="shared" si="29"/>
        <v>8.7586616511577836E-4</v>
      </c>
      <c r="O403" t="b">
        <f t="shared" si="27"/>
        <v>1</v>
      </c>
      <c r="Q403" s="25">
        <f t="shared" si="25"/>
        <v>0.18358475038570177</v>
      </c>
      <c r="X403">
        <f t="shared" si="26"/>
        <v>1</v>
      </c>
    </row>
    <row r="404" spans="1:24">
      <c r="A404" s="26">
        <v>42965</v>
      </c>
      <c r="B404" s="23">
        <v>708.06</v>
      </c>
      <c r="C404" s="25">
        <f t="shared" si="28"/>
        <v>-5.8129738837406622E-3</v>
      </c>
      <c r="E404" s="25">
        <f t="shared" si="24"/>
        <v>0.23087353324641446</v>
      </c>
      <c r="K404" s="28">
        <v>42965</v>
      </c>
      <c r="L404" s="23">
        <v>12556.61</v>
      </c>
      <c r="M404" s="25">
        <f t="shared" si="29"/>
        <v>-5.6456320615197427E-3</v>
      </c>
      <c r="O404" t="b">
        <f t="shared" si="27"/>
        <v>1</v>
      </c>
      <c r="Q404" s="25">
        <f t="shared" si="25"/>
        <v>0.18232047840411458</v>
      </c>
      <c r="X404">
        <f t="shared" si="26"/>
        <v>1</v>
      </c>
    </row>
    <row r="405" spans="1:24">
      <c r="A405" s="27">
        <v>42968</v>
      </c>
      <c r="B405" s="24">
        <v>701.86</v>
      </c>
      <c r="C405" s="25">
        <f t="shared" si="28"/>
        <v>-8.756320085868333E-3</v>
      </c>
      <c r="E405" s="25">
        <f t="shared" si="24"/>
        <v>0.21740789564976071</v>
      </c>
      <c r="K405" s="29">
        <v>42968</v>
      </c>
      <c r="L405" s="24">
        <v>12432.66</v>
      </c>
      <c r="M405" s="25">
        <f t="shared" si="29"/>
        <v>-9.9697088153300039E-3</v>
      </c>
      <c r="O405" t="b">
        <f t="shared" si="27"/>
        <v>1</v>
      </c>
      <c r="Q405" s="25">
        <f t="shared" si="25"/>
        <v>0.17127256077914876</v>
      </c>
      <c r="X405">
        <f t="shared" si="26"/>
        <v>1</v>
      </c>
    </row>
    <row r="406" spans="1:24">
      <c r="A406" s="26">
        <v>42969</v>
      </c>
      <c r="B406" s="23">
        <v>700.22</v>
      </c>
      <c r="C406" s="25">
        <f t="shared" si="28"/>
        <v>-2.3366483344256493E-3</v>
      </c>
      <c r="E406" s="25">
        <f t="shared" si="24"/>
        <v>0.20998790392258515</v>
      </c>
      <c r="K406" s="28">
        <v>42969</v>
      </c>
      <c r="L406" s="23">
        <v>12418.09</v>
      </c>
      <c r="M406" s="25">
        <f t="shared" si="29"/>
        <v>-1.1732883237276996E-3</v>
      </c>
      <c r="O406" t="b">
        <f t="shared" si="27"/>
        <v>1</v>
      </c>
      <c r="Q406" s="25">
        <f t="shared" si="25"/>
        <v>0.16572996527618078</v>
      </c>
      <c r="X406">
        <f t="shared" si="26"/>
        <v>1</v>
      </c>
    </row>
    <row r="407" spans="1:24">
      <c r="A407" s="27">
        <v>42970</v>
      </c>
      <c r="B407" s="24">
        <v>706.93</v>
      </c>
      <c r="C407" s="25">
        <f t="shared" si="28"/>
        <v>9.582702579189287E-3</v>
      </c>
      <c r="E407" s="25">
        <f t="shared" si="24"/>
        <v>0.22590434571497942</v>
      </c>
      <c r="K407" s="29">
        <v>42970</v>
      </c>
      <c r="L407" s="24">
        <v>12543.72</v>
      </c>
      <c r="M407" s="25">
        <f t="shared" si="29"/>
        <v>1.0015370241044859E-2</v>
      </c>
      <c r="O407" t="b">
        <f t="shared" si="27"/>
        <v>1</v>
      </c>
      <c r="Q407" s="25">
        <f t="shared" si="25"/>
        <v>0.18433739262454041</v>
      </c>
      <c r="X407">
        <f t="shared" si="26"/>
        <v>1</v>
      </c>
    </row>
    <row r="408" spans="1:24">
      <c r="A408" s="26">
        <v>42971</v>
      </c>
      <c r="B408" s="23">
        <v>708.92</v>
      </c>
      <c r="C408" s="25">
        <f t="shared" si="28"/>
        <v>2.8149887541906683E-3</v>
      </c>
      <c r="E408" s="25">
        <f t="shared" si="24"/>
        <v>0.22504276901277009</v>
      </c>
      <c r="K408" s="28">
        <v>42971</v>
      </c>
      <c r="L408" s="23">
        <v>12576.34</v>
      </c>
      <c r="M408" s="25">
        <f t="shared" si="29"/>
        <v>2.593759392637349E-3</v>
      </c>
      <c r="O408" t="b">
        <f t="shared" si="27"/>
        <v>1</v>
      </c>
      <c r="Q408" s="25">
        <f t="shared" si="25"/>
        <v>0.1888236956708742</v>
      </c>
      <c r="X408">
        <f t="shared" si="26"/>
        <v>1</v>
      </c>
    </row>
    <row r="409" spans="1:24">
      <c r="A409" s="27">
        <v>42975</v>
      </c>
      <c r="B409" s="24">
        <v>715.33</v>
      </c>
      <c r="C409" s="25">
        <f t="shared" si="28"/>
        <v>9.041922925012812E-3</v>
      </c>
      <c r="E409" s="25">
        <f t="shared" si="24"/>
        <v>0.23469000276166807</v>
      </c>
      <c r="K409" s="29">
        <v>42975</v>
      </c>
      <c r="L409" s="24">
        <v>12669.7</v>
      </c>
      <c r="M409" s="25">
        <f t="shared" si="29"/>
        <v>7.3687616912792393E-3</v>
      </c>
      <c r="O409" t="b">
        <f t="shared" si="27"/>
        <v>1</v>
      </c>
      <c r="Q409" s="25">
        <f t="shared" si="25"/>
        <v>0.19338470566404897</v>
      </c>
      <c r="X409">
        <f t="shared" si="26"/>
        <v>1</v>
      </c>
    </row>
    <row r="410" spans="1:24">
      <c r="A410" s="26">
        <v>42976</v>
      </c>
      <c r="B410" s="23">
        <v>708.69</v>
      </c>
      <c r="C410" s="25">
        <f t="shared" si="28"/>
        <v>-9.2824290886723421E-3</v>
      </c>
      <c r="E410" s="25">
        <f t="shared" si="24"/>
        <v>0.20967824528462931</v>
      </c>
      <c r="K410" s="28">
        <v>42976</v>
      </c>
      <c r="L410" s="23">
        <v>12526.74</v>
      </c>
      <c r="M410" s="25">
        <f t="shared" si="29"/>
        <v>-1.1412386622537145E-2</v>
      </c>
      <c r="O410" t="b">
        <f t="shared" si="27"/>
        <v>1</v>
      </c>
      <c r="Q410" s="25">
        <f t="shared" si="25"/>
        <v>0.16389013288338927</v>
      </c>
      <c r="X410">
        <f t="shared" si="26"/>
        <v>1</v>
      </c>
    </row>
    <row r="411" spans="1:24">
      <c r="A411" s="27">
        <v>42977</v>
      </c>
      <c r="B411" s="24">
        <v>714.97</v>
      </c>
      <c r="C411" s="25">
        <f t="shared" si="28"/>
        <v>8.8614203671562638E-3</v>
      </c>
      <c r="E411" s="25">
        <f t="shared" si="24"/>
        <v>0.21397402156379997</v>
      </c>
      <c r="K411" s="29">
        <v>42977</v>
      </c>
      <c r="L411" s="24">
        <v>12660.32</v>
      </c>
      <c r="M411" s="25">
        <f t="shared" si="29"/>
        <v>1.0551076118139189E-2</v>
      </c>
      <c r="O411" t="b">
        <f t="shared" si="27"/>
        <v>1</v>
      </c>
      <c r="Q411" s="25">
        <f t="shared" si="25"/>
        <v>0.17153808142816684</v>
      </c>
      <c r="X411">
        <f t="shared" si="26"/>
        <v>1</v>
      </c>
    </row>
    <row r="412" spans="1:24">
      <c r="A412" s="26">
        <v>42978</v>
      </c>
      <c r="B412" s="23">
        <v>716.42</v>
      </c>
      <c r="C412" s="25">
        <f t="shared" si="28"/>
        <v>2.0280571212777203E-3</v>
      </c>
      <c r="E412" s="25">
        <f t="shared" si="24"/>
        <v>0.21939678649237471</v>
      </c>
      <c r="K412" s="28">
        <v>42978</v>
      </c>
      <c r="L412" s="23">
        <v>12707.41</v>
      </c>
      <c r="M412" s="25">
        <f t="shared" si="29"/>
        <v>3.7057118641800452E-3</v>
      </c>
      <c r="O412" t="b">
        <f t="shared" si="27"/>
        <v>1</v>
      </c>
      <c r="Q412" s="25">
        <f t="shared" si="25"/>
        <v>0.17844298827251981</v>
      </c>
      <c r="X412">
        <f t="shared" si="26"/>
        <v>1</v>
      </c>
    </row>
    <row r="413" spans="1:24">
      <c r="A413" s="27">
        <v>42979</v>
      </c>
      <c r="B413" s="24">
        <v>722.6</v>
      </c>
      <c r="C413" s="25">
        <f t="shared" si="28"/>
        <v>8.6262248401776393E-3</v>
      </c>
      <c r="E413" s="25">
        <f t="shared" si="24"/>
        <v>0.22290104757230633</v>
      </c>
      <c r="K413" s="29">
        <v>42979</v>
      </c>
      <c r="L413" s="24">
        <v>12795.51</v>
      </c>
      <c r="M413" s="25">
        <f t="shared" si="29"/>
        <v>6.8852277087822497E-3</v>
      </c>
      <c r="O413" t="b">
        <f t="shared" si="27"/>
        <v>1</v>
      </c>
      <c r="Q413" s="25">
        <f t="shared" si="25"/>
        <v>0.18170139748283143</v>
      </c>
      <c r="X413">
        <f t="shared" si="26"/>
        <v>1</v>
      </c>
    </row>
    <row r="414" spans="1:24">
      <c r="A414" s="26">
        <v>42982</v>
      </c>
      <c r="B414" s="23">
        <v>717.5</v>
      </c>
      <c r="C414" s="25">
        <f t="shared" si="28"/>
        <v>-7.057846664821509E-3</v>
      </c>
      <c r="E414" s="25">
        <f t="shared" si="24"/>
        <v>0.19846996726130839</v>
      </c>
      <c r="K414" s="28">
        <v>42982</v>
      </c>
      <c r="L414" s="23">
        <v>12715.31</v>
      </c>
      <c r="M414" s="25">
        <f t="shared" si="29"/>
        <v>-6.3073570365174527E-3</v>
      </c>
      <c r="O414" t="b">
        <f t="shared" si="27"/>
        <v>1</v>
      </c>
      <c r="Q414" s="25">
        <f t="shared" si="25"/>
        <v>0.15724179984710029</v>
      </c>
      <c r="X414">
        <f t="shared" si="26"/>
        <v>1</v>
      </c>
    </row>
    <row r="415" spans="1:24">
      <c r="A415" s="27">
        <v>42983</v>
      </c>
      <c r="B415" s="24">
        <v>721.12</v>
      </c>
      <c r="C415" s="25">
        <f t="shared" si="28"/>
        <v>5.0452961672473933E-3</v>
      </c>
      <c r="E415" s="25">
        <f t="shared" si="24"/>
        <v>0.2054428136805857</v>
      </c>
      <c r="K415" s="29">
        <v>42983</v>
      </c>
      <c r="L415" s="24">
        <v>12784.41</v>
      </c>
      <c r="M415" s="25">
        <f t="shared" si="29"/>
        <v>5.405020646240254E-3</v>
      </c>
      <c r="O415" t="b">
        <f t="shared" si="27"/>
        <v>1</v>
      </c>
      <c r="Q415" s="25">
        <f t="shared" si="25"/>
        <v>0.16461608255536841</v>
      </c>
      <c r="X415">
        <f t="shared" si="26"/>
        <v>1</v>
      </c>
    </row>
    <row r="416" spans="1:24">
      <c r="A416" s="26">
        <v>42984</v>
      </c>
      <c r="B416" s="23">
        <v>720.77</v>
      </c>
      <c r="C416" s="25">
        <f t="shared" si="28"/>
        <v>-4.8535611271358824E-4</v>
      </c>
      <c r="E416" s="25">
        <f t="shared" si="24"/>
        <v>0.19846693603365417</v>
      </c>
      <c r="K416" s="28">
        <v>42984</v>
      </c>
      <c r="L416" s="23">
        <v>12762.86</v>
      </c>
      <c r="M416" s="25">
        <f t="shared" si="29"/>
        <v>-1.6884930180225491E-3</v>
      </c>
      <c r="O416" t="b">
        <f t="shared" si="27"/>
        <v>1</v>
      </c>
      <c r="Q416" s="25">
        <f t="shared" si="25"/>
        <v>0.15696580282323436</v>
      </c>
      <c r="X416">
        <f t="shared" si="26"/>
        <v>1</v>
      </c>
    </row>
    <row r="417" spans="1:24">
      <c r="A417" s="27">
        <v>42985</v>
      </c>
      <c r="B417" s="24">
        <v>724.88</v>
      </c>
      <c r="C417" s="25">
        <f t="shared" si="28"/>
        <v>5.7022351096743954E-3</v>
      </c>
      <c r="E417" s="25">
        <f t="shared" si="24"/>
        <v>0.21221445533295413</v>
      </c>
      <c r="K417" s="29">
        <v>42985</v>
      </c>
      <c r="L417" s="24">
        <v>12801.05</v>
      </c>
      <c r="M417" s="25">
        <f t="shared" si="29"/>
        <v>2.9833490221504244E-3</v>
      </c>
      <c r="O417" t="b">
        <f t="shared" si="27"/>
        <v>1</v>
      </c>
      <c r="Q417" s="25">
        <f t="shared" si="25"/>
        <v>0.1707092452837089</v>
      </c>
      <c r="X417">
        <f t="shared" si="26"/>
        <v>1</v>
      </c>
    </row>
    <row r="418" spans="1:24">
      <c r="A418" s="26">
        <v>42986</v>
      </c>
      <c r="B418" s="23">
        <v>724.87</v>
      </c>
      <c r="C418" s="25">
        <f t="shared" si="28"/>
        <v>-1.379538682263396E-5</v>
      </c>
      <c r="E418" s="25">
        <f t="shared" si="24"/>
        <v>0.24100325286765956</v>
      </c>
      <c r="K418" s="28">
        <v>42986</v>
      </c>
      <c r="L418" s="23">
        <v>12790.55</v>
      </c>
      <c r="M418" s="25">
        <f t="shared" si="29"/>
        <v>-8.2091856878711237E-4</v>
      </c>
      <c r="O418" t="b">
        <f t="shared" si="27"/>
        <v>1</v>
      </c>
      <c r="Q418" s="25">
        <f t="shared" si="25"/>
        <v>0.19414195393928524</v>
      </c>
      <c r="X418">
        <f t="shared" si="26"/>
        <v>1</v>
      </c>
    </row>
    <row r="419" spans="1:24">
      <c r="A419" s="27">
        <v>42989</v>
      </c>
      <c r="B419" s="24">
        <v>731.39</v>
      </c>
      <c r="C419" s="25">
        <f t="shared" si="28"/>
        <v>8.9947162939561318E-3</v>
      </c>
      <c r="E419" s="25">
        <f t="shared" si="24"/>
        <v>0.2397491312823119</v>
      </c>
      <c r="K419" s="29">
        <v>42989</v>
      </c>
      <c r="L419" s="24">
        <v>12881.49</v>
      </c>
      <c r="M419" s="25">
        <f t="shared" si="29"/>
        <v>7.0597423124188667E-3</v>
      </c>
      <c r="O419" t="b">
        <f t="shared" si="27"/>
        <v>1</v>
      </c>
      <c r="Q419" s="25">
        <f t="shared" si="25"/>
        <v>0.19696203801959156</v>
      </c>
      <c r="X419">
        <f t="shared" si="26"/>
        <v>1</v>
      </c>
    </row>
    <row r="420" spans="1:24">
      <c r="A420" s="26">
        <v>42990</v>
      </c>
      <c r="B420" s="23">
        <v>736.67</v>
      </c>
      <c r="C420" s="25">
        <f t="shared" si="28"/>
        <v>7.2191306963452781E-3</v>
      </c>
      <c r="E420" s="25">
        <f t="shared" si="24"/>
        <v>0.2469025050778606</v>
      </c>
      <c r="K420" s="28">
        <v>42990</v>
      </c>
      <c r="L420" s="23">
        <v>12998.27</v>
      </c>
      <c r="M420" s="25">
        <f t="shared" si="29"/>
        <v>8.9842725224203411E-3</v>
      </c>
      <c r="O420" t="b">
        <f t="shared" si="27"/>
        <v>1</v>
      </c>
      <c r="Q420" s="25">
        <f t="shared" si="25"/>
        <v>0.20641545753826929</v>
      </c>
      <c r="X420">
        <f t="shared" si="26"/>
        <v>1</v>
      </c>
    </row>
    <row r="421" spans="1:24">
      <c r="A421" s="27">
        <v>42991</v>
      </c>
      <c r="B421" s="24">
        <v>734.12</v>
      </c>
      <c r="C421" s="25">
        <f t="shared" si="28"/>
        <v>-3.4615227985393118E-3</v>
      </c>
      <c r="E421" s="25">
        <f t="shared" si="24"/>
        <v>0.2413886399377716</v>
      </c>
      <c r="K421" s="29">
        <v>42991</v>
      </c>
      <c r="L421" s="24">
        <v>12963.97</v>
      </c>
      <c r="M421" s="25">
        <f t="shared" si="29"/>
        <v>-2.6457944595676395E-3</v>
      </c>
      <c r="O421" t="b">
        <f t="shared" si="27"/>
        <v>1</v>
      </c>
      <c r="Q421" s="25">
        <f t="shared" si="25"/>
        <v>0.1992693727688255</v>
      </c>
      <c r="X421">
        <f t="shared" si="26"/>
        <v>1</v>
      </c>
    </row>
    <row r="422" spans="1:24">
      <c r="A422" s="26">
        <v>42992</v>
      </c>
      <c r="B422" s="23">
        <v>735.39</v>
      </c>
      <c r="C422" s="25">
        <f t="shared" si="28"/>
        <v>1.7299624039666291E-3</v>
      </c>
      <c r="E422" s="25">
        <f t="shared" si="24"/>
        <v>0.23759277023274583</v>
      </c>
      <c r="K422" s="28">
        <v>42992</v>
      </c>
      <c r="L422" s="23">
        <v>12992.19</v>
      </c>
      <c r="M422" s="25">
        <f t="shared" si="29"/>
        <v>2.1720741460832362E-3</v>
      </c>
      <c r="O422" t="b">
        <f t="shared" si="27"/>
        <v>1</v>
      </c>
      <c r="Q422" s="25">
        <f t="shared" si="25"/>
        <v>0.19761678482573886</v>
      </c>
      <c r="X422">
        <f t="shared" si="26"/>
        <v>1</v>
      </c>
    </row>
    <row r="423" spans="1:24">
      <c r="A423" s="27">
        <v>42993</v>
      </c>
      <c r="B423" s="24">
        <v>734.54</v>
      </c>
      <c r="C423" s="25">
        <f t="shared" si="28"/>
        <v>-1.1558492772542771E-3</v>
      </c>
      <c r="E423" s="25">
        <f t="shared" si="24"/>
        <v>0.23807918555849583</v>
      </c>
      <c r="K423" s="29">
        <v>42993</v>
      </c>
      <c r="L423" s="24">
        <v>12996.37</v>
      </c>
      <c r="M423" s="25">
        <f t="shared" si="29"/>
        <v>3.2162827004773571E-4</v>
      </c>
      <c r="O423" t="b">
        <f t="shared" si="27"/>
        <v>1</v>
      </c>
      <c r="Q423" s="25">
        <f t="shared" si="25"/>
        <v>0.20174523652328613</v>
      </c>
      <c r="X423">
        <f t="shared" si="26"/>
        <v>1</v>
      </c>
    </row>
    <row r="424" spans="1:24">
      <c r="A424" s="26">
        <v>42996</v>
      </c>
      <c r="B424" s="23">
        <v>739.82</v>
      </c>
      <c r="C424" s="25">
        <f t="shared" si="28"/>
        <v>7.1881721893975641E-3</v>
      </c>
      <c r="E424" s="25">
        <f t="shared" si="24"/>
        <v>0.24523665252810889</v>
      </c>
      <c r="K424" s="28">
        <v>42996</v>
      </c>
      <c r="L424" s="23">
        <v>13084.03</v>
      </c>
      <c r="M424" s="25">
        <f t="shared" si="29"/>
        <v>6.6997706364170561E-3</v>
      </c>
      <c r="O424" t="b">
        <f t="shared" si="27"/>
        <v>1</v>
      </c>
      <c r="Q424" s="25">
        <f t="shared" si="25"/>
        <v>0.20962054760073379</v>
      </c>
      <c r="X424">
        <f t="shared" si="26"/>
        <v>1</v>
      </c>
    </row>
    <row r="425" spans="1:24">
      <c r="A425" s="27">
        <v>42997</v>
      </c>
      <c r="B425" s="24">
        <v>740.53</v>
      </c>
      <c r="C425" s="25">
        <f t="shared" si="28"/>
        <v>9.5969289827244823E-4</v>
      </c>
      <c r="E425" s="25">
        <f t="shared" si="24"/>
        <v>0.23009584558396035</v>
      </c>
      <c r="K425" s="29">
        <v>42997</v>
      </c>
      <c r="L425" s="24">
        <v>13091.41</v>
      </c>
      <c r="M425" s="25">
        <f t="shared" si="29"/>
        <v>5.6372842955794672E-4</v>
      </c>
      <c r="O425" t="b">
        <f t="shared" si="27"/>
        <v>1</v>
      </c>
      <c r="Q425" s="25">
        <f t="shared" si="25"/>
        <v>0.19727372911970065</v>
      </c>
      <c r="X425">
        <f t="shared" si="26"/>
        <v>1</v>
      </c>
    </row>
    <row r="426" spans="1:24">
      <c r="A426" s="26">
        <v>42998</v>
      </c>
      <c r="B426" s="23">
        <v>737.82</v>
      </c>
      <c r="C426" s="25">
        <f t="shared" si="28"/>
        <v>-3.6595411394540703E-3</v>
      </c>
      <c r="E426" s="25">
        <f t="shared" si="24"/>
        <v>0.22614418187256957</v>
      </c>
      <c r="K426" s="28">
        <v>42998</v>
      </c>
      <c r="L426" s="23">
        <v>13072.23</v>
      </c>
      <c r="M426" s="25">
        <f t="shared" si="29"/>
        <v>-1.4672324461855622E-3</v>
      </c>
      <c r="O426" t="b">
        <f t="shared" si="27"/>
        <v>1</v>
      </c>
      <c r="Q426" s="25">
        <f t="shared" si="25"/>
        <v>0.19838451954995362</v>
      </c>
      <c r="X426">
        <f t="shared" si="26"/>
        <v>1</v>
      </c>
    </row>
    <row r="427" spans="1:24">
      <c r="A427" s="27">
        <v>42999</v>
      </c>
      <c r="B427" s="24">
        <v>736.83</v>
      </c>
      <c r="C427" s="25">
        <f t="shared" si="28"/>
        <v>-1.3417906806538302E-3</v>
      </c>
      <c r="E427" s="25">
        <f t="shared" si="24"/>
        <v>0.23223961468994592</v>
      </c>
      <c r="K427" s="29">
        <v>42999</v>
      </c>
      <c r="L427" s="24">
        <v>13033.09</v>
      </c>
      <c r="M427" s="25">
        <f t="shared" si="29"/>
        <v>-3.0031251222848469E-3</v>
      </c>
      <c r="O427" t="b">
        <f t="shared" si="27"/>
        <v>1</v>
      </c>
      <c r="Q427" s="25">
        <f t="shared" si="25"/>
        <v>0.20680223228629702</v>
      </c>
      <c r="X427">
        <f t="shared" si="26"/>
        <v>1</v>
      </c>
    </row>
    <row r="428" spans="1:24">
      <c r="A428" s="26">
        <v>43000</v>
      </c>
      <c r="B428" s="23">
        <v>721.46</v>
      </c>
      <c r="C428" s="25">
        <f t="shared" si="28"/>
        <v>-2.0859628408180998E-2</v>
      </c>
      <c r="E428" s="25">
        <f t="shared" si="24"/>
        <v>0.20474242297737333</v>
      </c>
      <c r="K428" s="28">
        <v>43000</v>
      </c>
      <c r="L428" s="23">
        <v>12779.76</v>
      </c>
      <c r="M428" s="25">
        <f t="shared" si="29"/>
        <v>-1.9822750974979181E-2</v>
      </c>
      <c r="O428" t="b">
        <f t="shared" si="27"/>
        <v>1</v>
      </c>
      <c r="Q428" s="25">
        <f t="shared" si="25"/>
        <v>0.18488766998311656</v>
      </c>
      <c r="X428">
        <f t="shared" si="26"/>
        <v>1</v>
      </c>
    </row>
    <row r="429" spans="1:24">
      <c r="A429" s="27">
        <v>43003</v>
      </c>
      <c r="B429" s="24">
        <v>715.32</v>
      </c>
      <c r="C429" s="25">
        <f t="shared" si="28"/>
        <v>-8.5105203337676183E-3</v>
      </c>
      <c r="E429" s="25">
        <f t="shared" si="24"/>
        <v>0.18078573786728303</v>
      </c>
      <c r="K429" s="29">
        <v>43003</v>
      </c>
      <c r="L429" s="24">
        <v>12633.98</v>
      </c>
      <c r="M429" s="25">
        <f t="shared" si="29"/>
        <v>-1.1538723347670383E-2</v>
      </c>
      <c r="O429" t="b">
        <f t="shared" si="27"/>
        <v>1</v>
      </c>
      <c r="Q429" s="25">
        <f t="shared" si="25"/>
        <v>0.16435880445210804</v>
      </c>
      <c r="X429">
        <f t="shared" si="26"/>
        <v>1</v>
      </c>
    </row>
    <row r="430" spans="1:24">
      <c r="A430" s="26">
        <v>43004</v>
      </c>
      <c r="B430" s="23">
        <v>716.46</v>
      </c>
      <c r="C430" s="25">
        <f t="shared" si="28"/>
        <v>1.5936923335010712E-3</v>
      </c>
      <c r="E430" s="25">
        <f t="shared" si="24"/>
        <v>0.21363959752007311</v>
      </c>
      <c r="K430" s="28">
        <v>43004</v>
      </c>
      <c r="L430" s="23">
        <v>12657.77</v>
      </c>
      <c r="M430" s="25">
        <f t="shared" si="29"/>
        <v>1.8794779807186316E-3</v>
      </c>
      <c r="O430" t="b">
        <f t="shared" si="27"/>
        <v>1</v>
      </c>
      <c r="Q430" s="25">
        <f t="shared" si="25"/>
        <v>0.19486419948874212</v>
      </c>
      <c r="X430">
        <f t="shared" si="26"/>
        <v>1</v>
      </c>
    </row>
    <row r="431" spans="1:24">
      <c r="A431" s="27">
        <v>43005</v>
      </c>
      <c r="B431" s="24">
        <v>706.2</v>
      </c>
      <c r="C431" s="25">
        <f t="shared" si="28"/>
        <v>-1.4320408675990272E-2</v>
      </c>
      <c r="E431" s="25">
        <f t="shared" si="24"/>
        <v>0.17467023736256415</v>
      </c>
      <c r="K431" s="29">
        <v>43005</v>
      </c>
      <c r="L431" s="24">
        <v>12462.32</v>
      </c>
      <c r="M431" s="25">
        <f t="shared" si="29"/>
        <v>-1.5683275666168155E-2</v>
      </c>
      <c r="O431" t="b">
        <f t="shared" si="27"/>
        <v>1</v>
      </c>
      <c r="Q431" s="25">
        <f t="shared" si="25"/>
        <v>0.16719317946609435</v>
      </c>
      <c r="X431">
        <f t="shared" si="26"/>
        <v>1</v>
      </c>
    </row>
    <row r="432" spans="1:24">
      <c r="A432" s="26">
        <v>43006</v>
      </c>
      <c r="B432" s="23">
        <v>710.45</v>
      </c>
      <c r="C432" s="25">
        <f t="shared" si="28"/>
        <v>6.0181251770036817E-3</v>
      </c>
      <c r="E432" s="25">
        <f t="shared" si="24"/>
        <v>0.15734858110969929</v>
      </c>
      <c r="K432" s="28">
        <v>43006</v>
      </c>
      <c r="L432" s="23">
        <v>12515.16</v>
      </c>
      <c r="M432" s="25">
        <f t="shared" si="29"/>
        <v>4.2220794620284633E-3</v>
      </c>
      <c r="O432" t="b">
        <f t="shared" si="27"/>
        <v>1</v>
      </c>
      <c r="Q432" s="25">
        <f t="shared" si="25"/>
        <v>0.15076111093232081</v>
      </c>
      <c r="X432">
        <f t="shared" si="26"/>
        <v>1</v>
      </c>
    </row>
    <row r="433" spans="1:24">
      <c r="A433" s="27">
        <v>43007</v>
      </c>
      <c r="B433" s="24">
        <v>714.01</v>
      </c>
      <c r="C433" s="25">
        <f t="shared" si="28"/>
        <v>5.0109085790695264E-3</v>
      </c>
      <c r="E433" s="25">
        <f t="shared" si="24"/>
        <v>0.15580484330484334</v>
      </c>
      <c r="K433" s="29">
        <v>43007</v>
      </c>
      <c r="L433" s="24">
        <v>12577.95</v>
      </c>
      <c r="M433" s="25">
        <f t="shared" si="29"/>
        <v>4.9920694548794414E-3</v>
      </c>
      <c r="O433" t="b">
        <f t="shared" si="27"/>
        <v>1</v>
      </c>
      <c r="Q433" s="25">
        <f t="shared" si="25"/>
        <v>0.15111643546016484</v>
      </c>
      <c r="X433">
        <f t="shared" si="26"/>
        <v>1</v>
      </c>
    </row>
    <row r="434" spans="1:24">
      <c r="A434" s="26">
        <v>43011</v>
      </c>
      <c r="B434" s="23">
        <v>719.04</v>
      </c>
      <c r="C434" s="25">
        <f t="shared" si="28"/>
        <v>7.0447192616349529E-3</v>
      </c>
      <c r="E434" s="25">
        <f t="shared" si="24"/>
        <v>0.15806087936865842</v>
      </c>
      <c r="K434" s="28">
        <v>43011</v>
      </c>
      <c r="L434" s="23">
        <v>12669.17</v>
      </c>
      <c r="M434" s="25">
        <f t="shared" si="29"/>
        <v>7.2001559691755139E-3</v>
      </c>
      <c r="O434" t="b">
        <f t="shared" si="27"/>
        <v>1</v>
      </c>
      <c r="Q434" s="25">
        <f t="shared" si="25"/>
        <v>0.15979592845595136</v>
      </c>
      <c r="X434">
        <f t="shared" si="26"/>
        <v>0</v>
      </c>
    </row>
    <row r="435" spans="1:24">
      <c r="A435" s="27">
        <v>43012</v>
      </c>
      <c r="B435" s="24">
        <v>720.06</v>
      </c>
      <c r="C435" s="25">
        <f t="shared" si="28"/>
        <v>1.4185580774365568E-3</v>
      </c>
      <c r="E435" s="25">
        <f t="shared" si="24"/>
        <v>0.16412843146764966</v>
      </c>
      <c r="K435" s="29">
        <v>43012</v>
      </c>
      <c r="L435" s="24">
        <v>12734.23</v>
      </c>
      <c r="M435" s="25">
        <f t="shared" si="29"/>
        <v>5.1090643093457157E-3</v>
      </c>
      <c r="O435" t="b">
        <f t="shared" si="27"/>
        <v>1</v>
      </c>
      <c r="Q435" s="25">
        <f t="shared" si="25"/>
        <v>0.17012226610382242</v>
      </c>
      <c r="X435">
        <f t="shared" si="26"/>
        <v>0</v>
      </c>
    </row>
    <row r="436" spans="1:24">
      <c r="A436" s="26">
        <v>43013</v>
      </c>
      <c r="B436" s="23">
        <v>721.06</v>
      </c>
      <c r="C436" s="25">
        <f t="shared" si="28"/>
        <v>1.3887731577924064E-3</v>
      </c>
      <c r="E436" s="25">
        <f t="shared" si="24"/>
        <v>0.1672359368676648</v>
      </c>
      <c r="K436" s="28">
        <v>43013</v>
      </c>
      <c r="L436" s="23">
        <v>12733.64</v>
      </c>
      <c r="M436" s="25">
        <f t="shared" si="29"/>
        <v>-4.6333962637560476E-5</v>
      </c>
      <c r="O436" t="b">
        <f t="shared" si="27"/>
        <v>1</v>
      </c>
      <c r="Q436" s="25">
        <f t="shared" si="25"/>
        <v>0.17163556999924534</v>
      </c>
      <c r="X436">
        <f t="shared" si="26"/>
        <v>0</v>
      </c>
    </row>
    <row r="437" spans="1:24">
      <c r="A437" s="27">
        <v>43014</v>
      </c>
      <c r="B437" s="24">
        <v>727.65</v>
      </c>
      <c r="C437" s="25">
        <f t="shared" si="28"/>
        <v>9.1393226638560345E-3</v>
      </c>
      <c r="E437" s="25">
        <f t="shared" si="24"/>
        <v>0.17190897231482816</v>
      </c>
      <c r="K437" s="29">
        <v>43014</v>
      </c>
      <c r="L437" s="24">
        <v>12852.04</v>
      </c>
      <c r="M437" s="25">
        <f t="shared" si="29"/>
        <v>9.2125452457354207E-3</v>
      </c>
      <c r="O437" t="b">
        <f t="shared" si="27"/>
        <v>1</v>
      </c>
      <c r="Q437" s="25">
        <f t="shared" si="25"/>
        <v>0.18166095851051622</v>
      </c>
      <c r="X437">
        <f t="shared" si="26"/>
        <v>0</v>
      </c>
    </row>
    <row r="438" spans="1:24">
      <c r="A438" s="26">
        <v>43017</v>
      </c>
      <c r="B438" s="23">
        <v>728.01</v>
      </c>
      <c r="C438" s="25">
        <f t="shared" si="28"/>
        <v>4.947433518862278E-4</v>
      </c>
      <c r="E438" s="25">
        <f t="shared" si="24"/>
        <v>0.18922848228433287</v>
      </c>
      <c r="K438" s="28">
        <v>43017</v>
      </c>
      <c r="L438" s="23">
        <v>12867.94</v>
      </c>
      <c r="M438" s="25">
        <f t="shared" si="29"/>
        <v>1.2356290128800443E-3</v>
      </c>
      <c r="O438" t="b">
        <f t="shared" si="27"/>
        <v>1</v>
      </c>
      <c r="Q438" s="25">
        <f t="shared" si="25"/>
        <v>0.20136381756886079</v>
      </c>
      <c r="X438">
        <f t="shared" si="26"/>
        <v>0</v>
      </c>
    </row>
    <row r="439" spans="1:24">
      <c r="A439" s="27">
        <v>43018</v>
      </c>
      <c r="B439" s="24">
        <v>729.18</v>
      </c>
      <c r="C439" s="25">
        <f t="shared" si="28"/>
        <v>1.6071207813078928E-3</v>
      </c>
      <c r="E439" s="25">
        <f t="shared" si="24"/>
        <v>0.18813139542462354</v>
      </c>
      <c r="K439" s="29">
        <v>43018</v>
      </c>
      <c r="L439" s="24">
        <v>12923.71</v>
      </c>
      <c r="M439" s="25">
        <f t="shared" si="29"/>
        <v>4.3153243147670923E-3</v>
      </c>
      <c r="O439" t="b">
        <f t="shared" si="27"/>
        <v>1</v>
      </c>
      <c r="Q439" s="25">
        <f t="shared" si="25"/>
        <v>0.20308075269638004</v>
      </c>
      <c r="X439">
        <f t="shared" si="26"/>
        <v>0</v>
      </c>
    </row>
    <row r="440" spans="1:24">
      <c r="A440" s="26">
        <v>43019</v>
      </c>
      <c r="B440" s="23">
        <v>723.54</v>
      </c>
      <c r="C440" s="25">
        <f t="shared" si="28"/>
        <v>-7.734715708055606E-3</v>
      </c>
      <c r="E440" s="25">
        <f t="shared" ref="E440:E503" si="30">(B440/B195)-1</f>
        <v>0.19075753336734524</v>
      </c>
      <c r="K440" s="28">
        <v>43019</v>
      </c>
      <c r="L440" s="23">
        <v>12859.33</v>
      </c>
      <c r="M440" s="25">
        <f t="shared" si="29"/>
        <v>-5.0064816751727503E-3</v>
      </c>
      <c r="O440" t="b">
        <f t="shared" si="27"/>
        <v>1</v>
      </c>
      <c r="Q440" s="25">
        <f t="shared" ref="Q440:Q503" si="31">(L440/L195)-1</f>
        <v>0.20605817892608336</v>
      </c>
      <c r="X440">
        <f t="shared" ref="X440:X503" si="32">IF(E440&gt;Q440,1,0)</f>
        <v>0</v>
      </c>
    </row>
    <row r="441" spans="1:24">
      <c r="A441" s="27">
        <v>43020</v>
      </c>
      <c r="B441" s="24">
        <v>730.72</v>
      </c>
      <c r="C441" s="25">
        <f t="shared" si="28"/>
        <v>9.9234320148161321E-3</v>
      </c>
      <c r="E441" s="25">
        <f t="shared" si="30"/>
        <v>0.18613748884019166</v>
      </c>
      <c r="K441" s="29">
        <v>43020</v>
      </c>
      <c r="L441" s="24">
        <v>13002.13</v>
      </c>
      <c r="M441" s="25">
        <f t="shared" si="29"/>
        <v>1.0982815892472948E-2</v>
      </c>
      <c r="O441" t="b">
        <f t="shared" si="27"/>
        <v>1</v>
      </c>
      <c r="Q441" s="25">
        <f t="shared" si="31"/>
        <v>0.1987109514730665</v>
      </c>
      <c r="X441">
        <f t="shared" si="32"/>
        <v>0</v>
      </c>
    </row>
    <row r="442" spans="1:24">
      <c r="A442" s="26">
        <v>43021</v>
      </c>
      <c r="B442" s="23">
        <v>733.3</v>
      </c>
      <c r="C442" s="25">
        <f t="shared" si="28"/>
        <v>3.5307641777971412E-3</v>
      </c>
      <c r="E442" s="25">
        <f t="shared" si="30"/>
        <v>0.18749190309625585</v>
      </c>
      <c r="K442" s="28">
        <v>43021</v>
      </c>
      <c r="L442" s="23">
        <v>13071.12</v>
      </c>
      <c r="M442" s="25">
        <f t="shared" si="29"/>
        <v>5.2780480938130472E-3</v>
      </c>
      <c r="O442" t="b">
        <f t="shared" si="27"/>
        <v>1</v>
      </c>
      <c r="Q442" s="25">
        <f t="shared" si="31"/>
        <v>0.20576614937858095</v>
      </c>
      <c r="X442">
        <f t="shared" si="32"/>
        <v>0</v>
      </c>
    </row>
    <row r="443" spans="1:24">
      <c r="A443" s="27">
        <v>43024</v>
      </c>
      <c r="B443" s="24">
        <v>737.47</v>
      </c>
      <c r="C443" s="25">
        <f t="shared" si="28"/>
        <v>5.686622119187335E-3</v>
      </c>
      <c r="E443" s="25">
        <f t="shared" si="30"/>
        <v>0.19200556022499526</v>
      </c>
      <c r="K443" s="29">
        <v>43024</v>
      </c>
      <c r="L443" s="24">
        <v>13141.38</v>
      </c>
      <c r="M443" s="25">
        <f t="shared" si="29"/>
        <v>5.346470462006152E-3</v>
      </c>
      <c r="O443" t="b">
        <f t="shared" si="27"/>
        <v>1</v>
      </c>
      <c r="Q443" s="25">
        <f t="shared" si="31"/>
        <v>0.20724269552475993</v>
      </c>
      <c r="X443">
        <f t="shared" si="32"/>
        <v>0</v>
      </c>
    </row>
    <row r="444" spans="1:24">
      <c r="A444" s="26">
        <v>43025</v>
      </c>
      <c r="B444" s="23">
        <v>738.45</v>
      </c>
      <c r="C444" s="25">
        <f t="shared" si="28"/>
        <v>1.3288676149538533E-3</v>
      </c>
      <c r="E444" s="25">
        <f t="shared" si="30"/>
        <v>0.18865191146881299</v>
      </c>
      <c r="K444" s="28">
        <v>43025</v>
      </c>
      <c r="L444" s="23">
        <v>13166.39</v>
      </c>
      <c r="M444" s="25">
        <f t="shared" si="29"/>
        <v>1.8995335851361094E-3</v>
      </c>
      <c r="O444" t="b">
        <f t="shared" si="27"/>
        <v>1</v>
      </c>
      <c r="Q444" s="25">
        <f t="shared" si="31"/>
        <v>0.20852551587531054</v>
      </c>
      <c r="X444">
        <f t="shared" si="32"/>
        <v>0</v>
      </c>
    </row>
    <row r="445" spans="1:24">
      <c r="A445" s="27">
        <v>43026</v>
      </c>
      <c r="B445" s="24">
        <v>735.4</v>
      </c>
      <c r="C445" s="25">
        <f t="shared" si="28"/>
        <v>-4.1302728688470012E-3</v>
      </c>
      <c r="E445" s="25">
        <f t="shared" si="30"/>
        <v>0.18691392695169373</v>
      </c>
      <c r="K445" s="29">
        <v>43026</v>
      </c>
      <c r="L445" s="24">
        <v>13140.53</v>
      </c>
      <c r="M445" s="25">
        <f t="shared" si="29"/>
        <v>-1.9679571524130884E-3</v>
      </c>
      <c r="O445" t="b">
        <f t="shared" si="27"/>
        <v>1</v>
      </c>
      <c r="Q445" s="25">
        <f t="shared" si="31"/>
        <v>0.20448906149887769</v>
      </c>
      <c r="X445">
        <f t="shared" si="32"/>
        <v>0</v>
      </c>
    </row>
    <row r="446" spans="1:24">
      <c r="A446" s="26">
        <v>43031</v>
      </c>
      <c r="B446" s="23">
        <v>733.99</v>
      </c>
      <c r="C446" s="25">
        <f t="shared" si="28"/>
        <v>-1.9173239053575852E-3</v>
      </c>
      <c r="E446" s="25">
        <f t="shared" si="30"/>
        <v>0.18724422949387765</v>
      </c>
      <c r="K446" s="28">
        <v>43031</v>
      </c>
      <c r="L446" s="23">
        <v>13123.33</v>
      </c>
      <c r="M446" s="25">
        <f t="shared" si="29"/>
        <v>-1.3106429541892741E-3</v>
      </c>
      <c r="O446" t="b">
        <f t="shared" si="27"/>
        <v>1</v>
      </c>
      <c r="Q446" s="25">
        <f t="shared" si="31"/>
        <v>0.20451228712985792</v>
      </c>
      <c r="X446">
        <f t="shared" si="32"/>
        <v>0</v>
      </c>
    </row>
    <row r="447" spans="1:24">
      <c r="A447" s="27">
        <v>43032</v>
      </c>
      <c r="B447" s="24">
        <v>736.52</v>
      </c>
      <c r="C447" s="25">
        <f t="shared" si="28"/>
        <v>3.4469134456872339E-3</v>
      </c>
      <c r="E447" s="25">
        <f t="shared" si="30"/>
        <v>0.20148121564085408</v>
      </c>
      <c r="K447" s="29">
        <v>43032</v>
      </c>
      <c r="L447" s="24">
        <v>13153.91</v>
      </c>
      <c r="M447" s="25">
        <f t="shared" si="29"/>
        <v>2.3247840375979407E-3</v>
      </c>
      <c r="O447" t="b">
        <f t="shared" si="27"/>
        <v>1</v>
      </c>
      <c r="Q447" s="25">
        <f t="shared" si="31"/>
        <v>0.21777421863427637</v>
      </c>
      <c r="X447">
        <f t="shared" si="32"/>
        <v>0</v>
      </c>
    </row>
    <row r="448" spans="1:24">
      <c r="A448" s="26">
        <v>43033</v>
      </c>
      <c r="B448" s="23">
        <v>737.04</v>
      </c>
      <c r="C448" s="25">
        <f t="shared" si="28"/>
        <v>7.0602291859010182E-4</v>
      </c>
      <c r="E448" s="25">
        <f t="shared" si="30"/>
        <v>0.211141237367513</v>
      </c>
      <c r="K448" s="28">
        <v>43033</v>
      </c>
      <c r="L448" s="23">
        <v>13259.23</v>
      </c>
      <c r="M448" s="25">
        <f t="shared" si="29"/>
        <v>7.9431460197914739E-3</v>
      </c>
      <c r="O448" t="b">
        <f t="shared" si="27"/>
        <v>1</v>
      </c>
      <c r="Q448" s="25">
        <f t="shared" si="31"/>
        <v>0.23148417320911263</v>
      </c>
      <c r="X448">
        <f t="shared" si="32"/>
        <v>0</v>
      </c>
    </row>
    <row r="449" spans="1:24">
      <c r="A449" s="27">
        <v>43034</v>
      </c>
      <c r="B449" s="24">
        <v>739.38</v>
      </c>
      <c r="C449" s="25">
        <f t="shared" si="28"/>
        <v>3.1748616085965917E-3</v>
      </c>
      <c r="E449" s="25">
        <f t="shared" si="30"/>
        <v>0.20439811044144007</v>
      </c>
      <c r="K449" s="29">
        <v>43034</v>
      </c>
      <c r="L449" s="24">
        <v>13320.16</v>
      </c>
      <c r="M449" s="25">
        <f t="shared" si="29"/>
        <v>4.57426937814563E-3</v>
      </c>
      <c r="O449" t="b">
        <f t="shared" si="27"/>
        <v>1</v>
      </c>
      <c r="Q449" s="25">
        <f t="shared" si="31"/>
        <v>0.2302145183888078</v>
      </c>
      <c r="X449">
        <f t="shared" si="32"/>
        <v>0</v>
      </c>
    </row>
    <row r="450" spans="1:24">
      <c r="A450" s="26">
        <v>43035</v>
      </c>
      <c r="B450" s="23">
        <v>739.5</v>
      </c>
      <c r="C450" s="25">
        <f t="shared" si="28"/>
        <v>1.6229814168628384E-4</v>
      </c>
      <c r="E450" s="25">
        <f t="shared" si="30"/>
        <v>0.19451444078309743</v>
      </c>
      <c r="K450" s="28">
        <v>43035</v>
      </c>
      <c r="L450" s="23">
        <v>13316.83</v>
      </c>
      <c r="M450" s="25">
        <f t="shared" si="29"/>
        <v>-2.5005951115993275E-4</v>
      </c>
      <c r="O450" t="b">
        <f t="shared" si="27"/>
        <v>1</v>
      </c>
      <c r="Q450" s="25">
        <f t="shared" si="31"/>
        <v>0.22841732591433717</v>
      </c>
      <c r="X450">
        <f t="shared" si="32"/>
        <v>0</v>
      </c>
    </row>
    <row r="451" spans="1:24">
      <c r="A451" s="27">
        <v>43038</v>
      </c>
      <c r="B451" s="24">
        <v>742.4</v>
      </c>
      <c r="C451" s="25">
        <f t="shared" si="28"/>
        <v>3.92156862745095E-3</v>
      </c>
      <c r="E451" s="25">
        <f t="shared" si="30"/>
        <v>0.21858739720630949</v>
      </c>
      <c r="K451" s="29">
        <v>43038</v>
      </c>
      <c r="L451" s="24">
        <v>13405.53</v>
      </c>
      <c r="M451" s="25">
        <f t="shared" si="29"/>
        <v>6.6166723732669075E-3</v>
      </c>
      <c r="O451" t="b">
        <f t="shared" ref="O451:O514" si="33">K451=A451</f>
        <v>1</v>
      </c>
      <c r="Q451" s="25">
        <f t="shared" si="31"/>
        <v>0.25506312048504109</v>
      </c>
      <c r="X451">
        <f t="shared" si="32"/>
        <v>0</v>
      </c>
    </row>
    <row r="452" spans="1:24">
      <c r="A452" s="26">
        <v>43039</v>
      </c>
      <c r="B452" s="23">
        <v>742.78</v>
      </c>
      <c r="C452" s="25">
        <f t="shared" ref="C452:C515" si="34">(B452-B451)/B451</f>
        <v>5.1185344827585594E-4</v>
      </c>
      <c r="E452" s="25">
        <f t="shared" si="30"/>
        <v>0.22907634775126584</v>
      </c>
      <c r="K452" s="28">
        <v>43039</v>
      </c>
      <c r="L452" s="23">
        <v>13394.75</v>
      </c>
      <c r="M452" s="25">
        <f t="shared" ref="M452:M515" si="35">(L452-L451)/L452</f>
        <v>-8.0479292260032136E-4</v>
      </c>
      <c r="O452" t="b">
        <f t="shared" si="33"/>
        <v>1</v>
      </c>
      <c r="Q452" s="25">
        <f t="shared" si="31"/>
        <v>0.26185691905218111</v>
      </c>
      <c r="X452">
        <f t="shared" si="32"/>
        <v>0</v>
      </c>
    </row>
    <row r="453" spans="1:24">
      <c r="A453" s="27">
        <v>43040</v>
      </c>
      <c r="B453" s="24">
        <v>749.13</v>
      </c>
      <c r="C453" s="25">
        <f t="shared" si="34"/>
        <v>8.5489647001804336E-3</v>
      </c>
      <c r="E453" s="25">
        <f t="shared" si="30"/>
        <v>0.25640251572327033</v>
      </c>
      <c r="K453" s="29">
        <v>43040</v>
      </c>
      <c r="L453" s="24">
        <v>13515.96</v>
      </c>
      <c r="M453" s="25">
        <f t="shared" si="35"/>
        <v>8.9679164484061172E-3</v>
      </c>
      <c r="O453" t="b">
        <f t="shared" si="33"/>
        <v>1</v>
      </c>
      <c r="Q453" s="25">
        <f t="shared" si="31"/>
        <v>0.28550314148375433</v>
      </c>
      <c r="X453">
        <f t="shared" si="32"/>
        <v>0</v>
      </c>
    </row>
    <row r="454" spans="1:24">
      <c r="A454" s="26">
        <v>43041</v>
      </c>
      <c r="B454" s="23">
        <v>747.55</v>
      </c>
      <c r="C454" s="25">
        <f t="shared" si="34"/>
        <v>-2.1091132380228277E-3</v>
      </c>
      <c r="E454" s="25">
        <f t="shared" si="30"/>
        <v>0.24196308418202062</v>
      </c>
      <c r="K454" s="28">
        <v>43041</v>
      </c>
      <c r="L454" s="23">
        <v>13520.5</v>
      </c>
      <c r="M454" s="25">
        <f t="shared" si="35"/>
        <v>3.3578639843207523E-4</v>
      </c>
      <c r="O454" t="b">
        <f t="shared" si="33"/>
        <v>1</v>
      </c>
      <c r="Q454" s="25">
        <f t="shared" si="31"/>
        <v>0.27590525055228987</v>
      </c>
      <c r="X454">
        <f t="shared" si="32"/>
        <v>0</v>
      </c>
    </row>
    <row r="455" spans="1:24">
      <c r="A455" s="27">
        <v>43042</v>
      </c>
      <c r="B455" s="24">
        <v>749.05</v>
      </c>
      <c r="C455" s="25">
        <f t="shared" si="34"/>
        <v>2.0065547455019733E-3</v>
      </c>
      <c r="E455" s="25">
        <f t="shared" si="30"/>
        <v>0.24078583378886487</v>
      </c>
      <c r="K455" s="29">
        <v>43042</v>
      </c>
      <c r="L455" s="24">
        <v>13556.06</v>
      </c>
      <c r="M455" s="25">
        <f t="shared" si="35"/>
        <v>2.6231810717863074E-3</v>
      </c>
      <c r="O455" t="b">
        <f t="shared" si="33"/>
        <v>1</v>
      </c>
      <c r="Q455" s="25">
        <f t="shared" si="31"/>
        <v>0.27314682635090448</v>
      </c>
      <c r="X455">
        <f t="shared" si="32"/>
        <v>0</v>
      </c>
    </row>
    <row r="456" spans="1:24">
      <c r="A456" s="26">
        <v>43045</v>
      </c>
      <c r="B456" s="23">
        <v>747.55</v>
      </c>
      <c r="C456" s="25">
        <f t="shared" si="34"/>
        <v>-2.0025365462919701E-3</v>
      </c>
      <c r="E456" s="25">
        <f t="shared" si="30"/>
        <v>0.25757015005719652</v>
      </c>
      <c r="K456" s="28">
        <v>43045</v>
      </c>
      <c r="L456" s="23">
        <v>13574.58</v>
      </c>
      <c r="M456" s="25">
        <f t="shared" si="35"/>
        <v>1.3643147706964367E-3</v>
      </c>
      <c r="O456" t="b">
        <f t="shared" si="33"/>
        <v>1</v>
      </c>
      <c r="Q456" s="25">
        <f t="shared" si="31"/>
        <v>0.29573934358629761</v>
      </c>
      <c r="X456">
        <f t="shared" si="32"/>
        <v>0</v>
      </c>
    </row>
    <row r="457" spans="1:24">
      <c r="A457" s="27">
        <v>43046</v>
      </c>
      <c r="B457" s="24">
        <v>741.12</v>
      </c>
      <c r="C457" s="25">
        <f t="shared" si="34"/>
        <v>-8.6014313423850592E-3</v>
      </c>
      <c r="E457" s="25">
        <f t="shared" si="30"/>
        <v>0.22987056090275471</v>
      </c>
      <c r="K457" s="29">
        <v>43046</v>
      </c>
      <c r="L457" s="24">
        <v>13423.23</v>
      </c>
      <c r="M457" s="25">
        <f t="shared" si="35"/>
        <v>-1.1275229583341742E-2</v>
      </c>
      <c r="O457" t="b">
        <f t="shared" si="33"/>
        <v>1</v>
      </c>
      <c r="Q457" s="25">
        <f t="shared" si="31"/>
        <v>0.26473647613502105</v>
      </c>
      <c r="X457">
        <f t="shared" si="32"/>
        <v>0</v>
      </c>
    </row>
    <row r="458" spans="1:24">
      <c r="A458" s="26">
        <v>43047</v>
      </c>
      <c r="B458" s="23">
        <v>737.13</v>
      </c>
      <c r="C458" s="25">
        <f t="shared" si="34"/>
        <v>-5.3837435233160744E-3</v>
      </c>
      <c r="E458" s="25">
        <f t="shared" si="30"/>
        <v>0.25856681862418673</v>
      </c>
      <c r="K458" s="28">
        <v>43047</v>
      </c>
      <c r="L458" s="23">
        <v>13347.31</v>
      </c>
      <c r="M458" s="25">
        <f t="shared" si="35"/>
        <v>-5.6880375146752477E-3</v>
      </c>
      <c r="O458" t="b">
        <f t="shared" si="33"/>
        <v>1</v>
      </c>
      <c r="Q458" s="25">
        <f t="shared" si="31"/>
        <v>0.29566539274339387</v>
      </c>
      <c r="X458">
        <f t="shared" si="32"/>
        <v>0</v>
      </c>
    </row>
    <row r="459" spans="1:24">
      <c r="A459" s="27">
        <v>43048</v>
      </c>
      <c r="B459" s="24">
        <v>739.14</v>
      </c>
      <c r="C459" s="25">
        <f t="shared" si="34"/>
        <v>2.726791746367657E-3</v>
      </c>
      <c r="E459" s="25">
        <f t="shared" si="30"/>
        <v>0.3130462587934344</v>
      </c>
      <c r="K459" s="29">
        <v>43048</v>
      </c>
      <c r="L459" s="24">
        <v>13390.89</v>
      </c>
      <c r="M459" s="25">
        <f t="shared" si="35"/>
        <v>3.2544513471471971E-3</v>
      </c>
      <c r="O459" t="b">
        <f t="shared" si="33"/>
        <v>1</v>
      </c>
      <c r="Q459" s="25">
        <f t="shared" si="31"/>
        <v>0.33935955062922707</v>
      </c>
      <c r="X459">
        <f t="shared" si="32"/>
        <v>0</v>
      </c>
    </row>
    <row r="460" spans="1:24">
      <c r="A460" s="26">
        <v>43049</v>
      </c>
      <c r="B460" s="23">
        <v>739.45</v>
      </c>
      <c r="C460" s="25">
        <f t="shared" si="34"/>
        <v>4.1940633709454113E-4</v>
      </c>
      <c r="E460" s="25">
        <f t="shared" si="30"/>
        <v>0.30947953744532386</v>
      </c>
      <c r="K460" s="28">
        <v>43049</v>
      </c>
      <c r="L460" s="23">
        <v>13403.43</v>
      </c>
      <c r="M460" s="25">
        <f t="shared" si="35"/>
        <v>9.3558141460811694E-4</v>
      </c>
      <c r="O460" t="b">
        <f t="shared" si="33"/>
        <v>1</v>
      </c>
      <c r="Q460" s="25">
        <f t="shared" si="31"/>
        <v>0.33831678838238921</v>
      </c>
      <c r="X460">
        <f t="shared" si="32"/>
        <v>0</v>
      </c>
    </row>
    <row r="461" spans="1:24">
      <c r="A461" s="27">
        <v>43052</v>
      </c>
      <c r="B461" s="24">
        <v>733.81</v>
      </c>
      <c r="C461" s="25">
        <f t="shared" si="34"/>
        <v>-7.6272905537901137E-3</v>
      </c>
      <c r="E461" s="25">
        <f t="shared" si="30"/>
        <v>0.3005972953332976</v>
      </c>
      <c r="K461" s="29">
        <v>43052</v>
      </c>
      <c r="L461" s="24">
        <v>13297.47</v>
      </c>
      <c r="M461" s="25">
        <f t="shared" si="35"/>
        <v>-7.9684330929117309E-3</v>
      </c>
      <c r="O461" t="b">
        <f t="shared" si="33"/>
        <v>1</v>
      </c>
      <c r="Q461" s="25">
        <f t="shared" si="31"/>
        <v>0.33245187731094106</v>
      </c>
      <c r="X461">
        <f t="shared" si="32"/>
        <v>0</v>
      </c>
    </row>
    <row r="462" spans="1:24">
      <c r="A462" s="26">
        <v>43053</v>
      </c>
      <c r="B462" s="23">
        <v>731.84</v>
      </c>
      <c r="C462" s="25">
        <f t="shared" si="34"/>
        <v>-2.6846186342512554E-3</v>
      </c>
      <c r="E462" s="25">
        <f t="shared" si="30"/>
        <v>0.30005506901390944</v>
      </c>
      <c r="K462" s="28">
        <v>43053</v>
      </c>
      <c r="L462" s="23">
        <v>13252.24</v>
      </c>
      <c r="M462" s="25">
        <f t="shared" si="35"/>
        <v>-3.4130079141337288E-3</v>
      </c>
      <c r="O462" t="b">
        <f t="shared" si="33"/>
        <v>1</v>
      </c>
      <c r="Q462" s="25">
        <f t="shared" si="31"/>
        <v>0.32694770506888449</v>
      </c>
      <c r="X462">
        <f t="shared" si="32"/>
        <v>0</v>
      </c>
    </row>
    <row r="463" spans="1:24">
      <c r="A463" s="27">
        <v>43054</v>
      </c>
      <c r="B463" s="24">
        <v>725.33</v>
      </c>
      <c r="C463" s="25">
        <f t="shared" si="34"/>
        <v>-8.895386969829458E-3</v>
      </c>
      <c r="E463" s="25">
        <f t="shared" si="30"/>
        <v>0.31930954199861783</v>
      </c>
      <c r="K463" s="29">
        <v>43054</v>
      </c>
      <c r="L463" s="24">
        <v>13138.35</v>
      </c>
      <c r="M463" s="25">
        <f t="shared" si="35"/>
        <v>-8.6685162139842082E-3</v>
      </c>
      <c r="O463" t="b">
        <f t="shared" si="33"/>
        <v>1</v>
      </c>
      <c r="Q463" s="25">
        <f t="shared" si="31"/>
        <v>0.34413172917561852</v>
      </c>
      <c r="X463">
        <f t="shared" si="32"/>
        <v>0</v>
      </c>
    </row>
    <row r="464" spans="1:24">
      <c r="A464" s="26">
        <v>43055</v>
      </c>
      <c r="B464" s="23">
        <v>733.51</v>
      </c>
      <c r="C464" s="25">
        <f t="shared" si="34"/>
        <v>1.1277625356734107E-2</v>
      </c>
      <c r="E464" s="25">
        <f t="shared" si="30"/>
        <v>0.31495823025348657</v>
      </c>
      <c r="K464" s="28">
        <v>43055</v>
      </c>
      <c r="L464" s="23">
        <v>13272.37</v>
      </c>
      <c r="M464" s="25">
        <f t="shared" si="35"/>
        <v>1.0097669067393423E-2</v>
      </c>
      <c r="O464" t="b">
        <f t="shared" si="33"/>
        <v>1</v>
      </c>
      <c r="Q464" s="25">
        <f t="shared" si="31"/>
        <v>0.3431819124830866</v>
      </c>
      <c r="X464">
        <f t="shared" si="32"/>
        <v>0</v>
      </c>
    </row>
    <row r="465" spans="1:24">
      <c r="A465" s="27">
        <v>43056</v>
      </c>
      <c r="B465" s="24">
        <v>738.64</v>
      </c>
      <c r="C465" s="25">
        <f t="shared" si="34"/>
        <v>6.9937696827582383E-3</v>
      </c>
      <c r="E465" s="25">
        <f t="shared" si="30"/>
        <v>0.31131941485584447</v>
      </c>
      <c r="K465" s="29">
        <v>43056</v>
      </c>
      <c r="L465" s="24">
        <v>13377.94</v>
      </c>
      <c r="M465" s="25">
        <f t="shared" si="35"/>
        <v>7.8913494902802458E-3</v>
      </c>
      <c r="O465" t="b">
        <f t="shared" si="33"/>
        <v>1</v>
      </c>
      <c r="Q465" s="25">
        <f t="shared" si="31"/>
        <v>0.34454766291080086</v>
      </c>
      <c r="X465">
        <f t="shared" si="32"/>
        <v>0</v>
      </c>
    </row>
    <row r="466" spans="1:24">
      <c r="A466" s="26">
        <v>43059</v>
      </c>
      <c r="B466" s="23">
        <v>741.16</v>
      </c>
      <c r="C466" s="25">
        <f t="shared" si="34"/>
        <v>3.4116755117513022E-3</v>
      </c>
      <c r="E466" s="25">
        <f t="shared" si="30"/>
        <v>0.32506167983695056</v>
      </c>
      <c r="K466" s="28">
        <v>43059</v>
      </c>
      <c r="L466" s="23">
        <v>13414.42</v>
      </c>
      <c r="M466" s="25">
        <f t="shared" si="35"/>
        <v>2.7194615943141459E-3</v>
      </c>
      <c r="O466" t="b">
        <f t="shared" si="33"/>
        <v>1</v>
      </c>
      <c r="Q466" s="25">
        <f t="shared" si="31"/>
        <v>0.35710296825364707</v>
      </c>
      <c r="X466">
        <f t="shared" si="32"/>
        <v>0</v>
      </c>
    </row>
    <row r="467" spans="1:24">
      <c r="A467" s="27">
        <v>43060</v>
      </c>
      <c r="B467" s="24">
        <v>743.4</v>
      </c>
      <c r="C467" s="25">
        <f t="shared" si="34"/>
        <v>3.0222893842085504E-3</v>
      </c>
      <c r="E467" s="25">
        <f t="shared" si="30"/>
        <v>0.30425628969437524</v>
      </c>
      <c r="K467" s="29">
        <v>43060</v>
      </c>
      <c r="L467" s="24">
        <v>13448.92</v>
      </c>
      <c r="M467" s="25">
        <f t="shared" si="35"/>
        <v>2.56526174592458E-3</v>
      </c>
      <c r="O467" t="b">
        <f t="shared" si="33"/>
        <v>1</v>
      </c>
      <c r="Q467" s="25">
        <f t="shared" si="31"/>
        <v>0.33649745945714971</v>
      </c>
      <c r="X467">
        <f t="shared" si="32"/>
        <v>0</v>
      </c>
    </row>
    <row r="468" spans="1:24">
      <c r="A468" s="26">
        <v>43061</v>
      </c>
      <c r="B468" s="23">
        <v>742.31</v>
      </c>
      <c r="C468" s="25">
        <f t="shared" si="34"/>
        <v>-1.4662362119989667E-3</v>
      </c>
      <c r="E468" s="25">
        <f t="shared" si="30"/>
        <v>0.29633963186755596</v>
      </c>
      <c r="K468" s="28">
        <v>43061</v>
      </c>
      <c r="L468" s="23">
        <v>13463.99</v>
      </c>
      <c r="M468" s="25">
        <f t="shared" si="35"/>
        <v>1.1192818770661378E-3</v>
      </c>
      <c r="O468" t="b">
        <f t="shared" si="33"/>
        <v>1</v>
      </c>
      <c r="Q468" s="25">
        <f t="shared" si="31"/>
        <v>0.33365591770631631</v>
      </c>
      <c r="X468">
        <f t="shared" si="32"/>
        <v>0</v>
      </c>
    </row>
    <row r="469" spans="1:24">
      <c r="A469" s="27">
        <v>43062</v>
      </c>
      <c r="B469" s="24">
        <v>742.17</v>
      </c>
      <c r="C469" s="25">
        <f t="shared" si="34"/>
        <v>-1.8860044994676935E-4</v>
      </c>
      <c r="E469" s="25">
        <f t="shared" si="30"/>
        <v>0.29259626939756522</v>
      </c>
      <c r="K469" s="29">
        <v>43062</v>
      </c>
      <c r="L469" s="24">
        <v>13481.09</v>
      </c>
      <c r="M469" s="25">
        <f t="shared" si="35"/>
        <v>1.2684434270522906E-3</v>
      </c>
      <c r="O469" t="b">
        <f t="shared" si="33"/>
        <v>1</v>
      </c>
      <c r="Q469" s="25">
        <f t="shared" si="31"/>
        <v>0.33149066501001023</v>
      </c>
      <c r="X469">
        <f t="shared" si="32"/>
        <v>0</v>
      </c>
    </row>
    <row r="470" spans="1:24">
      <c r="A470" s="26">
        <v>43063</v>
      </c>
      <c r="B470" s="23">
        <v>744.14</v>
      </c>
      <c r="C470" s="25">
        <f t="shared" si="34"/>
        <v>2.6543783769217666E-3</v>
      </c>
      <c r="E470" s="25">
        <f t="shared" si="30"/>
        <v>0.28288940608568236</v>
      </c>
      <c r="K470" s="28">
        <v>43063</v>
      </c>
      <c r="L470" s="23">
        <v>13537.67</v>
      </c>
      <c r="M470" s="25">
        <f t="shared" si="35"/>
        <v>4.1794489007340209E-3</v>
      </c>
      <c r="O470" t="b">
        <f t="shared" si="33"/>
        <v>1</v>
      </c>
      <c r="Q470" s="25">
        <f t="shared" si="31"/>
        <v>0.32276664100148911</v>
      </c>
      <c r="X470">
        <f t="shared" si="32"/>
        <v>0</v>
      </c>
    </row>
    <row r="471" spans="1:24">
      <c r="A471" s="27">
        <v>43066</v>
      </c>
      <c r="B471" s="24">
        <v>745.84</v>
      </c>
      <c r="C471" s="25">
        <f t="shared" si="34"/>
        <v>2.2845163544494927E-3</v>
      </c>
      <c r="E471" s="25">
        <f t="shared" si="30"/>
        <v>0.2922586457827987</v>
      </c>
      <c r="K471" s="29">
        <v>43066</v>
      </c>
      <c r="L471" s="24">
        <v>13569.12</v>
      </c>
      <c r="M471" s="25">
        <f t="shared" si="35"/>
        <v>2.3177626846841008E-3</v>
      </c>
      <c r="O471" t="b">
        <f t="shared" si="33"/>
        <v>1</v>
      </c>
      <c r="Q471" s="25">
        <f t="shared" si="31"/>
        <v>0.33320363967564814</v>
      </c>
      <c r="X471">
        <f t="shared" si="32"/>
        <v>0</v>
      </c>
    </row>
    <row r="472" spans="1:24">
      <c r="A472" s="26">
        <v>43067</v>
      </c>
      <c r="B472" s="23">
        <v>745.06</v>
      </c>
      <c r="C472" s="25">
        <f t="shared" si="34"/>
        <v>-1.0458007079267488E-3</v>
      </c>
      <c r="E472" s="25">
        <f t="shared" si="30"/>
        <v>0.31207184996037673</v>
      </c>
      <c r="K472" s="28">
        <v>43067</v>
      </c>
      <c r="L472" s="23">
        <v>13549.81</v>
      </c>
      <c r="M472" s="25">
        <f t="shared" si="35"/>
        <v>-1.4251122340461829E-3</v>
      </c>
      <c r="O472" t="b">
        <f t="shared" si="33"/>
        <v>1</v>
      </c>
      <c r="Q472" s="25">
        <f t="shared" si="31"/>
        <v>0.34911907760779393</v>
      </c>
      <c r="X472">
        <f t="shared" si="32"/>
        <v>0</v>
      </c>
    </row>
    <row r="473" spans="1:24">
      <c r="A473" s="27">
        <v>43068</v>
      </c>
      <c r="B473" s="24">
        <v>743.33</v>
      </c>
      <c r="C473" s="25">
        <f t="shared" si="34"/>
        <v>-2.3219606474645057E-3</v>
      </c>
      <c r="E473" s="25">
        <f t="shared" si="30"/>
        <v>0.29943710230053866</v>
      </c>
      <c r="K473" s="29">
        <v>43068</v>
      </c>
      <c r="L473" s="24">
        <v>13535.77</v>
      </c>
      <c r="M473" s="25">
        <f t="shared" si="35"/>
        <v>-1.0372516672490042E-3</v>
      </c>
      <c r="O473" t="b">
        <f t="shared" si="33"/>
        <v>1</v>
      </c>
      <c r="Q473" s="25">
        <f t="shared" si="31"/>
        <v>0.34059866433061536</v>
      </c>
      <c r="X473">
        <f t="shared" si="32"/>
        <v>0</v>
      </c>
    </row>
    <row r="474" spans="1:24">
      <c r="A474" s="26">
        <v>43069</v>
      </c>
      <c r="B474" s="23">
        <v>737.94</v>
      </c>
      <c r="C474" s="25">
        <f t="shared" si="34"/>
        <v>-7.2511535926169882E-3</v>
      </c>
      <c r="E474" s="25">
        <f t="shared" si="30"/>
        <v>0.2883255643429532</v>
      </c>
      <c r="K474" s="28">
        <v>43069</v>
      </c>
      <c r="L474" s="23">
        <v>13403.72</v>
      </c>
      <c r="M474" s="25">
        <f t="shared" si="35"/>
        <v>-9.8517426505478397E-3</v>
      </c>
      <c r="O474" t="b">
        <f t="shared" si="33"/>
        <v>1</v>
      </c>
      <c r="Q474" s="25">
        <f t="shared" si="31"/>
        <v>0.32422833239971505</v>
      </c>
      <c r="X474">
        <f t="shared" si="32"/>
        <v>0</v>
      </c>
    </row>
    <row r="475" spans="1:24">
      <c r="A475" s="27">
        <v>43070</v>
      </c>
      <c r="B475" s="24">
        <v>730.17</v>
      </c>
      <c r="C475" s="25">
        <f t="shared" si="34"/>
        <v>-1.0529311326124204E-2</v>
      </c>
      <c r="E475" s="25">
        <f t="shared" si="30"/>
        <v>0.28201211482749544</v>
      </c>
      <c r="K475" s="29">
        <v>43070</v>
      </c>
      <c r="L475" s="24">
        <v>13265.94</v>
      </c>
      <c r="M475" s="25">
        <f t="shared" si="35"/>
        <v>-1.0385996016867167E-2</v>
      </c>
      <c r="O475" t="b">
        <f t="shared" si="33"/>
        <v>1</v>
      </c>
      <c r="Q475" s="25">
        <f t="shared" si="31"/>
        <v>0.31632926439623832</v>
      </c>
      <c r="X475">
        <f t="shared" si="32"/>
        <v>0</v>
      </c>
    </row>
    <row r="476" spans="1:24">
      <c r="A476" s="26">
        <v>43073</v>
      </c>
      <c r="B476" s="23">
        <v>729.92</v>
      </c>
      <c r="C476" s="25">
        <f t="shared" si="34"/>
        <v>-3.4238601969404389E-4</v>
      </c>
      <c r="E476" s="25">
        <f t="shared" si="30"/>
        <v>0.26059098837711336</v>
      </c>
      <c r="K476" s="28">
        <v>43073</v>
      </c>
      <c r="L476" s="23">
        <v>13264.38</v>
      </c>
      <c r="M476" s="25">
        <f t="shared" si="35"/>
        <v>-1.1760821086257404E-4</v>
      </c>
      <c r="O476" t="b">
        <f t="shared" si="33"/>
        <v>1</v>
      </c>
      <c r="Q476" s="25">
        <f t="shared" si="31"/>
        <v>0.29425252813045177</v>
      </c>
      <c r="X476">
        <f t="shared" si="32"/>
        <v>0</v>
      </c>
    </row>
    <row r="477" spans="1:24">
      <c r="A477" s="27">
        <v>43074</v>
      </c>
      <c r="B477" s="24">
        <v>730.43</v>
      </c>
      <c r="C477" s="25">
        <f t="shared" si="34"/>
        <v>6.9870670758438041E-4</v>
      </c>
      <c r="E477" s="25">
        <f t="shared" si="30"/>
        <v>0.25799562544133092</v>
      </c>
      <c r="K477" s="29">
        <v>43074</v>
      </c>
      <c r="L477" s="24">
        <v>13260.34</v>
      </c>
      <c r="M477" s="25">
        <f t="shared" si="35"/>
        <v>-3.0466790444280115E-4</v>
      </c>
      <c r="O477" t="b">
        <f t="shared" si="33"/>
        <v>1</v>
      </c>
      <c r="Q477" s="25">
        <f t="shared" si="31"/>
        <v>0.29169179036944737</v>
      </c>
      <c r="X477">
        <f t="shared" si="32"/>
        <v>0</v>
      </c>
    </row>
    <row r="478" spans="1:24">
      <c r="A478" s="26">
        <v>43075</v>
      </c>
      <c r="B478" s="23">
        <v>724.51</v>
      </c>
      <c r="C478" s="25">
        <f t="shared" si="34"/>
        <v>-8.1048149720027371E-3</v>
      </c>
      <c r="E478" s="25">
        <f t="shared" si="30"/>
        <v>0.26580708283103593</v>
      </c>
      <c r="K478" s="28">
        <v>43075</v>
      </c>
      <c r="L478" s="23">
        <v>13160.7</v>
      </c>
      <c r="M478" s="25">
        <f t="shared" si="35"/>
        <v>-7.5710258572871817E-3</v>
      </c>
      <c r="O478" t="b">
        <f t="shared" si="33"/>
        <v>1</v>
      </c>
      <c r="Q478" s="25">
        <f t="shared" si="31"/>
        <v>0.29621458498716668</v>
      </c>
      <c r="X478">
        <f t="shared" si="32"/>
        <v>0</v>
      </c>
    </row>
    <row r="479" spans="1:24">
      <c r="A479" s="27">
        <v>43076</v>
      </c>
      <c r="B479" s="24">
        <v>734.26</v>
      </c>
      <c r="C479" s="25">
        <f t="shared" si="34"/>
        <v>1.3457371188803467E-2</v>
      </c>
      <c r="E479" s="25">
        <f t="shared" si="30"/>
        <v>0.28382844054342327</v>
      </c>
      <c r="K479" s="29">
        <v>43076</v>
      </c>
      <c r="L479" s="24">
        <v>13328.38</v>
      </c>
      <c r="M479" s="25">
        <f t="shared" si="35"/>
        <v>1.2580673720286973E-2</v>
      </c>
      <c r="O479" t="b">
        <f t="shared" si="33"/>
        <v>1</v>
      </c>
      <c r="Q479" s="25">
        <f t="shared" si="31"/>
        <v>0.308602678396104</v>
      </c>
      <c r="X479">
        <f t="shared" si="32"/>
        <v>0</v>
      </c>
    </row>
    <row r="480" spans="1:24">
      <c r="A480" s="26">
        <v>43077</v>
      </c>
      <c r="B480" s="23">
        <v>742.77</v>
      </c>
      <c r="C480" s="25">
        <f t="shared" si="34"/>
        <v>1.1589900035409788E-2</v>
      </c>
      <c r="E480" s="25">
        <f t="shared" si="30"/>
        <v>0.30693435152112314</v>
      </c>
      <c r="K480" s="28">
        <v>43077</v>
      </c>
      <c r="L480" s="23">
        <v>13456.52</v>
      </c>
      <c r="M480" s="25">
        <f t="shared" si="35"/>
        <v>9.5225214245585957E-3</v>
      </c>
      <c r="O480" t="b">
        <f t="shared" si="33"/>
        <v>1</v>
      </c>
      <c r="Q480" s="25">
        <f t="shared" si="31"/>
        <v>0.3288592062111102</v>
      </c>
      <c r="X480">
        <f t="shared" si="32"/>
        <v>0</v>
      </c>
    </row>
    <row r="481" spans="1:25">
      <c r="A481" s="27">
        <v>43080</v>
      </c>
      <c r="B481" s="24">
        <v>746.49</v>
      </c>
      <c r="C481" s="25">
        <f t="shared" si="34"/>
        <v>5.0082798174401599E-3</v>
      </c>
      <c r="E481" s="25">
        <f t="shared" si="30"/>
        <v>0.31368787836125578</v>
      </c>
      <c r="K481" s="29">
        <v>43080</v>
      </c>
      <c r="L481" s="24">
        <v>13517.03</v>
      </c>
      <c r="M481" s="25">
        <f t="shared" si="35"/>
        <v>4.4765751056260296E-3</v>
      </c>
      <c r="O481" t="b">
        <f t="shared" si="33"/>
        <v>1</v>
      </c>
      <c r="Q481" s="25">
        <f t="shared" si="31"/>
        <v>0.3377661522261084</v>
      </c>
      <c r="X481">
        <f t="shared" si="32"/>
        <v>0</v>
      </c>
    </row>
    <row r="482" spans="1:25">
      <c r="A482" s="26">
        <v>43081</v>
      </c>
      <c r="B482" s="23">
        <v>740.7</v>
      </c>
      <c r="C482" s="25">
        <f t="shared" si="34"/>
        <v>-7.7562994815737162E-3</v>
      </c>
      <c r="E482" s="25">
        <f t="shared" si="30"/>
        <v>0.30657964367613344</v>
      </c>
      <c r="K482" s="28">
        <v>43081</v>
      </c>
      <c r="L482" s="23">
        <v>13406.62</v>
      </c>
      <c r="M482" s="25">
        <f t="shared" si="35"/>
        <v>-8.2354836640405899E-3</v>
      </c>
      <c r="O482" t="b">
        <f t="shared" si="33"/>
        <v>1</v>
      </c>
      <c r="Q482" s="25">
        <f t="shared" si="31"/>
        <v>0.32926620086002711</v>
      </c>
      <c r="X482">
        <f t="shared" si="32"/>
        <v>0</v>
      </c>
    </row>
    <row r="483" spans="1:25">
      <c r="A483" s="27">
        <v>43082</v>
      </c>
      <c r="B483" s="24">
        <v>735.27</v>
      </c>
      <c r="C483" s="25">
        <f t="shared" si="34"/>
        <v>-7.3309031996760679E-3</v>
      </c>
      <c r="E483" s="25">
        <f t="shared" si="30"/>
        <v>0.3023770724103727</v>
      </c>
      <c r="K483" s="29">
        <v>43082</v>
      </c>
      <c r="L483" s="24">
        <v>13326.52</v>
      </c>
      <c r="M483" s="25">
        <f t="shared" si="35"/>
        <v>-6.0105714019864425E-3</v>
      </c>
      <c r="O483" t="b">
        <f t="shared" si="33"/>
        <v>1</v>
      </c>
      <c r="Q483" s="25">
        <f t="shared" si="31"/>
        <v>0.32762825468427481</v>
      </c>
      <c r="X483">
        <f t="shared" si="32"/>
        <v>0</v>
      </c>
    </row>
    <row r="484" spans="1:25">
      <c r="A484" s="26">
        <v>43083</v>
      </c>
      <c r="B484" s="23">
        <v>737.98</v>
      </c>
      <c r="C484" s="25">
        <f t="shared" si="34"/>
        <v>3.6857208916452953E-3</v>
      </c>
      <c r="E484" s="25">
        <f t="shared" si="30"/>
        <v>0.31455850656406437</v>
      </c>
      <c r="K484" s="28">
        <v>43083</v>
      </c>
      <c r="L484" s="23">
        <v>13373.19</v>
      </c>
      <c r="M484" s="25">
        <f t="shared" si="35"/>
        <v>3.4898180613600845E-3</v>
      </c>
      <c r="O484" t="b">
        <f t="shared" si="33"/>
        <v>1</v>
      </c>
      <c r="Q484" s="25">
        <f t="shared" si="31"/>
        <v>0.33907989005542283</v>
      </c>
      <c r="X484">
        <f t="shared" si="32"/>
        <v>0</v>
      </c>
    </row>
    <row r="485" spans="1:25">
      <c r="A485" s="27">
        <v>43084</v>
      </c>
      <c r="B485" s="24">
        <v>744.72</v>
      </c>
      <c r="C485" s="25">
        <f t="shared" si="34"/>
        <v>9.1330388357408181E-3</v>
      </c>
      <c r="E485" s="25">
        <f t="shared" si="30"/>
        <v>0.32786534483988294</v>
      </c>
      <c r="K485" s="29">
        <v>43084</v>
      </c>
      <c r="L485" s="24">
        <v>13494.85</v>
      </c>
      <c r="M485" s="25">
        <f t="shared" si="35"/>
        <v>9.0152910184255371E-3</v>
      </c>
      <c r="O485" t="b">
        <f t="shared" si="33"/>
        <v>1</v>
      </c>
      <c r="Q485" s="25">
        <f t="shared" si="31"/>
        <v>0.35362574114215395</v>
      </c>
      <c r="X485">
        <f t="shared" si="32"/>
        <v>0</v>
      </c>
    </row>
    <row r="486" spans="1:25">
      <c r="A486" s="26">
        <v>43087</v>
      </c>
      <c r="B486" s="23">
        <v>749.44</v>
      </c>
      <c r="C486" s="25">
        <f t="shared" si="34"/>
        <v>6.3379525190676057E-3</v>
      </c>
      <c r="E486" s="25">
        <f t="shared" si="30"/>
        <v>0.3503910050812642</v>
      </c>
      <c r="K486" s="28">
        <v>43087</v>
      </c>
      <c r="L486" s="23">
        <v>13574.2</v>
      </c>
      <c r="M486" s="25">
        <f t="shared" si="35"/>
        <v>5.8456483623344551E-3</v>
      </c>
      <c r="O486" t="b">
        <f t="shared" si="33"/>
        <v>1</v>
      </c>
      <c r="Q486" s="25">
        <f t="shared" si="31"/>
        <v>0.37749981480034478</v>
      </c>
      <c r="X486">
        <f t="shared" si="32"/>
        <v>0</v>
      </c>
    </row>
    <row r="487" spans="1:25">
      <c r="A487" s="27">
        <v>43088</v>
      </c>
      <c r="B487" s="24">
        <v>757.4</v>
      </c>
      <c r="C487" s="25">
        <f t="shared" si="34"/>
        <v>1.0621263877028077E-2</v>
      </c>
      <c r="E487" s="25">
        <f t="shared" si="30"/>
        <v>0.36542275103659616</v>
      </c>
      <c r="K487" s="29">
        <v>43088</v>
      </c>
      <c r="L487" s="24">
        <v>13705.34</v>
      </c>
      <c r="M487" s="25">
        <f t="shared" si="35"/>
        <v>9.5685331410967859E-3</v>
      </c>
      <c r="O487" t="b">
        <f t="shared" si="33"/>
        <v>1</v>
      </c>
      <c r="Q487" s="25">
        <f t="shared" si="31"/>
        <v>0.39110143471222014</v>
      </c>
      <c r="X487">
        <f t="shared" si="32"/>
        <v>0</v>
      </c>
    </row>
    <row r="488" spans="1:25">
      <c r="A488" s="26">
        <v>43089</v>
      </c>
      <c r="B488" s="23">
        <v>757.79</v>
      </c>
      <c r="C488" s="25">
        <f t="shared" si="34"/>
        <v>5.149194613150071E-4</v>
      </c>
      <c r="E488" s="25">
        <f t="shared" si="30"/>
        <v>0.38611670020120714</v>
      </c>
      <c r="K488" s="28">
        <v>43089</v>
      </c>
      <c r="L488" s="23">
        <v>13709.78</v>
      </c>
      <c r="M488" s="25">
        <f t="shared" si="35"/>
        <v>3.2385640032155945E-4</v>
      </c>
      <c r="O488" t="b">
        <f t="shared" si="33"/>
        <v>1</v>
      </c>
      <c r="Q488" s="25">
        <f t="shared" si="31"/>
        <v>0.41026951907083253</v>
      </c>
      <c r="X488">
        <f t="shared" si="32"/>
        <v>0</v>
      </c>
    </row>
    <row r="489" spans="1:25">
      <c r="A489" s="27">
        <v>43090</v>
      </c>
      <c r="B489" s="24">
        <v>760.13</v>
      </c>
      <c r="C489" s="25">
        <f t="shared" si="34"/>
        <v>3.0879267343195765E-3</v>
      </c>
      <c r="E489" s="25">
        <f t="shared" si="30"/>
        <v>0.36822305421556645</v>
      </c>
      <c r="K489" s="29">
        <v>43090</v>
      </c>
      <c r="L489" s="24">
        <v>13745.34</v>
      </c>
      <c r="M489" s="25">
        <f t="shared" si="35"/>
        <v>2.5870585958586321E-3</v>
      </c>
      <c r="O489" t="b">
        <f t="shared" si="33"/>
        <v>1</v>
      </c>
      <c r="Q489" s="25">
        <f t="shared" si="31"/>
        <v>0.39166681009913051</v>
      </c>
      <c r="X489">
        <f t="shared" si="32"/>
        <v>0</v>
      </c>
    </row>
    <row r="490" spans="1:25">
      <c r="A490" s="26">
        <v>43091</v>
      </c>
      <c r="B490" s="23">
        <v>761.81</v>
      </c>
      <c r="C490" s="25">
        <f t="shared" si="34"/>
        <v>2.2101482641126518E-3</v>
      </c>
      <c r="E490" s="25">
        <f t="shared" si="30"/>
        <v>0.36735829414509813</v>
      </c>
      <c r="K490" s="28">
        <v>43091</v>
      </c>
      <c r="L490" s="23">
        <v>13809.42</v>
      </c>
      <c r="M490" s="25">
        <f t="shared" si="35"/>
        <v>4.6403107444049005E-3</v>
      </c>
      <c r="O490" t="b">
        <f t="shared" si="33"/>
        <v>1</v>
      </c>
      <c r="Q490" s="25">
        <f t="shared" si="31"/>
        <v>0.39501913812279721</v>
      </c>
      <c r="X490">
        <f t="shared" si="32"/>
        <v>0</v>
      </c>
    </row>
    <row r="491" spans="1:25">
      <c r="A491" s="27">
        <v>43095</v>
      </c>
      <c r="B491" s="24">
        <v>764.05</v>
      </c>
      <c r="C491" s="25">
        <f t="shared" si="34"/>
        <v>2.9403657079849427E-3</v>
      </c>
      <c r="E491" s="25">
        <f t="shared" si="30"/>
        <v>0.35655060987518405</v>
      </c>
      <c r="K491" s="29">
        <v>43095</v>
      </c>
      <c r="L491" s="24">
        <v>13866.27</v>
      </c>
      <c r="M491" s="25">
        <f t="shared" si="35"/>
        <v>4.0998768955169893E-3</v>
      </c>
      <c r="O491" t="b">
        <f t="shared" si="33"/>
        <v>1</v>
      </c>
      <c r="Q491" s="25">
        <f t="shared" si="31"/>
        <v>0.38697790541006882</v>
      </c>
      <c r="X491">
        <f t="shared" si="32"/>
        <v>0</v>
      </c>
    </row>
    <row r="492" spans="1:25">
      <c r="A492" s="26">
        <v>43096</v>
      </c>
      <c r="B492" s="23">
        <v>762.58</v>
      </c>
      <c r="C492" s="25">
        <f t="shared" si="34"/>
        <v>-1.9239578561611331E-3</v>
      </c>
      <c r="E492" s="25">
        <f t="shared" si="30"/>
        <v>0.34451144257554933</v>
      </c>
      <c r="K492" s="28">
        <v>43096</v>
      </c>
      <c r="L492" s="23">
        <v>13819.26</v>
      </c>
      <c r="M492" s="25">
        <f t="shared" si="35"/>
        <v>-3.4017740457882853E-3</v>
      </c>
      <c r="O492" t="b">
        <f t="shared" si="33"/>
        <v>1</v>
      </c>
      <c r="Q492" s="25">
        <f t="shared" si="31"/>
        <v>0.36894158902806873</v>
      </c>
      <c r="X492">
        <f t="shared" si="32"/>
        <v>0</v>
      </c>
    </row>
    <row r="493" spans="1:25">
      <c r="A493" s="27">
        <v>43097</v>
      </c>
      <c r="B493" s="24">
        <v>763.13</v>
      </c>
      <c r="C493" s="25">
        <f t="shared" si="34"/>
        <v>7.212358047679647E-4</v>
      </c>
      <c r="E493" s="25">
        <f t="shared" si="30"/>
        <v>0.33758084588014659</v>
      </c>
      <c r="K493" s="29">
        <v>43097</v>
      </c>
      <c r="L493" s="24">
        <v>13815.8</v>
      </c>
      <c r="M493" s="25">
        <f t="shared" si="35"/>
        <v>-2.5043790442833176E-4</v>
      </c>
      <c r="O493" t="b">
        <f t="shared" si="33"/>
        <v>1</v>
      </c>
      <c r="Q493" s="25">
        <f t="shared" si="31"/>
        <v>0.36474585981913088</v>
      </c>
      <c r="X493">
        <f t="shared" si="32"/>
        <v>0</v>
      </c>
    </row>
    <row r="494" spans="1:25">
      <c r="A494" s="26">
        <v>43098</v>
      </c>
      <c r="B494" s="23">
        <v>766.09</v>
      </c>
      <c r="C494" s="25">
        <f t="shared" si="34"/>
        <v>3.8787624651108413E-3</v>
      </c>
      <c r="E494" s="25">
        <f t="shared" si="30"/>
        <v>0.33532621010615116</v>
      </c>
      <c r="F494" s="25">
        <f>((B494/B2)^(1/2))-1</f>
        <v>0.25150383860008563</v>
      </c>
      <c r="K494" s="28">
        <v>43098</v>
      </c>
      <c r="L494" s="23">
        <v>13896.02</v>
      </c>
      <c r="M494" s="25">
        <f t="shared" si="35"/>
        <v>5.7728759745597057E-3</v>
      </c>
      <c r="O494" t="b">
        <f t="shared" si="33"/>
        <v>1</v>
      </c>
      <c r="Q494" s="25">
        <f t="shared" si="31"/>
        <v>0.36754217714054604</v>
      </c>
      <c r="R494" s="25">
        <f>((L494/L2)^(1/2))-1</f>
        <v>0.20037471721846511</v>
      </c>
      <c r="X494">
        <f t="shared" si="32"/>
        <v>0</v>
      </c>
      <c r="Y494">
        <f>IF(F494&gt;R494,1,0)</f>
        <v>1</v>
      </c>
    </row>
    <row r="495" spans="1:25">
      <c r="A495" s="27">
        <v>43101</v>
      </c>
      <c r="B495" s="24">
        <v>760.86</v>
      </c>
      <c r="C495" s="25">
        <f t="shared" si="34"/>
        <v>-6.8268741270608125E-3</v>
      </c>
      <c r="E495" s="25">
        <f t="shared" si="30"/>
        <v>0.32630257813725683</v>
      </c>
      <c r="F495" s="25">
        <f t="shared" ref="F495:F558" si="36">((B495/B3)^(1/2))-1</f>
        <v>0.2571854135745828</v>
      </c>
      <c r="K495" s="29">
        <v>43101</v>
      </c>
      <c r="L495" s="24">
        <v>13813.81</v>
      </c>
      <c r="M495" s="25">
        <f t="shared" si="35"/>
        <v>-5.9512907735086084E-3</v>
      </c>
      <c r="O495" t="b">
        <f t="shared" si="33"/>
        <v>1</v>
      </c>
      <c r="Q495" s="25">
        <f t="shared" si="31"/>
        <v>0.35906648734429392</v>
      </c>
      <c r="R495" s="25">
        <f t="shared" ref="R495:R558" si="37">((L495/L3)^(1/2))-1</f>
        <v>0.20785364072041168</v>
      </c>
      <c r="X495">
        <f t="shared" si="32"/>
        <v>0</v>
      </c>
      <c r="Y495">
        <f t="shared" ref="Y495:Y558" si="38">IF(F495&gt;R495,1,0)</f>
        <v>1</v>
      </c>
    </row>
    <row r="496" spans="1:25">
      <c r="A496" s="26">
        <v>43102</v>
      </c>
      <c r="B496" s="23">
        <v>759.21</v>
      </c>
      <c r="C496" s="25">
        <f t="shared" si="34"/>
        <v>-2.168598690954942E-3</v>
      </c>
      <c r="E496" s="25">
        <f t="shared" si="30"/>
        <v>0.30823841607361335</v>
      </c>
      <c r="F496" s="25">
        <f t="shared" si="36"/>
        <v>0.25414227994924676</v>
      </c>
      <c r="K496" s="28">
        <v>43102</v>
      </c>
      <c r="L496" s="23">
        <v>13789.42</v>
      </c>
      <c r="M496" s="25">
        <f t="shared" si="35"/>
        <v>-1.7687473439781671E-3</v>
      </c>
      <c r="O496" t="b">
        <f t="shared" si="33"/>
        <v>1</v>
      </c>
      <c r="Q496" s="25">
        <f t="shared" si="31"/>
        <v>0.34213005680203379</v>
      </c>
      <c r="R496" s="25">
        <f t="shared" si="37"/>
        <v>0.20599425625375001</v>
      </c>
      <c r="X496">
        <f t="shared" si="32"/>
        <v>0</v>
      </c>
      <c r="Y496">
        <f t="shared" si="38"/>
        <v>1</v>
      </c>
    </row>
    <row r="497" spans="1:25">
      <c r="A497" s="27">
        <v>43103</v>
      </c>
      <c r="B497" s="24">
        <v>761.57</v>
      </c>
      <c r="C497" s="25">
        <f t="shared" si="34"/>
        <v>3.1084943559753081E-3</v>
      </c>
      <c r="E497" s="25">
        <f t="shared" si="30"/>
        <v>0.31379923059671899</v>
      </c>
      <c r="F497" s="25">
        <f t="shared" si="36"/>
        <v>0.25783717449282606</v>
      </c>
      <c r="K497" s="29">
        <v>43103</v>
      </c>
      <c r="L497" s="24">
        <v>13820.88</v>
      </c>
      <c r="M497" s="25">
        <f t="shared" si="35"/>
        <v>2.2762660554175372E-3</v>
      </c>
      <c r="O497" t="b">
        <f t="shared" si="33"/>
        <v>1</v>
      </c>
      <c r="Q497" s="25">
        <f t="shared" si="31"/>
        <v>0.34971244752130626</v>
      </c>
      <c r="R497" s="25">
        <f t="shared" si="37"/>
        <v>0.21027741321716564</v>
      </c>
      <c r="X497">
        <f t="shared" si="32"/>
        <v>0</v>
      </c>
      <c r="Y497">
        <f t="shared" si="38"/>
        <v>1</v>
      </c>
    </row>
    <row r="498" spans="1:25">
      <c r="A498" s="26">
        <v>43104</v>
      </c>
      <c r="B498" s="23">
        <v>767.31</v>
      </c>
      <c r="C498" s="25">
        <f t="shared" si="34"/>
        <v>7.5370615964387979E-3</v>
      </c>
      <c r="E498" s="25">
        <f t="shared" si="30"/>
        <v>0.32039854074889851</v>
      </c>
      <c r="F498" s="25">
        <f t="shared" si="36"/>
        <v>0.27901565124781502</v>
      </c>
      <c r="K498" s="28">
        <v>43104</v>
      </c>
      <c r="L498" s="23">
        <v>13918.1</v>
      </c>
      <c r="M498" s="25">
        <f t="shared" si="35"/>
        <v>6.9851488349703741E-3</v>
      </c>
      <c r="O498" t="b">
        <f t="shared" si="33"/>
        <v>1</v>
      </c>
      <c r="Q498" s="25">
        <f t="shared" si="31"/>
        <v>0.35881790135509828</v>
      </c>
      <c r="R498" s="25">
        <f t="shared" si="37"/>
        <v>0.22958016794009239</v>
      </c>
      <c r="X498">
        <f t="shared" si="32"/>
        <v>0</v>
      </c>
      <c r="Y498">
        <f t="shared" si="38"/>
        <v>1</v>
      </c>
    </row>
    <row r="499" spans="1:25">
      <c r="A499" s="27">
        <v>43105</v>
      </c>
      <c r="B499" s="24">
        <v>774.25</v>
      </c>
      <c r="C499" s="25">
        <f t="shared" si="34"/>
        <v>9.0445843270647516E-3</v>
      </c>
      <c r="E499" s="25">
        <f t="shared" si="30"/>
        <v>0.32613387229377899</v>
      </c>
      <c r="F499" s="25">
        <f t="shared" si="36"/>
        <v>0.27872168275195053</v>
      </c>
      <c r="K499" s="29">
        <v>43105</v>
      </c>
      <c r="L499" s="24">
        <v>14017.23</v>
      </c>
      <c r="M499" s="25">
        <f t="shared" si="35"/>
        <v>7.0720106611648096E-3</v>
      </c>
      <c r="O499" t="b">
        <f t="shared" si="33"/>
        <v>1</v>
      </c>
      <c r="Q499" s="25">
        <f t="shared" si="31"/>
        <v>0.35946801515301408</v>
      </c>
      <c r="R499" s="25">
        <f t="shared" si="37"/>
        <v>0.22976242274505676</v>
      </c>
      <c r="X499">
        <f t="shared" si="32"/>
        <v>0</v>
      </c>
      <c r="Y499">
        <f t="shared" si="38"/>
        <v>1</v>
      </c>
    </row>
    <row r="500" spans="1:25">
      <c r="A500" s="26">
        <v>43108</v>
      </c>
      <c r="B500" s="23">
        <v>777.34</v>
      </c>
      <c r="C500" s="25">
        <f t="shared" si="34"/>
        <v>3.9909589925734993E-3</v>
      </c>
      <c r="E500" s="25">
        <f t="shared" si="30"/>
        <v>0.31267520010807548</v>
      </c>
      <c r="F500" s="25">
        <f t="shared" si="36"/>
        <v>0.28499405455650084</v>
      </c>
      <c r="K500" s="28">
        <v>43108</v>
      </c>
      <c r="L500" s="23">
        <v>14113.6</v>
      </c>
      <c r="M500" s="25">
        <f t="shared" si="35"/>
        <v>6.8281657408457656E-3</v>
      </c>
      <c r="O500" t="b">
        <f t="shared" si="33"/>
        <v>1</v>
      </c>
      <c r="Q500" s="25">
        <f t="shared" si="31"/>
        <v>0.35326306342413849</v>
      </c>
      <c r="R500" s="25">
        <f t="shared" si="37"/>
        <v>0.23770243549316583</v>
      </c>
      <c r="X500">
        <f t="shared" si="32"/>
        <v>0</v>
      </c>
      <c r="Y500">
        <f t="shared" si="38"/>
        <v>1</v>
      </c>
    </row>
    <row r="501" spans="1:25">
      <c r="A501" s="27">
        <v>43109</v>
      </c>
      <c r="B501" s="24">
        <v>776.34</v>
      </c>
      <c r="C501" s="25">
        <f t="shared" si="34"/>
        <v>-1.2864383667378495E-3</v>
      </c>
      <c r="E501" s="25">
        <f t="shared" si="30"/>
        <v>0.30787243720413082</v>
      </c>
      <c r="F501" s="25">
        <f t="shared" si="36"/>
        <v>0.29001720582764934</v>
      </c>
      <c r="K501" s="29">
        <v>43109</v>
      </c>
      <c r="L501" s="24">
        <v>14115.81</v>
      </c>
      <c r="M501" s="25">
        <f t="shared" si="35"/>
        <v>1.56562039301969E-4</v>
      </c>
      <c r="O501" t="b">
        <f t="shared" si="33"/>
        <v>1</v>
      </c>
      <c r="Q501" s="25">
        <f t="shared" si="31"/>
        <v>0.35015825070086537</v>
      </c>
      <c r="R501" s="25">
        <f t="shared" si="37"/>
        <v>0.24227865364432044</v>
      </c>
      <c r="X501">
        <f t="shared" si="32"/>
        <v>0</v>
      </c>
      <c r="Y501">
        <f t="shared" si="38"/>
        <v>1</v>
      </c>
    </row>
    <row r="502" spans="1:25">
      <c r="A502" s="26">
        <v>43110</v>
      </c>
      <c r="B502" s="23">
        <v>773.67</v>
      </c>
      <c r="C502" s="25">
        <f t="shared" si="34"/>
        <v>-3.439214777030776E-3</v>
      </c>
      <c r="E502" s="25">
        <f t="shared" si="30"/>
        <v>0.30552977506285739</v>
      </c>
      <c r="F502" s="25">
        <f t="shared" si="36"/>
        <v>0.28851530051054408</v>
      </c>
      <c r="K502" s="28">
        <v>43110</v>
      </c>
      <c r="L502" s="23">
        <v>14100.89</v>
      </c>
      <c r="M502" s="25">
        <f t="shared" si="35"/>
        <v>-1.0580892411755623E-3</v>
      </c>
      <c r="O502" t="b">
        <f t="shared" si="33"/>
        <v>1</v>
      </c>
      <c r="Q502" s="25">
        <f t="shared" si="31"/>
        <v>0.34939587244898918</v>
      </c>
      <c r="R502" s="25">
        <f t="shared" si="37"/>
        <v>0.24060376795822092</v>
      </c>
      <c r="X502">
        <f t="shared" si="32"/>
        <v>0</v>
      </c>
      <c r="Y502">
        <f t="shared" si="38"/>
        <v>1</v>
      </c>
    </row>
    <row r="503" spans="1:25">
      <c r="A503" s="27">
        <v>43111</v>
      </c>
      <c r="B503" s="24">
        <v>774.58</v>
      </c>
      <c r="C503" s="25">
        <f t="shared" si="34"/>
        <v>1.1762120800859306E-3</v>
      </c>
      <c r="E503" s="25">
        <f t="shared" si="30"/>
        <v>0.3013339605524008</v>
      </c>
      <c r="F503" s="25">
        <f t="shared" si="36"/>
        <v>0.29405816375687599</v>
      </c>
      <c r="K503" s="29">
        <v>43111</v>
      </c>
      <c r="L503" s="24">
        <v>14129.78</v>
      </c>
      <c r="M503" s="25">
        <f t="shared" si="35"/>
        <v>2.0446178213674405E-3</v>
      </c>
      <c r="O503" t="b">
        <f t="shared" si="33"/>
        <v>1</v>
      </c>
      <c r="Q503" s="25">
        <f t="shared" si="31"/>
        <v>0.34849434873771146</v>
      </c>
      <c r="R503" s="25">
        <f t="shared" si="37"/>
        <v>0.24554529868983743</v>
      </c>
      <c r="X503">
        <f t="shared" si="32"/>
        <v>0</v>
      </c>
      <c r="Y503">
        <f t="shared" si="38"/>
        <v>1</v>
      </c>
    </row>
    <row r="504" spans="1:25">
      <c r="A504" s="26">
        <v>43112</v>
      </c>
      <c r="B504" s="23">
        <v>775.56</v>
      </c>
      <c r="C504" s="25">
        <f t="shared" si="34"/>
        <v>1.2652017867746449E-3</v>
      </c>
      <c r="E504" s="25">
        <f t="shared" ref="E504:E567" si="39">(B504/B259)-1</f>
        <v>0.3046023415421879</v>
      </c>
      <c r="F504" s="25">
        <f t="shared" si="36"/>
        <v>0.30606360406423505</v>
      </c>
      <c r="K504" s="28">
        <v>43112</v>
      </c>
      <c r="L504" s="23">
        <v>14151.61</v>
      </c>
      <c r="M504" s="25">
        <f t="shared" si="35"/>
        <v>1.5425806675000177E-3</v>
      </c>
      <c r="O504" t="b">
        <f t="shared" si="33"/>
        <v>1</v>
      </c>
      <c r="Q504" s="25">
        <f t="shared" ref="Q504:Q567" si="40">(L504/L259)-1</f>
        <v>0.35138379326084745</v>
      </c>
      <c r="R504" s="25">
        <f t="shared" si="37"/>
        <v>0.25797847050363965</v>
      </c>
      <c r="X504">
        <f t="shared" ref="X504:X567" si="41">IF(E504&gt;Q504,1,0)</f>
        <v>0</v>
      </c>
      <c r="Y504">
        <f t="shared" si="38"/>
        <v>1</v>
      </c>
    </row>
    <row r="505" spans="1:25">
      <c r="A505" s="27">
        <v>43115</v>
      </c>
      <c r="B505" s="24">
        <v>777.07</v>
      </c>
      <c r="C505" s="25">
        <f t="shared" si="34"/>
        <v>1.9469802465316734E-3</v>
      </c>
      <c r="E505" s="25">
        <f t="shared" si="39"/>
        <v>0.29810230196117748</v>
      </c>
      <c r="F505" s="25">
        <f t="shared" si="36"/>
        <v>0.31993609317901384</v>
      </c>
      <c r="K505" s="29">
        <v>43115</v>
      </c>
      <c r="L505" s="24">
        <v>14202.3</v>
      </c>
      <c r="M505" s="25">
        <f t="shared" si="35"/>
        <v>3.5691402096842549E-3</v>
      </c>
      <c r="O505" t="b">
        <f t="shared" si="33"/>
        <v>1</v>
      </c>
      <c r="Q505" s="25">
        <f t="shared" si="40"/>
        <v>0.35148920458708699</v>
      </c>
      <c r="R505" s="25">
        <f t="shared" si="37"/>
        <v>0.27178017603735549</v>
      </c>
      <c r="X505">
        <f t="shared" si="41"/>
        <v>0</v>
      </c>
      <c r="Y505">
        <f t="shared" si="38"/>
        <v>1</v>
      </c>
    </row>
    <row r="506" spans="1:25">
      <c r="A506" s="26">
        <v>43116</v>
      </c>
      <c r="B506" s="23">
        <v>770.1</v>
      </c>
      <c r="C506" s="25">
        <f t="shared" si="34"/>
        <v>-8.9695908991468294E-3</v>
      </c>
      <c r="E506" s="25">
        <f t="shared" si="39"/>
        <v>0.28364975913856627</v>
      </c>
      <c r="F506" s="25">
        <f t="shared" si="36"/>
        <v>0.30707610894148885</v>
      </c>
      <c r="K506" s="28">
        <v>43116</v>
      </c>
      <c r="L506" s="23">
        <v>14074.53</v>
      </c>
      <c r="M506" s="25">
        <f t="shared" si="35"/>
        <v>-9.0781006541602888E-3</v>
      </c>
      <c r="O506" t="b">
        <f t="shared" si="33"/>
        <v>1</v>
      </c>
      <c r="Q506" s="25">
        <f t="shared" si="40"/>
        <v>0.33577656528345523</v>
      </c>
      <c r="R506" s="25">
        <f t="shared" si="37"/>
        <v>0.25827225166070389</v>
      </c>
      <c r="X506">
        <f t="shared" si="41"/>
        <v>0</v>
      </c>
      <c r="Y506">
        <f t="shared" si="38"/>
        <v>1</v>
      </c>
    </row>
    <row r="507" spans="1:25">
      <c r="A507" s="27">
        <v>43117</v>
      </c>
      <c r="B507" s="24">
        <v>775.03</v>
      </c>
      <c r="C507" s="25">
        <f t="shared" si="34"/>
        <v>6.4017660044149455E-3</v>
      </c>
      <c r="E507" s="25">
        <f t="shared" si="39"/>
        <v>0.30575351697413877</v>
      </c>
      <c r="F507" s="25">
        <f t="shared" si="36"/>
        <v>0.32286712126359518</v>
      </c>
      <c r="K507" s="29">
        <v>43117</v>
      </c>
      <c r="L507" s="24">
        <v>14182.88</v>
      </c>
      <c r="M507" s="25">
        <f t="shared" si="35"/>
        <v>7.6394921200770615E-3</v>
      </c>
      <c r="O507" t="b">
        <f t="shared" si="33"/>
        <v>1</v>
      </c>
      <c r="Q507" s="25">
        <f t="shared" si="40"/>
        <v>0.36194305391642367</v>
      </c>
      <c r="R507" s="25">
        <f t="shared" si="37"/>
        <v>0.27435605536019136</v>
      </c>
      <c r="X507">
        <f t="shared" si="41"/>
        <v>0</v>
      </c>
      <c r="Y507">
        <f t="shared" si="38"/>
        <v>1</v>
      </c>
    </row>
    <row r="508" spans="1:25">
      <c r="A508" s="26">
        <v>43118</v>
      </c>
      <c r="B508" s="23">
        <v>771.63</v>
      </c>
      <c r="C508" s="25">
        <f t="shared" si="34"/>
        <v>-4.3869269576661254E-3</v>
      </c>
      <c r="E508" s="25">
        <f t="shared" si="39"/>
        <v>0.29110683510415791</v>
      </c>
      <c r="F508" s="25">
        <f t="shared" si="36"/>
        <v>0.32076771749103838</v>
      </c>
      <c r="K508" s="28">
        <v>43118</v>
      </c>
      <c r="L508" s="23">
        <v>14125.75</v>
      </c>
      <c r="M508" s="25">
        <f t="shared" si="35"/>
        <v>-4.0443870236977998E-3</v>
      </c>
      <c r="O508" t="b">
        <f t="shared" si="33"/>
        <v>1</v>
      </c>
      <c r="Q508" s="25">
        <f t="shared" si="40"/>
        <v>0.34888857482806768</v>
      </c>
      <c r="R508" s="25">
        <f t="shared" si="37"/>
        <v>0.27421258015460825</v>
      </c>
      <c r="X508">
        <f t="shared" si="41"/>
        <v>0</v>
      </c>
      <c r="Y508">
        <f t="shared" si="38"/>
        <v>1</v>
      </c>
    </row>
    <row r="509" spans="1:25">
      <c r="A509" s="27">
        <v>43119</v>
      </c>
      <c r="B509" s="24">
        <v>777.3</v>
      </c>
      <c r="C509" s="25">
        <f t="shared" si="34"/>
        <v>7.3480813343182088E-3</v>
      </c>
      <c r="E509" s="25">
        <f t="shared" si="39"/>
        <v>0.287432092222075</v>
      </c>
      <c r="F509" s="25">
        <f t="shared" si="36"/>
        <v>0.31063041849194795</v>
      </c>
      <c r="K509" s="29">
        <v>43119</v>
      </c>
      <c r="L509" s="24">
        <v>14237.54</v>
      </c>
      <c r="M509" s="25">
        <f t="shared" si="35"/>
        <v>7.8517777649791225E-3</v>
      </c>
      <c r="O509" t="b">
        <f t="shared" si="33"/>
        <v>1</v>
      </c>
      <c r="Q509" s="25">
        <f t="shared" si="40"/>
        <v>0.34605054045136407</v>
      </c>
      <c r="R509" s="25">
        <f t="shared" si="37"/>
        <v>0.26635724523138604</v>
      </c>
      <c r="X509">
        <f t="shared" si="41"/>
        <v>0</v>
      </c>
      <c r="Y509">
        <f t="shared" si="38"/>
        <v>1</v>
      </c>
    </row>
    <row r="510" spans="1:25">
      <c r="A510" s="26">
        <v>43122</v>
      </c>
      <c r="B510" s="23">
        <v>778.58</v>
      </c>
      <c r="C510" s="25">
        <f t="shared" si="34"/>
        <v>1.6467258458768641E-3</v>
      </c>
      <c r="E510" s="25">
        <f t="shared" si="39"/>
        <v>0.27137934976077349</v>
      </c>
      <c r="F510" s="25">
        <f t="shared" si="36"/>
        <v>0.30985783166345993</v>
      </c>
      <c r="K510" s="28">
        <v>43122</v>
      </c>
      <c r="L510" s="23">
        <v>14332.39</v>
      </c>
      <c r="M510" s="25">
        <f t="shared" si="35"/>
        <v>6.6178774091410122E-3</v>
      </c>
      <c r="O510" t="b">
        <f t="shared" si="33"/>
        <v>1</v>
      </c>
      <c r="Q510" s="25">
        <f t="shared" si="40"/>
        <v>0.33629606562329273</v>
      </c>
      <c r="R510" s="25">
        <f t="shared" si="37"/>
        <v>0.2687184914894547</v>
      </c>
      <c r="X510">
        <f t="shared" si="41"/>
        <v>0</v>
      </c>
      <c r="Y510">
        <f t="shared" si="38"/>
        <v>1</v>
      </c>
    </row>
    <row r="511" spans="1:25">
      <c r="A511" s="27">
        <v>43123</v>
      </c>
      <c r="B511" s="24">
        <v>785.96</v>
      </c>
      <c r="C511" s="25">
        <f t="shared" si="34"/>
        <v>9.4787947288653644E-3</v>
      </c>
      <c r="E511" s="25">
        <f t="shared" si="39"/>
        <v>0.27817078922118688</v>
      </c>
      <c r="F511" s="25">
        <f t="shared" si="36"/>
        <v>0.31487814319663299</v>
      </c>
      <c r="K511" s="29">
        <v>43123</v>
      </c>
      <c r="L511" s="24">
        <v>14464.05</v>
      </c>
      <c r="M511" s="25">
        <f t="shared" si="35"/>
        <v>9.102568091233082E-3</v>
      </c>
      <c r="O511" t="b">
        <f t="shared" si="33"/>
        <v>1</v>
      </c>
      <c r="Q511" s="25">
        <f t="shared" si="40"/>
        <v>0.34178968372872265</v>
      </c>
      <c r="R511" s="25">
        <f t="shared" si="37"/>
        <v>0.27368239227836333</v>
      </c>
      <c r="X511">
        <f t="shared" si="41"/>
        <v>0</v>
      </c>
      <c r="Y511">
        <f t="shared" si="38"/>
        <v>1</v>
      </c>
    </row>
    <row r="512" spans="1:25">
      <c r="A512" s="26">
        <v>43124</v>
      </c>
      <c r="B512" s="23">
        <v>782.5</v>
      </c>
      <c r="C512" s="25">
        <f t="shared" si="34"/>
        <v>-4.4022596569800454E-3</v>
      </c>
      <c r="E512" s="25">
        <f t="shared" si="39"/>
        <v>0.27422243934212664</v>
      </c>
      <c r="F512" s="25">
        <f t="shared" si="36"/>
        <v>0.31338269283291376</v>
      </c>
      <c r="K512" s="28">
        <v>43124</v>
      </c>
      <c r="L512" s="23">
        <v>14429.98</v>
      </c>
      <c r="M512" s="25">
        <f t="shared" si="35"/>
        <v>-2.3610566334811072E-3</v>
      </c>
      <c r="O512" t="b">
        <f t="shared" si="33"/>
        <v>1</v>
      </c>
      <c r="Q512" s="25">
        <f t="shared" si="40"/>
        <v>0.33917323802886035</v>
      </c>
      <c r="R512" s="25">
        <f t="shared" si="37"/>
        <v>0.27344608606578191</v>
      </c>
      <c r="X512">
        <f t="shared" si="41"/>
        <v>0</v>
      </c>
      <c r="Y512">
        <f t="shared" si="38"/>
        <v>1</v>
      </c>
    </row>
    <row r="513" spans="1:25">
      <c r="A513" s="27">
        <v>43125</v>
      </c>
      <c r="B513" s="24">
        <v>778.48</v>
      </c>
      <c r="C513" s="25">
        <f t="shared" si="34"/>
        <v>-5.1373801916932676E-3</v>
      </c>
      <c r="E513" s="25">
        <f t="shared" si="39"/>
        <v>0.28256750745506376</v>
      </c>
      <c r="F513" s="25">
        <f t="shared" si="36"/>
        <v>0.30005511089303316</v>
      </c>
      <c r="K513" s="29">
        <v>43125</v>
      </c>
      <c r="L513" s="24">
        <v>14365.84</v>
      </c>
      <c r="M513" s="25">
        <f t="shared" si="35"/>
        <v>-4.4647580649651826E-3</v>
      </c>
      <c r="O513" t="b">
        <f t="shared" si="33"/>
        <v>1</v>
      </c>
      <c r="Q513" s="25">
        <f t="shared" si="40"/>
        <v>0.34635152105864919</v>
      </c>
      <c r="R513" s="25">
        <f t="shared" si="37"/>
        <v>0.259597636663081</v>
      </c>
      <c r="X513">
        <f t="shared" si="41"/>
        <v>0</v>
      </c>
      <c r="Y513">
        <f t="shared" si="38"/>
        <v>1</v>
      </c>
    </row>
    <row r="514" spans="1:25">
      <c r="A514" s="26">
        <v>43129</v>
      </c>
      <c r="B514" s="23">
        <v>778.82</v>
      </c>
      <c r="C514" s="25">
        <f t="shared" si="34"/>
        <v>4.3674853560789206E-4</v>
      </c>
      <c r="E514" s="25">
        <f t="shared" si="39"/>
        <v>0.2618804582057388</v>
      </c>
      <c r="F514" s="25">
        <f t="shared" si="36"/>
        <v>0.29847970041374183</v>
      </c>
      <c r="K514" s="28">
        <v>43129</v>
      </c>
      <c r="L514" s="23">
        <v>14379.96</v>
      </c>
      <c r="M514" s="25">
        <f t="shared" si="35"/>
        <v>9.8192206376088555E-4</v>
      </c>
      <c r="O514" t="b">
        <f t="shared" si="33"/>
        <v>1</v>
      </c>
      <c r="Q514" s="25">
        <f t="shared" si="40"/>
        <v>0.32305798377547323</v>
      </c>
      <c r="R514" s="25">
        <f t="shared" si="37"/>
        <v>0.25997231535839194</v>
      </c>
      <c r="X514">
        <f t="shared" si="41"/>
        <v>0</v>
      </c>
      <c r="Y514">
        <f t="shared" si="38"/>
        <v>1</v>
      </c>
    </row>
    <row r="515" spans="1:25">
      <c r="A515" s="27">
        <v>43130</v>
      </c>
      <c r="B515" s="24">
        <v>773.85</v>
      </c>
      <c r="C515" s="25">
        <f t="shared" si="34"/>
        <v>-6.3814488585296047E-3</v>
      </c>
      <c r="E515" s="25">
        <f t="shared" si="39"/>
        <v>0.24411183099950162</v>
      </c>
      <c r="F515" s="25">
        <f t="shared" si="36"/>
        <v>0.30452254779074472</v>
      </c>
      <c r="K515" s="29">
        <v>43130</v>
      </c>
      <c r="L515" s="24">
        <v>14268.94</v>
      </c>
      <c r="M515" s="25">
        <f t="shared" si="35"/>
        <v>-7.7805359052598591E-3</v>
      </c>
      <c r="O515" t="b">
        <f t="shared" ref="O515:O578" si="42">K515=A515</f>
        <v>1</v>
      </c>
      <c r="Q515" s="25">
        <f t="shared" si="40"/>
        <v>0.30725410436822043</v>
      </c>
      <c r="R515" s="25">
        <f t="shared" si="37"/>
        <v>0.26399278662994452</v>
      </c>
      <c r="X515">
        <f t="shared" si="41"/>
        <v>0</v>
      </c>
      <c r="Y515">
        <f t="shared" si="38"/>
        <v>1</v>
      </c>
    </row>
    <row r="516" spans="1:25">
      <c r="A516" s="26">
        <v>43131</v>
      </c>
      <c r="B516" s="23">
        <v>772.52</v>
      </c>
      <c r="C516" s="25">
        <f t="shared" ref="C516:C579" si="43">(B516-B515)/B515</f>
        <v>-1.7186793306196819E-3</v>
      </c>
      <c r="E516" s="25">
        <f t="shared" si="39"/>
        <v>0.23856858846918483</v>
      </c>
      <c r="F516" s="25">
        <f t="shared" si="36"/>
        <v>0.31112217858849101</v>
      </c>
      <c r="K516" s="28">
        <v>43131</v>
      </c>
      <c r="L516" s="23">
        <v>14203.09</v>
      </c>
      <c r="M516" s="25">
        <f t="shared" ref="M516:M579" si="44">(L516-L515)/L516</f>
        <v>-4.6363150553858602E-3</v>
      </c>
      <c r="O516" t="b">
        <f t="shared" si="42"/>
        <v>1</v>
      </c>
      <c r="Q516" s="25">
        <f t="shared" si="40"/>
        <v>0.29730383918393599</v>
      </c>
      <c r="R516" s="25">
        <f t="shared" si="37"/>
        <v>0.26981207942161634</v>
      </c>
      <c r="X516">
        <f t="shared" si="41"/>
        <v>0</v>
      </c>
      <c r="Y516">
        <f t="shared" si="38"/>
        <v>1</v>
      </c>
    </row>
    <row r="517" spans="1:25">
      <c r="A517" s="27">
        <v>43132</v>
      </c>
      <c r="B517" s="24">
        <v>774.06</v>
      </c>
      <c r="C517" s="25">
        <f t="shared" si="43"/>
        <v>1.9934758970641068E-3</v>
      </c>
      <c r="E517" s="25">
        <f t="shared" si="39"/>
        <v>0.23419114129914864</v>
      </c>
      <c r="F517" s="25">
        <f t="shared" si="36"/>
        <v>0.31051963976267172</v>
      </c>
      <c r="K517" s="29">
        <v>43132</v>
      </c>
      <c r="L517" s="24">
        <v>14188.25</v>
      </c>
      <c r="M517" s="25">
        <f t="shared" si="44"/>
        <v>-1.045935897661808E-3</v>
      </c>
      <c r="O517" t="b">
        <f t="shared" si="42"/>
        <v>1</v>
      </c>
      <c r="Q517" s="25">
        <f t="shared" si="40"/>
        <v>0.28602375675834923</v>
      </c>
      <c r="R517" s="25">
        <f t="shared" si="37"/>
        <v>0.26708599667739663</v>
      </c>
      <c r="X517">
        <f t="shared" si="41"/>
        <v>0</v>
      </c>
      <c r="Y517">
        <f t="shared" si="38"/>
        <v>1</v>
      </c>
    </row>
    <row r="518" spans="1:25">
      <c r="A518" s="26">
        <v>43133</v>
      </c>
      <c r="B518" s="23">
        <v>755.19</v>
      </c>
      <c r="C518" s="25">
        <f t="shared" si="43"/>
        <v>-2.437795519727139E-2</v>
      </c>
      <c r="E518" s="25">
        <f t="shared" si="39"/>
        <v>0.20743464705412107</v>
      </c>
      <c r="F518" s="25">
        <f t="shared" si="36"/>
        <v>0.28249461520753716</v>
      </c>
      <c r="K518" s="28">
        <v>43133</v>
      </c>
      <c r="L518" s="23">
        <v>13782.37</v>
      </c>
      <c r="M518" s="25">
        <f t="shared" si="44"/>
        <v>-2.9449216644162012E-2</v>
      </c>
      <c r="O518" t="b">
        <f t="shared" si="42"/>
        <v>1</v>
      </c>
      <c r="Q518" s="25">
        <f t="shared" si="40"/>
        <v>0.25317171592263676</v>
      </c>
      <c r="R518" s="25">
        <f t="shared" si="37"/>
        <v>0.24034668823527028</v>
      </c>
      <c r="X518">
        <f t="shared" si="41"/>
        <v>0</v>
      </c>
      <c r="Y518">
        <f t="shared" si="38"/>
        <v>1</v>
      </c>
    </row>
    <row r="519" spans="1:25">
      <c r="A519" s="27">
        <v>43136</v>
      </c>
      <c r="B519" s="24">
        <v>750.94</v>
      </c>
      <c r="C519" s="25">
        <f t="shared" si="43"/>
        <v>-5.6277228247196068E-3</v>
      </c>
      <c r="E519" s="25">
        <f t="shared" si="39"/>
        <v>0.19667899031106595</v>
      </c>
      <c r="F519" s="25">
        <f t="shared" si="36"/>
        <v>0.28407917192194176</v>
      </c>
      <c r="K519" s="29">
        <v>43136</v>
      </c>
      <c r="L519" s="24">
        <v>13686.64</v>
      </c>
      <c r="M519" s="25">
        <f t="shared" si="44"/>
        <v>-6.9944120689958518E-3</v>
      </c>
      <c r="O519" t="b">
        <f t="shared" si="42"/>
        <v>1</v>
      </c>
      <c r="Q519" s="25">
        <f t="shared" si="40"/>
        <v>0.24257494956757952</v>
      </c>
      <c r="R519" s="25">
        <f t="shared" si="37"/>
        <v>0.24205922829422821</v>
      </c>
      <c r="X519">
        <f t="shared" si="41"/>
        <v>0</v>
      </c>
      <c r="Y519">
        <f t="shared" si="38"/>
        <v>1</v>
      </c>
    </row>
    <row r="520" spans="1:25">
      <c r="A520" s="26">
        <v>43137</v>
      </c>
      <c r="B520" s="23">
        <v>741.69</v>
      </c>
      <c r="C520" s="25">
        <f t="shared" si="43"/>
        <v>-1.2317894905052333E-2</v>
      </c>
      <c r="E520" s="25">
        <f t="shared" si="39"/>
        <v>0.18222101790012291</v>
      </c>
      <c r="F520" s="25">
        <f t="shared" si="36"/>
        <v>0.28687162631881136</v>
      </c>
      <c r="K520" s="28">
        <v>43137</v>
      </c>
      <c r="L520" s="23">
        <v>13461.63</v>
      </c>
      <c r="M520" s="25">
        <f t="shared" si="44"/>
        <v>-1.6714914910007199E-2</v>
      </c>
      <c r="O520" t="b">
        <f t="shared" si="42"/>
        <v>1</v>
      </c>
      <c r="Q520" s="25">
        <f t="shared" si="40"/>
        <v>0.2202723796781263</v>
      </c>
      <c r="R520" s="25">
        <f t="shared" si="37"/>
        <v>0.24023959220288038</v>
      </c>
      <c r="X520">
        <f t="shared" si="41"/>
        <v>0</v>
      </c>
      <c r="Y520">
        <f t="shared" si="38"/>
        <v>1</v>
      </c>
    </row>
    <row r="521" spans="1:25">
      <c r="A521" s="27">
        <v>43138</v>
      </c>
      <c r="B521" s="24">
        <v>740.44</v>
      </c>
      <c r="C521" s="25">
        <f t="shared" si="43"/>
        <v>-1.6853402364869418E-3</v>
      </c>
      <c r="E521" s="25">
        <f t="shared" si="39"/>
        <v>0.18096271013429455</v>
      </c>
      <c r="F521" s="25">
        <f t="shared" si="36"/>
        <v>0.29478000912729674</v>
      </c>
      <c r="K521" s="29">
        <v>43138</v>
      </c>
      <c r="L521" s="24">
        <v>13486.61</v>
      </c>
      <c r="M521" s="25">
        <f t="shared" si="44"/>
        <v>1.8522074857952725E-3</v>
      </c>
      <c r="O521" t="b">
        <f t="shared" si="42"/>
        <v>1</v>
      </c>
      <c r="Q521" s="25">
        <f t="shared" si="40"/>
        <v>0.22129904988209548</v>
      </c>
      <c r="R521" s="25">
        <f t="shared" si="37"/>
        <v>0.24890301829393224</v>
      </c>
      <c r="X521">
        <f t="shared" si="41"/>
        <v>0</v>
      </c>
      <c r="Y521">
        <f t="shared" si="38"/>
        <v>1</v>
      </c>
    </row>
    <row r="522" spans="1:25">
      <c r="A522" s="26">
        <v>43139</v>
      </c>
      <c r="B522" s="23">
        <v>749.36</v>
      </c>
      <c r="C522" s="25">
        <f t="shared" si="43"/>
        <v>1.2046891037761276E-2</v>
      </c>
      <c r="E522" s="25">
        <f t="shared" si="39"/>
        <v>0.19507527430466975</v>
      </c>
      <c r="F522" s="25">
        <f t="shared" si="36"/>
        <v>0.32368846071877111</v>
      </c>
      <c r="K522" s="28">
        <v>43139</v>
      </c>
      <c r="L522" s="23">
        <v>13662.65</v>
      </c>
      <c r="M522" s="25">
        <f t="shared" si="44"/>
        <v>1.2884762472873056E-2</v>
      </c>
      <c r="O522" t="b">
        <f t="shared" si="42"/>
        <v>1</v>
      </c>
      <c r="Q522" s="25">
        <f t="shared" si="40"/>
        <v>0.2378963829812295</v>
      </c>
      <c r="R522" s="25">
        <f t="shared" si="37"/>
        <v>0.27922936559457967</v>
      </c>
      <c r="X522">
        <f t="shared" si="41"/>
        <v>0</v>
      </c>
      <c r="Y522">
        <f t="shared" si="38"/>
        <v>1</v>
      </c>
    </row>
    <row r="523" spans="1:25">
      <c r="A523" s="27">
        <v>43140</v>
      </c>
      <c r="B523" s="24">
        <v>745.88</v>
      </c>
      <c r="C523" s="25">
        <f t="shared" si="43"/>
        <v>-4.6439628482972378E-3</v>
      </c>
      <c r="E523" s="25">
        <f t="shared" si="39"/>
        <v>0.19606805535510974</v>
      </c>
      <c r="F523" s="25">
        <f t="shared" si="36"/>
        <v>0.32030262734147197</v>
      </c>
      <c r="K523" s="29">
        <v>43140</v>
      </c>
      <c r="L523" s="24">
        <v>13558.03</v>
      </c>
      <c r="M523" s="25">
        <f t="shared" si="44"/>
        <v>-7.7164602822090657E-3</v>
      </c>
      <c r="O523" t="b">
        <f t="shared" si="42"/>
        <v>1</v>
      </c>
      <c r="Q523" s="25">
        <f t="shared" si="40"/>
        <v>0.23190423187879072</v>
      </c>
      <c r="R523" s="25">
        <f t="shared" si="37"/>
        <v>0.27538811887807335</v>
      </c>
      <c r="X523">
        <f t="shared" si="41"/>
        <v>0</v>
      </c>
      <c r="Y523">
        <f t="shared" si="38"/>
        <v>1</v>
      </c>
    </row>
    <row r="524" spans="1:25">
      <c r="A524" s="26">
        <v>43143</v>
      </c>
      <c r="B524" s="23">
        <v>753.53</v>
      </c>
      <c r="C524" s="25">
        <f t="shared" si="43"/>
        <v>1.0256341502654552E-2</v>
      </c>
      <c r="E524" s="25">
        <f t="shared" si="39"/>
        <v>0.22286595261278785</v>
      </c>
      <c r="F524" s="25">
        <f t="shared" si="36"/>
        <v>0.308056847278813</v>
      </c>
      <c r="K524" s="28">
        <v>43143</v>
      </c>
      <c r="L524" s="23">
        <v>13700.66</v>
      </c>
      <c r="M524" s="25">
        <f t="shared" si="44"/>
        <v>1.0410447379907187E-2</v>
      </c>
      <c r="O524" t="b">
        <f t="shared" si="42"/>
        <v>1</v>
      </c>
      <c r="Q524" s="25">
        <f t="shared" si="40"/>
        <v>0.2568386617973395</v>
      </c>
      <c r="R524" s="25">
        <f t="shared" si="37"/>
        <v>0.26424777065254323</v>
      </c>
      <c r="X524">
        <f t="shared" si="41"/>
        <v>0</v>
      </c>
      <c r="Y524">
        <f t="shared" si="38"/>
        <v>1</v>
      </c>
    </row>
    <row r="525" spans="1:25">
      <c r="A525" s="27">
        <v>43145</v>
      </c>
      <c r="B525" s="24">
        <v>751.05</v>
      </c>
      <c r="C525" s="25">
        <f t="shared" si="43"/>
        <v>-3.2911761973644293E-3</v>
      </c>
      <c r="E525" s="25">
        <f t="shared" si="39"/>
        <v>0.20279619486883838</v>
      </c>
      <c r="F525" s="25">
        <f t="shared" si="36"/>
        <v>0.31928611866419954</v>
      </c>
      <c r="K525" s="29">
        <v>43145</v>
      </c>
      <c r="L525" s="24">
        <v>13668.94</v>
      </c>
      <c r="M525" s="25">
        <f t="shared" si="44"/>
        <v>-2.3205895994860863E-3</v>
      </c>
      <c r="O525" t="b">
        <f t="shared" si="42"/>
        <v>1</v>
      </c>
      <c r="Q525" s="25">
        <f t="shared" si="40"/>
        <v>0.24263994647233811</v>
      </c>
      <c r="R525" s="25">
        <f t="shared" si="37"/>
        <v>0.2744757752552025</v>
      </c>
      <c r="X525">
        <f t="shared" si="41"/>
        <v>0</v>
      </c>
      <c r="Y525">
        <f t="shared" si="38"/>
        <v>1</v>
      </c>
    </row>
    <row r="526" spans="1:25">
      <c r="A526" s="26">
        <v>43146</v>
      </c>
      <c r="B526" s="23">
        <v>750.75</v>
      </c>
      <c r="C526" s="25">
        <f t="shared" si="43"/>
        <v>-3.9944078290387398E-4</v>
      </c>
      <c r="E526" s="25">
        <f t="shared" si="39"/>
        <v>0.19529048384785619</v>
      </c>
      <c r="F526" s="25">
        <f t="shared" si="36"/>
        <v>0.31385661994343717</v>
      </c>
      <c r="K526" s="28">
        <v>43146</v>
      </c>
      <c r="L526" s="23">
        <v>13668.38</v>
      </c>
      <c r="M526" s="25">
        <f t="shared" si="44"/>
        <v>-4.0970473457813559E-5</v>
      </c>
      <c r="O526" t="b">
        <f t="shared" si="42"/>
        <v>1</v>
      </c>
      <c r="Q526" s="25">
        <f t="shared" si="40"/>
        <v>0.23628506124723114</v>
      </c>
      <c r="R526" s="25">
        <f t="shared" si="37"/>
        <v>0.26995148832592952</v>
      </c>
      <c r="X526">
        <f t="shared" si="41"/>
        <v>0</v>
      </c>
      <c r="Y526">
        <f t="shared" si="38"/>
        <v>1</v>
      </c>
    </row>
    <row r="527" spans="1:25">
      <c r="A527" s="27">
        <v>43147</v>
      </c>
      <c r="B527" s="24">
        <v>742.73</v>
      </c>
      <c r="C527" s="25">
        <f t="shared" si="43"/>
        <v>-1.0682650682650658E-2</v>
      </c>
      <c r="E527" s="25">
        <f t="shared" si="39"/>
        <v>0.17416529657265722</v>
      </c>
      <c r="F527" s="25">
        <f t="shared" si="36"/>
        <v>0.30215761551007825</v>
      </c>
      <c r="K527" s="29">
        <v>43147</v>
      </c>
      <c r="L527" s="24">
        <v>13540.46</v>
      </c>
      <c r="M527" s="25">
        <f t="shared" si="44"/>
        <v>-9.4472418219174303E-3</v>
      </c>
      <c r="O527" t="b">
        <f t="shared" si="42"/>
        <v>1</v>
      </c>
      <c r="Q527" s="25">
        <f t="shared" si="40"/>
        <v>0.2161416208982434</v>
      </c>
      <c r="R527" s="25">
        <f t="shared" si="37"/>
        <v>0.25777413337345889</v>
      </c>
      <c r="X527">
        <f t="shared" si="41"/>
        <v>0</v>
      </c>
      <c r="Y527">
        <f t="shared" si="38"/>
        <v>1</v>
      </c>
    </row>
    <row r="528" spans="1:25">
      <c r="A528" s="26">
        <v>43150</v>
      </c>
      <c r="B528" s="23">
        <v>735.73</v>
      </c>
      <c r="C528" s="25">
        <f t="shared" si="43"/>
        <v>-9.4246899950183784E-3</v>
      </c>
      <c r="E528" s="25">
        <f t="shared" si="39"/>
        <v>0.15917756420356066</v>
      </c>
      <c r="F528" s="25">
        <f t="shared" si="36"/>
        <v>0.29664346598413149</v>
      </c>
      <c r="K528" s="28">
        <v>43150</v>
      </c>
      <c r="L528" s="23">
        <v>13429.56</v>
      </c>
      <c r="M528" s="25">
        <f t="shared" si="44"/>
        <v>-8.2579027160978938E-3</v>
      </c>
      <c r="O528" t="b">
        <f t="shared" si="42"/>
        <v>1</v>
      </c>
      <c r="Q528" s="25">
        <f t="shared" si="40"/>
        <v>0.20096473805501724</v>
      </c>
      <c r="R528" s="25">
        <f t="shared" si="37"/>
        <v>0.25140058945650456</v>
      </c>
      <c r="X528">
        <f t="shared" si="41"/>
        <v>0</v>
      </c>
      <c r="Y528">
        <f t="shared" si="38"/>
        <v>1</v>
      </c>
    </row>
    <row r="529" spans="1:25">
      <c r="A529" s="27">
        <v>43151</v>
      </c>
      <c r="B529" s="24">
        <v>735.25</v>
      </c>
      <c r="C529" s="25">
        <f t="shared" si="43"/>
        <v>-6.5241324942576511E-4</v>
      </c>
      <c r="E529" s="25">
        <f t="shared" si="39"/>
        <v>0.16390432318627202</v>
      </c>
      <c r="F529" s="25">
        <f t="shared" si="36"/>
        <v>0.29416664655303193</v>
      </c>
      <c r="K529" s="29">
        <v>43151</v>
      </c>
      <c r="L529" s="24">
        <v>13417.24</v>
      </c>
      <c r="M529" s="25">
        <f t="shared" si="44"/>
        <v>-9.182216312743686E-4</v>
      </c>
      <c r="O529" t="b">
        <f t="shared" si="42"/>
        <v>1</v>
      </c>
      <c r="Q529" s="25">
        <f t="shared" si="40"/>
        <v>0.20036215093320076</v>
      </c>
      <c r="R529" s="25">
        <f t="shared" si="37"/>
        <v>0.2483397298625023</v>
      </c>
      <c r="X529">
        <f t="shared" si="41"/>
        <v>0</v>
      </c>
      <c r="Y529">
        <f t="shared" si="38"/>
        <v>1</v>
      </c>
    </row>
    <row r="530" spans="1:25">
      <c r="A530" s="26">
        <v>43152</v>
      </c>
      <c r="B530" s="23">
        <v>735.62</v>
      </c>
      <c r="C530" s="25">
        <f t="shared" si="43"/>
        <v>5.0323019381163484E-4</v>
      </c>
      <c r="E530" s="25">
        <f t="shared" si="39"/>
        <v>0.16683586066873923</v>
      </c>
      <c r="F530" s="25">
        <f t="shared" si="36"/>
        <v>0.30453050661426517</v>
      </c>
      <c r="K530" s="28">
        <v>43152</v>
      </c>
      <c r="L530" s="23">
        <v>13442.27</v>
      </c>
      <c r="M530" s="25">
        <f t="shared" si="44"/>
        <v>1.8620366946952155E-3</v>
      </c>
      <c r="O530" t="b">
        <f t="shared" si="42"/>
        <v>1</v>
      </c>
      <c r="Q530" s="25">
        <f t="shared" si="40"/>
        <v>0.20132140913368435</v>
      </c>
      <c r="R530" s="25">
        <f t="shared" si="37"/>
        <v>0.25925721284575709</v>
      </c>
      <c r="X530">
        <f t="shared" si="41"/>
        <v>0</v>
      </c>
      <c r="Y530">
        <f t="shared" si="38"/>
        <v>1</v>
      </c>
    </row>
    <row r="531" spans="1:25">
      <c r="A531" s="27">
        <v>43153</v>
      </c>
      <c r="B531" s="24">
        <v>732.23</v>
      </c>
      <c r="C531" s="25">
        <f t="shared" si="43"/>
        <v>-4.6083575759223328E-3</v>
      </c>
      <c r="E531" s="25">
        <f t="shared" si="39"/>
        <v>0.16999552601303836</v>
      </c>
      <c r="F531" s="25">
        <f t="shared" si="36"/>
        <v>0.30914516448648399</v>
      </c>
      <c r="K531" s="29">
        <v>43153</v>
      </c>
      <c r="L531" s="24">
        <v>13402.06</v>
      </c>
      <c r="M531" s="25">
        <f t="shared" si="44"/>
        <v>-3.0002850308087671E-3</v>
      </c>
      <c r="O531" t="b">
        <f t="shared" si="42"/>
        <v>1</v>
      </c>
      <c r="Q531" s="25">
        <f t="shared" si="40"/>
        <v>0.20119204467030549</v>
      </c>
      <c r="R531" s="25">
        <f t="shared" si="37"/>
        <v>0.26497959085046219</v>
      </c>
      <c r="X531">
        <f t="shared" si="41"/>
        <v>0</v>
      </c>
      <c r="Y531">
        <f t="shared" si="38"/>
        <v>1</v>
      </c>
    </row>
    <row r="532" spans="1:25">
      <c r="A532" s="26">
        <v>43154</v>
      </c>
      <c r="B532" s="23">
        <v>742.31</v>
      </c>
      <c r="C532" s="25">
        <f t="shared" si="43"/>
        <v>1.3766166368490675E-2</v>
      </c>
      <c r="E532" s="25">
        <f t="shared" si="39"/>
        <v>0.18347336702644945</v>
      </c>
      <c r="F532" s="25">
        <f t="shared" si="36"/>
        <v>0.32556142802400445</v>
      </c>
      <c r="K532" s="28">
        <v>43154</v>
      </c>
      <c r="L532" s="23">
        <v>13567.59</v>
      </c>
      <c r="M532" s="25">
        <f t="shared" si="44"/>
        <v>1.2200398154720231E-2</v>
      </c>
      <c r="O532" t="b">
        <f t="shared" si="42"/>
        <v>1</v>
      </c>
      <c r="Q532" s="25">
        <f t="shared" si="40"/>
        <v>0.2153668650237337</v>
      </c>
      <c r="R532" s="25">
        <f t="shared" si="37"/>
        <v>0.27749096656883698</v>
      </c>
      <c r="X532">
        <f t="shared" si="41"/>
        <v>0</v>
      </c>
      <c r="Y532">
        <f t="shared" si="38"/>
        <v>1</v>
      </c>
    </row>
    <row r="533" spans="1:25">
      <c r="A533" s="27">
        <v>43157</v>
      </c>
      <c r="B533" s="24">
        <v>749.39</v>
      </c>
      <c r="C533" s="25">
        <f t="shared" si="43"/>
        <v>9.5377941830233209E-3</v>
      </c>
      <c r="E533" s="25">
        <f t="shared" si="39"/>
        <v>0.18856463124504352</v>
      </c>
      <c r="F533" s="25">
        <f t="shared" si="36"/>
        <v>0.32780388952545869</v>
      </c>
      <c r="K533" s="29">
        <v>43157</v>
      </c>
      <c r="L533" s="24">
        <v>13686.8</v>
      </c>
      <c r="M533" s="25">
        <f t="shared" si="44"/>
        <v>8.7098518280386301E-3</v>
      </c>
      <c r="O533" t="b">
        <f t="shared" si="42"/>
        <v>1</v>
      </c>
      <c r="Q533" s="25">
        <f t="shared" si="40"/>
        <v>0.21855738574800321</v>
      </c>
      <c r="R533" s="25">
        <f t="shared" si="37"/>
        <v>0.27909691460045671</v>
      </c>
      <c r="X533">
        <f t="shared" si="41"/>
        <v>0</v>
      </c>
      <c r="Y533">
        <f t="shared" si="38"/>
        <v>1</v>
      </c>
    </row>
    <row r="534" spans="1:25">
      <c r="A534" s="26">
        <v>43158</v>
      </c>
      <c r="B534" s="23">
        <v>746.84</v>
      </c>
      <c r="C534" s="25">
        <f t="shared" si="43"/>
        <v>-3.4027675843018384E-3</v>
      </c>
      <c r="E534" s="25">
        <f t="shared" si="39"/>
        <v>0.19427520588470459</v>
      </c>
      <c r="F534" s="25">
        <f t="shared" si="36"/>
        <v>0.3277312581522891</v>
      </c>
      <c r="K534" s="28">
        <v>43158</v>
      </c>
      <c r="L534" s="23">
        <v>13642.21</v>
      </c>
      <c r="M534" s="25">
        <f t="shared" si="44"/>
        <v>-3.2685320047118574E-3</v>
      </c>
      <c r="O534" t="b">
        <f t="shared" si="42"/>
        <v>1</v>
      </c>
      <c r="Q534" s="25">
        <f t="shared" si="40"/>
        <v>0.22453575711444151</v>
      </c>
      <c r="R534" s="25">
        <f t="shared" si="37"/>
        <v>0.27952403937629655</v>
      </c>
      <c r="X534">
        <f t="shared" si="41"/>
        <v>0</v>
      </c>
      <c r="Y534">
        <f t="shared" si="38"/>
        <v>1</v>
      </c>
    </row>
    <row r="535" spans="1:25">
      <c r="A535" s="27">
        <v>43159</v>
      </c>
      <c r="B535" s="24">
        <v>743.65</v>
      </c>
      <c r="C535" s="25">
        <f t="shared" si="43"/>
        <v>-4.2713298698517149E-3</v>
      </c>
      <c r="E535" s="25">
        <f t="shared" si="39"/>
        <v>0.18866084843834918</v>
      </c>
      <c r="F535" s="25">
        <f t="shared" si="36"/>
        <v>0.30283000366219537</v>
      </c>
      <c r="K535" s="29">
        <v>43159</v>
      </c>
      <c r="L535" s="24">
        <v>13585.49</v>
      </c>
      <c r="M535" s="25">
        <f t="shared" si="44"/>
        <v>-4.1750426374020629E-3</v>
      </c>
      <c r="O535" t="b">
        <f t="shared" si="42"/>
        <v>1</v>
      </c>
      <c r="Q535" s="25">
        <f t="shared" si="40"/>
        <v>0.21871596733941079</v>
      </c>
      <c r="R535" s="25">
        <f t="shared" si="37"/>
        <v>0.25653570596267361</v>
      </c>
      <c r="X535">
        <f t="shared" si="41"/>
        <v>0</v>
      </c>
      <c r="Y535">
        <f t="shared" si="38"/>
        <v>1</v>
      </c>
    </row>
    <row r="536" spans="1:25">
      <c r="A536" s="26">
        <v>43160</v>
      </c>
      <c r="B536" s="23">
        <v>742.1</v>
      </c>
      <c r="C536" s="25">
        <f t="shared" si="43"/>
        <v>-2.0843138573252936E-3</v>
      </c>
      <c r="E536" s="25">
        <f t="shared" si="39"/>
        <v>0.18119886671123431</v>
      </c>
      <c r="F536" s="25">
        <f t="shared" si="36"/>
        <v>0.28764421140893615</v>
      </c>
      <c r="K536" s="28">
        <v>43160</v>
      </c>
      <c r="L536" s="23">
        <v>13531.83</v>
      </c>
      <c r="M536" s="25">
        <f t="shared" si="44"/>
        <v>-3.9654651292544947E-3</v>
      </c>
      <c r="O536" t="b">
        <f t="shared" si="42"/>
        <v>1</v>
      </c>
      <c r="Q536" s="25">
        <f t="shared" si="40"/>
        <v>0.20618843410136845</v>
      </c>
      <c r="R536" s="25">
        <f t="shared" si="37"/>
        <v>0.24203237344234574</v>
      </c>
      <c r="X536">
        <f t="shared" si="41"/>
        <v>0</v>
      </c>
      <c r="Y536">
        <f t="shared" si="38"/>
        <v>1</v>
      </c>
    </row>
    <row r="537" spans="1:25">
      <c r="A537" s="27">
        <v>43164</v>
      </c>
      <c r="B537" s="24">
        <v>733.34</v>
      </c>
      <c r="C537" s="25">
        <f t="shared" si="43"/>
        <v>-1.1804339037865505E-2</v>
      </c>
      <c r="E537" s="25">
        <f t="shared" si="39"/>
        <v>0.16988115179069951</v>
      </c>
      <c r="F537" s="25">
        <f t="shared" si="36"/>
        <v>0.27008619278808399</v>
      </c>
      <c r="K537" s="29">
        <v>43164</v>
      </c>
      <c r="L537" s="24">
        <v>13400.93</v>
      </c>
      <c r="M537" s="25">
        <f t="shared" si="44"/>
        <v>-9.7679787895317439E-3</v>
      </c>
      <c r="O537" t="b">
        <f t="shared" si="42"/>
        <v>1</v>
      </c>
      <c r="Q537" s="25">
        <f t="shared" si="40"/>
        <v>0.19607375871332811</v>
      </c>
      <c r="R537" s="25">
        <f t="shared" si="37"/>
        <v>0.22789793864741181</v>
      </c>
      <c r="X537">
        <f t="shared" si="41"/>
        <v>0</v>
      </c>
      <c r="Y537">
        <f t="shared" si="38"/>
        <v>1</v>
      </c>
    </row>
    <row r="538" spans="1:25">
      <c r="A538" s="26">
        <v>43165</v>
      </c>
      <c r="B538" s="23">
        <v>726.3</v>
      </c>
      <c r="C538" s="25">
        <f t="shared" si="43"/>
        <v>-9.5999127280662136E-3</v>
      </c>
      <c r="E538" s="25">
        <f t="shared" si="39"/>
        <v>0.16444615458611889</v>
      </c>
      <c r="F538" s="25">
        <f t="shared" si="36"/>
        <v>0.26156314940144276</v>
      </c>
      <c r="K538" s="28">
        <v>43165</v>
      </c>
      <c r="L538" s="23">
        <v>13260.12</v>
      </c>
      <c r="M538" s="25">
        <f t="shared" si="44"/>
        <v>-1.0619059254365683E-2</v>
      </c>
      <c r="O538" t="b">
        <f t="shared" si="42"/>
        <v>1</v>
      </c>
      <c r="Q538" s="25">
        <f t="shared" si="40"/>
        <v>0.18723811161011694</v>
      </c>
      <c r="R538" s="25">
        <f t="shared" si="37"/>
        <v>0.21937849689905842</v>
      </c>
      <c r="X538">
        <f t="shared" si="41"/>
        <v>0</v>
      </c>
      <c r="Y538">
        <f t="shared" si="38"/>
        <v>1</v>
      </c>
    </row>
    <row r="539" spans="1:25">
      <c r="A539" s="27">
        <v>43166</v>
      </c>
      <c r="B539" s="24">
        <v>720.93</v>
      </c>
      <c r="C539" s="25">
        <f t="shared" si="43"/>
        <v>-7.39363899215201E-3</v>
      </c>
      <c r="E539" s="25">
        <f t="shared" si="39"/>
        <v>0.15609615292098966</v>
      </c>
      <c r="F539" s="25">
        <f t="shared" si="36"/>
        <v>0.25894766179659778</v>
      </c>
      <c r="K539" s="29">
        <v>43166</v>
      </c>
      <c r="L539" s="24">
        <v>13109.11</v>
      </c>
      <c r="M539" s="25">
        <f t="shared" si="44"/>
        <v>-1.1519470047928517E-2</v>
      </c>
      <c r="O539" t="b">
        <f t="shared" si="42"/>
        <v>1</v>
      </c>
      <c r="Q539" s="25">
        <f t="shared" si="40"/>
        <v>0.1737175079327562</v>
      </c>
      <c r="R539" s="25">
        <f t="shared" si="37"/>
        <v>0.21198932126536651</v>
      </c>
      <c r="X539">
        <f t="shared" si="41"/>
        <v>0</v>
      </c>
      <c r="Y539">
        <f t="shared" si="38"/>
        <v>1</v>
      </c>
    </row>
    <row r="540" spans="1:25">
      <c r="A540" s="26">
        <v>43167</v>
      </c>
      <c r="B540" s="23">
        <v>723.73</v>
      </c>
      <c r="C540" s="25">
        <f t="shared" si="43"/>
        <v>3.8838722206040372E-3</v>
      </c>
      <c r="E540" s="25">
        <f t="shared" si="39"/>
        <v>0.16347823291106689</v>
      </c>
      <c r="F540" s="25">
        <f t="shared" si="36"/>
        <v>0.25500521308672819</v>
      </c>
      <c r="K540" s="28">
        <v>43167</v>
      </c>
      <c r="L540" s="23">
        <v>13202.82</v>
      </c>
      <c r="M540" s="25">
        <f t="shared" si="44"/>
        <v>7.0977260918500089E-3</v>
      </c>
      <c r="O540" t="b">
        <f t="shared" si="42"/>
        <v>1</v>
      </c>
      <c r="Q540" s="25">
        <f t="shared" si="40"/>
        <v>0.18196809367782119</v>
      </c>
      <c r="R540" s="25">
        <f t="shared" si="37"/>
        <v>0.21326528331007477</v>
      </c>
      <c r="X540">
        <f t="shared" si="41"/>
        <v>0</v>
      </c>
      <c r="Y540">
        <f t="shared" si="38"/>
        <v>1</v>
      </c>
    </row>
    <row r="541" spans="1:25">
      <c r="A541" s="27">
        <v>43168</v>
      </c>
      <c r="B541" s="24">
        <v>721.5</v>
      </c>
      <c r="C541" s="25">
        <f t="shared" si="43"/>
        <v>-3.0812595857571444E-3</v>
      </c>
      <c r="E541" s="25">
        <f t="shared" si="39"/>
        <v>0.14365875695468167</v>
      </c>
      <c r="F541" s="25">
        <f t="shared" si="36"/>
        <v>0.25535351857103983</v>
      </c>
      <c r="K541" s="29">
        <v>43168</v>
      </c>
      <c r="L541" s="24">
        <v>13181.83</v>
      </c>
      <c r="M541" s="25">
        <f t="shared" si="44"/>
        <v>-1.5923433999679697E-3</v>
      </c>
      <c r="O541" t="b">
        <f t="shared" si="42"/>
        <v>1</v>
      </c>
      <c r="Q541" s="25">
        <f t="shared" si="40"/>
        <v>0.16073304468730165</v>
      </c>
      <c r="R541" s="25">
        <f t="shared" si="37"/>
        <v>0.21541507718046438</v>
      </c>
      <c r="X541">
        <f t="shared" si="41"/>
        <v>0</v>
      </c>
      <c r="Y541">
        <f t="shared" si="38"/>
        <v>1</v>
      </c>
    </row>
    <row r="542" spans="1:25">
      <c r="A542" s="26">
        <v>43171</v>
      </c>
      <c r="B542" s="23">
        <v>734.24</v>
      </c>
      <c r="C542" s="25">
        <f t="shared" si="43"/>
        <v>1.7657657657657672E-2</v>
      </c>
      <c r="E542" s="25">
        <f t="shared" si="39"/>
        <v>0.15626525566526506</v>
      </c>
      <c r="F542" s="25">
        <f t="shared" si="36"/>
        <v>0.26404369165817276</v>
      </c>
      <c r="K542" s="28">
        <v>43171</v>
      </c>
      <c r="L542" s="23">
        <v>13380.35</v>
      </c>
      <c r="M542" s="25">
        <f t="shared" si="44"/>
        <v>1.483668214957011E-2</v>
      </c>
      <c r="O542" t="b">
        <f t="shared" si="42"/>
        <v>1</v>
      </c>
      <c r="Q542" s="25">
        <f t="shared" si="40"/>
        <v>0.17535422211681206</v>
      </c>
      <c r="R542" s="25">
        <f t="shared" si="37"/>
        <v>0.22301741335921887</v>
      </c>
      <c r="X542">
        <f t="shared" si="41"/>
        <v>0</v>
      </c>
      <c r="Y542">
        <f t="shared" si="38"/>
        <v>1</v>
      </c>
    </row>
    <row r="543" spans="1:25">
      <c r="A543" s="27">
        <v>43172</v>
      </c>
      <c r="B543" s="24">
        <v>737.05</v>
      </c>
      <c r="C543" s="25">
        <f t="shared" si="43"/>
        <v>3.8270865112224142E-3</v>
      </c>
      <c r="E543" s="25">
        <f t="shared" si="39"/>
        <v>0.14824970010437921</v>
      </c>
      <c r="F543" s="25">
        <f t="shared" si="36"/>
        <v>0.26358996123706024</v>
      </c>
      <c r="K543" s="29">
        <v>43172</v>
      </c>
      <c r="L543" s="24">
        <v>13434.83</v>
      </c>
      <c r="M543" s="25">
        <f t="shared" si="44"/>
        <v>4.0551313265593655E-3</v>
      </c>
      <c r="O543" t="b">
        <f t="shared" si="42"/>
        <v>1</v>
      </c>
      <c r="Q543" s="25">
        <f t="shared" si="40"/>
        <v>0.16886711113469866</v>
      </c>
      <c r="R543" s="25">
        <f t="shared" si="37"/>
        <v>0.22275352054064723</v>
      </c>
      <c r="X543">
        <f t="shared" si="41"/>
        <v>0</v>
      </c>
      <c r="Y543">
        <f t="shared" si="38"/>
        <v>1</v>
      </c>
    </row>
    <row r="544" spans="1:25">
      <c r="A544" s="26">
        <v>43173</v>
      </c>
      <c r="B544" s="23">
        <v>738.24</v>
      </c>
      <c r="C544" s="25">
        <f t="shared" si="43"/>
        <v>1.6145444678109418E-3</v>
      </c>
      <c r="E544" s="25">
        <f t="shared" si="39"/>
        <v>0.15179031125672826</v>
      </c>
      <c r="F544" s="25">
        <f t="shared" si="36"/>
        <v>0.26940346860500997</v>
      </c>
      <c r="K544" s="28">
        <v>43173</v>
      </c>
      <c r="L544" s="23">
        <v>13425.47</v>
      </c>
      <c r="M544" s="25">
        <f t="shared" si="44"/>
        <v>-6.971822960388413E-4</v>
      </c>
      <c r="O544" t="b">
        <f t="shared" si="42"/>
        <v>1</v>
      </c>
      <c r="Q544" s="25">
        <f t="shared" si="40"/>
        <v>0.16738040312994817</v>
      </c>
      <c r="R544" s="25">
        <f t="shared" si="37"/>
        <v>0.22820667634640635</v>
      </c>
      <c r="X544">
        <f t="shared" si="41"/>
        <v>0</v>
      </c>
      <c r="Y544">
        <f t="shared" si="38"/>
        <v>1</v>
      </c>
    </row>
    <row r="545" spans="1:25">
      <c r="A545" s="27">
        <v>43174</v>
      </c>
      <c r="B545" s="24">
        <v>736.55</v>
      </c>
      <c r="C545" s="25">
        <f t="shared" si="43"/>
        <v>-2.2892284351972996E-3</v>
      </c>
      <c r="E545" s="25">
        <f t="shared" si="39"/>
        <v>0.15105721295847729</v>
      </c>
      <c r="F545" s="25">
        <f t="shared" si="36"/>
        <v>0.26723069402701261</v>
      </c>
      <c r="K545" s="29">
        <v>43174</v>
      </c>
      <c r="L545" s="24">
        <v>13399.61</v>
      </c>
      <c r="M545" s="25">
        <f t="shared" si="44"/>
        <v>-1.9299069152011708E-3</v>
      </c>
      <c r="O545" t="b">
        <f t="shared" si="42"/>
        <v>1</v>
      </c>
      <c r="Q545" s="25">
        <f t="shared" si="40"/>
        <v>0.16726628732311921</v>
      </c>
      <c r="R545" s="25">
        <f t="shared" si="37"/>
        <v>0.22533163361229325</v>
      </c>
      <c r="X545">
        <f t="shared" si="41"/>
        <v>0</v>
      </c>
      <c r="Y545">
        <f t="shared" si="38"/>
        <v>1</v>
      </c>
    </row>
    <row r="546" spans="1:25">
      <c r="A546" s="26">
        <v>43175</v>
      </c>
      <c r="B546" s="23">
        <v>727.56</v>
      </c>
      <c r="C546" s="25">
        <f t="shared" si="43"/>
        <v>-1.2205552915620133E-2</v>
      </c>
      <c r="E546" s="25">
        <f t="shared" si="39"/>
        <v>0.13960810112306743</v>
      </c>
      <c r="F546" s="25">
        <f t="shared" si="36"/>
        <v>0.25696824275022556</v>
      </c>
      <c r="K546" s="28">
        <v>43175</v>
      </c>
      <c r="L546" s="23">
        <v>13214.46</v>
      </c>
      <c r="M546" s="25">
        <f t="shared" si="44"/>
        <v>-1.4011166555425001E-2</v>
      </c>
      <c r="O546" t="b">
        <f t="shared" si="42"/>
        <v>1</v>
      </c>
      <c r="Q546" s="25">
        <f t="shared" si="40"/>
        <v>0.15249888364823749</v>
      </c>
      <c r="R546" s="25">
        <f t="shared" si="37"/>
        <v>0.2148182708697508</v>
      </c>
      <c r="X546">
        <f t="shared" si="41"/>
        <v>0</v>
      </c>
      <c r="Y546">
        <f t="shared" si="38"/>
        <v>1</v>
      </c>
    </row>
    <row r="547" spans="1:25">
      <c r="A547" s="27">
        <v>43178</v>
      </c>
      <c r="B547" s="24">
        <v>717.31</v>
      </c>
      <c r="C547" s="25">
        <f t="shared" si="43"/>
        <v>-1.4088185166859092E-2</v>
      </c>
      <c r="E547" s="25">
        <f t="shared" si="39"/>
        <v>0.13258281491773749</v>
      </c>
      <c r="F547" s="25">
        <f t="shared" si="36"/>
        <v>0.24162824436285901</v>
      </c>
      <c r="K547" s="29">
        <v>43178</v>
      </c>
      <c r="L547" s="24">
        <v>13052.85</v>
      </c>
      <c r="M547" s="25">
        <f t="shared" si="44"/>
        <v>-1.2381204104850569E-2</v>
      </c>
      <c r="O547" t="b">
        <f t="shared" si="42"/>
        <v>1</v>
      </c>
      <c r="Q547" s="25">
        <f t="shared" si="40"/>
        <v>0.14989811748599946</v>
      </c>
      <c r="R547" s="25">
        <f t="shared" si="37"/>
        <v>0.20090582011072433</v>
      </c>
      <c r="X547">
        <f t="shared" si="41"/>
        <v>0</v>
      </c>
      <c r="Y547">
        <f t="shared" si="38"/>
        <v>1</v>
      </c>
    </row>
    <row r="548" spans="1:25">
      <c r="A548" s="26">
        <v>43179</v>
      </c>
      <c r="B548" s="23">
        <v>720.21</v>
      </c>
      <c r="C548" s="25">
        <f t="shared" si="43"/>
        <v>4.0428824357670902E-3</v>
      </c>
      <c r="E548" s="25">
        <f t="shared" si="39"/>
        <v>0.12765391119183334</v>
      </c>
      <c r="F548" s="25">
        <f t="shared" si="36"/>
        <v>0.23663681944555104</v>
      </c>
      <c r="K548" s="28">
        <v>43179</v>
      </c>
      <c r="L548" s="23">
        <v>13100.23</v>
      </c>
      <c r="M548" s="25">
        <f t="shared" si="44"/>
        <v>3.6167303932831104E-3</v>
      </c>
      <c r="O548" t="b">
        <f t="shared" si="42"/>
        <v>1</v>
      </c>
      <c r="Q548" s="25">
        <f t="shared" si="40"/>
        <v>0.14591632333517013</v>
      </c>
      <c r="R548" s="25">
        <f t="shared" si="37"/>
        <v>0.19508923627291797</v>
      </c>
      <c r="X548">
        <f t="shared" si="41"/>
        <v>0</v>
      </c>
      <c r="Y548">
        <f t="shared" si="38"/>
        <v>1</v>
      </c>
    </row>
    <row r="549" spans="1:25">
      <c r="A549" s="27">
        <v>43180</v>
      </c>
      <c r="B549" s="24">
        <v>721.01</v>
      </c>
      <c r="C549" s="25">
        <f t="shared" si="43"/>
        <v>1.1107871315310181E-3</v>
      </c>
      <c r="E549" s="25">
        <f t="shared" si="39"/>
        <v>0.12869442705072021</v>
      </c>
      <c r="F549" s="25">
        <f t="shared" si="36"/>
        <v>0.23609046687106061</v>
      </c>
      <c r="K549" s="29">
        <v>43180</v>
      </c>
      <c r="L549" s="24">
        <v>13142.31</v>
      </c>
      <c r="M549" s="25">
        <f t="shared" si="44"/>
        <v>3.2018724257759806E-3</v>
      </c>
      <c r="O549" t="b">
        <f t="shared" si="42"/>
        <v>1</v>
      </c>
      <c r="Q549" s="25">
        <f t="shared" si="40"/>
        <v>0.14640729035730393</v>
      </c>
      <c r="R549" s="25">
        <f t="shared" si="37"/>
        <v>0.19584732117085801</v>
      </c>
      <c r="X549">
        <f t="shared" si="41"/>
        <v>0</v>
      </c>
      <c r="Y549">
        <f t="shared" si="38"/>
        <v>1</v>
      </c>
    </row>
    <row r="550" spans="1:25">
      <c r="A550" s="26">
        <v>43181</v>
      </c>
      <c r="B550" s="23">
        <v>717.6</v>
      </c>
      <c r="C550" s="25">
        <f t="shared" si="43"/>
        <v>-4.7294767062869697E-3</v>
      </c>
      <c r="E550" s="25">
        <f t="shared" si="39"/>
        <v>0.12815997987674499</v>
      </c>
      <c r="F550" s="25">
        <f t="shared" si="36"/>
        <v>0.23175523761375794</v>
      </c>
      <c r="K550" s="28">
        <v>43181</v>
      </c>
      <c r="L550" s="23">
        <v>13077.48</v>
      </c>
      <c r="M550" s="25">
        <f t="shared" si="44"/>
        <v>-4.9573771093513377E-3</v>
      </c>
      <c r="O550" t="b">
        <f t="shared" si="42"/>
        <v>1</v>
      </c>
      <c r="Q550" s="25">
        <f t="shared" si="40"/>
        <v>0.14651678418974812</v>
      </c>
      <c r="R550" s="25">
        <f t="shared" si="37"/>
        <v>0.19238696102027819</v>
      </c>
      <c r="X550">
        <f t="shared" si="41"/>
        <v>0</v>
      </c>
      <c r="Y550">
        <f t="shared" si="38"/>
        <v>1</v>
      </c>
    </row>
    <row r="551" spans="1:25">
      <c r="A551" s="27">
        <v>43182</v>
      </c>
      <c r="B551" s="24">
        <v>709.19</v>
      </c>
      <c r="C551" s="25">
        <f t="shared" si="43"/>
        <v>-1.1719620958751349E-2</v>
      </c>
      <c r="E551" s="25">
        <f t="shared" si="39"/>
        <v>0.10705421395232673</v>
      </c>
      <c r="F551" s="25">
        <f t="shared" si="36"/>
        <v>0.23154048806268501</v>
      </c>
      <c r="K551" s="29">
        <v>43182</v>
      </c>
      <c r="L551" s="24">
        <v>12926.25</v>
      </c>
      <c r="M551" s="25">
        <f t="shared" si="44"/>
        <v>-1.1699448796054506E-2</v>
      </c>
      <c r="O551" t="b">
        <f t="shared" si="42"/>
        <v>1</v>
      </c>
      <c r="Q551" s="25">
        <f t="shared" si="40"/>
        <v>0.12655600032420766</v>
      </c>
      <c r="R551" s="25">
        <f t="shared" si="37"/>
        <v>0.19375815819779629</v>
      </c>
      <c r="X551">
        <f t="shared" si="41"/>
        <v>0</v>
      </c>
      <c r="Y551">
        <f t="shared" si="38"/>
        <v>1</v>
      </c>
    </row>
    <row r="552" spans="1:25">
      <c r="A552" s="26">
        <v>43185</v>
      </c>
      <c r="B552" s="23">
        <v>720.23</v>
      </c>
      <c r="C552" s="25">
        <f t="shared" si="43"/>
        <v>1.5567055373031153E-2</v>
      </c>
      <c r="E552" s="25">
        <f t="shared" si="39"/>
        <v>0.11790088006581101</v>
      </c>
      <c r="F552" s="25">
        <f t="shared" si="36"/>
        <v>0.24110247106534421</v>
      </c>
      <c r="K552" s="28">
        <v>43185</v>
      </c>
      <c r="L552" s="23">
        <v>13093.19</v>
      </c>
      <c r="M552" s="25">
        <f t="shared" si="44"/>
        <v>1.2750139576375238E-2</v>
      </c>
      <c r="O552" t="b">
        <f t="shared" si="42"/>
        <v>1</v>
      </c>
      <c r="Q552" s="25">
        <f t="shared" si="40"/>
        <v>0.13616712946893439</v>
      </c>
      <c r="R552" s="25">
        <f t="shared" si="37"/>
        <v>0.20254952097549328</v>
      </c>
      <c r="X552">
        <f t="shared" si="41"/>
        <v>0</v>
      </c>
      <c r="Y552">
        <f t="shared" si="38"/>
        <v>1</v>
      </c>
    </row>
    <row r="553" spans="1:25">
      <c r="A553" s="27">
        <v>43186</v>
      </c>
      <c r="B553" s="24">
        <v>727.39</v>
      </c>
      <c r="C553" s="25">
        <f t="shared" si="43"/>
        <v>9.9412687613678521E-3</v>
      </c>
      <c r="E553" s="25">
        <f t="shared" si="39"/>
        <v>0.12489367953853048</v>
      </c>
      <c r="F553" s="25">
        <f t="shared" si="36"/>
        <v>0.23743713288925838</v>
      </c>
      <c r="K553" s="29">
        <v>43186</v>
      </c>
      <c r="L553" s="24">
        <v>13187.9</v>
      </c>
      <c r="M553" s="25">
        <f t="shared" si="44"/>
        <v>7.1815831178579708E-3</v>
      </c>
      <c r="O553" t="b">
        <f t="shared" si="42"/>
        <v>1</v>
      </c>
      <c r="Q553" s="25">
        <f t="shared" si="40"/>
        <v>0.13974022921155282</v>
      </c>
      <c r="R553" s="25">
        <f t="shared" si="37"/>
        <v>0.1961197278695177</v>
      </c>
      <c r="X553">
        <f t="shared" si="41"/>
        <v>0</v>
      </c>
      <c r="Y553">
        <f t="shared" si="38"/>
        <v>1</v>
      </c>
    </row>
    <row r="554" spans="1:25">
      <c r="A554" s="26">
        <v>43187</v>
      </c>
      <c r="B554" s="23">
        <v>721.93</v>
      </c>
      <c r="C554" s="25">
        <f t="shared" si="43"/>
        <v>-7.506289610800309E-3</v>
      </c>
      <c r="E554" s="25">
        <f t="shared" si="39"/>
        <v>0.11244144477317541</v>
      </c>
      <c r="F554" s="25">
        <f t="shared" si="36"/>
        <v>0.23116531611693225</v>
      </c>
      <c r="K554" s="28">
        <v>43187</v>
      </c>
      <c r="L554" s="23">
        <v>13090.98</v>
      </c>
      <c r="M554" s="25">
        <f t="shared" si="44"/>
        <v>-7.4035710084348208E-3</v>
      </c>
      <c r="O554" t="b">
        <f t="shared" si="42"/>
        <v>1</v>
      </c>
      <c r="Q554" s="25">
        <f t="shared" si="40"/>
        <v>0.12866411177162851</v>
      </c>
      <c r="R554" s="25">
        <f t="shared" si="37"/>
        <v>0.19028777772834005</v>
      </c>
      <c r="X554">
        <f t="shared" si="41"/>
        <v>0</v>
      </c>
      <c r="Y554">
        <f t="shared" si="38"/>
        <v>1</v>
      </c>
    </row>
    <row r="555" spans="1:25">
      <c r="A555" s="27">
        <v>43192</v>
      </c>
      <c r="B555" s="24">
        <v>730.32</v>
      </c>
      <c r="C555" s="25">
        <f t="shared" si="43"/>
        <v>1.1621625365340268E-2</v>
      </c>
      <c r="E555" s="25">
        <f t="shared" si="39"/>
        <v>0.12261932211205928</v>
      </c>
      <c r="F555" s="25">
        <f t="shared" si="36"/>
        <v>0.238441742970529</v>
      </c>
      <c r="K555" s="29">
        <v>43192</v>
      </c>
      <c r="L555" s="24">
        <v>13254.74</v>
      </c>
      <c r="M555" s="25">
        <f t="shared" si="44"/>
        <v>1.2354825519021891E-2</v>
      </c>
      <c r="O555" t="b">
        <f t="shared" si="42"/>
        <v>1</v>
      </c>
      <c r="Q555" s="25">
        <f t="shared" si="40"/>
        <v>0.13453416850837718</v>
      </c>
      <c r="R555" s="25">
        <f t="shared" si="37"/>
        <v>0.19833089775921287</v>
      </c>
      <c r="X555">
        <f t="shared" si="41"/>
        <v>0</v>
      </c>
      <c r="Y555">
        <f t="shared" si="38"/>
        <v>1</v>
      </c>
    </row>
    <row r="556" spans="1:25">
      <c r="A556" s="26">
        <v>43193</v>
      </c>
      <c r="B556" s="23">
        <v>734.48</v>
      </c>
      <c r="C556" s="25">
        <f t="shared" si="43"/>
        <v>5.6961332018840615E-3</v>
      </c>
      <c r="E556" s="25">
        <f t="shared" si="39"/>
        <v>0.12474349943340179</v>
      </c>
      <c r="F556" s="25">
        <f t="shared" si="36"/>
        <v>0.23830254036969634</v>
      </c>
      <c r="K556" s="28">
        <v>43193</v>
      </c>
      <c r="L556" s="23">
        <v>13330.03</v>
      </c>
      <c r="M556" s="25">
        <f t="shared" si="44"/>
        <v>5.648149328996324E-3</v>
      </c>
      <c r="O556" t="b">
        <f t="shared" si="42"/>
        <v>1</v>
      </c>
      <c r="Q556" s="25">
        <f t="shared" si="40"/>
        <v>0.13507053515091805</v>
      </c>
      <c r="R556" s="25">
        <f t="shared" si="37"/>
        <v>0.1985594864760114</v>
      </c>
      <c r="X556">
        <f t="shared" si="41"/>
        <v>0</v>
      </c>
      <c r="Y556">
        <f t="shared" si="38"/>
        <v>1</v>
      </c>
    </row>
    <row r="557" spans="1:25">
      <c r="A557" s="27">
        <v>43194</v>
      </c>
      <c r="B557" s="24">
        <v>726.15</v>
      </c>
      <c r="C557" s="25">
        <f t="shared" si="43"/>
        <v>-1.134135715063724E-2</v>
      </c>
      <c r="E557" s="25">
        <f t="shared" si="39"/>
        <v>0.11243029597401799</v>
      </c>
      <c r="F557" s="25">
        <f t="shared" si="36"/>
        <v>0.24147558201910324</v>
      </c>
      <c r="K557" s="29">
        <v>43194</v>
      </c>
      <c r="L557" s="24">
        <v>13184.34</v>
      </c>
      <c r="M557" s="25">
        <f t="shared" si="44"/>
        <v>-1.1050230804120684E-2</v>
      </c>
      <c r="O557" t="b">
        <f t="shared" si="42"/>
        <v>1</v>
      </c>
      <c r="Q557" s="25">
        <f t="shared" si="40"/>
        <v>0.12307700170706037</v>
      </c>
      <c r="R557" s="25">
        <f t="shared" si="37"/>
        <v>0.20330540330418212</v>
      </c>
      <c r="X557">
        <f t="shared" si="41"/>
        <v>0</v>
      </c>
      <c r="Y557">
        <f t="shared" si="38"/>
        <v>1</v>
      </c>
    </row>
    <row r="558" spans="1:25">
      <c r="A558" s="26">
        <v>43195</v>
      </c>
      <c r="B558" s="23">
        <v>740.5</v>
      </c>
      <c r="C558" s="25">
        <f t="shared" si="43"/>
        <v>1.9761757212697132E-2</v>
      </c>
      <c r="E558" s="25">
        <f t="shared" si="39"/>
        <v>0.13938853071963808</v>
      </c>
      <c r="F558" s="25">
        <f t="shared" si="36"/>
        <v>0.25174444505826976</v>
      </c>
      <c r="K558" s="28">
        <v>43195</v>
      </c>
      <c r="L558" s="23">
        <v>13435.15</v>
      </c>
      <c r="M558" s="25">
        <f t="shared" si="44"/>
        <v>1.8668194995962048E-2</v>
      </c>
      <c r="O558" t="b">
        <f t="shared" si="42"/>
        <v>1</v>
      </c>
      <c r="Q558" s="25">
        <f t="shared" si="40"/>
        <v>0.1510926047302652</v>
      </c>
      <c r="R558" s="25">
        <f t="shared" si="37"/>
        <v>0.21281699260888676</v>
      </c>
      <c r="X558">
        <f t="shared" si="41"/>
        <v>0</v>
      </c>
      <c r="Y558">
        <f t="shared" si="38"/>
        <v>1</v>
      </c>
    </row>
    <row r="559" spans="1:25">
      <c r="A559" s="27">
        <v>43196</v>
      </c>
      <c r="B559" s="24">
        <v>742.69</v>
      </c>
      <c r="C559" s="25">
        <f t="shared" si="43"/>
        <v>2.9574611748819104E-3</v>
      </c>
      <c r="E559" s="25">
        <f t="shared" si="39"/>
        <v>0.1376120088841235</v>
      </c>
      <c r="F559" s="25">
        <f t="shared" ref="F559:F622" si="45">((B559/B67)^(1/2))-1</f>
        <v>0.25634850994174041</v>
      </c>
      <c r="K559" s="29">
        <v>43196</v>
      </c>
      <c r="L559" s="24">
        <v>13473.25</v>
      </c>
      <c r="M559" s="25">
        <f t="shared" si="44"/>
        <v>2.8278255060954381E-3</v>
      </c>
      <c r="O559" t="b">
        <f t="shared" si="42"/>
        <v>1</v>
      </c>
      <c r="Q559" s="25">
        <f t="shared" si="40"/>
        <v>0.15337466903050001</v>
      </c>
      <c r="R559" s="25">
        <f t="shared" ref="R559:R622" si="46">((L559/L67)^(1/2))-1</f>
        <v>0.21915047004021315</v>
      </c>
      <c r="X559">
        <f t="shared" si="41"/>
        <v>0</v>
      </c>
      <c r="Y559">
        <f t="shared" ref="Y559:Y622" si="47">IF(F559&gt;R559,1,0)</f>
        <v>1</v>
      </c>
    </row>
    <row r="560" spans="1:25">
      <c r="A560" s="26">
        <v>43199</v>
      </c>
      <c r="B560" s="23">
        <v>743.99</v>
      </c>
      <c r="C560" s="25">
        <f t="shared" si="43"/>
        <v>1.7503938386136267E-3</v>
      </c>
      <c r="E560" s="25">
        <f t="shared" si="39"/>
        <v>0.13307747369062306</v>
      </c>
      <c r="F560" s="25">
        <f t="shared" si="45"/>
        <v>0.25416009646644011</v>
      </c>
      <c r="K560" s="28">
        <v>43199</v>
      </c>
      <c r="L560" s="23">
        <v>13521.92</v>
      </c>
      <c r="M560" s="25">
        <f t="shared" si="44"/>
        <v>3.5993409219992481E-3</v>
      </c>
      <c r="O560" t="b">
        <f t="shared" si="42"/>
        <v>1</v>
      </c>
      <c r="Q560" s="25">
        <f t="shared" si="40"/>
        <v>0.14926706381011234</v>
      </c>
      <c r="R560" s="25">
        <f t="shared" si="46"/>
        <v>0.21972813232852606</v>
      </c>
      <c r="X560">
        <f t="shared" si="41"/>
        <v>0</v>
      </c>
      <c r="Y560">
        <f t="shared" si="47"/>
        <v>1</v>
      </c>
    </row>
    <row r="561" spans="1:25">
      <c r="A561" s="27">
        <v>43200</v>
      </c>
      <c r="B561" s="24">
        <v>746.83</v>
      </c>
      <c r="C561" s="25">
        <f t="shared" si="43"/>
        <v>3.8172556082743474E-3</v>
      </c>
      <c r="E561" s="25">
        <f t="shared" si="39"/>
        <v>0.13839095177123362</v>
      </c>
      <c r="F561" s="25">
        <f t="shared" si="45"/>
        <v>0.25051185131535747</v>
      </c>
      <c r="K561" s="29">
        <v>43200</v>
      </c>
      <c r="L561" s="24">
        <v>13542.43</v>
      </c>
      <c r="M561" s="25">
        <f t="shared" si="44"/>
        <v>1.5144992442272338E-3</v>
      </c>
      <c r="O561" t="b">
        <f t="shared" si="42"/>
        <v>1</v>
      </c>
      <c r="Q561" s="25">
        <f t="shared" si="40"/>
        <v>0.15503325881834185</v>
      </c>
      <c r="R561" s="25">
        <f t="shared" si="46"/>
        <v>0.21265458038751794</v>
      </c>
      <c r="X561">
        <f t="shared" si="41"/>
        <v>0</v>
      </c>
      <c r="Y561">
        <f t="shared" si="47"/>
        <v>1</v>
      </c>
    </row>
    <row r="562" spans="1:25">
      <c r="A562" s="26">
        <v>43201</v>
      </c>
      <c r="B562" s="23">
        <v>748.21</v>
      </c>
      <c r="C562" s="25">
        <f t="shared" si="43"/>
        <v>1.8478100772598789E-3</v>
      </c>
      <c r="E562" s="25">
        <f t="shared" si="39"/>
        <v>0.14770217204564995</v>
      </c>
      <c r="F562" s="25">
        <f t="shared" si="45"/>
        <v>0.24599203903872757</v>
      </c>
      <c r="K562" s="28">
        <v>43201</v>
      </c>
      <c r="L562" s="23">
        <v>13559.63</v>
      </c>
      <c r="M562" s="25">
        <f t="shared" si="44"/>
        <v>1.2684711898480201E-3</v>
      </c>
      <c r="O562" t="b">
        <f t="shared" si="42"/>
        <v>1</v>
      </c>
      <c r="Q562" s="25">
        <f t="shared" si="40"/>
        <v>0.16137765760179246</v>
      </c>
      <c r="R562" s="25">
        <f t="shared" si="46"/>
        <v>0.20971657286124445</v>
      </c>
      <c r="X562">
        <f t="shared" si="41"/>
        <v>0</v>
      </c>
      <c r="Y562">
        <f t="shared" si="47"/>
        <v>1</v>
      </c>
    </row>
    <row r="563" spans="1:25">
      <c r="A563" s="27">
        <v>43202</v>
      </c>
      <c r="B563" s="24">
        <v>747.73</v>
      </c>
      <c r="C563" s="25">
        <f t="shared" si="43"/>
        <v>-6.4153112094200585E-4</v>
      </c>
      <c r="E563" s="25">
        <f t="shared" si="39"/>
        <v>0.14735307656897345</v>
      </c>
      <c r="F563" s="25">
        <f t="shared" si="45"/>
        <v>0.23598670663137655</v>
      </c>
      <c r="K563" s="29">
        <v>43202</v>
      </c>
      <c r="L563" s="24">
        <v>13583.7</v>
      </c>
      <c r="M563" s="25">
        <f t="shared" si="44"/>
        <v>1.7719767073773366E-3</v>
      </c>
      <c r="O563" t="b">
        <f t="shared" si="42"/>
        <v>1</v>
      </c>
      <c r="Q563" s="25">
        <f t="shared" si="40"/>
        <v>0.16377216497760072</v>
      </c>
      <c r="R563" s="25">
        <f t="shared" si="46"/>
        <v>0.20104863990217181</v>
      </c>
      <c r="X563">
        <f t="shared" si="41"/>
        <v>0</v>
      </c>
      <c r="Y563">
        <f t="shared" si="47"/>
        <v>1</v>
      </c>
    </row>
    <row r="564" spans="1:25">
      <c r="A564" s="26">
        <v>43203</v>
      </c>
      <c r="B564" s="23">
        <v>749.01</v>
      </c>
      <c r="C564" s="25">
        <f t="shared" si="43"/>
        <v>1.7118478595214484E-3</v>
      </c>
      <c r="E564" s="25">
        <f t="shared" si="39"/>
        <v>0.15495281564176899</v>
      </c>
      <c r="F564" s="25">
        <f t="shared" si="45"/>
        <v>0.23377162212423985</v>
      </c>
      <c r="K564" s="28">
        <v>43203</v>
      </c>
      <c r="L564" s="23">
        <v>13613.67</v>
      </c>
      <c r="M564" s="25">
        <f t="shared" si="44"/>
        <v>2.2014636758493004E-3</v>
      </c>
      <c r="O564" t="b">
        <f t="shared" si="42"/>
        <v>1</v>
      </c>
      <c r="Q564" s="25">
        <f t="shared" si="40"/>
        <v>0.17209176183936936</v>
      </c>
      <c r="R564" s="25">
        <f t="shared" si="46"/>
        <v>0.19695307721841004</v>
      </c>
      <c r="X564">
        <f t="shared" si="41"/>
        <v>0</v>
      </c>
      <c r="Y564">
        <f t="shared" si="47"/>
        <v>1</v>
      </c>
    </row>
    <row r="565" spans="1:25">
      <c r="A565" s="27">
        <v>43206</v>
      </c>
      <c r="B565" s="24">
        <v>752.19</v>
      </c>
      <c r="C565" s="25">
        <f t="shared" si="43"/>
        <v>4.2456041975408388E-3</v>
      </c>
      <c r="E565" s="25">
        <f t="shared" si="39"/>
        <v>0.15506518634541844</v>
      </c>
      <c r="F565" s="25">
        <f t="shared" si="45"/>
        <v>0.2361994934240601</v>
      </c>
      <c r="K565" s="29">
        <v>43206</v>
      </c>
      <c r="L565" s="24">
        <v>13677.8</v>
      </c>
      <c r="M565" s="25">
        <f t="shared" si="44"/>
        <v>4.6886195148341985E-3</v>
      </c>
      <c r="O565" t="b">
        <f t="shared" si="42"/>
        <v>1</v>
      </c>
      <c r="Q565" s="25">
        <f t="shared" si="40"/>
        <v>0.17490521078681476</v>
      </c>
      <c r="R565" s="25">
        <f t="shared" si="46"/>
        <v>0.19902097161097587</v>
      </c>
      <c r="X565">
        <f t="shared" si="41"/>
        <v>0</v>
      </c>
      <c r="Y565">
        <f t="shared" si="47"/>
        <v>1</v>
      </c>
    </row>
    <row r="566" spans="1:25">
      <c r="A566" s="26">
        <v>43207</v>
      </c>
      <c r="B566" s="23">
        <v>753.3</v>
      </c>
      <c r="C566" s="25">
        <f t="shared" si="43"/>
        <v>1.4756909823314586E-3</v>
      </c>
      <c r="E566" s="25">
        <f t="shared" si="39"/>
        <v>0.15291020676778033</v>
      </c>
      <c r="F566" s="25">
        <f t="shared" si="45"/>
        <v>0.2375010395678423</v>
      </c>
      <c r="K566" s="28">
        <v>43207</v>
      </c>
      <c r="L566" s="23">
        <v>13705.74</v>
      </c>
      <c r="M566" s="25">
        <f t="shared" si="44"/>
        <v>2.0385619455790429E-3</v>
      </c>
      <c r="O566" t="b">
        <f t="shared" si="42"/>
        <v>1</v>
      </c>
      <c r="Q566" s="25">
        <f t="shared" si="40"/>
        <v>0.1711564983926841</v>
      </c>
      <c r="R566" s="25">
        <f t="shared" si="46"/>
        <v>0.2010607800349633</v>
      </c>
      <c r="X566">
        <f t="shared" si="41"/>
        <v>0</v>
      </c>
      <c r="Y566">
        <f t="shared" si="47"/>
        <v>1</v>
      </c>
    </row>
    <row r="567" spans="1:25">
      <c r="A567" s="27">
        <v>43208</v>
      </c>
      <c r="B567" s="24">
        <v>752.14</v>
      </c>
      <c r="C567" s="25">
        <f t="shared" si="43"/>
        <v>-1.5398911456258706E-3</v>
      </c>
      <c r="E567" s="25">
        <f t="shared" si="39"/>
        <v>0.1523517695725447</v>
      </c>
      <c r="F567" s="25">
        <f t="shared" si="45"/>
        <v>0.23505484973716673</v>
      </c>
      <c r="K567" s="29">
        <v>43208</v>
      </c>
      <c r="L567" s="24">
        <v>13678.25</v>
      </c>
      <c r="M567" s="25">
        <f t="shared" si="44"/>
        <v>-2.0097600204704389E-3</v>
      </c>
      <c r="O567" t="b">
        <f t="shared" si="42"/>
        <v>1</v>
      </c>
      <c r="Q567" s="25">
        <f t="shared" si="40"/>
        <v>0.1695930184833021</v>
      </c>
      <c r="R567" s="25">
        <f t="shared" si="46"/>
        <v>0.20042942565329525</v>
      </c>
      <c r="X567">
        <f t="shared" si="41"/>
        <v>0</v>
      </c>
      <c r="Y567">
        <f t="shared" si="47"/>
        <v>1</v>
      </c>
    </row>
    <row r="568" spans="1:25">
      <c r="A568" s="26">
        <v>43209</v>
      </c>
      <c r="B568" s="23">
        <v>759.55</v>
      </c>
      <c r="C568" s="25">
        <f t="shared" si="43"/>
        <v>9.85188927593263E-3</v>
      </c>
      <c r="E568" s="25">
        <f t="shared" ref="E568:E631" si="48">(B568/B323)-1</f>
        <v>0.15587716094472848</v>
      </c>
      <c r="F568" s="25">
        <f t="shared" si="45"/>
        <v>0.24347123459924758</v>
      </c>
      <c r="K568" s="28">
        <v>43209</v>
      </c>
      <c r="L568" s="23">
        <v>13744.05</v>
      </c>
      <c r="M568" s="25">
        <f t="shared" si="44"/>
        <v>4.7875262386268443E-3</v>
      </c>
      <c r="O568" t="b">
        <f t="shared" si="42"/>
        <v>1</v>
      </c>
      <c r="Q568" s="25">
        <f t="shared" ref="Q568:Q631" si="49">(L568/L323)-1</f>
        <v>0.16371744731581384</v>
      </c>
      <c r="R568" s="25">
        <f t="shared" si="46"/>
        <v>0.20645621995962293</v>
      </c>
      <c r="X568">
        <f t="shared" ref="X568:X631" si="50">IF(E568&gt;Q568,1,0)</f>
        <v>0</v>
      </c>
      <c r="Y568">
        <f t="shared" si="47"/>
        <v>1</v>
      </c>
    </row>
    <row r="569" spans="1:25">
      <c r="A569" s="27">
        <v>43210</v>
      </c>
      <c r="B569" s="24">
        <v>760.14</v>
      </c>
      <c r="C569" s="25">
        <f t="shared" si="43"/>
        <v>7.7677572246729232E-4</v>
      </c>
      <c r="E569" s="25">
        <f t="shared" si="48"/>
        <v>0.14882040896519411</v>
      </c>
      <c r="F569" s="25">
        <f t="shared" si="45"/>
        <v>0.23628926522220328</v>
      </c>
      <c r="K569" s="29">
        <v>43210</v>
      </c>
      <c r="L569" s="24">
        <v>13731.17</v>
      </c>
      <c r="M569" s="25">
        <f t="shared" si="44"/>
        <v>-9.3801183730149722E-4</v>
      </c>
      <c r="O569" t="b">
        <f t="shared" si="42"/>
        <v>1</v>
      </c>
      <c r="Q569" s="25">
        <f t="shared" si="49"/>
        <v>0.15138934774697432</v>
      </c>
      <c r="R569" s="25">
        <f t="shared" si="46"/>
        <v>0.1989941734016083</v>
      </c>
      <c r="X569">
        <f t="shared" si="50"/>
        <v>0</v>
      </c>
      <c r="Y569">
        <f t="shared" si="47"/>
        <v>1</v>
      </c>
    </row>
    <row r="570" spans="1:25">
      <c r="A570" s="26">
        <v>43213</v>
      </c>
      <c r="B570" s="23">
        <v>762.71</v>
      </c>
      <c r="C570" s="25">
        <f t="shared" si="43"/>
        <v>3.38095613965855E-3</v>
      </c>
      <c r="E570" s="25">
        <f t="shared" si="48"/>
        <v>0.1505830529952179</v>
      </c>
      <c r="F570" s="25">
        <f t="shared" si="45"/>
        <v>0.23776782162174959</v>
      </c>
      <c r="K570" s="28">
        <v>43213</v>
      </c>
      <c r="L570" s="23">
        <v>13769.15</v>
      </c>
      <c r="M570" s="25">
        <f t="shared" si="44"/>
        <v>2.7583402025542292E-3</v>
      </c>
      <c r="O570" t="b">
        <f t="shared" si="42"/>
        <v>1</v>
      </c>
      <c r="Q570" s="25">
        <f t="shared" si="49"/>
        <v>0.15259085270201722</v>
      </c>
      <c r="R570" s="25">
        <f t="shared" si="46"/>
        <v>0.19931221811022581</v>
      </c>
      <c r="X570">
        <f t="shared" si="50"/>
        <v>0</v>
      </c>
      <c r="Y570">
        <f t="shared" si="47"/>
        <v>1</v>
      </c>
    </row>
    <row r="571" spans="1:25">
      <c r="A571" s="27">
        <v>43214</v>
      </c>
      <c r="B571" s="24">
        <v>760.57</v>
      </c>
      <c r="C571" s="25">
        <f t="shared" si="43"/>
        <v>-2.8057846363624263E-3</v>
      </c>
      <c r="E571" s="25">
        <f t="shared" si="48"/>
        <v>0.14707789759445</v>
      </c>
      <c r="F571" s="25">
        <f t="shared" si="45"/>
        <v>0.24326863496557238</v>
      </c>
      <c r="K571" s="29">
        <v>43214</v>
      </c>
      <c r="L571" s="24">
        <v>13794.14</v>
      </c>
      <c r="M571" s="25">
        <f t="shared" si="44"/>
        <v>1.8116388553400054E-3</v>
      </c>
      <c r="O571" t="b">
        <f t="shared" si="42"/>
        <v>1</v>
      </c>
      <c r="Q571" s="25">
        <f t="shared" si="49"/>
        <v>0.15589800313398183</v>
      </c>
      <c r="R571" s="25">
        <f t="shared" si="46"/>
        <v>0.20958752042035877</v>
      </c>
      <c r="X571">
        <f t="shared" si="50"/>
        <v>0</v>
      </c>
      <c r="Y571">
        <f t="shared" si="47"/>
        <v>1</v>
      </c>
    </row>
    <row r="572" spans="1:25">
      <c r="A572" s="26">
        <v>43215</v>
      </c>
      <c r="B572" s="23">
        <v>756.24</v>
      </c>
      <c r="C572" s="25">
        <f t="shared" si="43"/>
        <v>-5.6930985971048566E-3</v>
      </c>
      <c r="E572" s="25">
        <f t="shared" si="48"/>
        <v>0.13787032996795112</v>
      </c>
      <c r="F572" s="25">
        <f t="shared" si="45"/>
        <v>0.23761357437932906</v>
      </c>
      <c r="K572" s="28">
        <v>43215</v>
      </c>
      <c r="L572" s="23">
        <v>13735</v>
      </c>
      <c r="M572" s="25">
        <f t="shared" si="44"/>
        <v>-4.3057881325081482E-3</v>
      </c>
      <c r="O572" t="b">
        <f t="shared" si="42"/>
        <v>1</v>
      </c>
      <c r="Q572" s="25">
        <f t="shared" si="49"/>
        <v>0.15203894537481744</v>
      </c>
      <c r="R572" s="25">
        <f t="shared" si="46"/>
        <v>0.20649536757253584</v>
      </c>
      <c r="X572">
        <f t="shared" si="50"/>
        <v>0</v>
      </c>
      <c r="Y572">
        <f t="shared" si="47"/>
        <v>1</v>
      </c>
    </row>
    <row r="573" spans="1:25">
      <c r="A573" s="27">
        <v>43216</v>
      </c>
      <c r="B573" s="24">
        <v>759.72</v>
      </c>
      <c r="C573" s="25">
        <f t="shared" si="43"/>
        <v>4.6017137416693357E-3</v>
      </c>
      <c r="E573" s="25">
        <f t="shared" si="48"/>
        <v>0.14451859774928821</v>
      </c>
      <c r="F573" s="25">
        <f t="shared" si="45"/>
        <v>0.23986787980360091</v>
      </c>
      <c r="K573" s="29">
        <v>43216</v>
      </c>
      <c r="L573" s="24">
        <v>13781.25</v>
      </c>
      <c r="M573" s="25">
        <f t="shared" si="44"/>
        <v>3.3560090702947844E-3</v>
      </c>
      <c r="O573" t="b">
        <f t="shared" si="42"/>
        <v>1</v>
      </c>
      <c r="Q573" s="25">
        <f t="shared" si="49"/>
        <v>0.15352261218203567</v>
      </c>
      <c r="R573" s="25">
        <f t="shared" si="46"/>
        <v>0.20929739875998576</v>
      </c>
      <c r="X573">
        <f t="shared" si="50"/>
        <v>0</v>
      </c>
      <c r="Y573">
        <f t="shared" si="47"/>
        <v>1</v>
      </c>
    </row>
    <row r="574" spans="1:25">
      <c r="A574" s="26">
        <v>43217</v>
      </c>
      <c r="B574" s="23">
        <v>764.46</v>
      </c>
      <c r="C574" s="25">
        <f t="shared" si="43"/>
        <v>6.2391407360606653E-3</v>
      </c>
      <c r="E574" s="25">
        <f t="shared" si="48"/>
        <v>0.15277086631983727</v>
      </c>
      <c r="F574" s="25">
        <f t="shared" si="45"/>
        <v>0.24810652530967947</v>
      </c>
      <c r="K574" s="28">
        <v>43217</v>
      </c>
      <c r="L574" s="23">
        <v>13872.77</v>
      </c>
      <c r="M574" s="25">
        <f t="shared" si="44"/>
        <v>6.5970963261122641E-3</v>
      </c>
      <c r="O574" t="b">
        <f t="shared" si="42"/>
        <v>1</v>
      </c>
      <c r="Q574" s="25">
        <f t="shared" si="49"/>
        <v>0.16169840392570656</v>
      </c>
      <c r="R574" s="25">
        <f t="shared" si="46"/>
        <v>0.2176261723567241</v>
      </c>
      <c r="X574">
        <f t="shared" si="50"/>
        <v>0</v>
      </c>
      <c r="Y574">
        <f t="shared" si="47"/>
        <v>1</v>
      </c>
    </row>
    <row r="575" spans="1:25">
      <c r="A575" s="27">
        <v>43220</v>
      </c>
      <c r="B575" s="24">
        <v>770.98</v>
      </c>
      <c r="C575" s="25">
        <f t="shared" si="43"/>
        <v>8.5288962143211956E-3</v>
      </c>
      <c r="E575" s="25">
        <f t="shared" si="48"/>
        <v>0.1572974676893979</v>
      </c>
      <c r="F575" s="25">
        <f t="shared" si="45"/>
        <v>0.25807934837787072</v>
      </c>
      <c r="K575" s="29">
        <v>43220</v>
      </c>
      <c r="L575" s="24">
        <v>13950.42</v>
      </c>
      <c r="M575" s="25">
        <f t="shared" si="44"/>
        <v>5.566140660997994E-3</v>
      </c>
      <c r="O575" t="b">
        <f t="shared" si="42"/>
        <v>1</v>
      </c>
      <c r="Q575" s="25">
        <f t="shared" si="49"/>
        <v>0.16275495447888888</v>
      </c>
      <c r="R575" s="25">
        <f t="shared" si="46"/>
        <v>0.22564727919589256</v>
      </c>
      <c r="X575">
        <f t="shared" si="50"/>
        <v>0</v>
      </c>
      <c r="Y575">
        <f t="shared" si="47"/>
        <v>1</v>
      </c>
    </row>
    <row r="576" spans="1:25">
      <c r="A576" s="26">
        <v>43222</v>
      </c>
      <c r="B576" s="23">
        <v>764.05</v>
      </c>
      <c r="C576" s="25">
        <f t="shared" si="43"/>
        <v>-8.9885600145270476E-3</v>
      </c>
      <c r="E576" s="25">
        <f t="shared" si="48"/>
        <v>0.15759889701983232</v>
      </c>
      <c r="F576" s="25">
        <f t="shared" si="45"/>
        <v>0.25087260402802558</v>
      </c>
      <c r="K576" s="28">
        <v>43222</v>
      </c>
      <c r="L576" s="23">
        <v>13874.76</v>
      </c>
      <c r="M576" s="25">
        <f t="shared" si="44"/>
        <v>-5.453067296299169E-3</v>
      </c>
      <c r="O576" t="b">
        <f t="shared" si="42"/>
        <v>1</v>
      </c>
      <c r="Q576" s="25">
        <f t="shared" si="49"/>
        <v>0.16668446504384726</v>
      </c>
      <c r="R576" s="25">
        <f t="shared" si="46"/>
        <v>0.2207866327699346</v>
      </c>
      <c r="X576">
        <f t="shared" si="50"/>
        <v>0</v>
      </c>
      <c r="Y576">
        <f t="shared" si="47"/>
        <v>1</v>
      </c>
    </row>
    <row r="577" spans="1:25">
      <c r="A577" s="27">
        <v>43223</v>
      </c>
      <c r="B577" s="24">
        <v>758.57</v>
      </c>
      <c r="C577" s="25">
        <f t="shared" si="43"/>
        <v>-7.1723054773900983E-3</v>
      </c>
      <c r="E577" s="25">
        <f t="shared" si="48"/>
        <v>0.14421684566187998</v>
      </c>
      <c r="F577" s="25">
        <f t="shared" si="45"/>
        <v>0.24807955477782628</v>
      </c>
      <c r="K577" s="29">
        <v>43223</v>
      </c>
      <c r="L577" s="24">
        <v>13792.81</v>
      </c>
      <c r="M577" s="25">
        <f t="shared" si="44"/>
        <v>-5.941501405442454E-3</v>
      </c>
      <c r="O577" t="b">
        <f t="shared" si="42"/>
        <v>1</v>
      </c>
      <c r="Q577" s="25">
        <f t="shared" si="49"/>
        <v>0.15516317229111221</v>
      </c>
      <c r="R577" s="25">
        <f t="shared" si="46"/>
        <v>0.216753991678722</v>
      </c>
      <c r="X577">
        <f t="shared" si="50"/>
        <v>0</v>
      </c>
      <c r="Y577">
        <f t="shared" si="47"/>
        <v>1</v>
      </c>
    </row>
    <row r="578" spans="1:25">
      <c r="A578" s="26">
        <v>43224</v>
      </c>
      <c r="B578" s="23">
        <v>754.58</v>
      </c>
      <c r="C578" s="25">
        <f t="shared" si="43"/>
        <v>-5.25989691129363E-3</v>
      </c>
      <c r="E578" s="25">
        <f t="shared" si="48"/>
        <v>0.13665531889253768</v>
      </c>
      <c r="F578" s="25">
        <f t="shared" si="45"/>
        <v>0.23678066012074583</v>
      </c>
      <c r="K578" s="28">
        <v>43224</v>
      </c>
      <c r="L578" s="23">
        <v>13721</v>
      </c>
      <c r="M578" s="25">
        <f t="shared" si="44"/>
        <v>-5.2335835580496681E-3</v>
      </c>
      <c r="O578" t="b">
        <f t="shared" si="42"/>
        <v>1</v>
      </c>
      <c r="Q578" s="25">
        <f t="shared" si="49"/>
        <v>0.14683039848616031</v>
      </c>
      <c r="R578" s="25">
        <f t="shared" si="46"/>
        <v>0.20448017444099853</v>
      </c>
      <c r="X578">
        <f t="shared" si="50"/>
        <v>0</v>
      </c>
      <c r="Y578">
        <f t="shared" si="47"/>
        <v>1</v>
      </c>
    </row>
    <row r="579" spans="1:25">
      <c r="A579" s="27">
        <v>43227</v>
      </c>
      <c r="B579" s="24">
        <v>759.42</v>
      </c>
      <c r="C579" s="25">
        <f t="shared" si="43"/>
        <v>6.4141641707968905E-3</v>
      </c>
      <c r="E579" s="25">
        <f t="shared" si="48"/>
        <v>0.13537757710765908</v>
      </c>
      <c r="F579" s="25">
        <f t="shared" si="45"/>
        <v>0.23865846968952975</v>
      </c>
      <c r="K579" s="29">
        <v>43227</v>
      </c>
      <c r="L579" s="24">
        <v>13837.1</v>
      </c>
      <c r="M579" s="25">
        <f t="shared" si="44"/>
        <v>8.3904864458593468E-3</v>
      </c>
      <c r="O579" t="b">
        <f t="shared" ref="O579:O642" si="51">K579=A579</f>
        <v>1</v>
      </c>
      <c r="Q579" s="25">
        <f t="shared" si="49"/>
        <v>0.14576450267207886</v>
      </c>
      <c r="R579" s="25">
        <f t="shared" si="46"/>
        <v>0.20827946642782158</v>
      </c>
      <c r="X579">
        <f t="shared" si="50"/>
        <v>0</v>
      </c>
      <c r="Y579">
        <f t="shared" si="47"/>
        <v>1</v>
      </c>
    </row>
    <row r="580" spans="1:25">
      <c r="A580" s="26">
        <v>43228</v>
      </c>
      <c r="B580" s="23">
        <v>760.53</v>
      </c>
      <c r="C580" s="25">
        <f t="shared" ref="C580:C643" si="52">(B580-B579)/B579</f>
        <v>1.4616417792526054E-3</v>
      </c>
      <c r="E580" s="25">
        <f t="shared" si="48"/>
        <v>0.13185897340496777</v>
      </c>
      <c r="F580" s="25">
        <f t="shared" si="45"/>
        <v>0.24055376881645052</v>
      </c>
      <c r="K580" s="28">
        <v>43228</v>
      </c>
      <c r="L580" s="23">
        <v>13838.65</v>
      </c>
      <c r="M580" s="25">
        <f t="shared" ref="M580:M643" si="53">(L580-L579)/L580</f>
        <v>1.1200514501047952E-4</v>
      </c>
      <c r="O580" t="b">
        <f t="shared" si="51"/>
        <v>1</v>
      </c>
      <c r="Q580" s="25">
        <f t="shared" si="49"/>
        <v>0.1444050993844086</v>
      </c>
      <c r="R580" s="25">
        <f t="shared" si="46"/>
        <v>0.21057033763652688</v>
      </c>
      <c r="X580">
        <f t="shared" si="50"/>
        <v>0</v>
      </c>
      <c r="Y580">
        <f t="shared" si="47"/>
        <v>1</v>
      </c>
    </row>
    <row r="581" spans="1:25">
      <c r="A581" s="27">
        <v>43229</v>
      </c>
      <c r="B581" s="24">
        <v>758.87</v>
      </c>
      <c r="C581" s="25">
        <f t="shared" si="52"/>
        <v>-2.1826883883607068E-3</v>
      </c>
      <c r="E581" s="25">
        <f t="shared" si="48"/>
        <v>0.13492858745232938</v>
      </c>
      <c r="F581" s="25">
        <f t="shared" si="45"/>
        <v>0.23524365308109507</v>
      </c>
      <c r="K581" s="29">
        <v>43229</v>
      </c>
      <c r="L581" s="24">
        <v>13837.48</v>
      </c>
      <c r="M581" s="25">
        <f t="shared" si="53"/>
        <v>-8.4552967736905327E-5</v>
      </c>
      <c r="O581" t="b">
        <f t="shared" si="51"/>
        <v>1</v>
      </c>
      <c r="Q581" s="25">
        <f t="shared" si="49"/>
        <v>0.14868843871951043</v>
      </c>
      <c r="R581" s="25">
        <f t="shared" si="46"/>
        <v>0.20614538460371068</v>
      </c>
      <c r="X581">
        <f t="shared" si="50"/>
        <v>0</v>
      </c>
      <c r="Y581">
        <f t="shared" si="47"/>
        <v>1</v>
      </c>
    </row>
    <row r="582" spans="1:25">
      <c r="A582" s="26">
        <v>43230</v>
      </c>
      <c r="B582" s="23">
        <v>755.95</v>
      </c>
      <c r="C582" s="25">
        <f t="shared" si="52"/>
        <v>-3.8478263734235893E-3</v>
      </c>
      <c r="E582" s="25">
        <f t="shared" si="48"/>
        <v>0.12172067901234573</v>
      </c>
      <c r="F582" s="25">
        <f t="shared" si="45"/>
        <v>0.23598766500438995</v>
      </c>
      <c r="K582" s="28">
        <v>43230</v>
      </c>
      <c r="L582" s="23">
        <v>13752.47</v>
      </c>
      <c r="M582" s="25">
        <f t="shared" si="53"/>
        <v>-6.1814350440321068E-3</v>
      </c>
      <c r="O582" t="b">
        <f t="shared" si="51"/>
        <v>1</v>
      </c>
      <c r="Q582" s="25">
        <f t="shared" si="49"/>
        <v>0.1345087758085326</v>
      </c>
      <c r="R582" s="25">
        <f t="shared" si="46"/>
        <v>0.20777003748413825</v>
      </c>
      <c r="X582">
        <f t="shared" si="50"/>
        <v>0</v>
      </c>
      <c r="Y582">
        <f t="shared" si="47"/>
        <v>1</v>
      </c>
    </row>
    <row r="583" spans="1:25">
      <c r="A583" s="27">
        <v>43231</v>
      </c>
      <c r="B583" s="24">
        <v>760.87</v>
      </c>
      <c r="C583" s="25">
        <f t="shared" si="52"/>
        <v>6.5083669554864198E-3</v>
      </c>
      <c r="E583" s="25">
        <f t="shared" si="48"/>
        <v>0.12355286473715288</v>
      </c>
      <c r="F583" s="25">
        <f t="shared" si="45"/>
        <v>0.23698224945565283</v>
      </c>
      <c r="K583" s="29">
        <v>43231</v>
      </c>
      <c r="L583" s="24">
        <v>13833.86</v>
      </c>
      <c r="M583" s="25">
        <f t="shared" si="53"/>
        <v>5.8833904636884597E-3</v>
      </c>
      <c r="O583" t="b">
        <f t="shared" si="51"/>
        <v>1</v>
      </c>
      <c r="Q583" s="25">
        <f t="shared" si="49"/>
        <v>0.13471911439501816</v>
      </c>
      <c r="R583" s="25">
        <f t="shared" si="46"/>
        <v>0.20895718351572778</v>
      </c>
      <c r="X583">
        <f t="shared" si="50"/>
        <v>0</v>
      </c>
      <c r="Y583">
        <f t="shared" si="47"/>
        <v>1</v>
      </c>
    </row>
    <row r="584" spans="1:25">
      <c r="A584" s="26">
        <v>43234</v>
      </c>
      <c r="B584" s="23">
        <v>758.79</v>
      </c>
      <c r="C584" s="25">
        <f t="shared" si="52"/>
        <v>-2.733712723592783E-3</v>
      </c>
      <c r="E584" s="25">
        <f t="shared" si="48"/>
        <v>0.11965471447543141</v>
      </c>
      <c r="F584" s="25">
        <f t="shared" si="45"/>
        <v>0.23457052863152184</v>
      </c>
      <c r="K584" s="28">
        <v>43234</v>
      </c>
      <c r="L584" s="23">
        <v>13795.05</v>
      </c>
      <c r="M584" s="25">
        <f t="shared" si="53"/>
        <v>-2.8133279690904572E-3</v>
      </c>
      <c r="O584" t="b">
        <f t="shared" si="51"/>
        <v>1</v>
      </c>
      <c r="Q584" s="25">
        <f t="shared" si="49"/>
        <v>0.1318393163206617</v>
      </c>
      <c r="R584" s="25">
        <f t="shared" si="46"/>
        <v>0.20530639477304469</v>
      </c>
      <c r="X584">
        <f t="shared" si="50"/>
        <v>0</v>
      </c>
      <c r="Y584">
        <f t="shared" si="47"/>
        <v>1</v>
      </c>
    </row>
    <row r="585" spans="1:25">
      <c r="A585" s="27">
        <v>43235</v>
      </c>
      <c r="B585" s="24">
        <v>756.75</v>
      </c>
      <c r="C585" s="25">
        <f t="shared" si="52"/>
        <v>-2.6884908868065787E-3</v>
      </c>
      <c r="E585" s="25">
        <f t="shared" si="48"/>
        <v>0.13632950927983667</v>
      </c>
      <c r="F585" s="25">
        <f t="shared" si="45"/>
        <v>0.23310801511832024</v>
      </c>
      <c r="K585" s="29">
        <v>43235</v>
      </c>
      <c r="L585" s="24">
        <v>13760.15</v>
      </c>
      <c r="M585" s="25">
        <f t="shared" si="53"/>
        <v>-2.5363095605788919E-3</v>
      </c>
      <c r="O585" t="b">
        <f t="shared" si="51"/>
        <v>1</v>
      </c>
      <c r="Q585" s="25">
        <f t="shared" si="49"/>
        <v>0.14490456459154966</v>
      </c>
      <c r="R585" s="25">
        <f t="shared" si="46"/>
        <v>0.2045218060056353</v>
      </c>
      <c r="X585">
        <f t="shared" si="50"/>
        <v>0</v>
      </c>
      <c r="Y585">
        <f t="shared" si="47"/>
        <v>1</v>
      </c>
    </row>
    <row r="586" spans="1:25">
      <c r="A586" s="26">
        <v>43236</v>
      </c>
      <c r="B586" s="23">
        <v>753.16</v>
      </c>
      <c r="C586" s="25">
        <f t="shared" si="52"/>
        <v>-4.7439709283119023E-3</v>
      </c>
      <c r="E586" s="25">
        <f t="shared" si="48"/>
        <v>0.13388434728934251</v>
      </c>
      <c r="F586" s="25">
        <f t="shared" si="45"/>
        <v>0.23507823084965351</v>
      </c>
      <c r="K586" s="28">
        <v>43236</v>
      </c>
      <c r="L586" s="23">
        <v>13705.45</v>
      </c>
      <c r="M586" s="25">
        <f t="shared" si="53"/>
        <v>-3.9911130243807319E-3</v>
      </c>
      <c r="O586" t="b">
        <f t="shared" si="51"/>
        <v>1</v>
      </c>
      <c r="Q586" s="25">
        <f t="shared" si="49"/>
        <v>0.14324788520683307</v>
      </c>
      <c r="R586" s="25">
        <f t="shared" si="46"/>
        <v>0.20899669288082512</v>
      </c>
      <c r="X586">
        <f t="shared" si="50"/>
        <v>0</v>
      </c>
      <c r="Y586">
        <f t="shared" si="47"/>
        <v>1</v>
      </c>
    </row>
    <row r="587" spans="1:25">
      <c r="A587" s="27">
        <v>43237</v>
      </c>
      <c r="B587" s="24">
        <v>751.75</v>
      </c>
      <c r="C587" s="25">
        <f t="shared" si="52"/>
        <v>-1.8721121674013068E-3</v>
      </c>
      <c r="E587" s="25">
        <f t="shared" si="48"/>
        <v>0.13694797338173004</v>
      </c>
      <c r="F587" s="25">
        <f t="shared" si="45"/>
        <v>0.23634034283509808</v>
      </c>
      <c r="K587" s="29">
        <v>43237</v>
      </c>
      <c r="L587" s="24">
        <v>13670.14</v>
      </c>
      <c r="M587" s="25">
        <f t="shared" si="53"/>
        <v>-2.5830020760578393E-3</v>
      </c>
      <c r="O587" t="b">
        <f t="shared" si="51"/>
        <v>1</v>
      </c>
      <c r="Q587" s="25">
        <f t="shared" si="49"/>
        <v>0.14348737492450714</v>
      </c>
      <c r="R587" s="25">
        <f t="shared" si="46"/>
        <v>0.21053035709485268</v>
      </c>
      <c r="X587">
        <f t="shared" si="50"/>
        <v>0</v>
      </c>
      <c r="Y587">
        <f t="shared" si="47"/>
        <v>1</v>
      </c>
    </row>
    <row r="588" spans="1:25">
      <c r="A588" s="26">
        <v>43238</v>
      </c>
      <c r="B588" s="23">
        <v>745.08</v>
      </c>
      <c r="C588" s="25">
        <f t="shared" si="52"/>
        <v>-8.872630528766157E-3</v>
      </c>
      <c r="E588" s="25">
        <f t="shared" si="48"/>
        <v>0.1328569256499923</v>
      </c>
      <c r="F588" s="25">
        <f t="shared" si="45"/>
        <v>0.23342921415862761</v>
      </c>
      <c r="K588" s="28">
        <v>43238</v>
      </c>
      <c r="L588" s="23">
        <v>13530.24</v>
      </c>
      <c r="M588" s="25">
        <f t="shared" si="53"/>
        <v>-1.0339801806915445E-2</v>
      </c>
      <c r="O588" t="b">
        <f t="shared" si="51"/>
        <v>1</v>
      </c>
      <c r="Q588" s="25">
        <f t="shared" si="49"/>
        <v>0.14231295273795652</v>
      </c>
      <c r="R588" s="25">
        <f t="shared" si="46"/>
        <v>0.20596953795806749</v>
      </c>
      <c r="X588">
        <f t="shared" si="50"/>
        <v>0</v>
      </c>
      <c r="Y588">
        <f t="shared" si="47"/>
        <v>1</v>
      </c>
    </row>
    <row r="589" spans="1:25">
      <c r="A589" s="27">
        <v>43241</v>
      </c>
      <c r="B589" s="24">
        <v>735.91</v>
      </c>
      <c r="C589" s="25">
        <f t="shared" si="52"/>
        <v>-1.2307403231867816E-2</v>
      </c>
      <c r="E589" s="25">
        <f t="shared" si="48"/>
        <v>0.12914659219934332</v>
      </c>
      <c r="F589" s="25">
        <f t="shared" si="45"/>
        <v>0.22614107220435864</v>
      </c>
      <c r="K589" s="29">
        <v>43241</v>
      </c>
      <c r="L589" s="24">
        <v>13382.6</v>
      </c>
      <c r="M589" s="25">
        <f t="shared" si="53"/>
        <v>-1.1032235888392347E-2</v>
      </c>
      <c r="O589" t="b">
        <f t="shared" si="51"/>
        <v>1</v>
      </c>
      <c r="Q589" s="25">
        <f t="shared" si="49"/>
        <v>0.13709532836382698</v>
      </c>
      <c r="R589" s="25">
        <f t="shared" si="46"/>
        <v>0.19906380799189693</v>
      </c>
      <c r="X589">
        <f t="shared" si="50"/>
        <v>0</v>
      </c>
      <c r="Y589">
        <f t="shared" si="47"/>
        <v>1</v>
      </c>
    </row>
    <row r="590" spans="1:25">
      <c r="A590" s="26">
        <v>43242</v>
      </c>
      <c r="B590" s="23">
        <v>740</v>
      </c>
      <c r="C590" s="25">
        <f t="shared" si="52"/>
        <v>5.5577448329279834E-3</v>
      </c>
      <c r="E590" s="25">
        <f t="shared" si="48"/>
        <v>0.12021072071935679</v>
      </c>
      <c r="F590" s="25">
        <f t="shared" si="45"/>
        <v>0.21974019333908501</v>
      </c>
      <c r="K590" s="28">
        <v>43242</v>
      </c>
      <c r="L590" s="23">
        <v>13436.94</v>
      </c>
      <c r="M590" s="25">
        <f t="shared" si="53"/>
        <v>4.0440755112399213E-3</v>
      </c>
      <c r="O590" t="b">
        <f t="shared" si="51"/>
        <v>1</v>
      </c>
      <c r="Q590" s="25">
        <f t="shared" si="49"/>
        <v>0.12405011192868676</v>
      </c>
      <c r="R590" s="25">
        <f t="shared" si="46"/>
        <v>0.18981219557120221</v>
      </c>
      <c r="X590">
        <f t="shared" si="50"/>
        <v>0</v>
      </c>
      <c r="Y590">
        <f t="shared" si="47"/>
        <v>1</v>
      </c>
    </row>
    <row r="591" spans="1:25">
      <c r="A591" s="27">
        <v>43243</v>
      </c>
      <c r="B591" s="24">
        <v>731.79</v>
      </c>
      <c r="C591" s="25">
        <f t="shared" si="52"/>
        <v>-1.1094594594594644E-2</v>
      </c>
      <c r="E591" s="25">
        <f t="shared" si="48"/>
        <v>9.3562270241190681E-2</v>
      </c>
      <c r="F591" s="25">
        <f t="shared" si="45"/>
        <v>0.20802267740954417</v>
      </c>
      <c r="K591" s="29">
        <v>43243</v>
      </c>
      <c r="L591" s="24">
        <v>13325.63</v>
      </c>
      <c r="M591" s="25">
        <f t="shared" si="53"/>
        <v>-8.3530759896531213E-3</v>
      </c>
      <c r="O591" t="b">
        <f t="shared" si="51"/>
        <v>1</v>
      </c>
      <c r="Q591" s="25">
        <f t="shared" si="49"/>
        <v>0.10146651369473503</v>
      </c>
      <c r="R591" s="25">
        <f t="shared" si="46"/>
        <v>0.17617606548697196</v>
      </c>
      <c r="X591">
        <f t="shared" si="50"/>
        <v>0</v>
      </c>
      <c r="Y591">
        <f t="shared" si="47"/>
        <v>1</v>
      </c>
    </row>
    <row r="592" spans="1:25">
      <c r="A592" s="26">
        <v>43244</v>
      </c>
      <c r="B592" s="23">
        <v>733.65</v>
      </c>
      <c r="C592" s="25">
        <f t="shared" si="52"/>
        <v>2.5417127864551495E-3</v>
      </c>
      <c r="E592" s="25">
        <f t="shared" si="48"/>
        <v>9.9941528358745924E-2</v>
      </c>
      <c r="F592" s="25">
        <f t="shared" si="45"/>
        <v>0.204642298235586</v>
      </c>
      <c r="K592" s="28">
        <v>43244</v>
      </c>
      <c r="L592" s="23">
        <v>13392.87</v>
      </c>
      <c r="M592" s="25">
        <f t="shared" si="53"/>
        <v>5.0205818469082125E-3</v>
      </c>
      <c r="O592" t="b">
        <f t="shared" si="51"/>
        <v>1</v>
      </c>
      <c r="Q592" s="25">
        <f t="shared" si="49"/>
        <v>0.11124875436542547</v>
      </c>
      <c r="R592" s="25">
        <f t="shared" si="46"/>
        <v>0.17289472850733922</v>
      </c>
      <c r="X592">
        <f t="shared" si="50"/>
        <v>0</v>
      </c>
      <c r="Y592">
        <f t="shared" si="47"/>
        <v>1</v>
      </c>
    </row>
    <row r="593" spans="1:25">
      <c r="A593" s="27">
        <v>43245</v>
      </c>
      <c r="B593" s="24">
        <v>744.31</v>
      </c>
      <c r="C593" s="25">
        <f t="shared" si="52"/>
        <v>1.4530089279629208E-2</v>
      </c>
      <c r="E593" s="25">
        <f t="shared" si="48"/>
        <v>0.10907302826660303</v>
      </c>
      <c r="F593" s="25">
        <f t="shared" si="45"/>
        <v>0.21191309524862745</v>
      </c>
      <c r="K593" s="29">
        <v>43245</v>
      </c>
      <c r="L593" s="24">
        <v>13549.37</v>
      </c>
      <c r="M593" s="25">
        <f t="shared" si="53"/>
        <v>1.1550352525615582E-2</v>
      </c>
      <c r="O593" t="b">
        <f t="shared" si="51"/>
        <v>1</v>
      </c>
      <c r="Q593" s="25">
        <f t="shared" si="49"/>
        <v>0.12026500666816031</v>
      </c>
      <c r="R593" s="25">
        <f t="shared" si="46"/>
        <v>0.17701295426142294</v>
      </c>
      <c r="X593">
        <f t="shared" si="50"/>
        <v>0</v>
      </c>
      <c r="Y593">
        <f t="shared" si="47"/>
        <v>1</v>
      </c>
    </row>
    <row r="594" spans="1:25">
      <c r="A594" s="26">
        <v>43248</v>
      </c>
      <c r="B594" s="23">
        <v>749.03</v>
      </c>
      <c r="C594" s="25">
        <f t="shared" si="52"/>
        <v>6.3414437532748821E-3</v>
      </c>
      <c r="E594" s="25">
        <f t="shared" si="48"/>
        <v>0.11140292306550914</v>
      </c>
      <c r="F594" s="25">
        <f t="shared" si="45"/>
        <v>0.21534203415459996</v>
      </c>
      <c r="K594" s="28">
        <v>43248</v>
      </c>
      <c r="L594" s="23">
        <v>13684.63</v>
      </c>
      <c r="M594" s="25">
        <f t="shared" si="53"/>
        <v>9.8840816302668329E-3</v>
      </c>
      <c r="O594" t="b">
        <f t="shared" si="51"/>
        <v>1</v>
      </c>
      <c r="Q594" s="25">
        <f t="shared" si="49"/>
        <v>0.12846547635147387</v>
      </c>
      <c r="R594" s="25">
        <f t="shared" si="46"/>
        <v>0.1842853973777705</v>
      </c>
      <c r="X594">
        <f t="shared" si="50"/>
        <v>0</v>
      </c>
      <c r="Y594">
        <f t="shared" si="47"/>
        <v>1</v>
      </c>
    </row>
    <row r="595" spans="1:25">
      <c r="A595" s="27">
        <v>43249</v>
      </c>
      <c r="B595" s="24">
        <v>745.44</v>
      </c>
      <c r="C595" s="25">
        <f t="shared" si="52"/>
        <v>-4.7928654393013873E-3</v>
      </c>
      <c r="E595" s="25">
        <f t="shared" si="48"/>
        <v>0.10528891063564805</v>
      </c>
      <c r="F595" s="25">
        <f t="shared" si="45"/>
        <v>0.21304815111883557</v>
      </c>
      <c r="K595" s="29">
        <v>43249</v>
      </c>
      <c r="L595" s="24">
        <v>13630.69</v>
      </c>
      <c r="M595" s="25">
        <f t="shared" si="53"/>
        <v>-3.9572464783513301E-3</v>
      </c>
      <c r="O595" t="b">
        <f t="shared" si="51"/>
        <v>1</v>
      </c>
      <c r="Q595" s="25">
        <f t="shared" si="49"/>
        <v>0.12123166369030236</v>
      </c>
      <c r="R595" s="25">
        <f t="shared" si="46"/>
        <v>0.18095820617671632</v>
      </c>
      <c r="X595">
        <f t="shared" si="50"/>
        <v>0</v>
      </c>
      <c r="Y595">
        <f t="shared" si="47"/>
        <v>1</v>
      </c>
    </row>
    <row r="596" spans="1:25">
      <c r="A596" s="26">
        <v>43250</v>
      </c>
      <c r="B596" s="23">
        <v>744.53</v>
      </c>
      <c r="C596" s="25">
        <f t="shared" si="52"/>
        <v>-1.2207555269372207E-3</v>
      </c>
      <c r="E596" s="25">
        <f t="shared" si="48"/>
        <v>9.9943860063822276E-2</v>
      </c>
      <c r="F596" s="25">
        <f t="shared" si="45"/>
        <v>0.20941034077048437</v>
      </c>
      <c r="K596" s="28">
        <v>43250</v>
      </c>
      <c r="L596" s="23">
        <v>13607.75</v>
      </c>
      <c r="M596" s="25">
        <f t="shared" si="53"/>
        <v>-1.6858040454888214E-3</v>
      </c>
      <c r="O596" t="b">
        <f t="shared" si="51"/>
        <v>1</v>
      </c>
      <c r="Q596" s="25">
        <f t="shared" si="49"/>
        <v>0.11408622864894902</v>
      </c>
      <c r="R596" s="25">
        <f t="shared" si="46"/>
        <v>0.17704415184136724</v>
      </c>
      <c r="X596">
        <f t="shared" si="50"/>
        <v>0</v>
      </c>
      <c r="Y596">
        <f t="shared" si="47"/>
        <v>1</v>
      </c>
    </row>
    <row r="597" spans="1:25">
      <c r="A597" s="27">
        <v>43251</v>
      </c>
      <c r="B597" s="24">
        <v>747.25</v>
      </c>
      <c r="C597" s="25">
        <f t="shared" si="52"/>
        <v>3.653311485098018E-3</v>
      </c>
      <c r="E597" s="25">
        <f t="shared" si="48"/>
        <v>9.9964671593016696E-2</v>
      </c>
      <c r="F597" s="25">
        <f t="shared" si="45"/>
        <v>0.21176034601569049</v>
      </c>
      <c r="K597" s="29">
        <v>43251</v>
      </c>
      <c r="L597" s="24">
        <v>13705.62</v>
      </c>
      <c r="M597" s="25">
        <f t="shared" si="53"/>
        <v>7.1408663015610236E-3</v>
      </c>
      <c r="O597" t="b">
        <f t="shared" si="51"/>
        <v>1</v>
      </c>
      <c r="Q597" s="25">
        <f t="shared" si="49"/>
        <v>0.11737217041661707</v>
      </c>
      <c r="R597" s="25">
        <f t="shared" si="46"/>
        <v>0.18154546209162326</v>
      </c>
      <c r="X597">
        <f t="shared" si="50"/>
        <v>0</v>
      </c>
      <c r="Y597">
        <f t="shared" si="47"/>
        <v>1</v>
      </c>
    </row>
    <row r="598" spans="1:25">
      <c r="A598" s="26">
        <v>43252</v>
      </c>
      <c r="B598" s="23">
        <v>742.35</v>
      </c>
      <c r="C598" s="25">
        <f t="shared" si="52"/>
        <v>-6.5573770491802975E-3</v>
      </c>
      <c r="E598" s="25">
        <f t="shared" si="48"/>
        <v>9.8232117760189253E-2</v>
      </c>
      <c r="F598" s="25">
        <f t="shared" si="45"/>
        <v>0.20877885541592511</v>
      </c>
      <c r="K598" s="28">
        <v>43252</v>
      </c>
      <c r="L598" s="23">
        <v>13617.21</v>
      </c>
      <c r="M598" s="25">
        <f t="shared" si="53"/>
        <v>-6.4925193927391645E-3</v>
      </c>
      <c r="O598" t="b">
        <f t="shared" si="51"/>
        <v>1</v>
      </c>
      <c r="Q598" s="25">
        <f t="shared" si="49"/>
        <v>0.11525152764252877</v>
      </c>
      <c r="R598" s="25">
        <f t="shared" si="46"/>
        <v>0.17855164397262535</v>
      </c>
      <c r="X598">
        <f t="shared" si="50"/>
        <v>0</v>
      </c>
      <c r="Y598">
        <f t="shared" si="47"/>
        <v>1</v>
      </c>
    </row>
    <row r="599" spans="1:25">
      <c r="A599" s="27">
        <v>43255</v>
      </c>
      <c r="B599" s="24">
        <v>736.98</v>
      </c>
      <c r="C599" s="25">
        <f t="shared" si="52"/>
        <v>-7.233784602950097E-3</v>
      </c>
      <c r="E599" s="25">
        <f t="shared" si="48"/>
        <v>8.6766744330079471E-2</v>
      </c>
      <c r="F599" s="25">
        <f t="shared" si="45"/>
        <v>0.2002716871267658</v>
      </c>
      <c r="K599" s="29">
        <v>43255</v>
      </c>
      <c r="L599" s="24">
        <v>13501.53</v>
      </c>
      <c r="M599" s="25">
        <f t="shared" si="53"/>
        <v>-8.5679178581981787E-3</v>
      </c>
      <c r="O599" t="b">
        <f t="shared" si="51"/>
        <v>1</v>
      </c>
      <c r="Q599" s="25">
        <f t="shared" si="49"/>
        <v>0.10127929682720693</v>
      </c>
      <c r="R599" s="25">
        <f t="shared" si="46"/>
        <v>0.16910663215011779</v>
      </c>
      <c r="X599">
        <f t="shared" si="50"/>
        <v>0</v>
      </c>
      <c r="Y599">
        <f t="shared" si="47"/>
        <v>1</v>
      </c>
    </row>
    <row r="600" spans="1:25">
      <c r="A600" s="26">
        <v>43256</v>
      </c>
      <c r="B600" s="23">
        <v>732.36</v>
      </c>
      <c r="C600" s="25">
        <f t="shared" si="52"/>
        <v>-6.2688268338353887E-3</v>
      </c>
      <c r="E600" s="25">
        <f t="shared" si="48"/>
        <v>7.9635580977091003E-2</v>
      </c>
      <c r="F600" s="25">
        <f t="shared" si="45"/>
        <v>0.19516100267566849</v>
      </c>
      <c r="K600" s="28">
        <v>43256</v>
      </c>
      <c r="L600" s="23">
        <v>13405.29</v>
      </c>
      <c r="M600" s="25">
        <f t="shared" si="53"/>
        <v>-7.1792553536700644E-3</v>
      </c>
      <c r="O600" t="b">
        <f t="shared" si="51"/>
        <v>1</v>
      </c>
      <c r="Q600" s="25">
        <f t="shared" si="49"/>
        <v>9.3692455928941376E-2</v>
      </c>
      <c r="R600" s="25">
        <f t="shared" si="46"/>
        <v>0.16344347614056209</v>
      </c>
      <c r="X600">
        <f t="shared" si="50"/>
        <v>0</v>
      </c>
      <c r="Y600">
        <f t="shared" si="47"/>
        <v>1</v>
      </c>
    </row>
    <row r="601" spans="1:25">
      <c r="A601" s="27">
        <v>43257</v>
      </c>
      <c r="B601" s="24">
        <v>738.79</v>
      </c>
      <c r="C601" s="25">
        <f t="shared" si="52"/>
        <v>8.7798350537986094E-3</v>
      </c>
      <c r="E601" s="25">
        <f t="shared" si="48"/>
        <v>8.323802821031645E-2</v>
      </c>
      <c r="F601" s="25">
        <f t="shared" si="45"/>
        <v>0.20192092525298766</v>
      </c>
      <c r="K601" s="29">
        <v>43257</v>
      </c>
      <c r="L601" s="24">
        <v>13545.67</v>
      </c>
      <c r="M601" s="25">
        <f t="shared" si="53"/>
        <v>1.0363459319472511E-2</v>
      </c>
      <c r="O601" t="b">
        <f t="shared" si="51"/>
        <v>1</v>
      </c>
      <c r="Q601" s="25">
        <f t="shared" si="49"/>
        <v>0.1020525883734118</v>
      </c>
      <c r="R601" s="25">
        <f t="shared" si="46"/>
        <v>0.1728668665016484</v>
      </c>
      <c r="X601">
        <f t="shared" si="50"/>
        <v>0</v>
      </c>
      <c r="Y601">
        <f t="shared" si="47"/>
        <v>1</v>
      </c>
    </row>
    <row r="602" spans="1:25">
      <c r="A602" s="26">
        <v>43258</v>
      </c>
      <c r="B602" s="23">
        <v>745.64</v>
      </c>
      <c r="C602" s="25">
        <f t="shared" si="52"/>
        <v>9.2719175949864275E-3</v>
      </c>
      <c r="E602" s="25">
        <f t="shared" si="48"/>
        <v>9.7594724291223844E-2</v>
      </c>
      <c r="F602" s="25">
        <f t="shared" si="45"/>
        <v>0.21009760501725627</v>
      </c>
      <c r="K602" s="28">
        <v>43258</v>
      </c>
      <c r="L602" s="23">
        <v>13684.5</v>
      </c>
      <c r="M602" s="25">
        <f t="shared" si="53"/>
        <v>1.0145054623844491E-2</v>
      </c>
      <c r="O602" t="b">
        <f t="shared" si="51"/>
        <v>1</v>
      </c>
      <c r="Q602" s="25">
        <f t="shared" si="49"/>
        <v>0.11912926353942366</v>
      </c>
      <c r="R602" s="25">
        <f t="shared" si="46"/>
        <v>0.18107152846144836</v>
      </c>
      <c r="X602">
        <f t="shared" si="50"/>
        <v>0</v>
      </c>
      <c r="Y602">
        <f t="shared" si="47"/>
        <v>1</v>
      </c>
    </row>
    <row r="603" spans="1:25">
      <c r="A603" s="27">
        <v>43259</v>
      </c>
      <c r="B603" s="24">
        <v>745.62</v>
      </c>
      <c r="C603" s="25">
        <f t="shared" si="52"/>
        <v>-2.682259535430209E-5</v>
      </c>
      <c r="E603" s="25">
        <f t="shared" si="48"/>
        <v>9.5919807160914861E-2</v>
      </c>
      <c r="F603" s="25">
        <f t="shared" si="45"/>
        <v>0.21341019025089114</v>
      </c>
      <c r="K603" s="29">
        <v>43259</v>
      </c>
      <c r="L603" s="24">
        <v>13708.4</v>
      </c>
      <c r="M603" s="25">
        <f t="shared" si="53"/>
        <v>1.7434565667765484E-3</v>
      </c>
      <c r="O603" t="b">
        <f t="shared" si="51"/>
        <v>1</v>
      </c>
      <c r="Q603" s="25">
        <f t="shared" si="49"/>
        <v>0.12087390945290721</v>
      </c>
      <c r="R603" s="25">
        <f t="shared" si="46"/>
        <v>0.18617939595997468</v>
      </c>
      <c r="X603">
        <f t="shared" si="50"/>
        <v>0</v>
      </c>
      <c r="Y603">
        <f t="shared" si="47"/>
        <v>1</v>
      </c>
    </row>
    <row r="604" spans="1:25">
      <c r="A604" s="26">
        <v>43262</v>
      </c>
      <c r="B604" s="23">
        <v>747.24</v>
      </c>
      <c r="C604" s="25">
        <f t="shared" si="52"/>
        <v>2.1726885008449405E-3</v>
      </c>
      <c r="E604" s="25">
        <f t="shared" si="48"/>
        <v>9.9820435076977576E-2</v>
      </c>
      <c r="F604" s="25">
        <f t="shared" si="45"/>
        <v>0.21436801040694808</v>
      </c>
      <c r="K604" s="28">
        <v>43262</v>
      </c>
      <c r="L604" s="23">
        <v>13732.15</v>
      </c>
      <c r="M604" s="25">
        <f t="shared" si="53"/>
        <v>1.7295179560374741E-3</v>
      </c>
      <c r="O604" t="b">
        <f t="shared" si="51"/>
        <v>1</v>
      </c>
      <c r="Q604" s="25">
        <f t="shared" si="49"/>
        <v>0.1211016589380185</v>
      </c>
      <c r="R604" s="25">
        <f t="shared" si="46"/>
        <v>0.18644015860592256</v>
      </c>
      <c r="X604">
        <f t="shared" si="50"/>
        <v>0</v>
      </c>
      <c r="Y604">
        <f t="shared" si="47"/>
        <v>1</v>
      </c>
    </row>
    <row r="605" spans="1:25">
      <c r="A605" s="27">
        <v>43263</v>
      </c>
      <c r="B605" s="24">
        <v>750.01</v>
      </c>
      <c r="C605" s="25">
        <f t="shared" si="52"/>
        <v>3.7069750013382337E-3</v>
      </c>
      <c r="E605" s="25">
        <f t="shared" si="48"/>
        <v>0.10466160983872141</v>
      </c>
      <c r="F605" s="25">
        <f t="shared" si="45"/>
        <v>0.21149904716907852</v>
      </c>
      <c r="K605" s="29">
        <v>43263</v>
      </c>
      <c r="L605" s="24">
        <v>13811.73</v>
      </c>
      <c r="M605" s="25">
        <f t="shared" si="53"/>
        <v>5.7617691628782152E-3</v>
      </c>
      <c r="O605" t="b">
        <f t="shared" si="51"/>
        <v>1</v>
      </c>
      <c r="Q605" s="25">
        <f t="shared" si="49"/>
        <v>0.1302885107183922</v>
      </c>
      <c r="R605" s="25">
        <f t="shared" si="46"/>
        <v>0.18368586547206522</v>
      </c>
      <c r="X605">
        <f t="shared" si="50"/>
        <v>0</v>
      </c>
      <c r="Y605">
        <f t="shared" si="47"/>
        <v>1</v>
      </c>
    </row>
    <row r="606" spans="1:25">
      <c r="A606" s="26">
        <v>43264</v>
      </c>
      <c r="B606" s="23">
        <v>748.99</v>
      </c>
      <c r="C606" s="25">
        <f t="shared" si="52"/>
        <v>-1.3599818669084169E-3</v>
      </c>
      <c r="E606" s="25">
        <f t="shared" si="48"/>
        <v>0.10174752140272414</v>
      </c>
      <c r="F606" s="25">
        <f t="shared" si="45"/>
        <v>0.2153095826303586</v>
      </c>
      <c r="K606" s="28">
        <v>43264</v>
      </c>
      <c r="L606" s="23">
        <v>13811.78</v>
      </c>
      <c r="M606" s="25">
        <f t="shared" si="53"/>
        <v>3.620098206103152E-6</v>
      </c>
      <c r="O606" t="b">
        <f t="shared" si="51"/>
        <v>1</v>
      </c>
      <c r="Q606" s="25">
        <f t="shared" si="49"/>
        <v>0.1287675218369162</v>
      </c>
      <c r="R606" s="25">
        <f t="shared" si="46"/>
        <v>0.18714754244511167</v>
      </c>
      <c r="X606">
        <f t="shared" si="50"/>
        <v>0</v>
      </c>
      <c r="Y606">
        <f t="shared" si="47"/>
        <v>1</v>
      </c>
    </row>
    <row r="607" spans="1:25">
      <c r="A607" s="27">
        <v>43265</v>
      </c>
      <c r="B607" s="24">
        <v>747.99</v>
      </c>
      <c r="C607" s="25">
        <f t="shared" si="52"/>
        <v>-1.3351313101643547E-3</v>
      </c>
      <c r="E607" s="25">
        <f t="shared" si="48"/>
        <v>9.5009442386801091E-2</v>
      </c>
      <c r="F607" s="25">
        <f t="shared" si="45"/>
        <v>0.21337395338489062</v>
      </c>
      <c r="K607" s="29">
        <v>43265</v>
      </c>
      <c r="L607" s="24">
        <v>13781.18</v>
      </c>
      <c r="M607" s="25">
        <f t="shared" si="53"/>
        <v>-2.2204194415863057E-3</v>
      </c>
      <c r="O607" t="b">
        <f t="shared" si="51"/>
        <v>1</v>
      </c>
      <c r="Q607" s="25">
        <f t="shared" si="49"/>
        <v>0.12071179435967538</v>
      </c>
      <c r="R607" s="25">
        <f t="shared" si="46"/>
        <v>0.18387400095658712</v>
      </c>
      <c r="X607">
        <f t="shared" si="50"/>
        <v>0</v>
      </c>
      <c r="Y607">
        <f t="shared" si="47"/>
        <v>1</v>
      </c>
    </row>
    <row r="608" spans="1:25">
      <c r="A608" s="26">
        <v>43266</v>
      </c>
      <c r="B608" s="23">
        <v>746.56</v>
      </c>
      <c r="C608" s="25">
        <f t="shared" si="52"/>
        <v>-1.9117902645758146E-3</v>
      </c>
      <c r="E608" s="25">
        <f t="shared" si="48"/>
        <v>9.0091405542738645E-2</v>
      </c>
      <c r="F608" s="25">
        <f t="shared" si="45"/>
        <v>0.20829569572817896</v>
      </c>
      <c r="K608" s="28">
        <v>43266</v>
      </c>
      <c r="L608" s="23">
        <v>13762.12</v>
      </c>
      <c r="M608" s="25">
        <f t="shared" si="53"/>
        <v>-1.3849610379795766E-3</v>
      </c>
      <c r="O608" t="b">
        <f t="shared" si="51"/>
        <v>1</v>
      </c>
      <c r="Q608" s="25">
        <f t="shared" si="49"/>
        <v>0.11874602686853031</v>
      </c>
      <c r="R608" s="25">
        <f t="shared" si="46"/>
        <v>0.17884901324833558</v>
      </c>
      <c r="X608">
        <f t="shared" si="50"/>
        <v>0</v>
      </c>
      <c r="Y608">
        <f t="shared" si="47"/>
        <v>1</v>
      </c>
    </row>
    <row r="609" spans="1:25">
      <c r="A609" s="27">
        <v>43269</v>
      </c>
      <c r="B609" s="24">
        <v>744.17</v>
      </c>
      <c r="C609" s="25">
        <f t="shared" si="52"/>
        <v>-3.20135019288468E-3</v>
      </c>
      <c r="E609" s="25">
        <f t="shared" si="48"/>
        <v>8.7506758830320441E-2</v>
      </c>
      <c r="F609" s="25">
        <f t="shared" si="45"/>
        <v>0.20652523210153317</v>
      </c>
      <c r="K609" s="29">
        <v>43269</v>
      </c>
      <c r="L609" s="24">
        <v>13725.35</v>
      </c>
      <c r="M609" s="25">
        <f t="shared" si="53"/>
        <v>-2.6789845067703511E-3</v>
      </c>
      <c r="O609" t="b">
        <f t="shared" si="51"/>
        <v>1</v>
      </c>
      <c r="Q609" s="25">
        <f t="shared" si="49"/>
        <v>0.11707820487465037</v>
      </c>
      <c r="R609" s="25">
        <f t="shared" si="46"/>
        <v>0.17771084162583994</v>
      </c>
      <c r="X609">
        <f t="shared" si="50"/>
        <v>0</v>
      </c>
      <c r="Y609">
        <f t="shared" si="47"/>
        <v>1</v>
      </c>
    </row>
    <row r="610" spans="1:25">
      <c r="A610" s="26">
        <v>43270</v>
      </c>
      <c r="B610" s="23">
        <v>738.16</v>
      </c>
      <c r="C610" s="25">
        <f t="shared" si="52"/>
        <v>-8.076111641157251E-3</v>
      </c>
      <c r="E610" s="25">
        <f t="shared" si="48"/>
        <v>8.266353769433854E-2</v>
      </c>
      <c r="F610" s="25">
        <f t="shared" si="45"/>
        <v>0.20197255656506585</v>
      </c>
      <c r="K610" s="28">
        <v>43270</v>
      </c>
      <c r="L610" s="23">
        <v>13601.84</v>
      </c>
      <c r="M610" s="25">
        <f t="shared" si="53"/>
        <v>-9.0803891238244398E-3</v>
      </c>
      <c r="O610" t="b">
        <f t="shared" si="51"/>
        <v>1</v>
      </c>
      <c r="Q610" s="25">
        <f t="shared" si="49"/>
        <v>0.10939070064857948</v>
      </c>
      <c r="R610" s="25">
        <f t="shared" si="46"/>
        <v>0.17360017019208906</v>
      </c>
      <c r="X610">
        <f t="shared" si="50"/>
        <v>0</v>
      </c>
      <c r="Y610">
        <f t="shared" si="47"/>
        <v>1</v>
      </c>
    </row>
    <row r="611" spans="1:25">
      <c r="A611" s="27">
        <v>43271</v>
      </c>
      <c r="B611" s="24">
        <v>740.1</v>
      </c>
      <c r="C611" s="25">
        <f t="shared" si="52"/>
        <v>2.6281564972364456E-3</v>
      </c>
      <c r="E611" s="25">
        <f t="shared" si="48"/>
        <v>9.3948620924114046E-2</v>
      </c>
      <c r="F611" s="25">
        <f t="shared" si="45"/>
        <v>0.19919335562197027</v>
      </c>
      <c r="K611" s="29">
        <v>43271</v>
      </c>
      <c r="L611" s="24">
        <v>13663.75</v>
      </c>
      <c r="M611" s="25">
        <f t="shared" si="53"/>
        <v>4.5309669746592153E-3</v>
      </c>
      <c r="O611" t="b">
        <f t="shared" si="51"/>
        <v>1</v>
      </c>
      <c r="Q611" s="25">
        <f t="shared" si="49"/>
        <v>0.12361190603064331</v>
      </c>
      <c r="R611" s="25">
        <f t="shared" si="46"/>
        <v>0.17286555967816186</v>
      </c>
      <c r="X611">
        <f t="shared" si="50"/>
        <v>0</v>
      </c>
      <c r="Y611">
        <f t="shared" si="47"/>
        <v>1</v>
      </c>
    </row>
    <row r="612" spans="1:25">
      <c r="A612" s="26">
        <v>43272</v>
      </c>
      <c r="B612" s="23">
        <v>736.33</v>
      </c>
      <c r="C612" s="25">
        <f t="shared" si="52"/>
        <v>-5.0939062288879637E-3</v>
      </c>
      <c r="E612" s="25">
        <f t="shared" si="48"/>
        <v>9.5403153823266917E-2</v>
      </c>
      <c r="F612" s="25">
        <f t="shared" si="45"/>
        <v>0.20785636639570781</v>
      </c>
      <c r="K612" s="28">
        <v>43272</v>
      </c>
      <c r="L612" s="23">
        <v>13612.8</v>
      </c>
      <c r="M612" s="25">
        <f t="shared" si="53"/>
        <v>-3.7428008932769694E-3</v>
      </c>
      <c r="O612" t="b">
        <f t="shared" si="51"/>
        <v>1</v>
      </c>
      <c r="Q612" s="25">
        <f t="shared" si="49"/>
        <v>0.12880769852688134</v>
      </c>
      <c r="R612" s="25">
        <f t="shared" si="46"/>
        <v>0.18228363264612724</v>
      </c>
      <c r="X612">
        <f t="shared" si="50"/>
        <v>0</v>
      </c>
      <c r="Y612">
        <f t="shared" si="47"/>
        <v>1</v>
      </c>
    </row>
    <row r="613" spans="1:25">
      <c r="A613" s="27">
        <v>43273</v>
      </c>
      <c r="B613" s="24">
        <v>739.97</v>
      </c>
      <c r="C613" s="25">
        <f t="shared" si="52"/>
        <v>4.9434356878030042E-3</v>
      </c>
      <c r="E613" s="25">
        <f t="shared" si="48"/>
        <v>9.6950650043731601E-2</v>
      </c>
      <c r="F613" s="25">
        <f t="shared" si="45"/>
        <v>0.20787422896585639</v>
      </c>
      <c r="K613" s="29">
        <v>43273</v>
      </c>
      <c r="L613" s="24">
        <v>13695.9</v>
      </c>
      <c r="M613" s="25">
        <f t="shared" si="53"/>
        <v>6.0675092545944675E-3</v>
      </c>
      <c r="O613" t="b">
        <f t="shared" si="51"/>
        <v>1</v>
      </c>
      <c r="Q613" s="25">
        <f t="shared" si="49"/>
        <v>0.13648829523021599</v>
      </c>
      <c r="R613" s="25">
        <f t="shared" si="46"/>
        <v>0.18342559927377611</v>
      </c>
      <c r="X613">
        <f t="shared" si="50"/>
        <v>0</v>
      </c>
      <c r="Y613">
        <f t="shared" si="47"/>
        <v>1</v>
      </c>
    </row>
    <row r="614" spans="1:25">
      <c r="A614" s="26">
        <v>43276</v>
      </c>
      <c r="B614" s="23">
        <v>737.7</v>
      </c>
      <c r="C614" s="25">
        <f t="shared" si="52"/>
        <v>-3.0676919334567372E-3</v>
      </c>
      <c r="E614" s="25">
        <f t="shared" si="48"/>
        <v>8.9547609552926621E-2</v>
      </c>
      <c r="F614" s="25">
        <f t="shared" si="45"/>
        <v>0.20307054965591265</v>
      </c>
      <c r="K614" s="28">
        <v>43276</v>
      </c>
      <c r="L614" s="23">
        <v>13604.24</v>
      </c>
      <c r="M614" s="25">
        <f t="shared" si="53"/>
        <v>-6.7376053348073726E-3</v>
      </c>
      <c r="O614" t="b">
        <f t="shared" si="51"/>
        <v>1</v>
      </c>
      <c r="Q614" s="25">
        <f t="shared" si="49"/>
        <v>0.1255070442227777</v>
      </c>
      <c r="R614" s="25">
        <f t="shared" si="46"/>
        <v>0.17651807334344349</v>
      </c>
      <c r="X614">
        <f t="shared" si="50"/>
        <v>0</v>
      </c>
      <c r="Y614">
        <f t="shared" si="47"/>
        <v>1</v>
      </c>
    </row>
    <row r="615" spans="1:25">
      <c r="A615" s="27">
        <v>43277</v>
      </c>
      <c r="B615" s="24">
        <v>738.83</v>
      </c>
      <c r="C615" s="25">
        <f t="shared" si="52"/>
        <v>1.5317879896977029E-3</v>
      </c>
      <c r="E615" s="25">
        <f t="shared" si="48"/>
        <v>8.6083466858747348E-2</v>
      </c>
      <c r="F615" s="25">
        <f t="shared" si="45"/>
        <v>0.19755916395047168</v>
      </c>
      <c r="K615" s="29">
        <v>43277</v>
      </c>
      <c r="L615" s="24">
        <v>13600.44</v>
      </c>
      <c r="M615" s="25">
        <f t="shared" si="53"/>
        <v>-2.7940272520589571E-4</v>
      </c>
      <c r="O615" t="b">
        <f t="shared" si="51"/>
        <v>1</v>
      </c>
      <c r="Q615" s="25">
        <f t="shared" si="49"/>
        <v>0.1209831363434053</v>
      </c>
      <c r="R615" s="25">
        <f t="shared" si="46"/>
        <v>0.17016406026923336</v>
      </c>
      <c r="X615">
        <f t="shared" si="50"/>
        <v>0</v>
      </c>
      <c r="Y615">
        <f t="shared" si="47"/>
        <v>1</v>
      </c>
    </row>
    <row r="616" spans="1:25">
      <c r="A616" s="26">
        <v>43278</v>
      </c>
      <c r="B616" s="23">
        <v>733.79</v>
      </c>
      <c r="C616" s="25">
        <f t="shared" si="52"/>
        <v>-6.8215963076757539E-3</v>
      </c>
      <c r="E616" s="25">
        <f t="shared" si="48"/>
        <v>6.9181565181914983E-2</v>
      </c>
      <c r="F616" s="25">
        <f t="shared" si="45"/>
        <v>0.18701054262510852</v>
      </c>
      <c r="K616" s="28">
        <v>43278</v>
      </c>
      <c r="L616" s="23">
        <v>13453.85</v>
      </c>
      <c r="M616" s="25">
        <f t="shared" si="53"/>
        <v>-1.0895765896007473E-2</v>
      </c>
      <c r="O616" t="b">
        <f t="shared" si="51"/>
        <v>1</v>
      </c>
      <c r="Q616" s="25">
        <f t="shared" si="49"/>
        <v>9.7675796117542513E-2</v>
      </c>
      <c r="R616" s="25">
        <f t="shared" si="46"/>
        <v>0.15766766689939571</v>
      </c>
      <c r="X616">
        <f t="shared" si="50"/>
        <v>0</v>
      </c>
      <c r="Y616">
        <f t="shared" si="47"/>
        <v>1</v>
      </c>
    </row>
    <row r="617" spans="1:25">
      <c r="A617" s="27">
        <v>43279</v>
      </c>
      <c r="B617" s="24">
        <v>726.54</v>
      </c>
      <c r="C617" s="25">
        <f t="shared" si="52"/>
        <v>-9.8802109595388325E-3</v>
      </c>
      <c r="E617" s="25">
        <f t="shared" si="48"/>
        <v>6.0224437083193472E-2</v>
      </c>
      <c r="F617" s="25">
        <f t="shared" si="45"/>
        <v>0.17507807568265621</v>
      </c>
      <c r="K617" s="29">
        <v>43279</v>
      </c>
      <c r="L617" s="24">
        <v>13318.37</v>
      </c>
      <c r="M617" s="25">
        <f t="shared" si="53"/>
        <v>-1.0172415993849064E-2</v>
      </c>
      <c r="O617" t="b">
        <f t="shared" si="51"/>
        <v>1</v>
      </c>
      <c r="Q617" s="25">
        <f t="shared" si="49"/>
        <v>8.7347022084336867E-2</v>
      </c>
      <c r="R617" s="25">
        <f t="shared" si="46"/>
        <v>0.14796199746422323</v>
      </c>
      <c r="X617">
        <f t="shared" si="50"/>
        <v>0</v>
      </c>
      <c r="Y617">
        <f t="shared" si="47"/>
        <v>1</v>
      </c>
    </row>
    <row r="618" spans="1:25">
      <c r="A618" s="26">
        <v>43280</v>
      </c>
      <c r="B618" s="23">
        <v>732.95</v>
      </c>
      <c r="C618" s="25">
        <f t="shared" si="52"/>
        <v>8.8226388085997781E-3</v>
      </c>
      <c r="E618" s="25">
        <f t="shared" si="48"/>
        <v>6.1769350002172985E-2</v>
      </c>
      <c r="F618" s="25">
        <f t="shared" si="45"/>
        <v>0.17712247952188642</v>
      </c>
      <c r="K618" s="28">
        <v>43280</v>
      </c>
      <c r="L618" s="23">
        <v>13503.29</v>
      </c>
      <c r="M618" s="25">
        <f t="shared" si="53"/>
        <v>1.3694440391934118E-2</v>
      </c>
      <c r="O618" t="b">
        <f t="shared" si="51"/>
        <v>1</v>
      </c>
      <c r="Q618" s="25">
        <f t="shared" si="49"/>
        <v>9.7081904427637422E-2</v>
      </c>
      <c r="R618" s="25">
        <f t="shared" si="46"/>
        <v>0.15227834261133344</v>
      </c>
      <c r="X618">
        <f t="shared" si="50"/>
        <v>0</v>
      </c>
      <c r="Y618">
        <f t="shared" si="47"/>
        <v>1</v>
      </c>
    </row>
    <row r="619" spans="1:25">
      <c r="A619" s="27">
        <v>43283</v>
      </c>
      <c r="B619" s="24">
        <v>727.86</v>
      </c>
      <c r="C619" s="25">
        <f t="shared" si="52"/>
        <v>-6.9445391909407619E-3</v>
      </c>
      <c r="E619" s="25">
        <f t="shared" si="48"/>
        <v>5.3205805322027455E-2</v>
      </c>
      <c r="F619" s="25">
        <f t="shared" si="45"/>
        <v>0.17407172121970849</v>
      </c>
      <c r="K619" s="29">
        <v>43283</v>
      </c>
      <c r="L619" s="24">
        <v>13424.54</v>
      </c>
      <c r="M619" s="25">
        <f t="shared" si="53"/>
        <v>-5.8661227870750133E-3</v>
      </c>
      <c r="O619" t="b">
        <f t="shared" si="51"/>
        <v>1</v>
      </c>
      <c r="Q619" s="25">
        <f t="shared" si="49"/>
        <v>8.6386243977127464E-2</v>
      </c>
      <c r="R619" s="25">
        <f t="shared" si="46"/>
        <v>0.1506083381572827</v>
      </c>
      <c r="X619">
        <f t="shared" si="50"/>
        <v>0</v>
      </c>
      <c r="Y619">
        <f t="shared" si="47"/>
        <v>1</v>
      </c>
    </row>
    <row r="620" spans="1:25">
      <c r="A620" s="26">
        <v>43284</v>
      </c>
      <c r="B620" s="23">
        <v>730.71</v>
      </c>
      <c r="C620" s="25">
        <f t="shared" si="52"/>
        <v>3.9155881625587653E-3</v>
      </c>
      <c r="E620" s="25">
        <f t="shared" si="48"/>
        <v>5.9245622173257573E-2</v>
      </c>
      <c r="F620" s="25">
        <f t="shared" si="45"/>
        <v>0.17807607897930255</v>
      </c>
      <c r="K620" s="28">
        <v>43284</v>
      </c>
      <c r="L620" s="23">
        <v>13484.25</v>
      </c>
      <c r="M620" s="25">
        <f t="shared" si="53"/>
        <v>4.4281291135954259E-3</v>
      </c>
      <c r="O620" t="b">
        <f t="shared" si="51"/>
        <v>1</v>
      </c>
      <c r="Q620" s="25">
        <f t="shared" si="49"/>
        <v>9.1495654820494154E-2</v>
      </c>
      <c r="R620" s="25">
        <f t="shared" si="46"/>
        <v>0.15313023593394348</v>
      </c>
      <c r="X620">
        <f t="shared" si="50"/>
        <v>0</v>
      </c>
      <c r="Y620">
        <f t="shared" si="47"/>
        <v>1</v>
      </c>
    </row>
    <row r="621" spans="1:25">
      <c r="A621" s="27">
        <v>43285</v>
      </c>
      <c r="B621" s="24">
        <v>733.8</v>
      </c>
      <c r="C621" s="25">
        <f t="shared" si="52"/>
        <v>4.2287638050661934E-3</v>
      </c>
      <c r="E621" s="25">
        <f t="shared" si="48"/>
        <v>5.7668747027198375E-2</v>
      </c>
      <c r="F621" s="25">
        <f t="shared" si="45"/>
        <v>0.18068769905279369</v>
      </c>
      <c r="K621" s="29">
        <v>43285</v>
      </c>
      <c r="L621" s="24">
        <v>13551.84</v>
      </c>
      <c r="M621" s="25">
        <f t="shared" si="53"/>
        <v>4.9875146105621193E-3</v>
      </c>
      <c r="O621" t="b">
        <f t="shared" si="51"/>
        <v>1</v>
      </c>
      <c r="Q621" s="25">
        <f t="shared" si="49"/>
        <v>8.7002974213854722E-2</v>
      </c>
      <c r="R621" s="25">
        <f t="shared" si="46"/>
        <v>0.15685831175054643</v>
      </c>
      <c r="X621">
        <f t="shared" si="50"/>
        <v>0</v>
      </c>
      <c r="Y621">
        <f t="shared" si="47"/>
        <v>1</v>
      </c>
    </row>
    <row r="622" spans="1:25">
      <c r="A622" s="26">
        <v>43286</v>
      </c>
      <c r="B622" s="23">
        <v>732</v>
      </c>
      <c r="C622" s="25">
        <f t="shared" si="52"/>
        <v>-2.4529844644316633E-3</v>
      </c>
      <c r="E622" s="25">
        <f t="shared" si="48"/>
        <v>5.7314536630459934E-2</v>
      </c>
      <c r="F622" s="25">
        <f t="shared" si="45"/>
        <v>0.17052100259332081</v>
      </c>
      <c r="K622" s="28">
        <v>43286</v>
      </c>
      <c r="L622" s="23">
        <v>13514.84</v>
      </c>
      <c r="M622" s="25">
        <f t="shared" si="53"/>
        <v>-2.7377312642990963E-3</v>
      </c>
      <c r="O622" t="b">
        <f t="shared" si="51"/>
        <v>1</v>
      </c>
      <c r="Q622" s="25">
        <f t="shared" si="49"/>
        <v>8.5502288698032558E-2</v>
      </c>
      <c r="R622" s="25">
        <f t="shared" si="46"/>
        <v>0.14617004120809707</v>
      </c>
      <c r="X622">
        <f t="shared" si="50"/>
        <v>0</v>
      </c>
      <c r="Y622">
        <f t="shared" si="47"/>
        <v>1</v>
      </c>
    </row>
    <row r="623" spans="1:25">
      <c r="A623" s="27">
        <v>43287</v>
      </c>
      <c r="B623" s="24">
        <v>733.34</v>
      </c>
      <c r="C623" s="25">
        <f t="shared" si="52"/>
        <v>1.8306010928962183E-3</v>
      </c>
      <c r="E623" s="25">
        <f t="shared" si="48"/>
        <v>5.3013985813158859E-2</v>
      </c>
      <c r="F623" s="25">
        <f t="shared" ref="F623:F686" si="54">((B623/B131)^(1/2))-1</f>
        <v>0.16849029835933838</v>
      </c>
      <c r="K623" s="29">
        <v>43287</v>
      </c>
      <c r="L623" s="24">
        <v>13556.77</v>
      </c>
      <c r="M623" s="25">
        <f t="shared" si="53"/>
        <v>3.0929196261351554E-3</v>
      </c>
      <c r="O623" t="b">
        <f t="shared" si="51"/>
        <v>1</v>
      </c>
      <c r="Q623" s="25">
        <f t="shared" si="49"/>
        <v>8.3671195295938361E-2</v>
      </c>
      <c r="R623" s="25">
        <f t="shared" ref="R623:R686" si="55">((L623/L131)^(1/2))-1</f>
        <v>0.1446728522696954</v>
      </c>
      <c r="X623">
        <f t="shared" si="50"/>
        <v>0</v>
      </c>
      <c r="Y623">
        <f t="shared" ref="Y623:Y686" si="56">IF(F623&gt;R623,1,0)</f>
        <v>1</v>
      </c>
    </row>
    <row r="624" spans="1:25">
      <c r="A624" s="26">
        <v>43290</v>
      </c>
      <c r="B624" s="23">
        <v>739.97</v>
      </c>
      <c r="C624" s="25">
        <f t="shared" si="52"/>
        <v>9.0408269015736162E-3</v>
      </c>
      <c r="E624" s="25">
        <f t="shared" si="48"/>
        <v>5.5230734128115966E-2</v>
      </c>
      <c r="F624" s="25">
        <f t="shared" si="54"/>
        <v>0.17579815777391294</v>
      </c>
      <c r="K624" s="28">
        <v>43290</v>
      </c>
      <c r="L624" s="23">
        <v>13681.04</v>
      </c>
      <c r="M624" s="25">
        <f t="shared" si="53"/>
        <v>9.0833737786016576E-3</v>
      </c>
      <c r="O624" t="b">
        <f t="shared" si="51"/>
        <v>1</v>
      </c>
      <c r="Q624" s="25">
        <f t="shared" si="49"/>
        <v>8.5364402436489684E-2</v>
      </c>
      <c r="R624" s="25">
        <f t="shared" si="55"/>
        <v>0.15110947661287311</v>
      </c>
      <c r="X624">
        <f t="shared" si="50"/>
        <v>0</v>
      </c>
      <c r="Y624">
        <f t="shared" si="56"/>
        <v>1</v>
      </c>
    </row>
    <row r="625" spans="1:25">
      <c r="A625" s="27">
        <v>43291</v>
      </c>
      <c r="B625" s="24">
        <v>745.31</v>
      </c>
      <c r="C625" s="25">
        <f t="shared" si="52"/>
        <v>7.2165087773827562E-3</v>
      </c>
      <c r="E625" s="25">
        <f t="shared" si="48"/>
        <v>6.1453230033040818E-2</v>
      </c>
      <c r="F625" s="25">
        <f t="shared" si="54"/>
        <v>0.1756592117934197</v>
      </c>
      <c r="K625" s="29">
        <v>43291</v>
      </c>
      <c r="L625" s="24">
        <v>13801.46</v>
      </c>
      <c r="M625" s="25">
        <f t="shared" si="53"/>
        <v>8.7251638594756098E-3</v>
      </c>
      <c r="O625" t="b">
        <f t="shared" si="51"/>
        <v>1</v>
      </c>
      <c r="Q625" s="25">
        <f t="shared" si="49"/>
        <v>9.5134941265714978E-2</v>
      </c>
      <c r="R625" s="25">
        <f t="shared" si="55"/>
        <v>0.15304058360461159</v>
      </c>
      <c r="X625">
        <f t="shared" si="50"/>
        <v>0</v>
      </c>
      <c r="Y625">
        <f t="shared" si="56"/>
        <v>1</v>
      </c>
    </row>
    <row r="626" spans="1:25">
      <c r="A626" s="26">
        <v>43292</v>
      </c>
      <c r="B626" s="23">
        <v>740.17</v>
      </c>
      <c r="C626" s="25">
        <f t="shared" si="52"/>
        <v>-6.8964591914773537E-3</v>
      </c>
      <c r="E626" s="25">
        <f t="shared" si="48"/>
        <v>5.0780806360022801E-2</v>
      </c>
      <c r="F626" s="25">
        <f t="shared" si="54"/>
        <v>0.17129419221069009</v>
      </c>
      <c r="K626" s="28">
        <v>43292</v>
      </c>
      <c r="L626" s="23">
        <v>13780.83</v>
      </c>
      <c r="M626" s="25">
        <f t="shared" si="53"/>
        <v>-1.4970070743198487E-3</v>
      </c>
      <c r="O626" t="b">
        <f t="shared" si="51"/>
        <v>1</v>
      </c>
      <c r="Q626" s="25">
        <f t="shared" si="49"/>
        <v>9.1065205033482144E-2</v>
      </c>
      <c r="R626" s="25">
        <f t="shared" si="55"/>
        <v>0.15355501575164943</v>
      </c>
      <c r="X626">
        <f t="shared" si="50"/>
        <v>0</v>
      </c>
      <c r="Y626">
        <f t="shared" si="56"/>
        <v>1</v>
      </c>
    </row>
    <row r="627" spans="1:25">
      <c r="A627" s="27">
        <v>43293</v>
      </c>
      <c r="B627" s="24">
        <v>741.18</v>
      </c>
      <c r="C627" s="25">
        <f t="shared" si="52"/>
        <v>1.3645513868435508E-3</v>
      </c>
      <c r="E627" s="25">
        <f t="shared" si="48"/>
        <v>5.6609691077309066E-2</v>
      </c>
      <c r="F627" s="25">
        <f t="shared" si="54"/>
        <v>0.17362769645832388</v>
      </c>
      <c r="K627" s="29">
        <v>43293</v>
      </c>
      <c r="L627" s="24">
        <v>13837.41</v>
      </c>
      <c r="M627" s="25">
        <f t="shared" si="53"/>
        <v>4.0889154834611342E-3</v>
      </c>
      <c r="O627" t="b">
        <f t="shared" si="51"/>
        <v>1</v>
      </c>
      <c r="Q627" s="25">
        <f t="shared" si="49"/>
        <v>0.10435736159229614</v>
      </c>
      <c r="R627" s="25">
        <f t="shared" si="55"/>
        <v>0.15845654872722403</v>
      </c>
      <c r="X627">
        <f t="shared" si="50"/>
        <v>0</v>
      </c>
      <c r="Y627">
        <f t="shared" si="56"/>
        <v>1</v>
      </c>
    </row>
    <row r="628" spans="1:25">
      <c r="A628" s="26">
        <v>43294</v>
      </c>
      <c r="B628" s="23">
        <v>735.65</v>
      </c>
      <c r="C628" s="25">
        <f t="shared" si="52"/>
        <v>-7.4610755821797308E-3</v>
      </c>
      <c r="E628" s="25">
        <f t="shared" si="48"/>
        <v>3.8554931247705815E-2</v>
      </c>
      <c r="F628" s="25">
        <f t="shared" si="54"/>
        <v>0.16857906305075598</v>
      </c>
      <c r="K628" s="28">
        <v>43294</v>
      </c>
      <c r="L628" s="23">
        <v>13791</v>
      </c>
      <c r="M628" s="25">
        <f t="shared" si="53"/>
        <v>-3.3652381988253104E-3</v>
      </c>
      <c r="O628" t="b">
        <f t="shared" si="51"/>
        <v>1</v>
      </c>
      <c r="Q628" s="25">
        <f t="shared" si="49"/>
        <v>9.1443513386031183E-2</v>
      </c>
      <c r="R628" s="25">
        <f t="shared" si="55"/>
        <v>0.15520547349568159</v>
      </c>
      <c r="X628">
        <f t="shared" si="50"/>
        <v>0</v>
      </c>
      <c r="Y628">
        <f t="shared" si="56"/>
        <v>1</v>
      </c>
    </row>
    <row r="629" spans="1:25">
      <c r="A629" s="27">
        <v>43297</v>
      </c>
      <c r="B629" s="24">
        <v>721.69</v>
      </c>
      <c r="C629" s="25">
        <f t="shared" si="52"/>
        <v>-1.8976415414939066E-2</v>
      </c>
      <c r="E629" s="25">
        <f t="shared" si="48"/>
        <v>2.4589349347644118E-2</v>
      </c>
      <c r="F629" s="25">
        <f t="shared" si="54"/>
        <v>0.15230535205493512</v>
      </c>
      <c r="K629" s="29">
        <v>43297</v>
      </c>
      <c r="L629" s="24">
        <v>13618.67</v>
      </c>
      <c r="M629" s="25">
        <f t="shared" si="53"/>
        <v>-1.2653952258186734E-2</v>
      </c>
      <c r="O629" t="b">
        <f t="shared" si="51"/>
        <v>1</v>
      </c>
      <c r="Q629" s="25">
        <f t="shared" si="49"/>
        <v>8.0117317589469383E-2</v>
      </c>
      <c r="R629" s="25">
        <f t="shared" si="55"/>
        <v>0.14451220266573572</v>
      </c>
      <c r="X629">
        <f t="shared" si="50"/>
        <v>0</v>
      </c>
      <c r="Y629">
        <f t="shared" si="56"/>
        <v>1</v>
      </c>
    </row>
    <row r="630" spans="1:25">
      <c r="A630" s="26">
        <v>43298</v>
      </c>
      <c r="B630" s="23">
        <v>727.76</v>
      </c>
      <c r="C630" s="25">
        <f t="shared" si="52"/>
        <v>8.4108135071844364E-3</v>
      </c>
      <c r="E630" s="25">
        <f t="shared" si="48"/>
        <v>3.2488721164486423E-2</v>
      </c>
      <c r="F630" s="25">
        <f t="shared" si="54"/>
        <v>0.15854880670338289</v>
      </c>
      <c r="K630" s="28">
        <v>43298</v>
      </c>
      <c r="L630" s="23">
        <v>13743.72</v>
      </c>
      <c r="M630" s="25">
        <f t="shared" si="53"/>
        <v>9.098701079474792E-3</v>
      </c>
      <c r="O630" t="b">
        <f t="shared" si="51"/>
        <v>1</v>
      </c>
      <c r="Q630" s="25">
        <f t="shared" si="49"/>
        <v>8.6452349350874202E-2</v>
      </c>
      <c r="R630" s="25">
        <f t="shared" si="55"/>
        <v>0.15242149199371213</v>
      </c>
      <c r="X630">
        <f t="shared" si="50"/>
        <v>0</v>
      </c>
      <c r="Y630">
        <f t="shared" si="56"/>
        <v>1</v>
      </c>
    </row>
    <row r="631" spans="1:25">
      <c r="A631" s="27">
        <v>43299</v>
      </c>
      <c r="B631" s="24">
        <v>721.11</v>
      </c>
      <c r="C631" s="25">
        <f t="shared" si="52"/>
        <v>-9.1376277893810837E-3</v>
      </c>
      <c r="E631" s="25">
        <f t="shared" si="48"/>
        <v>2.373685032439421E-2</v>
      </c>
      <c r="F631" s="25">
        <f t="shared" si="54"/>
        <v>0.14764798192257489</v>
      </c>
      <c r="K631" s="29">
        <v>43299</v>
      </c>
      <c r="L631" s="24">
        <v>13677.65</v>
      </c>
      <c r="M631" s="25">
        <f t="shared" si="53"/>
        <v>-4.830508164779747E-3</v>
      </c>
      <c r="O631" t="b">
        <f t="shared" si="51"/>
        <v>1</v>
      </c>
      <c r="Q631" s="25">
        <f t="shared" si="49"/>
        <v>7.6967594870926748E-2</v>
      </c>
      <c r="R631" s="25">
        <f t="shared" si="55"/>
        <v>0.1463936855037018</v>
      </c>
      <c r="X631">
        <f t="shared" si="50"/>
        <v>0</v>
      </c>
      <c r="Y631">
        <f t="shared" si="56"/>
        <v>1</v>
      </c>
    </row>
    <row r="632" spans="1:25">
      <c r="A632" s="26">
        <v>43300</v>
      </c>
      <c r="B632" s="23">
        <v>719.28</v>
      </c>
      <c r="C632" s="25">
        <f t="shared" si="52"/>
        <v>-2.5377542954612207E-3</v>
      </c>
      <c r="E632" s="25">
        <f t="shared" ref="E632:E695" si="57">(B632/B387)-1</f>
        <v>1.680826700971183E-2</v>
      </c>
      <c r="F632" s="25">
        <f t="shared" si="54"/>
        <v>0.14003357956168694</v>
      </c>
      <c r="K632" s="28">
        <v>43300</v>
      </c>
      <c r="L632" s="23">
        <v>13638.18</v>
      </c>
      <c r="M632" s="25">
        <f t="shared" si="53"/>
        <v>-2.8940811750541016E-3</v>
      </c>
      <c r="O632" t="b">
        <f t="shared" si="51"/>
        <v>1</v>
      </c>
      <c r="Q632" s="25">
        <f t="shared" ref="Q632:Q695" si="58">(L632/L387)-1</f>
        <v>7.2879815918343249E-2</v>
      </c>
      <c r="R632" s="25">
        <f t="shared" si="55"/>
        <v>0.1385350276263233</v>
      </c>
      <c r="X632">
        <f t="shared" ref="X632:X695" si="59">IF(E632&gt;Q632,1,0)</f>
        <v>0</v>
      </c>
      <c r="Y632">
        <f t="shared" si="56"/>
        <v>1</v>
      </c>
    </row>
    <row r="633" spans="1:25">
      <c r="A633" s="27">
        <v>43301</v>
      </c>
      <c r="B633" s="24">
        <v>724.49</v>
      </c>
      <c r="C633" s="25">
        <f t="shared" si="52"/>
        <v>7.2433544655767391E-3</v>
      </c>
      <c r="E633" s="25">
        <f t="shared" si="57"/>
        <v>1.782804158471496E-2</v>
      </c>
      <c r="F633" s="25">
        <f t="shared" si="54"/>
        <v>0.14552188580757353</v>
      </c>
      <c r="K633" s="29">
        <v>43301</v>
      </c>
      <c r="L633" s="24">
        <v>13712.17</v>
      </c>
      <c r="M633" s="25">
        <f t="shared" si="53"/>
        <v>5.3959366023029016E-3</v>
      </c>
      <c r="O633" t="b">
        <f t="shared" si="51"/>
        <v>1</v>
      </c>
      <c r="Q633" s="25">
        <f t="shared" si="58"/>
        <v>7.3955721805683217E-2</v>
      </c>
      <c r="R633" s="25">
        <f t="shared" si="55"/>
        <v>0.14438807681113452</v>
      </c>
      <c r="X633">
        <f t="shared" si="59"/>
        <v>0</v>
      </c>
      <c r="Y633">
        <f t="shared" si="56"/>
        <v>1</v>
      </c>
    </row>
    <row r="634" spans="1:25">
      <c r="A634" s="26">
        <v>43304</v>
      </c>
      <c r="B634" s="23">
        <v>733.33</v>
      </c>
      <c r="C634" s="25">
        <f t="shared" si="52"/>
        <v>1.2201686703750268E-2</v>
      </c>
      <c r="E634" s="25">
        <f t="shared" si="57"/>
        <v>3.0377541414340126E-2</v>
      </c>
      <c r="F634" s="25">
        <f t="shared" si="54"/>
        <v>0.15148868591533327</v>
      </c>
      <c r="K634" s="28">
        <v>43304</v>
      </c>
      <c r="L634" s="23">
        <v>13827.88</v>
      </c>
      <c r="M634" s="25">
        <f t="shared" si="53"/>
        <v>8.3678770715394646E-3</v>
      </c>
      <c r="O634" t="b">
        <f t="shared" si="51"/>
        <v>1</v>
      </c>
      <c r="Q634" s="25">
        <f t="shared" si="58"/>
        <v>8.4274279548847586E-2</v>
      </c>
      <c r="R634" s="25">
        <f t="shared" si="55"/>
        <v>0.14699947826511095</v>
      </c>
      <c r="X634">
        <f t="shared" si="59"/>
        <v>0</v>
      </c>
      <c r="Y634">
        <f t="shared" si="56"/>
        <v>1</v>
      </c>
    </row>
    <row r="635" spans="1:25">
      <c r="A635" s="27">
        <v>43305</v>
      </c>
      <c r="B635" s="24">
        <v>740.8</v>
      </c>
      <c r="C635" s="25">
        <f t="shared" si="52"/>
        <v>1.0186409938226873E-2</v>
      </c>
      <c r="E635" s="25">
        <f t="shared" si="57"/>
        <v>4.1297686317505855E-2</v>
      </c>
      <c r="F635" s="25">
        <f t="shared" si="54"/>
        <v>0.15226626150978961</v>
      </c>
      <c r="K635" s="29">
        <v>43305</v>
      </c>
      <c r="L635" s="24">
        <v>13955.93</v>
      </c>
      <c r="M635" s="25">
        <f t="shared" si="53"/>
        <v>9.1753111401390725E-3</v>
      </c>
      <c r="O635" t="b">
        <f t="shared" si="51"/>
        <v>1</v>
      </c>
      <c r="Q635" s="25">
        <f t="shared" si="58"/>
        <v>9.2956597125688267E-2</v>
      </c>
      <c r="R635" s="25">
        <f t="shared" si="55"/>
        <v>0.1488720114178812</v>
      </c>
      <c r="X635">
        <f t="shared" si="59"/>
        <v>0</v>
      </c>
      <c r="Y635">
        <f t="shared" si="56"/>
        <v>1</v>
      </c>
    </row>
    <row r="636" spans="1:25">
      <c r="A636" s="26">
        <v>43306</v>
      </c>
      <c r="B636" s="23">
        <v>739.75</v>
      </c>
      <c r="C636" s="25">
        <f t="shared" si="52"/>
        <v>-1.417386609071213E-3</v>
      </c>
      <c r="E636" s="25">
        <f t="shared" si="57"/>
        <v>3.5861315708404451E-2</v>
      </c>
      <c r="F636" s="25">
        <f t="shared" si="54"/>
        <v>0.15044977031340667</v>
      </c>
      <c r="K636" s="28">
        <v>43306</v>
      </c>
      <c r="L636" s="23">
        <v>13955.58</v>
      </c>
      <c r="M636" s="25">
        <f t="shared" si="53"/>
        <v>-2.5079573905231011E-5</v>
      </c>
      <c r="O636" t="b">
        <f t="shared" si="51"/>
        <v>1</v>
      </c>
      <c r="Q636" s="25">
        <f t="shared" si="58"/>
        <v>8.7133794083371185E-2</v>
      </c>
      <c r="R636" s="25">
        <f t="shared" si="55"/>
        <v>0.14950410584877361</v>
      </c>
      <c r="X636">
        <f t="shared" si="59"/>
        <v>0</v>
      </c>
      <c r="Y636">
        <f t="shared" si="56"/>
        <v>1</v>
      </c>
    </row>
    <row r="637" spans="1:25">
      <c r="A637" s="27">
        <v>43307</v>
      </c>
      <c r="B637" s="24">
        <v>742.83</v>
      </c>
      <c r="C637" s="25">
        <f t="shared" si="52"/>
        <v>4.1635687732342564E-3</v>
      </c>
      <c r="E637" s="25">
        <f t="shared" si="57"/>
        <v>3.7225798343968775E-2</v>
      </c>
      <c r="F637" s="25">
        <f t="shared" si="54"/>
        <v>0.14946415935817337</v>
      </c>
      <c r="K637" s="29">
        <v>43307</v>
      </c>
      <c r="L637" s="24">
        <v>14015.05</v>
      </c>
      <c r="M637" s="25">
        <f t="shared" si="53"/>
        <v>4.2432956000870029E-3</v>
      </c>
      <c r="O637" t="b">
        <f t="shared" si="51"/>
        <v>1</v>
      </c>
      <c r="Q637" s="25">
        <f t="shared" si="58"/>
        <v>8.9370841031707782E-2</v>
      </c>
      <c r="R637" s="25">
        <f t="shared" si="55"/>
        <v>0.15154629955603349</v>
      </c>
      <c r="X637">
        <f t="shared" si="59"/>
        <v>0</v>
      </c>
      <c r="Y637">
        <f t="shared" si="56"/>
        <v>0</v>
      </c>
    </row>
    <row r="638" spans="1:25">
      <c r="A638" s="26">
        <v>43308</v>
      </c>
      <c r="B638" s="23">
        <v>752.15</v>
      </c>
      <c r="C638" s="25">
        <f t="shared" si="52"/>
        <v>1.2546612280063993E-2</v>
      </c>
      <c r="E638" s="25">
        <f t="shared" si="57"/>
        <v>5.2090472926662024E-2</v>
      </c>
      <c r="F638" s="25">
        <f t="shared" si="54"/>
        <v>0.15714669856977537</v>
      </c>
      <c r="K638" s="28">
        <v>43308</v>
      </c>
      <c r="L638" s="23">
        <v>14150.32</v>
      </c>
      <c r="M638" s="25">
        <f t="shared" si="53"/>
        <v>9.5595011278897177E-3</v>
      </c>
      <c r="O638" t="b">
        <f t="shared" si="51"/>
        <v>1</v>
      </c>
      <c r="Q638" s="25">
        <f t="shared" si="58"/>
        <v>0.10297156424332798</v>
      </c>
      <c r="R638" s="25">
        <f t="shared" si="55"/>
        <v>0.15894044686724307</v>
      </c>
      <c r="X638">
        <f t="shared" si="59"/>
        <v>0</v>
      </c>
      <c r="Y638">
        <f t="shared" si="56"/>
        <v>0</v>
      </c>
    </row>
    <row r="639" spans="1:25">
      <c r="A639" s="27">
        <v>43311</v>
      </c>
      <c r="B639" s="24">
        <v>753.99</v>
      </c>
      <c r="C639" s="25">
        <f t="shared" si="52"/>
        <v>2.4463205477631214E-3</v>
      </c>
      <c r="E639" s="25">
        <f t="shared" si="57"/>
        <v>6.1778290993071527E-2</v>
      </c>
      <c r="F639" s="25">
        <f t="shared" si="54"/>
        <v>0.1631359492720148</v>
      </c>
      <c r="K639" s="29">
        <v>43311</v>
      </c>
      <c r="L639" s="24">
        <v>14209.48</v>
      </c>
      <c r="M639" s="25">
        <f t="shared" si="53"/>
        <v>4.163417662011548E-3</v>
      </c>
      <c r="O639" t="b">
        <f t="shared" si="51"/>
        <v>1</v>
      </c>
      <c r="Q639" s="25">
        <f t="shared" si="58"/>
        <v>0.11484500655122898</v>
      </c>
      <c r="R639" s="25">
        <f t="shared" si="55"/>
        <v>0.16759689661428889</v>
      </c>
      <c r="X639">
        <f t="shared" si="59"/>
        <v>0</v>
      </c>
      <c r="Y639">
        <f t="shared" si="56"/>
        <v>0</v>
      </c>
    </row>
    <row r="640" spans="1:25">
      <c r="A640" s="26">
        <v>43312</v>
      </c>
      <c r="B640" s="23">
        <v>758.46</v>
      </c>
      <c r="C640" s="25">
        <f t="shared" si="52"/>
        <v>5.9284605896630293E-3</v>
      </c>
      <c r="E640" s="25">
        <f t="shared" si="57"/>
        <v>6.0056744329061162E-2</v>
      </c>
      <c r="F640" s="25">
        <f t="shared" si="54"/>
        <v>0.16425172699779722</v>
      </c>
      <c r="K640" s="28">
        <v>43312</v>
      </c>
      <c r="L640" s="23">
        <v>14257.02</v>
      </c>
      <c r="M640" s="25">
        <f t="shared" si="53"/>
        <v>3.3344976720240888E-3</v>
      </c>
      <c r="O640" t="b">
        <f t="shared" si="51"/>
        <v>1</v>
      </c>
      <c r="Q640" s="25">
        <f t="shared" si="58"/>
        <v>0.11254851834684132</v>
      </c>
      <c r="R640" s="25">
        <f t="shared" si="55"/>
        <v>0.16827304824905598</v>
      </c>
      <c r="X640">
        <f t="shared" si="59"/>
        <v>0</v>
      </c>
      <c r="Y640">
        <f t="shared" si="56"/>
        <v>0</v>
      </c>
    </row>
    <row r="641" spans="1:25">
      <c r="A641" s="27">
        <v>43313</v>
      </c>
      <c r="B641" s="24">
        <v>757.44</v>
      </c>
      <c r="C641" s="25">
        <f t="shared" si="52"/>
        <v>-1.3448303140574081E-3</v>
      </c>
      <c r="E641" s="25">
        <f t="shared" si="57"/>
        <v>5.4401692744584951E-2</v>
      </c>
      <c r="F641" s="25">
        <f t="shared" si="54"/>
        <v>0.15453796174509415</v>
      </c>
      <c r="K641" s="29">
        <v>43313</v>
      </c>
      <c r="L641" s="24">
        <v>14258.89</v>
      </c>
      <c r="M641" s="25">
        <f t="shared" si="53"/>
        <v>1.3114625331978727E-4</v>
      </c>
      <c r="O641" t="b">
        <f t="shared" si="51"/>
        <v>1</v>
      </c>
      <c r="Q641" s="25">
        <f t="shared" si="58"/>
        <v>0.10885857219845607</v>
      </c>
      <c r="R641" s="25">
        <f t="shared" si="55"/>
        <v>0.15909947245290623</v>
      </c>
      <c r="X641">
        <f t="shared" si="59"/>
        <v>0</v>
      </c>
      <c r="Y641">
        <f t="shared" si="56"/>
        <v>0</v>
      </c>
    </row>
    <row r="642" spans="1:25">
      <c r="A642" s="26">
        <v>43314</v>
      </c>
      <c r="B642" s="23">
        <v>754.22</v>
      </c>
      <c r="C642" s="25">
        <f t="shared" si="52"/>
        <v>-4.2511618081960646E-3</v>
      </c>
      <c r="E642" s="25">
        <f t="shared" si="57"/>
        <v>5.6330532212885087E-2</v>
      </c>
      <c r="F642" s="25">
        <f t="shared" si="54"/>
        <v>0.15073538846522005</v>
      </c>
      <c r="K642" s="28">
        <v>43314</v>
      </c>
      <c r="L642" s="23">
        <v>14168.71</v>
      </c>
      <c r="M642" s="25">
        <f t="shared" si="53"/>
        <v>-6.3647290402584497E-3</v>
      </c>
      <c r="O642" t="b">
        <f t="shared" si="51"/>
        <v>1</v>
      </c>
      <c r="Q642" s="25">
        <f t="shared" si="58"/>
        <v>0.11186000431601029</v>
      </c>
      <c r="R642" s="25">
        <f t="shared" si="55"/>
        <v>0.15273565836560232</v>
      </c>
      <c r="X642">
        <f t="shared" si="59"/>
        <v>0</v>
      </c>
      <c r="Y642">
        <f t="shared" si="56"/>
        <v>0</v>
      </c>
    </row>
    <row r="643" spans="1:25">
      <c r="A643" s="27">
        <v>43315</v>
      </c>
      <c r="B643" s="24">
        <v>761.23</v>
      </c>
      <c r="C643" s="25">
        <f t="shared" si="52"/>
        <v>9.294370342870768E-3</v>
      </c>
      <c r="E643" s="25">
        <f t="shared" si="57"/>
        <v>7.6765304967749248E-2</v>
      </c>
      <c r="F643" s="25">
        <f t="shared" si="54"/>
        <v>0.15836092920305589</v>
      </c>
      <c r="K643" s="29">
        <v>43315</v>
      </c>
      <c r="L643" s="24">
        <v>14312.09</v>
      </c>
      <c r="M643" s="25">
        <f t="shared" si="53"/>
        <v>1.0018103575368868E-2</v>
      </c>
      <c r="O643" t="b">
        <f t="shared" ref="O643:O706" si="60">K643=A643</f>
        <v>1</v>
      </c>
      <c r="Q643" s="25">
        <f t="shared" si="58"/>
        <v>0.13476610660803634</v>
      </c>
      <c r="R643" s="25">
        <f t="shared" si="55"/>
        <v>0.16085458460658963</v>
      </c>
      <c r="X643">
        <f t="shared" si="59"/>
        <v>0</v>
      </c>
      <c r="Y643">
        <f t="shared" si="56"/>
        <v>0</v>
      </c>
    </row>
    <row r="644" spans="1:25">
      <c r="A644" s="26">
        <v>43318</v>
      </c>
      <c r="B644" s="23">
        <v>762.98</v>
      </c>
      <c r="C644" s="25">
        <f t="shared" ref="C644:C707" si="61">(B644-B643)/B643</f>
        <v>2.2989109730304899E-3</v>
      </c>
      <c r="E644" s="25">
        <f t="shared" si="57"/>
        <v>9.5181362768599342E-2</v>
      </c>
      <c r="F644" s="25">
        <f t="shared" si="54"/>
        <v>0.16330619590349316</v>
      </c>
      <c r="K644" s="28">
        <v>43318</v>
      </c>
      <c r="L644" s="23">
        <v>14347.97</v>
      </c>
      <c r="M644" s="25">
        <f t="shared" ref="M644:M707" si="62">(L644-L643)/L644</f>
        <v>2.5007021899264635E-3</v>
      </c>
      <c r="O644" t="b">
        <f t="shared" si="60"/>
        <v>1</v>
      </c>
      <c r="Q644" s="25">
        <f t="shared" si="58"/>
        <v>0.15617966753721446</v>
      </c>
      <c r="R644" s="25">
        <f t="shared" si="55"/>
        <v>0.1695451930080214</v>
      </c>
      <c r="X644">
        <f t="shared" si="59"/>
        <v>0</v>
      </c>
      <c r="Y644">
        <f t="shared" si="56"/>
        <v>0</v>
      </c>
    </row>
    <row r="645" spans="1:25">
      <c r="A645" s="27">
        <v>43319</v>
      </c>
      <c r="B645" s="24">
        <v>763.46</v>
      </c>
      <c r="C645" s="25">
        <f t="shared" si="61"/>
        <v>6.291121654565233E-4</v>
      </c>
      <c r="E645" s="25">
        <f t="shared" si="57"/>
        <v>0.10409556313993185</v>
      </c>
      <c r="F645" s="25">
        <f t="shared" si="54"/>
        <v>0.16426074418349645</v>
      </c>
      <c r="K645" s="29">
        <v>43319</v>
      </c>
      <c r="L645" s="24">
        <v>14341.27</v>
      </c>
      <c r="M645" s="25">
        <f t="shared" si="62"/>
        <v>-4.6718317136480302E-4</v>
      </c>
      <c r="O645" t="b">
        <f t="shared" si="60"/>
        <v>1</v>
      </c>
      <c r="Q645" s="25">
        <f t="shared" si="58"/>
        <v>0.16487726822294801</v>
      </c>
      <c r="R645" s="25">
        <f t="shared" si="55"/>
        <v>0.16823735156521047</v>
      </c>
      <c r="X645">
        <f t="shared" si="59"/>
        <v>0</v>
      </c>
      <c r="Y645">
        <f t="shared" si="56"/>
        <v>0</v>
      </c>
    </row>
    <row r="646" spans="1:25">
      <c r="A646" s="26">
        <v>43320</v>
      </c>
      <c r="B646" s="23">
        <v>765.7</v>
      </c>
      <c r="C646" s="25">
        <f t="shared" si="61"/>
        <v>2.9340109501480222E-3</v>
      </c>
      <c r="E646" s="25">
        <f t="shared" si="57"/>
        <v>8.9483644228169901E-2</v>
      </c>
      <c r="F646" s="25">
        <f t="shared" si="54"/>
        <v>0.16260771241592265</v>
      </c>
      <c r="K646" s="28">
        <v>43320</v>
      </c>
      <c r="L646" s="23">
        <v>14400.66</v>
      </c>
      <c r="M646" s="25">
        <f t="shared" si="62"/>
        <v>4.1241165335477274E-3</v>
      </c>
      <c r="O646" t="b">
        <f t="shared" si="60"/>
        <v>1</v>
      </c>
      <c r="Q646" s="25">
        <f t="shared" si="58"/>
        <v>0.15403312083535359</v>
      </c>
      <c r="R646" s="25">
        <f t="shared" si="55"/>
        <v>0.16598836585571997</v>
      </c>
      <c r="X646">
        <f t="shared" si="59"/>
        <v>0</v>
      </c>
      <c r="Y646">
        <f t="shared" si="56"/>
        <v>0</v>
      </c>
    </row>
    <row r="647" spans="1:25">
      <c r="A647" s="27">
        <v>43321</v>
      </c>
      <c r="B647" s="24">
        <v>768.18</v>
      </c>
      <c r="C647" s="25">
        <f t="shared" si="61"/>
        <v>3.2388663967610086E-3</v>
      </c>
      <c r="E647" s="25">
        <f t="shared" si="57"/>
        <v>8.0209241499564099E-2</v>
      </c>
      <c r="F647" s="25">
        <f t="shared" si="54"/>
        <v>0.16231609403373293</v>
      </c>
      <c r="K647" s="29">
        <v>43321</v>
      </c>
      <c r="L647" s="24">
        <v>14438</v>
      </c>
      <c r="M647" s="25">
        <f t="shared" si="62"/>
        <v>2.5862307798864208E-3</v>
      </c>
      <c r="O647" t="b">
        <f t="shared" si="60"/>
        <v>1</v>
      </c>
      <c r="Q647" s="25">
        <f t="shared" si="58"/>
        <v>0.1443798726106571</v>
      </c>
      <c r="R647" s="25">
        <f t="shared" si="55"/>
        <v>0.16814989931162905</v>
      </c>
      <c r="X647">
        <f t="shared" si="59"/>
        <v>0</v>
      </c>
      <c r="Y647">
        <f t="shared" si="56"/>
        <v>0</v>
      </c>
    </row>
    <row r="648" spans="1:25">
      <c r="A648" s="26">
        <v>43322</v>
      </c>
      <c r="B648" s="23">
        <v>765.97</v>
      </c>
      <c r="C648" s="25">
        <f t="shared" si="61"/>
        <v>-2.8769298862244825E-3</v>
      </c>
      <c r="E648" s="25">
        <f t="shared" si="57"/>
        <v>7.5498455490030869E-2</v>
      </c>
      <c r="F648" s="25">
        <f t="shared" si="54"/>
        <v>0.15908457013577704</v>
      </c>
      <c r="K648" s="28">
        <v>43322</v>
      </c>
      <c r="L648" s="23">
        <v>14372.06</v>
      </c>
      <c r="M648" s="25">
        <f t="shared" si="62"/>
        <v>-4.5880687945917646E-3</v>
      </c>
      <c r="O648" t="b">
        <f t="shared" si="60"/>
        <v>1</v>
      </c>
      <c r="Q648" s="25">
        <f t="shared" si="58"/>
        <v>0.13815561274995036</v>
      </c>
      <c r="R648" s="25">
        <f t="shared" si="55"/>
        <v>0.16512477991218244</v>
      </c>
      <c r="X648">
        <f t="shared" si="59"/>
        <v>0</v>
      </c>
      <c r="Y648">
        <f t="shared" si="56"/>
        <v>0</v>
      </c>
    </row>
    <row r="649" spans="1:25">
      <c r="A649" s="27">
        <v>43325</v>
      </c>
      <c r="B649" s="24">
        <v>760.51</v>
      </c>
      <c r="C649" s="25">
        <f t="shared" si="61"/>
        <v>-7.1282165097850255E-3</v>
      </c>
      <c r="E649" s="25">
        <f t="shared" si="57"/>
        <v>7.4075643307064398E-2</v>
      </c>
      <c r="F649" s="25">
        <f t="shared" si="54"/>
        <v>0.14952515997239169</v>
      </c>
      <c r="K649" s="29">
        <v>43325</v>
      </c>
      <c r="L649" s="24">
        <v>14272.7</v>
      </c>
      <c r="M649" s="25">
        <f t="shared" si="62"/>
        <v>-6.9615419647297821E-3</v>
      </c>
      <c r="O649" t="b">
        <f t="shared" si="60"/>
        <v>1</v>
      </c>
      <c r="Q649" s="25">
        <f t="shared" si="58"/>
        <v>0.13666825679861039</v>
      </c>
      <c r="R649" s="25">
        <f t="shared" si="55"/>
        <v>0.15723111067294182</v>
      </c>
      <c r="X649">
        <f t="shared" si="59"/>
        <v>0</v>
      </c>
      <c r="Y649">
        <f t="shared" si="56"/>
        <v>0</v>
      </c>
    </row>
    <row r="650" spans="1:25">
      <c r="A650" s="26">
        <v>43326</v>
      </c>
      <c r="B650" s="23">
        <v>768.69</v>
      </c>
      <c r="C650" s="25">
        <f t="shared" si="61"/>
        <v>1.0755940092832525E-2</v>
      </c>
      <c r="E650" s="25">
        <f t="shared" si="57"/>
        <v>9.5218419627846052E-2</v>
      </c>
      <c r="F650" s="25">
        <f t="shared" si="54"/>
        <v>0.15269039257450334</v>
      </c>
      <c r="K650" s="28">
        <v>43326</v>
      </c>
      <c r="L650" s="23">
        <v>14382.48</v>
      </c>
      <c r="M650" s="25">
        <f t="shared" si="62"/>
        <v>7.6328978034385471E-3</v>
      </c>
      <c r="O650" t="b">
        <f t="shared" si="60"/>
        <v>1</v>
      </c>
      <c r="Q650" s="25">
        <f t="shared" si="58"/>
        <v>0.15683047714648346</v>
      </c>
      <c r="R650" s="25">
        <f t="shared" si="55"/>
        <v>0.16106860304984094</v>
      </c>
      <c r="X650">
        <f t="shared" si="59"/>
        <v>0</v>
      </c>
      <c r="Y650">
        <f t="shared" si="56"/>
        <v>0</v>
      </c>
    </row>
    <row r="651" spans="1:25">
      <c r="A651" s="27">
        <v>43328</v>
      </c>
      <c r="B651" s="24">
        <v>767.47</v>
      </c>
      <c r="C651" s="25">
        <f t="shared" si="61"/>
        <v>-1.5871157423669193E-3</v>
      </c>
      <c r="E651" s="25">
        <f t="shared" si="57"/>
        <v>9.6041244180400387E-2</v>
      </c>
      <c r="F651" s="25">
        <f t="shared" si="54"/>
        <v>0.15505427119447801</v>
      </c>
      <c r="K651" s="29">
        <v>43328</v>
      </c>
      <c r="L651" s="24">
        <v>14322.64</v>
      </c>
      <c r="M651" s="25">
        <f t="shared" si="62"/>
        <v>-4.1780007037808776E-3</v>
      </c>
      <c r="O651" t="b">
        <f t="shared" si="60"/>
        <v>1</v>
      </c>
      <c r="Q651" s="25">
        <f t="shared" si="58"/>
        <v>0.15336899635934342</v>
      </c>
      <c r="R651" s="25">
        <f t="shared" si="55"/>
        <v>0.16129602949222033</v>
      </c>
      <c r="X651">
        <f t="shared" si="59"/>
        <v>0</v>
      </c>
      <c r="Y651">
        <f t="shared" si="56"/>
        <v>0</v>
      </c>
    </row>
    <row r="652" spans="1:25">
      <c r="A652" s="26">
        <v>43329</v>
      </c>
      <c r="B652" s="23">
        <v>777.5</v>
      </c>
      <c r="C652" s="25">
        <f t="shared" si="61"/>
        <v>1.3068914745853222E-2</v>
      </c>
      <c r="E652" s="25">
        <f t="shared" si="57"/>
        <v>9.9826008232781316E-2</v>
      </c>
      <c r="F652" s="25">
        <f t="shared" si="54"/>
        <v>0.16129621318068432</v>
      </c>
      <c r="K652" s="28">
        <v>43329</v>
      </c>
      <c r="L652" s="23">
        <v>14447.62</v>
      </c>
      <c r="M652" s="25">
        <f t="shared" si="62"/>
        <v>8.6505597461728218E-3</v>
      </c>
      <c r="O652" t="b">
        <f t="shared" si="60"/>
        <v>1</v>
      </c>
      <c r="Q652" s="25">
        <f t="shared" si="58"/>
        <v>0.15178113031859786</v>
      </c>
      <c r="R652" s="25">
        <f t="shared" si="55"/>
        <v>0.16666215806862117</v>
      </c>
      <c r="X652">
        <f t="shared" si="59"/>
        <v>0</v>
      </c>
      <c r="Y652">
        <f t="shared" si="56"/>
        <v>0</v>
      </c>
    </row>
    <row r="653" spans="1:25">
      <c r="A653" s="27">
        <v>43332</v>
      </c>
      <c r="B653" s="24">
        <v>780.5</v>
      </c>
      <c r="C653" s="25">
        <f t="shared" si="61"/>
        <v>3.8585209003215433E-3</v>
      </c>
      <c r="E653" s="25">
        <f t="shared" si="57"/>
        <v>0.10097049032330885</v>
      </c>
      <c r="F653" s="25">
        <f t="shared" si="54"/>
        <v>0.16134087664253127</v>
      </c>
      <c r="K653" s="29">
        <v>43332</v>
      </c>
      <c r="L653" s="24">
        <v>14551.95</v>
      </c>
      <c r="M653" s="25">
        <f t="shared" si="62"/>
        <v>7.1694858764632862E-3</v>
      </c>
      <c r="O653" t="b">
        <f t="shared" si="60"/>
        <v>1</v>
      </c>
      <c r="Q653" s="25">
        <f t="shared" si="58"/>
        <v>0.15708942347296584</v>
      </c>
      <c r="R653" s="25">
        <f t="shared" si="55"/>
        <v>0.16877839628856539</v>
      </c>
      <c r="X653">
        <f t="shared" si="59"/>
        <v>0</v>
      </c>
      <c r="Y653">
        <f t="shared" si="56"/>
        <v>0</v>
      </c>
    </row>
    <row r="654" spans="1:25">
      <c r="A654" s="26">
        <v>43333</v>
      </c>
      <c r="B654" s="23">
        <v>782.12</v>
      </c>
      <c r="C654" s="25">
        <f t="shared" si="61"/>
        <v>2.0755925688661172E-3</v>
      </c>
      <c r="E654" s="25">
        <f t="shared" si="57"/>
        <v>9.3369493800064207E-2</v>
      </c>
      <c r="F654" s="25">
        <f t="shared" si="54"/>
        <v>0.16459998984064739</v>
      </c>
      <c r="K654" s="28">
        <v>43333</v>
      </c>
      <c r="L654" s="23">
        <v>14585.85</v>
      </c>
      <c r="M654" s="25">
        <f t="shared" si="62"/>
        <v>2.3241703431750387E-3</v>
      </c>
      <c r="O654" t="b">
        <f t="shared" si="60"/>
        <v>1</v>
      </c>
      <c r="Q654" s="25">
        <f t="shared" si="58"/>
        <v>0.15123878229160903</v>
      </c>
      <c r="R654" s="25">
        <f t="shared" si="55"/>
        <v>0.17351978654003242</v>
      </c>
      <c r="X654">
        <f t="shared" si="59"/>
        <v>0</v>
      </c>
      <c r="Y654">
        <f t="shared" si="56"/>
        <v>0</v>
      </c>
    </row>
    <row r="655" spans="1:25">
      <c r="A655" s="27">
        <v>43335</v>
      </c>
      <c r="B655" s="24">
        <v>783.29</v>
      </c>
      <c r="C655" s="25">
        <f t="shared" si="61"/>
        <v>1.4959341277552794E-3</v>
      </c>
      <c r="E655" s="25">
        <f t="shared" si="57"/>
        <v>0.10526464321494577</v>
      </c>
      <c r="F655" s="25">
        <f t="shared" si="54"/>
        <v>0.16342476002268325</v>
      </c>
      <c r="K655" s="29">
        <v>43335</v>
      </c>
      <c r="L655" s="24">
        <v>14601.32</v>
      </c>
      <c r="M655" s="25">
        <f t="shared" si="62"/>
        <v>1.0594932512950435E-3</v>
      </c>
      <c r="O655" t="b">
        <f t="shared" si="60"/>
        <v>1</v>
      </c>
      <c r="Q655" s="25">
        <f t="shared" si="58"/>
        <v>0.16561212254744651</v>
      </c>
      <c r="R655" s="25">
        <f t="shared" si="55"/>
        <v>0.17483709558174509</v>
      </c>
      <c r="X655">
        <f t="shared" si="59"/>
        <v>0</v>
      </c>
      <c r="Y655">
        <f t="shared" si="56"/>
        <v>0</v>
      </c>
    </row>
    <row r="656" spans="1:25">
      <c r="A656" s="26">
        <v>43336</v>
      </c>
      <c r="B656" s="23">
        <v>780.35</v>
      </c>
      <c r="C656" s="25">
        <f t="shared" si="61"/>
        <v>-3.7533991242067956E-3</v>
      </c>
      <c r="E656" s="25">
        <f t="shared" si="57"/>
        <v>9.1444396268374861E-2</v>
      </c>
      <c r="F656" s="25">
        <f t="shared" si="54"/>
        <v>0.16056765767531944</v>
      </c>
      <c r="K656" s="28">
        <v>43336</v>
      </c>
      <c r="L656" s="23">
        <v>14571.39</v>
      </c>
      <c r="M656" s="25">
        <f t="shared" si="62"/>
        <v>-2.0540250449682762E-3</v>
      </c>
      <c r="O656" t="b">
        <f t="shared" si="60"/>
        <v>1</v>
      </c>
      <c r="Q656" s="25">
        <f t="shared" si="58"/>
        <v>0.15094958105324352</v>
      </c>
      <c r="R656" s="25">
        <f t="shared" si="55"/>
        <v>0.17154118095147086</v>
      </c>
      <c r="X656">
        <f t="shared" si="59"/>
        <v>0</v>
      </c>
      <c r="Y656">
        <f t="shared" si="56"/>
        <v>0</v>
      </c>
    </row>
    <row r="657" spans="1:25">
      <c r="A657" s="27">
        <v>43339</v>
      </c>
      <c r="B657" s="24">
        <v>789.59</v>
      </c>
      <c r="C657" s="25">
        <f t="shared" si="61"/>
        <v>1.1840840648427E-2</v>
      </c>
      <c r="E657" s="25">
        <f t="shared" si="57"/>
        <v>0.10213282711258764</v>
      </c>
      <c r="F657" s="25">
        <f t="shared" si="54"/>
        <v>0.16093419281680554</v>
      </c>
      <c r="K657" s="29">
        <v>43339</v>
      </c>
      <c r="L657" s="24">
        <v>14731.17</v>
      </c>
      <c r="M657" s="25">
        <f t="shared" si="62"/>
        <v>1.0846388983359819E-2</v>
      </c>
      <c r="O657" t="b">
        <f t="shared" si="60"/>
        <v>1</v>
      </c>
      <c r="Q657" s="25">
        <f t="shared" si="58"/>
        <v>0.15925825955092354</v>
      </c>
      <c r="R657" s="25">
        <f t="shared" si="55"/>
        <v>0.16991842883811303</v>
      </c>
      <c r="X657">
        <f t="shared" si="59"/>
        <v>0</v>
      </c>
      <c r="Y657">
        <f t="shared" si="56"/>
        <v>0</v>
      </c>
    </row>
    <row r="658" spans="1:25">
      <c r="A658" s="26">
        <v>43340</v>
      </c>
      <c r="B658" s="23">
        <v>789.76</v>
      </c>
      <c r="C658" s="25">
        <f t="shared" si="61"/>
        <v>2.1530161222907973E-4</v>
      </c>
      <c r="E658" s="25">
        <f t="shared" si="57"/>
        <v>9.2942153335178412E-2</v>
      </c>
      <c r="F658" s="25">
        <f t="shared" si="54"/>
        <v>0.15799945176269681</v>
      </c>
      <c r="K658" s="28">
        <v>43340</v>
      </c>
      <c r="L658" s="23">
        <v>14771.29</v>
      </c>
      <c r="M658" s="25">
        <f t="shared" si="62"/>
        <v>2.7160796382713222E-3</v>
      </c>
      <c r="O658" t="b">
        <f t="shared" si="60"/>
        <v>1</v>
      </c>
      <c r="Q658" s="25">
        <f t="shared" si="58"/>
        <v>0.15441197732642165</v>
      </c>
      <c r="R658" s="25">
        <f t="shared" si="55"/>
        <v>0.16913611405846929</v>
      </c>
      <c r="X658">
        <f t="shared" si="59"/>
        <v>0</v>
      </c>
      <c r="Y658">
        <f t="shared" si="56"/>
        <v>0</v>
      </c>
    </row>
    <row r="659" spans="1:25">
      <c r="A659" s="27">
        <v>43341</v>
      </c>
      <c r="B659" s="24">
        <v>789.5</v>
      </c>
      <c r="C659" s="25">
        <f t="shared" si="61"/>
        <v>-3.2921393841165786E-4</v>
      </c>
      <c r="E659" s="25">
        <f t="shared" si="57"/>
        <v>0.10034843205574906</v>
      </c>
      <c r="F659" s="25">
        <f t="shared" si="54"/>
        <v>0.15921699495579156</v>
      </c>
      <c r="K659" s="29">
        <v>43341</v>
      </c>
      <c r="L659" s="24">
        <v>14753.44</v>
      </c>
      <c r="M659" s="25">
        <f t="shared" si="62"/>
        <v>-1.2098873211942682E-3</v>
      </c>
      <c r="O659" t="b">
        <f t="shared" si="60"/>
        <v>1</v>
      </c>
      <c r="Q659" s="25">
        <f t="shared" si="58"/>
        <v>0.16028944634460363</v>
      </c>
      <c r="R659" s="25">
        <f t="shared" si="55"/>
        <v>0.16969441025504728</v>
      </c>
      <c r="X659">
        <f t="shared" si="59"/>
        <v>0</v>
      </c>
      <c r="Y659">
        <f t="shared" si="56"/>
        <v>0</v>
      </c>
    </row>
    <row r="660" spans="1:25">
      <c r="A660" s="26">
        <v>43342</v>
      </c>
      <c r="B660" s="23">
        <v>790.68</v>
      </c>
      <c r="C660" s="25">
        <f t="shared" si="61"/>
        <v>1.4946168461050665E-3</v>
      </c>
      <c r="E660" s="25">
        <f t="shared" si="57"/>
        <v>9.6461060572442747E-2</v>
      </c>
      <c r="F660" s="25">
        <f t="shared" si="54"/>
        <v>0.15677010578103268</v>
      </c>
      <c r="K660" s="28">
        <v>43342</v>
      </c>
      <c r="L660" s="23">
        <v>14756.03</v>
      </c>
      <c r="M660" s="25">
        <f t="shared" si="62"/>
        <v>1.7552146478423705E-4</v>
      </c>
      <c r="O660" t="b">
        <f t="shared" si="60"/>
        <v>1</v>
      </c>
      <c r="Q660" s="25">
        <f t="shared" si="58"/>
        <v>0.15422064843039296</v>
      </c>
      <c r="R660" s="25">
        <f t="shared" si="55"/>
        <v>0.16737352329291921</v>
      </c>
      <c r="X660">
        <f t="shared" si="59"/>
        <v>0</v>
      </c>
      <c r="Y660">
        <f t="shared" si="56"/>
        <v>0</v>
      </c>
    </row>
    <row r="661" spans="1:25">
      <c r="A661" s="27">
        <v>43343</v>
      </c>
      <c r="B661" s="24">
        <v>793.24</v>
      </c>
      <c r="C661" s="25">
        <f t="shared" si="61"/>
        <v>3.2377194313755998E-3</v>
      </c>
      <c r="E661" s="25">
        <f t="shared" si="57"/>
        <v>0.10054525021851646</v>
      </c>
      <c r="F661" s="25">
        <f t="shared" si="54"/>
        <v>0.1510784622450394</v>
      </c>
      <c r="K661" s="29">
        <v>43343</v>
      </c>
      <c r="L661" s="24">
        <v>14782.95</v>
      </c>
      <c r="M661" s="25">
        <f t="shared" si="62"/>
        <v>1.8210167794655379E-3</v>
      </c>
      <c r="O661" t="b">
        <f t="shared" si="60"/>
        <v>1</v>
      </c>
      <c r="Q661" s="25">
        <f t="shared" si="58"/>
        <v>0.15827878704302956</v>
      </c>
      <c r="R661" s="25">
        <f t="shared" si="55"/>
        <v>0.15992292937175256</v>
      </c>
      <c r="X661">
        <f t="shared" si="59"/>
        <v>0</v>
      </c>
      <c r="Y661">
        <f t="shared" si="56"/>
        <v>0</v>
      </c>
    </row>
    <row r="662" spans="1:25">
      <c r="A662" s="26">
        <v>43346</v>
      </c>
      <c r="B662" s="23">
        <v>788.66</v>
      </c>
      <c r="C662" s="25">
        <f t="shared" si="61"/>
        <v>-5.7737885129343462E-3</v>
      </c>
      <c r="E662" s="25">
        <f t="shared" si="57"/>
        <v>8.7986977154839385E-2</v>
      </c>
      <c r="F662" s="25">
        <f t="shared" si="54"/>
        <v>0.14819180531156362</v>
      </c>
      <c r="K662" s="28">
        <v>43346</v>
      </c>
      <c r="L662" s="23">
        <v>14678.85</v>
      </c>
      <c r="M662" s="25">
        <f t="shared" si="62"/>
        <v>-7.0918362133273625E-3</v>
      </c>
      <c r="O662" t="b">
        <f t="shared" si="60"/>
        <v>1</v>
      </c>
      <c r="Q662" s="25">
        <f t="shared" si="58"/>
        <v>0.14669109174638018</v>
      </c>
      <c r="R662" s="25">
        <f t="shared" si="55"/>
        <v>0.15637065667012107</v>
      </c>
      <c r="X662">
        <f t="shared" si="59"/>
        <v>0</v>
      </c>
      <c r="Y662">
        <f t="shared" si="56"/>
        <v>0</v>
      </c>
    </row>
    <row r="663" spans="1:25">
      <c r="A663" s="27">
        <v>43347</v>
      </c>
      <c r="B663" s="24">
        <v>777.33</v>
      </c>
      <c r="C663" s="25">
        <f t="shared" si="61"/>
        <v>-1.4366140034995978E-2</v>
      </c>
      <c r="E663" s="25">
        <f t="shared" si="57"/>
        <v>7.2371597665788379E-2</v>
      </c>
      <c r="F663" s="25">
        <f t="shared" si="54"/>
        <v>0.13688723952765347</v>
      </c>
      <c r="K663" s="29">
        <v>43347</v>
      </c>
      <c r="L663" s="24">
        <v>14507.89</v>
      </c>
      <c r="M663" s="25">
        <f t="shared" si="62"/>
        <v>-1.1783932742804154E-2</v>
      </c>
      <c r="O663" t="b">
        <f t="shared" si="60"/>
        <v>1</v>
      </c>
      <c r="Q663" s="25">
        <f t="shared" si="58"/>
        <v>0.13426631380198661</v>
      </c>
      <c r="R663" s="25">
        <f t="shared" si="55"/>
        <v>0.14680185184928618</v>
      </c>
      <c r="X663">
        <f t="shared" si="59"/>
        <v>0</v>
      </c>
      <c r="Y663">
        <f t="shared" si="56"/>
        <v>0</v>
      </c>
    </row>
    <row r="664" spans="1:25">
      <c r="A664" s="26">
        <v>43348</v>
      </c>
      <c r="B664" s="23">
        <v>776.98</v>
      </c>
      <c r="C664" s="25">
        <f t="shared" si="61"/>
        <v>-4.5025922066564098E-4</v>
      </c>
      <c r="E664" s="25">
        <f t="shared" si="57"/>
        <v>6.233336523605737E-2</v>
      </c>
      <c r="F664" s="25">
        <f t="shared" si="54"/>
        <v>0.13988644833047359</v>
      </c>
      <c r="K664" s="28">
        <v>43348</v>
      </c>
      <c r="L664" s="23">
        <v>14446.48</v>
      </c>
      <c r="M664" s="25">
        <f t="shared" si="62"/>
        <v>-4.2508624938393195E-3</v>
      </c>
      <c r="O664" t="b">
        <f t="shared" si="60"/>
        <v>1</v>
      </c>
      <c r="Q664" s="25">
        <f t="shared" si="58"/>
        <v>0.12149138026734474</v>
      </c>
      <c r="R664" s="25">
        <f t="shared" si="55"/>
        <v>0.149430580752828</v>
      </c>
      <c r="X664">
        <f t="shared" si="59"/>
        <v>0</v>
      </c>
      <c r="Y664">
        <f t="shared" si="56"/>
        <v>0</v>
      </c>
    </row>
    <row r="665" spans="1:25">
      <c r="A665" s="27">
        <v>43349</v>
      </c>
      <c r="B665" s="24">
        <v>778.7</v>
      </c>
      <c r="C665" s="25">
        <f t="shared" si="61"/>
        <v>2.2136991943164912E-3</v>
      </c>
      <c r="E665" s="25">
        <f t="shared" si="57"/>
        <v>5.7054040479455059E-2</v>
      </c>
      <c r="F665" s="25">
        <f t="shared" si="54"/>
        <v>0.15462640268283279</v>
      </c>
      <c r="K665" s="29">
        <v>43349</v>
      </c>
      <c r="L665" s="24">
        <v>14524.31</v>
      </c>
      <c r="M665" s="25">
        <f t="shared" si="62"/>
        <v>5.3586022330837013E-3</v>
      </c>
      <c r="O665" t="b">
        <f t="shared" si="60"/>
        <v>1</v>
      </c>
      <c r="Q665" s="25">
        <f t="shared" si="58"/>
        <v>0.11740331597974185</v>
      </c>
      <c r="R665" s="25">
        <f t="shared" si="55"/>
        <v>0.1644775585023337</v>
      </c>
      <c r="X665">
        <f t="shared" si="59"/>
        <v>0</v>
      </c>
      <c r="Y665">
        <f t="shared" si="56"/>
        <v>0</v>
      </c>
    </row>
    <row r="666" spans="1:25">
      <c r="A666" s="26">
        <v>43350</v>
      </c>
      <c r="B666" s="23">
        <v>786.9</v>
      </c>
      <c r="C666" s="25">
        <f t="shared" si="61"/>
        <v>1.0530371131372713E-2</v>
      </c>
      <c r="E666" s="25">
        <f t="shared" si="57"/>
        <v>7.1895602898708555E-2</v>
      </c>
      <c r="F666" s="25">
        <f t="shared" si="54"/>
        <v>0.15492071199901947</v>
      </c>
      <c r="K666" s="28">
        <v>43350</v>
      </c>
      <c r="L666" s="23">
        <v>14612.84</v>
      </c>
      <c r="M666" s="25">
        <f t="shared" si="62"/>
        <v>6.0583705836785087E-3</v>
      </c>
      <c r="O666" t="b">
        <f t="shared" si="60"/>
        <v>1</v>
      </c>
      <c r="Q666" s="25">
        <f t="shared" si="58"/>
        <v>0.12718866211507751</v>
      </c>
      <c r="R666" s="25">
        <f t="shared" si="55"/>
        <v>0.16526433052175848</v>
      </c>
      <c r="X666">
        <f t="shared" si="59"/>
        <v>0</v>
      </c>
      <c r="Y666">
        <f t="shared" si="56"/>
        <v>0</v>
      </c>
    </row>
    <row r="667" spans="1:25">
      <c r="A667" s="27">
        <v>43353</v>
      </c>
      <c r="B667" s="24">
        <v>776.19</v>
      </c>
      <c r="C667" s="25">
        <f t="shared" si="61"/>
        <v>-1.3610369805566049E-2</v>
      </c>
      <c r="E667" s="25">
        <f t="shared" si="57"/>
        <v>5.5480765308203894E-2</v>
      </c>
      <c r="F667" s="25">
        <f t="shared" si="54"/>
        <v>0.14620890523266539</v>
      </c>
      <c r="K667" s="29">
        <v>43353</v>
      </c>
      <c r="L667" s="24">
        <v>14414.37</v>
      </c>
      <c r="M667" s="25">
        <f t="shared" si="62"/>
        <v>-1.3768898675418997E-2</v>
      </c>
      <c r="O667" t="b">
        <f t="shared" si="60"/>
        <v>1</v>
      </c>
      <c r="Q667" s="25">
        <f t="shared" si="58"/>
        <v>0.10946422427627667</v>
      </c>
      <c r="R667" s="25">
        <f t="shared" si="55"/>
        <v>0.15665410217268794</v>
      </c>
      <c r="X667">
        <f t="shared" si="59"/>
        <v>0</v>
      </c>
      <c r="Y667">
        <f t="shared" si="56"/>
        <v>0</v>
      </c>
    </row>
    <row r="668" spans="1:25">
      <c r="A668" s="26">
        <v>43354</v>
      </c>
      <c r="B668" s="23">
        <v>764.33</v>
      </c>
      <c r="C668" s="25">
        <f t="shared" si="61"/>
        <v>-1.5279763975315339E-2</v>
      </c>
      <c r="E668" s="25">
        <f t="shared" si="57"/>
        <v>4.0555994227680081E-2</v>
      </c>
      <c r="F668" s="25">
        <f t="shared" si="54"/>
        <v>0.13687000541062777</v>
      </c>
      <c r="K668" s="28">
        <v>43354</v>
      </c>
      <c r="L668" s="23">
        <v>14218.49</v>
      </c>
      <c r="M668" s="25">
        <f t="shared" si="62"/>
        <v>-1.3776427735997354E-2</v>
      </c>
      <c r="O668" t="b">
        <f t="shared" si="60"/>
        <v>1</v>
      </c>
      <c r="Q668" s="25">
        <f t="shared" si="58"/>
        <v>9.4035488370983522E-2</v>
      </c>
      <c r="R668" s="25">
        <f t="shared" si="55"/>
        <v>0.14687504009016039</v>
      </c>
      <c r="X668">
        <f t="shared" si="59"/>
        <v>0</v>
      </c>
      <c r="Y668">
        <f t="shared" si="56"/>
        <v>0</v>
      </c>
    </row>
    <row r="669" spans="1:25">
      <c r="A669" s="27">
        <v>43355</v>
      </c>
      <c r="B669" s="24">
        <v>768.32</v>
      </c>
      <c r="C669" s="25">
        <f t="shared" si="61"/>
        <v>5.220258265408932E-3</v>
      </c>
      <c r="E669" s="25">
        <f t="shared" si="57"/>
        <v>3.8522883944743347E-2</v>
      </c>
      <c r="F669" s="25">
        <f t="shared" si="54"/>
        <v>0.13710636635560869</v>
      </c>
      <c r="K669" s="29">
        <v>43355</v>
      </c>
      <c r="L669" s="24">
        <v>14299.56</v>
      </c>
      <c r="M669" s="25">
        <f t="shared" si="62"/>
        <v>5.6694052124680559E-3</v>
      </c>
      <c r="O669" t="b">
        <f t="shared" si="60"/>
        <v>1</v>
      </c>
      <c r="Q669" s="25">
        <f t="shared" si="58"/>
        <v>9.2901804719188075E-2</v>
      </c>
      <c r="R669" s="25">
        <f t="shared" si="55"/>
        <v>0.1480983496306556</v>
      </c>
      <c r="X669">
        <f t="shared" si="59"/>
        <v>0</v>
      </c>
      <c r="Y669">
        <f t="shared" si="56"/>
        <v>0</v>
      </c>
    </row>
    <row r="670" spans="1:25">
      <c r="A670" s="26">
        <v>43357</v>
      </c>
      <c r="B670" s="23">
        <v>779.01</v>
      </c>
      <c r="C670" s="25">
        <f t="shared" si="61"/>
        <v>1.3913473552686302E-2</v>
      </c>
      <c r="E670" s="25">
        <f t="shared" si="57"/>
        <v>5.1962783411880764E-2</v>
      </c>
      <c r="F670" s="25">
        <f t="shared" si="54"/>
        <v>0.14587699950558441</v>
      </c>
      <c r="K670" s="28">
        <v>43357</v>
      </c>
      <c r="L670" s="23">
        <v>14495.36</v>
      </c>
      <c r="M670" s="25">
        <f t="shared" si="62"/>
        <v>1.3507770762506146E-2</v>
      </c>
      <c r="O670" t="b">
        <f t="shared" si="60"/>
        <v>1</v>
      </c>
      <c r="Q670" s="25">
        <f t="shared" si="58"/>
        <v>0.10724207705663491</v>
      </c>
      <c r="R670" s="25">
        <f t="shared" si="55"/>
        <v>0.15773636280337633</v>
      </c>
      <c r="X670">
        <f t="shared" si="59"/>
        <v>0</v>
      </c>
      <c r="Y670">
        <f t="shared" si="56"/>
        <v>0</v>
      </c>
    </row>
    <row r="671" spans="1:25">
      <c r="A671" s="27">
        <v>43360</v>
      </c>
      <c r="B671" s="24">
        <v>772.51</v>
      </c>
      <c r="C671" s="25">
        <f t="shared" si="61"/>
        <v>-8.3439236980269831E-3</v>
      </c>
      <c r="E671" s="25">
        <f t="shared" si="57"/>
        <v>4.7016887587758349E-2</v>
      </c>
      <c r="F671" s="25">
        <f t="shared" si="54"/>
        <v>0.14028908917617477</v>
      </c>
      <c r="K671" s="29">
        <v>43360</v>
      </c>
      <c r="L671" s="24">
        <v>14353.62</v>
      </c>
      <c r="M671" s="25">
        <f t="shared" si="62"/>
        <v>-9.8748608364997662E-3</v>
      </c>
      <c r="O671" t="b">
        <f t="shared" si="60"/>
        <v>1</v>
      </c>
      <c r="Q671" s="25">
        <f t="shared" si="58"/>
        <v>9.8023826080171572E-2</v>
      </c>
      <c r="R671" s="25">
        <f t="shared" si="55"/>
        <v>0.15195240121055109</v>
      </c>
      <c r="X671">
        <f t="shared" si="59"/>
        <v>0</v>
      </c>
      <c r="Y671">
        <f t="shared" si="56"/>
        <v>0</v>
      </c>
    </row>
    <row r="672" spans="1:25">
      <c r="A672" s="26">
        <v>43361</v>
      </c>
      <c r="B672" s="23">
        <v>763.83</v>
      </c>
      <c r="C672" s="25">
        <f t="shared" si="61"/>
        <v>-1.1236100503553288E-2</v>
      </c>
      <c r="E672" s="25">
        <f t="shared" si="57"/>
        <v>3.6643459142543078E-2</v>
      </c>
      <c r="F672" s="25">
        <f t="shared" si="54"/>
        <v>0.12641001487141934</v>
      </c>
      <c r="K672" s="28">
        <v>43361</v>
      </c>
      <c r="L672" s="23">
        <v>14202.83</v>
      </c>
      <c r="M672" s="25">
        <f t="shared" si="62"/>
        <v>-1.0616898181559652E-2</v>
      </c>
      <c r="O672" t="b">
        <f t="shared" si="60"/>
        <v>1</v>
      </c>
      <c r="Q672" s="25">
        <f t="shared" si="58"/>
        <v>8.9751547791045772E-2</v>
      </c>
      <c r="R672" s="25">
        <f t="shared" si="55"/>
        <v>0.13970107733739279</v>
      </c>
      <c r="X672">
        <f t="shared" si="59"/>
        <v>0</v>
      </c>
      <c r="Y672">
        <f t="shared" si="56"/>
        <v>0</v>
      </c>
    </row>
    <row r="673" spans="1:25">
      <c r="A673" s="27">
        <v>43362</v>
      </c>
      <c r="B673" s="24">
        <v>760.38</v>
      </c>
      <c r="C673" s="25">
        <f t="shared" si="61"/>
        <v>-4.5167118337850641E-3</v>
      </c>
      <c r="E673" s="25">
        <f t="shared" si="57"/>
        <v>5.3946164721536904E-2</v>
      </c>
      <c r="F673" s="25">
        <f t="shared" si="54"/>
        <v>0.12411541096730572</v>
      </c>
      <c r="K673" s="29">
        <v>43362</v>
      </c>
      <c r="L673" s="24">
        <v>14132.44</v>
      </c>
      <c r="M673" s="25">
        <f t="shared" si="62"/>
        <v>-4.9807393486191636E-3</v>
      </c>
      <c r="O673" t="b">
        <f t="shared" si="60"/>
        <v>1</v>
      </c>
      <c r="Q673" s="25">
        <f t="shared" si="58"/>
        <v>0.10584549318610059</v>
      </c>
      <c r="R673" s="25">
        <f t="shared" si="55"/>
        <v>0.13823472298693718</v>
      </c>
      <c r="X673">
        <f t="shared" si="59"/>
        <v>0</v>
      </c>
      <c r="Y673">
        <f t="shared" si="56"/>
        <v>0</v>
      </c>
    </row>
    <row r="674" spans="1:25">
      <c r="A674" s="26">
        <v>43364</v>
      </c>
      <c r="B674" s="23">
        <v>747.15</v>
      </c>
      <c r="C674" s="25">
        <f t="shared" si="61"/>
        <v>-1.7399195139272492E-2</v>
      </c>
      <c r="E674" s="25">
        <f t="shared" si="57"/>
        <v>4.4497567522227666E-2</v>
      </c>
      <c r="F674" s="25">
        <f t="shared" si="54"/>
        <v>0.11780959657728873</v>
      </c>
      <c r="K674" s="28">
        <v>43364</v>
      </c>
      <c r="L674" s="23">
        <v>13954.55</v>
      </c>
      <c r="M674" s="25">
        <f t="shared" si="62"/>
        <v>-1.2747813437194409E-2</v>
      </c>
      <c r="O674" t="b">
        <f t="shared" si="60"/>
        <v>1</v>
      </c>
      <c r="Q674" s="25">
        <f t="shared" si="58"/>
        <v>0.10452525649082878</v>
      </c>
      <c r="R674" s="25">
        <f t="shared" si="55"/>
        <v>0.1367167860718852</v>
      </c>
      <c r="X674">
        <f t="shared" si="59"/>
        <v>0</v>
      </c>
      <c r="Y674">
        <f t="shared" si="56"/>
        <v>0</v>
      </c>
    </row>
    <row r="675" spans="1:25">
      <c r="A675" s="27">
        <v>43367</v>
      </c>
      <c r="B675" s="24">
        <v>729.83</v>
      </c>
      <c r="C675" s="25">
        <f t="shared" si="61"/>
        <v>-2.3181422739744276E-2</v>
      </c>
      <c r="E675" s="25">
        <f t="shared" si="57"/>
        <v>1.8661195321441504E-2</v>
      </c>
      <c r="F675" s="25">
        <f t="shared" si="54"/>
        <v>0.10395616390446416</v>
      </c>
      <c r="K675" s="29">
        <v>43367</v>
      </c>
      <c r="L675" s="24">
        <v>13684.55</v>
      </c>
      <c r="M675" s="25">
        <f t="shared" si="62"/>
        <v>-1.9730279768059602E-2</v>
      </c>
      <c r="O675" t="b">
        <f t="shared" si="60"/>
        <v>1</v>
      </c>
      <c r="Q675" s="25">
        <f t="shared" si="58"/>
        <v>8.111855405810009E-2</v>
      </c>
      <c r="R675" s="25">
        <f t="shared" si="55"/>
        <v>0.12639963605504412</v>
      </c>
      <c r="X675">
        <f t="shared" si="59"/>
        <v>0</v>
      </c>
      <c r="Y675">
        <f t="shared" si="56"/>
        <v>0</v>
      </c>
    </row>
    <row r="676" spans="1:25">
      <c r="A676" s="26">
        <v>43368</v>
      </c>
      <c r="B676" s="23">
        <v>734.68</v>
      </c>
      <c r="C676" s="25">
        <f t="shared" si="61"/>
        <v>6.6453831714233568E-3</v>
      </c>
      <c r="E676" s="25">
        <f t="shared" si="57"/>
        <v>4.0328518833191662E-2</v>
      </c>
      <c r="F676" s="25">
        <f t="shared" si="54"/>
        <v>0.10124633016245266</v>
      </c>
      <c r="K676" s="28">
        <v>43368</v>
      </c>
      <c r="L676" s="23">
        <v>13773.66</v>
      </c>
      <c r="M676" s="25">
        <f t="shared" si="62"/>
        <v>6.4695948644006443E-3</v>
      </c>
      <c r="O676" t="b">
        <f t="shared" si="60"/>
        <v>1</v>
      </c>
      <c r="Q676" s="25">
        <f t="shared" si="58"/>
        <v>0.10522438839638215</v>
      </c>
      <c r="R676" s="25">
        <f t="shared" si="55"/>
        <v>0.12667329970431385</v>
      </c>
      <c r="X676">
        <f t="shared" si="59"/>
        <v>0</v>
      </c>
      <c r="Y676">
        <f t="shared" si="56"/>
        <v>0</v>
      </c>
    </row>
    <row r="677" spans="1:25">
      <c r="A677" s="27">
        <v>43369</v>
      </c>
      <c r="B677" s="24">
        <v>736.43</v>
      </c>
      <c r="C677" s="25">
        <f t="shared" si="61"/>
        <v>2.3819894375782654E-3</v>
      </c>
      <c r="E677" s="25">
        <f t="shared" si="57"/>
        <v>3.6568372158491069E-2</v>
      </c>
      <c r="F677" s="25">
        <f t="shared" si="54"/>
        <v>0.11690087342901823</v>
      </c>
      <c r="K677" s="29">
        <v>43369</v>
      </c>
      <c r="L677" s="24">
        <v>13772.06</v>
      </c>
      <c r="M677" s="25">
        <f t="shared" si="62"/>
        <v>-1.1617724581510419E-4</v>
      </c>
      <c r="O677" t="b">
        <f t="shared" si="60"/>
        <v>1</v>
      </c>
      <c r="Q677" s="25">
        <f t="shared" si="58"/>
        <v>0.10043019825555555</v>
      </c>
      <c r="R677" s="25">
        <f t="shared" si="55"/>
        <v>0.14019761320560686</v>
      </c>
      <c r="X677">
        <f t="shared" si="59"/>
        <v>0</v>
      </c>
      <c r="Y677">
        <f t="shared" si="56"/>
        <v>0</v>
      </c>
    </row>
    <row r="678" spans="1:25">
      <c r="A678" s="26">
        <v>43370</v>
      </c>
      <c r="B678" s="23">
        <v>724.83</v>
      </c>
      <c r="C678" s="25">
        <f t="shared" si="61"/>
        <v>-1.5751666825088481E-2</v>
      </c>
      <c r="E678" s="25">
        <f t="shared" si="57"/>
        <v>1.515384938586295E-2</v>
      </c>
      <c r="F678" s="25">
        <f t="shared" si="54"/>
        <v>9.8024943596195069E-2</v>
      </c>
      <c r="K678" s="28">
        <v>43370</v>
      </c>
      <c r="L678" s="23">
        <v>13624.1</v>
      </c>
      <c r="M678" s="25">
        <f t="shared" si="62"/>
        <v>-1.0860166910107759E-2</v>
      </c>
      <c r="O678" t="b">
        <f t="shared" si="60"/>
        <v>1</v>
      </c>
      <c r="Q678" s="25">
        <f t="shared" si="58"/>
        <v>8.3173331107215365E-2</v>
      </c>
      <c r="R678" s="25">
        <f t="shared" si="55"/>
        <v>0.12960298817048521</v>
      </c>
      <c r="X678">
        <f t="shared" si="59"/>
        <v>0</v>
      </c>
      <c r="Y678">
        <f t="shared" si="56"/>
        <v>0</v>
      </c>
    </row>
    <row r="679" spans="1:25">
      <c r="A679" s="27">
        <v>43371</v>
      </c>
      <c r="B679" s="24">
        <v>715.27</v>
      </c>
      <c r="C679" s="25">
        <f t="shared" si="61"/>
        <v>-1.3189299559896884E-2</v>
      </c>
      <c r="E679" s="25">
        <f t="shared" si="57"/>
        <v>-5.2431019136626178E-3</v>
      </c>
      <c r="F679" s="25">
        <f t="shared" si="54"/>
        <v>7.9444548980533325E-2</v>
      </c>
      <c r="K679" s="29">
        <v>43371</v>
      </c>
      <c r="L679" s="24">
        <v>13496.26</v>
      </c>
      <c r="M679" s="25">
        <f t="shared" si="62"/>
        <v>-9.4722537947550013E-3</v>
      </c>
      <c r="O679" t="b">
        <f t="shared" si="60"/>
        <v>1</v>
      </c>
      <c r="Q679" s="25">
        <f t="shared" si="58"/>
        <v>6.5283676831236814E-2</v>
      </c>
      <c r="R679" s="25">
        <f t="shared" si="55"/>
        <v>0.11398951541931512</v>
      </c>
      <c r="X679">
        <f t="shared" si="59"/>
        <v>0</v>
      </c>
      <c r="Y679">
        <f t="shared" si="56"/>
        <v>0</v>
      </c>
    </row>
    <row r="680" spans="1:25">
      <c r="A680" s="26">
        <v>43374</v>
      </c>
      <c r="B680" s="23">
        <v>723.28</v>
      </c>
      <c r="C680" s="25">
        <f t="shared" si="61"/>
        <v>1.1198568372782294E-2</v>
      </c>
      <c r="E680" s="25">
        <f t="shared" si="57"/>
        <v>4.471849568091546E-3</v>
      </c>
      <c r="F680" s="25">
        <f t="shared" si="54"/>
        <v>8.2040050465171488E-2</v>
      </c>
      <c r="K680" s="28">
        <v>43374</v>
      </c>
      <c r="L680" s="23">
        <v>13569.58</v>
      </c>
      <c r="M680" s="25">
        <f t="shared" si="62"/>
        <v>5.4032622969907478E-3</v>
      </c>
      <c r="O680" t="b">
        <f t="shared" si="60"/>
        <v>1</v>
      </c>
      <c r="Q680" s="25">
        <f t="shared" si="58"/>
        <v>6.559878375056849E-2</v>
      </c>
      <c r="R680" s="25">
        <f t="shared" si="55"/>
        <v>0.114391775613504</v>
      </c>
      <c r="X680">
        <f t="shared" si="59"/>
        <v>0</v>
      </c>
      <c r="Y680">
        <f t="shared" si="56"/>
        <v>0</v>
      </c>
    </row>
    <row r="681" spans="1:25">
      <c r="A681" s="27">
        <v>43376</v>
      </c>
      <c r="B681" s="24">
        <v>716.16</v>
      </c>
      <c r="C681" s="25">
        <f t="shared" si="61"/>
        <v>-9.8440438004645577E-3</v>
      </c>
      <c r="E681" s="25">
        <f t="shared" si="57"/>
        <v>-6.7955509943693482E-3</v>
      </c>
      <c r="F681" s="25">
        <f t="shared" si="54"/>
        <v>7.3975070139153498E-2</v>
      </c>
      <c r="K681" s="29">
        <v>43376</v>
      </c>
      <c r="L681" s="24">
        <v>13408.52</v>
      </c>
      <c r="M681" s="25">
        <f t="shared" si="62"/>
        <v>-1.2011765653479988E-2</v>
      </c>
      <c r="O681" t="b">
        <f t="shared" si="60"/>
        <v>1</v>
      </c>
      <c r="Q681" s="25">
        <f t="shared" si="58"/>
        <v>5.2999770686151138E-2</v>
      </c>
      <c r="R681" s="25">
        <f t="shared" si="55"/>
        <v>0.10791675462211781</v>
      </c>
      <c r="X681">
        <f t="shared" si="59"/>
        <v>0</v>
      </c>
      <c r="Y681">
        <f t="shared" si="56"/>
        <v>0</v>
      </c>
    </row>
    <row r="682" spans="1:25">
      <c r="A682" s="26">
        <v>43377</v>
      </c>
      <c r="B682" s="23">
        <v>703.17</v>
      </c>
      <c r="C682" s="25">
        <f t="shared" si="61"/>
        <v>-1.8138404825737277E-2</v>
      </c>
      <c r="E682" s="25">
        <f t="shared" si="57"/>
        <v>-3.3642547928262267E-2</v>
      </c>
      <c r="F682" s="25">
        <f t="shared" si="54"/>
        <v>6.6218642774193537E-2</v>
      </c>
      <c r="K682" s="28">
        <v>43377</v>
      </c>
      <c r="L682" s="23">
        <v>13109.67</v>
      </c>
      <c r="M682" s="25">
        <f t="shared" si="62"/>
        <v>-2.2796149712387907E-2</v>
      </c>
      <c r="O682" t="b">
        <f t="shared" si="60"/>
        <v>1</v>
      </c>
      <c r="Q682" s="25">
        <f t="shared" si="58"/>
        <v>2.0045844861982909E-2</v>
      </c>
      <c r="R682" s="25">
        <f t="shared" si="55"/>
        <v>9.7552129678221133E-2</v>
      </c>
      <c r="X682">
        <f t="shared" si="59"/>
        <v>0</v>
      </c>
      <c r="Y682">
        <f t="shared" si="56"/>
        <v>0</v>
      </c>
    </row>
    <row r="683" spans="1:25">
      <c r="A683" s="27">
        <v>43378</v>
      </c>
      <c r="B683" s="24">
        <v>688.52</v>
      </c>
      <c r="C683" s="25">
        <f t="shared" si="61"/>
        <v>-2.0834222165336942E-2</v>
      </c>
      <c r="E683" s="25">
        <f t="shared" si="57"/>
        <v>-5.4243760387906792E-2</v>
      </c>
      <c r="F683" s="25">
        <f t="shared" si="54"/>
        <v>5.572766683249375E-2</v>
      </c>
      <c r="K683" s="29">
        <v>43378</v>
      </c>
      <c r="L683" s="24">
        <v>12769.28</v>
      </c>
      <c r="M683" s="25">
        <f t="shared" si="62"/>
        <v>-2.6656945419005568E-2</v>
      </c>
      <c r="O683" t="b">
        <f t="shared" si="60"/>
        <v>1</v>
      </c>
      <c r="Q683" s="25">
        <f t="shared" si="58"/>
        <v>-7.667116881179159E-3</v>
      </c>
      <c r="R683" s="25">
        <f t="shared" si="55"/>
        <v>8.3934889084413822E-2</v>
      </c>
      <c r="X683">
        <f t="shared" si="59"/>
        <v>0</v>
      </c>
      <c r="Y683">
        <f t="shared" si="56"/>
        <v>0</v>
      </c>
    </row>
    <row r="684" spans="1:25">
      <c r="A684" s="26">
        <v>43381</v>
      </c>
      <c r="B684" s="23">
        <v>680.9</v>
      </c>
      <c r="C684" s="25">
        <f t="shared" si="61"/>
        <v>-1.1067216638587122E-2</v>
      </c>
      <c r="E684" s="25">
        <f t="shared" si="57"/>
        <v>-6.6211360706547095E-2</v>
      </c>
      <c r="F684" s="25">
        <f t="shared" si="54"/>
        <v>4.719446942026817E-2</v>
      </c>
      <c r="K684" s="28">
        <v>43381</v>
      </c>
      <c r="L684" s="23">
        <v>12736.21</v>
      </c>
      <c r="M684" s="25">
        <f t="shared" si="62"/>
        <v>-2.5965338197157183E-3</v>
      </c>
      <c r="O684" t="b">
        <f t="shared" si="60"/>
        <v>1</v>
      </c>
      <c r="Q684" s="25">
        <f t="shared" si="58"/>
        <v>-1.4508217841471271E-2</v>
      </c>
      <c r="R684" s="25">
        <f t="shared" si="55"/>
        <v>8.2132685091754976E-2</v>
      </c>
      <c r="X684">
        <f t="shared" si="59"/>
        <v>0</v>
      </c>
      <c r="Y684">
        <f t="shared" si="56"/>
        <v>0</v>
      </c>
    </row>
    <row r="685" spans="1:25">
      <c r="A685" s="27">
        <v>43382</v>
      </c>
      <c r="B685" s="24">
        <v>681.19</v>
      </c>
      <c r="C685" s="25">
        <f t="shared" si="61"/>
        <v>4.2590688794254267E-4</v>
      </c>
      <c r="E685" s="25">
        <f t="shared" si="57"/>
        <v>-5.8531663764269992E-2</v>
      </c>
      <c r="F685" s="25">
        <f t="shared" si="54"/>
        <v>5.4867981937482435E-2</v>
      </c>
      <c r="K685" s="29">
        <v>43382</v>
      </c>
      <c r="L685" s="24">
        <v>12677.49</v>
      </c>
      <c r="M685" s="25">
        <f t="shared" si="62"/>
        <v>-4.6318316953907557E-3</v>
      </c>
      <c r="O685" t="b">
        <f t="shared" si="60"/>
        <v>1</v>
      </c>
      <c r="Q685" s="25">
        <f t="shared" si="58"/>
        <v>-1.4140705619966165E-2</v>
      </c>
      <c r="R685" s="25">
        <f t="shared" si="55"/>
        <v>8.79261068954309E-2</v>
      </c>
      <c r="X685">
        <f t="shared" si="59"/>
        <v>0</v>
      </c>
      <c r="Y685">
        <f t="shared" si="56"/>
        <v>0</v>
      </c>
    </row>
    <row r="686" spans="1:25">
      <c r="A686" s="26">
        <v>43383</v>
      </c>
      <c r="B686" s="23">
        <v>697.9</v>
      </c>
      <c r="C686" s="25">
        <f t="shared" si="61"/>
        <v>2.4530600860259138E-2</v>
      </c>
      <c r="E686" s="25">
        <f t="shared" si="57"/>
        <v>-4.4914604773374278E-2</v>
      </c>
      <c r="F686" s="25">
        <f t="shared" si="54"/>
        <v>6.6378697903075379E-2</v>
      </c>
      <c r="K686" s="28">
        <v>43383</v>
      </c>
      <c r="L686" s="23">
        <v>12952.18</v>
      </c>
      <c r="M686" s="25">
        <f t="shared" si="62"/>
        <v>2.1208012859611318E-2</v>
      </c>
      <c r="O686" t="b">
        <f t="shared" si="60"/>
        <v>1</v>
      </c>
      <c r="Q686" s="25">
        <f t="shared" si="58"/>
        <v>-3.8416782481023315E-3</v>
      </c>
      <c r="R686" s="25">
        <f t="shared" si="55"/>
        <v>9.8057854909562314E-2</v>
      </c>
      <c r="X686">
        <f t="shared" si="59"/>
        <v>0</v>
      </c>
      <c r="Y686">
        <f t="shared" si="56"/>
        <v>0</v>
      </c>
    </row>
    <row r="687" spans="1:25">
      <c r="A687" s="27">
        <v>43384</v>
      </c>
      <c r="B687" s="24">
        <v>683.2</v>
      </c>
      <c r="C687" s="25">
        <f t="shared" si="61"/>
        <v>-2.1063189568706023E-2</v>
      </c>
      <c r="E687" s="25">
        <f t="shared" si="57"/>
        <v>-6.8321287331242209E-2</v>
      </c>
      <c r="F687" s="25">
        <f t="shared" ref="F687:F750" si="63">((B687/B195)^(1/2))-1</f>
        <v>6.0362413471994225E-2</v>
      </c>
      <c r="K687" s="29">
        <v>43384</v>
      </c>
      <c r="L687" s="24">
        <v>12681.39</v>
      </c>
      <c r="M687" s="25">
        <f t="shared" si="62"/>
        <v>-2.1353337449601415E-2</v>
      </c>
      <c r="O687" t="b">
        <f t="shared" si="60"/>
        <v>1</v>
      </c>
      <c r="Q687" s="25">
        <f t="shared" si="58"/>
        <v>-2.9816113691864321E-2</v>
      </c>
      <c r="R687" s="25">
        <f t="shared" ref="R687:R750" si="64">((L687/L195)^(1/2))-1</f>
        <v>9.0582156777966327E-2</v>
      </c>
      <c r="X687">
        <f t="shared" si="59"/>
        <v>0</v>
      </c>
      <c r="Y687">
        <f t="shared" ref="Y687:Y750" si="65">IF(F687&gt;R687,1,0)</f>
        <v>0</v>
      </c>
    </row>
    <row r="688" spans="1:25">
      <c r="A688" s="26">
        <v>43385</v>
      </c>
      <c r="B688" s="23">
        <v>702.01</v>
      </c>
      <c r="C688" s="25">
        <f t="shared" si="61"/>
        <v>2.7532201405152144E-2</v>
      </c>
      <c r="E688" s="25">
        <f t="shared" si="57"/>
        <v>-4.8083311863533429E-2</v>
      </c>
      <c r="F688" s="25">
        <f t="shared" si="63"/>
        <v>6.7489638696000664E-2</v>
      </c>
      <c r="K688" s="28">
        <v>43385</v>
      </c>
      <c r="L688" s="23">
        <v>12979.75</v>
      </c>
      <c r="M688" s="25">
        <f t="shared" si="62"/>
        <v>2.2986575242204248E-2</v>
      </c>
      <c r="O688" t="b">
        <f t="shared" si="60"/>
        <v>1</v>
      </c>
      <c r="Q688" s="25">
        <f t="shared" si="58"/>
        <v>-1.2299317118902198E-2</v>
      </c>
      <c r="R688" s="25">
        <f t="shared" si="64"/>
        <v>9.391391915808267E-2</v>
      </c>
      <c r="X688">
        <f t="shared" si="59"/>
        <v>0</v>
      </c>
      <c r="Y688">
        <f t="shared" si="65"/>
        <v>0</v>
      </c>
    </row>
    <row r="689" spans="1:25">
      <c r="A689" s="27">
        <v>43388</v>
      </c>
      <c r="B689" s="24">
        <v>705.33</v>
      </c>
      <c r="C689" s="25">
        <f t="shared" si="61"/>
        <v>4.7292773607214289E-3</v>
      </c>
      <c r="E689" s="25">
        <f t="shared" si="57"/>
        <v>-4.4850700792199882E-2</v>
      </c>
      <c r="F689" s="25">
        <f t="shared" si="63"/>
        <v>6.8736554793684235E-2</v>
      </c>
      <c r="K689" s="29">
        <v>43388</v>
      </c>
      <c r="L689" s="24">
        <v>13046.23</v>
      </c>
      <c r="M689" s="25">
        <f t="shared" si="62"/>
        <v>5.0957249718883973E-3</v>
      </c>
      <c r="O689" t="b">
        <f t="shared" si="60"/>
        <v>1</v>
      </c>
      <c r="Q689" s="25">
        <f t="shared" si="58"/>
        <v>-9.1262677165114825E-3</v>
      </c>
      <c r="R689" s="25">
        <f t="shared" si="64"/>
        <v>9.7027862882382188E-2</v>
      </c>
      <c r="X689">
        <f t="shared" si="59"/>
        <v>0</v>
      </c>
      <c r="Y689">
        <f t="shared" si="65"/>
        <v>0</v>
      </c>
    </row>
    <row r="690" spans="1:25">
      <c r="A690" s="26">
        <v>43389</v>
      </c>
      <c r="B690" s="23">
        <v>710.97</v>
      </c>
      <c r="C690" s="25">
        <f t="shared" si="61"/>
        <v>7.9962570711581606E-3</v>
      </c>
      <c r="E690" s="25">
        <f t="shared" si="57"/>
        <v>-3.3220016317650147E-2</v>
      </c>
      <c r="F690" s="25">
        <f t="shared" si="63"/>
        <v>7.1994604290818609E-2</v>
      </c>
      <c r="K690" s="28">
        <v>43389</v>
      </c>
      <c r="L690" s="23">
        <v>13167.29</v>
      </c>
      <c r="M690" s="25">
        <f t="shared" si="62"/>
        <v>9.1939951197248099E-3</v>
      </c>
      <c r="O690" t="b">
        <f t="shared" si="60"/>
        <v>1</v>
      </c>
      <c r="Q690" s="25">
        <f t="shared" si="58"/>
        <v>2.0364475405483251E-3</v>
      </c>
      <c r="R690" s="25">
        <f t="shared" si="64"/>
        <v>9.982859439087588E-2</v>
      </c>
      <c r="X690">
        <f t="shared" si="59"/>
        <v>0</v>
      </c>
      <c r="Y690">
        <f t="shared" si="65"/>
        <v>0</v>
      </c>
    </row>
    <row r="691" spans="1:25">
      <c r="A691" s="27">
        <v>43390</v>
      </c>
      <c r="B691" s="24">
        <v>700.31</v>
      </c>
      <c r="C691" s="25">
        <f t="shared" si="61"/>
        <v>-1.499360029255817E-2</v>
      </c>
      <c r="E691" s="25">
        <f t="shared" si="57"/>
        <v>-4.5886183735473374E-2</v>
      </c>
      <c r="F691" s="25">
        <f t="shared" si="63"/>
        <v>6.1724803018213592E-2</v>
      </c>
      <c r="K691" s="29">
        <v>43390</v>
      </c>
      <c r="L691" s="24">
        <v>12967.17</v>
      </c>
      <c r="M691" s="25">
        <f t="shared" si="62"/>
        <v>-1.5432819959945061E-2</v>
      </c>
      <c r="O691" t="b">
        <f t="shared" si="60"/>
        <v>1</v>
      </c>
      <c r="Q691" s="25">
        <f t="shared" si="58"/>
        <v>-1.1899418821289975E-2</v>
      </c>
      <c r="R691" s="25">
        <f t="shared" si="64"/>
        <v>9.0980923614219833E-2</v>
      </c>
      <c r="X691">
        <f t="shared" si="59"/>
        <v>0</v>
      </c>
      <c r="Y691">
        <f t="shared" si="65"/>
        <v>0</v>
      </c>
    </row>
    <row r="692" spans="1:25">
      <c r="A692" s="26">
        <v>43392</v>
      </c>
      <c r="B692" s="23">
        <v>691.38</v>
      </c>
      <c r="C692" s="25">
        <f t="shared" si="61"/>
        <v>-1.275149576616063E-2</v>
      </c>
      <c r="E692" s="25">
        <f t="shared" si="57"/>
        <v>-6.1288220279150596E-2</v>
      </c>
      <c r="F692" s="25">
        <f t="shared" si="63"/>
        <v>5.6346034341776541E-2</v>
      </c>
      <c r="K692" s="28">
        <v>43392</v>
      </c>
      <c r="L692" s="23">
        <v>12792.53</v>
      </c>
      <c r="M692" s="25">
        <f t="shared" si="62"/>
        <v>-1.3651717056751042E-2</v>
      </c>
      <c r="O692" t="b">
        <f t="shared" si="60"/>
        <v>1</v>
      </c>
      <c r="Q692" s="25">
        <f t="shared" si="58"/>
        <v>-2.747319998388309E-2</v>
      </c>
      <c r="R692" s="25">
        <f t="shared" si="64"/>
        <v>8.2862243229787858E-2</v>
      </c>
      <c r="X692">
        <f t="shared" si="59"/>
        <v>0</v>
      </c>
      <c r="Y692">
        <f t="shared" si="65"/>
        <v>0</v>
      </c>
    </row>
    <row r="693" spans="1:25">
      <c r="A693" s="27">
        <v>43395</v>
      </c>
      <c r="B693" s="24">
        <v>686.81</v>
      </c>
      <c r="C693" s="25">
        <f t="shared" si="61"/>
        <v>-6.6099684688594547E-3</v>
      </c>
      <c r="E693" s="25">
        <f t="shared" si="57"/>
        <v>-6.8150982307608854E-2</v>
      </c>
      <c r="F693" s="25">
        <f t="shared" si="63"/>
        <v>5.4006446522705698E-2</v>
      </c>
      <c r="K693" s="29">
        <v>43395</v>
      </c>
      <c r="L693" s="24">
        <v>12698.2</v>
      </c>
      <c r="M693" s="25">
        <f t="shared" si="62"/>
        <v>-7.4286119292498089E-3</v>
      </c>
      <c r="O693" t="b">
        <f t="shared" si="60"/>
        <v>1</v>
      </c>
      <c r="Q693" s="25">
        <f t="shared" si="58"/>
        <v>-4.2312411806718742E-2</v>
      </c>
      <c r="R693" s="25">
        <f t="shared" si="64"/>
        <v>7.9579611173266951E-2</v>
      </c>
      <c r="X693">
        <f t="shared" si="59"/>
        <v>0</v>
      </c>
      <c r="Y693">
        <f t="shared" si="65"/>
        <v>0</v>
      </c>
    </row>
    <row r="694" spans="1:25">
      <c r="A694" s="26">
        <v>43396</v>
      </c>
      <c r="B694" s="23">
        <v>679.98</v>
      </c>
      <c r="C694" s="25">
        <f t="shared" si="61"/>
        <v>-9.9445261426011969E-3</v>
      </c>
      <c r="E694" s="25">
        <f t="shared" si="57"/>
        <v>-8.0337580134707376E-2</v>
      </c>
      <c r="F694" s="25">
        <f t="shared" si="63"/>
        <v>5.3208341206423704E-2</v>
      </c>
      <c r="K694" s="28">
        <v>43396</v>
      </c>
      <c r="L694" s="23">
        <v>12570.25</v>
      </c>
      <c r="M694" s="25">
        <f t="shared" si="62"/>
        <v>-1.0178795171138261E-2</v>
      </c>
      <c r="O694" t="b">
        <f t="shared" si="60"/>
        <v>1</v>
      </c>
      <c r="Q694" s="25">
        <f t="shared" si="58"/>
        <v>-5.6298873286807383E-2</v>
      </c>
      <c r="R694" s="25">
        <f t="shared" si="64"/>
        <v>7.8767644660217462E-2</v>
      </c>
      <c r="X694">
        <f t="shared" si="59"/>
        <v>0</v>
      </c>
      <c r="Y694">
        <f t="shared" si="65"/>
        <v>0</v>
      </c>
    </row>
    <row r="695" spans="1:25">
      <c r="A695" s="27">
        <v>43397</v>
      </c>
      <c r="B695" s="24">
        <v>689.28</v>
      </c>
      <c r="C695" s="25">
        <f t="shared" si="61"/>
        <v>1.3676872849201379E-2</v>
      </c>
      <c r="E695" s="25">
        <f t="shared" si="57"/>
        <v>-6.7910750507099382E-2</v>
      </c>
      <c r="F695" s="25">
        <f t="shared" si="63"/>
        <v>6.4264816993479856E-2</v>
      </c>
      <c r="K695" s="29">
        <v>43397</v>
      </c>
      <c r="L695" s="24">
        <v>12667.65</v>
      </c>
      <c r="M695" s="25">
        <f t="shared" si="62"/>
        <v>7.6888767845653804E-3</v>
      </c>
      <c r="O695" t="b">
        <f t="shared" si="60"/>
        <v>1</v>
      </c>
      <c r="Q695" s="25">
        <f t="shared" si="58"/>
        <v>-4.8748838875318001E-2</v>
      </c>
      <c r="R695" s="25">
        <f t="shared" si="64"/>
        <v>8.4684147585941671E-2</v>
      </c>
      <c r="X695">
        <f t="shared" si="59"/>
        <v>0</v>
      </c>
      <c r="Y695">
        <f t="shared" si="65"/>
        <v>0</v>
      </c>
    </row>
    <row r="696" spans="1:25">
      <c r="A696" s="26">
        <v>43398</v>
      </c>
      <c r="B696" s="23">
        <v>682.74</v>
      </c>
      <c r="C696" s="25">
        <f t="shared" si="61"/>
        <v>-9.4881615598885263E-3</v>
      </c>
      <c r="E696" s="25">
        <f t="shared" ref="E696:E759" si="66">(B696/B451)-1</f>
        <v>-8.0360991379310298E-2</v>
      </c>
      <c r="F696" s="25">
        <f t="shared" si="63"/>
        <v>5.4578364541387758E-2</v>
      </c>
      <c r="K696" s="28">
        <v>43398</v>
      </c>
      <c r="L696" s="23">
        <v>12553.87</v>
      </c>
      <c r="M696" s="25">
        <f t="shared" si="62"/>
        <v>-9.0633406272327844E-3</v>
      </c>
      <c r="O696" t="b">
        <f t="shared" si="60"/>
        <v>1</v>
      </c>
      <c r="Q696" s="25">
        <f t="shared" ref="Q696:Q759" si="67">(L696/L451)-1</f>
        <v>-6.3530498234683708E-2</v>
      </c>
      <c r="R696" s="25">
        <f t="shared" si="64"/>
        <v>7.6773891728048937E-2</v>
      </c>
      <c r="X696">
        <f t="shared" ref="X696:X759" si="68">IF(E696&gt;Q696,1,0)</f>
        <v>0</v>
      </c>
      <c r="Y696">
        <f t="shared" si="65"/>
        <v>0</v>
      </c>
    </row>
    <row r="697" spans="1:25">
      <c r="A697" s="27">
        <v>43399</v>
      </c>
      <c r="B697" s="24">
        <v>679.5</v>
      </c>
      <c r="C697" s="25">
        <f t="shared" si="61"/>
        <v>-4.7455839704719349E-3</v>
      </c>
      <c r="E697" s="25">
        <f t="shared" si="66"/>
        <v>-8.5193462398018172E-2</v>
      </c>
      <c r="F697" s="25">
        <f t="shared" si="63"/>
        <v>4.7662366135831524E-2</v>
      </c>
      <c r="K697" s="29">
        <v>43399</v>
      </c>
      <c r="L697" s="24">
        <v>12470.57</v>
      </c>
      <c r="M697" s="25">
        <f t="shared" si="62"/>
        <v>-6.6797267486571254E-3</v>
      </c>
      <c r="O697" t="b">
        <f t="shared" si="60"/>
        <v>1</v>
      </c>
      <c r="Q697" s="25">
        <f t="shared" si="67"/>
        <v>-6.8995688609343242E-2</v>
      </c>
      <c r="R697" s="25">
        <f t="shared" si="64"/>
        <v>7.2545415894387455E-2</v>
      </c>
      <c r="X697">
        <f t="shared" si="68"/>
        <v>0</v>
      </c>
      <c r="Y697">
        <f t="shared" si="65"/>
        <v>0</v>
      </c>
    </row>
    <row r="698" spans="1:25">
      <c r="A698" s="26">
        <v>43402</v>
      </c>
      <c r="B698" s="23">
        <v>695.46</v>
      </c>
      <c r="C698" s="25">
        <f t="shared" si="61"/>
        <v>2.3487858719646853E-2</v>
      </c>
      <c r="E698" s="25">
        <f t="shared" si="66"/>
        <v>-7.1643106002963419E-2</v>
      </c>
      <c r="F698" s="25">
        <f t="shared" si="63"/>
        <v>6.842843472335769E-2</v>
      </c>
      <c r="K698" s="28">
        <v>43402</v>
      </c>
      <c r="L698" s="23">
        <v>12756.66</v>
      </c>
      <c r="M698" s="25">
        <f t="shared" si="62"/>
        <v>2.2426716711114049E-2</v>
      </c>
      <c r="O698" t="b">
        <f t="shared" si="60"/>
        <v>1</v>
      </c>
      <c r="Q698" s="25">
        <f t="shared" si="67"/>
        <v>-5.6178029529533879E-2</v>
      </c>
      <c r="R698" s="25">
        <f t="shared" si="64"/>
        <v>9.284678739320662E-2</v>
      </c>
      <c r="X698">
        <f t="shared" si="68"/>
        <v>0</v>
      </c>
      <c r="Y698">
        <f t="shared" si="65"/>
        <v>0</v>
      </c>
    </row>
    <row r="699" spans="1:25">
      <c r="A699" s="27">
        <v>43403</v>
      </c>
      <c r="B699" s="24">
        <v>697.64</v>
      </c>
      <c r="C699" s="25">
        <f t="shared" si="61"/>
        <v>3.1346159376527045E-3</v>
      </c>
      <c r="E699" s="25">
        <f t="shared" si="66"/>
        <v>-6.6764764898668894E-2</v>
      </c>
      <c r="F699" s="25">
        <f t="shared" si="63"/>
        <v>7.4422307182866687E-2</v>
      </c>
      <c r="K699" s="29">
        <v>43403</v>
      </c>
      <c r="L699" s="24">
        <v>12742.59</v>
      </c>
      <c r="M699" s="25">
        <f t="shared" si="62"/>
        <v>-1.104171130044968E-3</v>
      </c>
      <c r="O699" t="b">
        <f t="shared" si="60"/>
        <v>1</v>
      </c>
      <c r="Q699" s="25">
        <f t="shared" si="67"/>
        <v>-5.7535594097851361E-2</v>
      </c>
      <c r="R699" s="25">
        <f t="shared" si="64"/>
        <v>9.5636786250860029E-2</v>
      </c>
      <c r="X699">
        <f t="shared" si="68"/>
        <v>0</v>
      </c>
      <c r="Y699">
        <f t="shared" si="65"/>
        <v>0</v>
      </c>
    </row>
    <row r="700" spans="1:25">
      <c r="A700" s="26">
        <v>43404</v>
      </c>
      <c r="B700" s="23">
        <v>708.42</v>
      </c>
      <c r="C700" s="25">
        <f t="shared" si="61"/>
        <v>1.5452095636718038E-2</v>
      </c>
      <c r="E700" s="25">
        <f t="shared" si="66"/>
        <v>-5.4242039917228535E-2</v>
      </c>
      <c r="F700" s="25">
        <f t="shared" si="63"/>
        <v>9.001182845119704E-2</v>
      </c>
      <c r="K700" s="28">
        <v>43404</v>
      </c>
      <c r="L700" s="23">
        <v>12969.63</v>
      </c>
      <c r="M700" s="25">
        <f t="shared" si="62"/>
        <v>1.7505510951353206E-2</v>
      </c>
      <c r="O700" t="b">
        <f t="shared" si="60"/>
        <v>1</v>
      </c>
      <c r="Q700" s="25">
        <f t="shared" si="67"/>
        <v>-4.325961968300529E-2</v>
      </c>
      <c r="R700" s="25">
        <f t="shared" si="64"/>
        <v>0.11064921900216906</v>
      </c>
      <c r="X700">
        <f t="shared" si="68"/>
        <v>0</v>
      </c>
      <c r="Y700">
        <f t="shared" si="65"/>
        <v>0</v>
      </c>
    </row>
    <row r="701" spans="1:25">
      <c r="A701" s="27">
        <v>43405</v>
      </c>
      <c r="B701" s="24">
        <v>710.31</v>
      </c>
      <c r="C701" s="25">
        <f t="shared" si="61"/>
        <v>2.6679088676208836E-3</v>
      </c>
      <c r="E701" s="25">
        <f t="shared" si="66"/>
        <v>-4.9816065814995647E-2</v>
      </c>
      <c r="F701" s="25">
        <f t="shared" si="63"/>
        <v>8.6321025038461618E-2</v>
      </c>
      <c r="K701" s="29">
        <v>43405</v>
      </c>
      <c r="L701" s="24">
        <v>12999.37</v>
      </c>
      <c r="M701" s="25">
        <f t="shared" si="62"/>
        <v>2.2878031781541413E-3</v>
      </c>
      <c r="O701" t="b">
        <f t="shared" si="60"/>
        <v>1</v>
      </c>
      <c r="Q701" s="25">
        <f t="shared" si="67"/>
        <v>-4.2374055035220182E-2</v>
      </c>
      <c r="R701" s="25">
        <f t="shared" si="64"/>
        <v>0.10757715324566419</v>
      </c>
      <c r="X701">
        <f t="shared" si="68"/>
        <v>0</v>
      </c>
      <c r="Y701">
        <f t="shared" si="65"/>
        <v>0</v>
      </c>
    </row>
    <row r="702" spans="1:25">
      <c r="A702" s="26">
        <v>43406</v>
      </c>
      <c r="B702" s="23">
        <v>718.29</v>
      </c>
      <c r="C702" s="25">
        <f t="shared" si="61"/>
        <v>1.1234531401782348E-2</v>
      </c>
      <c r="E702" s="25">
        <f t="shared" si="66"/>
        <v>-3.0804727979274693E-2</v>
      </c>
      <c r="F702" s="25">
        <f t="shared" si="63"/>
        <v>9.0794448987004728E-2</v>
      </c>
      <c r="K702" s="28">
        <v>43406</v>
      </c>
      <c r="L702" s="23">
        <v>13187.43</v>
      </c>
      <c r="M702" s="25">
        <f t="shared" si="62"/>
        <v>1.4260549629457709E-2</v>
      </c>
      <c r="O702" t="b">
        <f t="shared" si="60"/>
        <v>1</v>
      </c>
      <c r="Q702" s="25">
        <f t="shared" si="67"/>
        <v>-1.7566561848377682E-2</v>
      </c>
      <c r="R702" s="25">
        <f t="shared" si="64"/>
        <v>0.11289089268780916</v>
      </c>
      <c r="X702">
        <f t="shared" si="68"/>
        <v>0</v>
      </c>
      <c r="Y702">
        <f t="shared" si="65"/>
        <v>0</v>
      </c>
    </row>
    <row r="703" spans="1:25">
      <c r="A703" s="27">
        <v>43409</v>
      </c>
      <c r="B703" s="24">
        <v>717.83</v>
      </c>
      <c r="C703" s="25">
        <f t="shared" si="61"/>
        <v>-6.40409862311772E-4</v>
      </c>
      <c r="E703" s="25">
        <f t="shared" si="66"/>
        <v>-2.6182627216366106E-2</v>
      </c>
      <c r="F703" s="25">
        <f t="shared" si="63"/>
        <v>9.8896498569511992E-2</v>
      </c>
      <c r="K703" s="29">
        <v>43409</v>
      </c>
      <c r="L703" s="24">
        <v>13156.88</v>
      </c>
      <c r="M703" s="25">
        <f t="shared" si="62"/>
        <v>-2.3219790710260406E-3</v>
      </c>
      <c r="O703" t="b">
        <f t="shared" si="60"/>
        <v>1</v>
      </c>
      <c r="Q703" s="25">
        <f t="shared" si="67"/>
        <v>-1.4267294308740852E-2</v>
      </c>
      <c r="R703" s="25">
        <f t="shared" si="64"/>
        <v>0.12065537650915692</v>
      </c>
      <c r="X703">
        <f t="shared" si="68"/>
        <v>0</v>
      </c>
      <c r="Y703">
        <f t="shared" si="65"/>
        <v>0</v>
      </c>
    </row>
    <row r="704" spans="1:25">
      <c r="A704" s="26">
        <v>43410</v>
      </c>
      <c r="B704" s="23">
        <v>716.03</v>
      </c>
      <c r="C704" s="25">
        <f t="shared" si="61"/>
        <v>-2.5075574996866502E-3</v>
      </c>
      <c r="E704" s="25">
        <f t="shared" si="66"/>
        <v>-3.1266065968558077E-2</v>
      </c>
      <c r="F704" s="25">
        <f t="shared" si="63"/>
        <v>9.0061611999764812E-2</v>
      </c>
      <c r="K704" s="28">
        <v>43410</v>
      </c>
      <c r="L704" s="23">
        <v>13145.64</v>
      </c>
      <c r="M704" s="25">
        <f t="shared" si="62"/>
        <v>-8.5503634665180111E-4</v>
      </c>
      <c r="O704" t="b">
        <f t="shared" si="60"/>
        <v>1</v>
      </c>
      <c r="Q704" s="25">
        <f t="shared" si="67"/>
        <v>-1.8314690061676298E-2</v>
      </c>
      <c r="R704" s="25">
        <f t="shared" si="64"/>
        <v>0.11291596789573988</v>
      </c>
      <c r="X704">
        <f t="shared" si="68"/>
        <v>0</v>
      </c>
      <c r="Y704">
        <f t="shared" si="65"/>
        <v>0</v>
      </c>
    </row>
    <row r="705" spans="1:25">
      <c r="A705" s="27">
        <v>43413</v>
      </c>
      <c r="B705" s="24">
        <v>722.52</v>
      </c>
      <c r="C705" s="25">
        <f t="shared" si="61"/>
        <v>9.063866039132451E-3</v>
      </c>
      <c r="E705" s="25">
        <f t="shared" si="66"/>
        <v>-2.289539522618167E-2</v>
      </c>
      <c r="F705" s="25">
        <f t="shared" si="63"/>
        <v>0.11068532081904614</v>
      </c>
      <c r="K705" s="29">
        <v>43413</v>
      </c>
      <c r="L705" s="24">
        <v>13258.69</v>
      </c>
      <c r="M705" s="25">
        <f t="shared" si="62"/>
        <v>8.5264833856135928E-3</v>
      </c>
      <c r="O705" t="b">
        <f t="shared" si="60"/>
        <v>1</v>
      </c>
      <c r="Q705" s="25">
        <f t="shared" si="67"/>
        <v>-1.079872838519691E-2</v>
      </c>
      <c r="R705" s="25">
        <f t="shared" si="64"/>
        <v>0.13448788905364117</v>
      </c>
      <c r="X705">
        <f t="shared" si="68"/>
        <v>0</v>
      </c>
      <c r="Y705">
        <f t="shared" si="65"/>
        <v>0</v>
      </c>
    </row>
    <row r="706" spans="1:25">
      <c r="A706" s="26">
        <v>43416</v>
      </c>
      <c r="B706" s="23">
        <v>716.5</v>
      </c>
      <c r="C706" s="25">
        <f t="shared" si="61"/>
        <v>-8.3319492886009833E-3</v>
      </c>
      <c r="E706" s="25">
        <f t="shared" si="66"/>
        <v>-2.3589212466442189E-2</v>
      </c>
      <c r="F706" s="25">
        <f t="shared" si="63"/>
        <v>0.12819652542710314</v>
      </c>
      <c r="K706" s="28">
        <v>43416</v>
      </c>
      <c r="L706" s="23">
        <v>13129.95</v>
      </c>
      <c r="M706" s="25">
        <f t="shared" si="62"/>
        <v>-9.8050639949123775E-3</v>
      </c>
      <c r="O706" t="b">
        <f t="shared" si="60"/>
        <v>1</v>
      </c>
      <c r="Q706" s="25">
        <f t="shared" si="67"/>
        <v>-1.2597885161613309E-2</v>
      </c>
      <c r="R706" s="25">
        <f t="shared" si="64"/>
        <v>0.1459756884752279</v>
      </c>
      <c r="X706">
        <f t="shared" si="68"/>
        <v>0</v>
      </c>
      <c r="Y706">
        <f t="shared" si="65"/>
        <v>0</v>
      </c>
    </row>
    <row r="707" spans="1:25">
      <c r="A707" s="27">
        <v>43417</v>
      </c>
      <c r="B707" s="24">
        <v>721.26</v>
      </c>
      <c r="C707" s="25">
        <f t="shared" si="61"/>
        <v>6.6434054431262959E-3</v>
      </c>
      <c r="E707" s="25">
        <f t="shared" si="66"/>
        <v>-1.4456711849584636E-2</v>
      </c>
      <c r="F707" s="25">
        <f t="shared" si="63"/>
        <v>0.13016245431320383</v>
      </c>
      <c r="K707" s="29">
        <v>43417</v>
      </c>
      <c r="L707" s="24">
        <v>13225.78</v>
      </c>
      <c r="M707" s="25">
        <f t="shared" si="62"/>
        <v>7.2456974182240992E-3</v>
      </c>
      <c r="O707" t="b">
        <f t="shared" ref="O707:O770" si="69">K707=A707</f>
        <v>1</v>
      </c>
      <c r="Q707" s="25">
        <f t="shared" si="67"/>
        <v>-1.996643586291813E-3</v>
      </c>
      <c r="R707" s="25">
        <f t="shared" si="64"/>
        <v>0.14916432416477554</v>
      </c>
      <c r="X707">
        <f t="shared" si="68"/>
        <v>0</v>
      </c>
      <c r="Y707">
        <f t="shared" si="65"/>
        <v>0</v>
      </c>
    </row>
    <row r="708" spans="1:25">
      <c r="A708" s="26">
        <v>43418</v>
      </c>
      <c r="B708" s="23">
        <v>724.27</v>
      </c>
      <c r="C708" s="25">
        <f t="shared" ref="C708:C771" si="70">(B708-B707)/B707</f>
        <v>4.1732523639186857E-3</v>
      </c>
      <c r="E708" s="25">
        <f t="shared" si="66"/>
        <v>-1.4614037748336139E-3</v>
      </c>
      <c r="F708" s="25">
        <f t="shared" si="63"/>
        <v>0.13299986649196027</v>
      </c>
      <c r="K708" s="28">
        <v>43418</v>
      </c>
      <c r="L708" s="23">
        <v>13222.75</v>
      </c>
      <c r="M708" s="25">
        <f t="shared" ref="M708:M771" si="71">(L708-L707)/L708</f>
        <v>-2.2915051710125766E-4</v>
      </c>
      <c r="O708" t="b">
        <f t="shared" si="69"/>
        <v>1</v>
      </c>
      <c r="Q708" s="25">
        <f t="shared" si="67"/>
        <v>6.4239421236305105E-3</v>
      </c>
      <c r="R708" s="25">
        <f t="shared" si="64"/>
        <v>0.15107110045250582</v>
      </c>
      <c r="X708">
        <f t="shared" si="68"/>
        <v>0</v>
      </c>
      <c r="Y708">
        <f t="shared" si="65"/>
        <v>0</v>
      </c>
    </row>
    <row r="709" spans="1:25">
      <c r="A709" s="27">
        <v>43419</v>
      </c>
      <c r="B709" s="24">
        <v>729.39</v>
      </c>
      <c r="C709" s="25">
        <f t="shared" si="70"/>
        <v>7.0691869054358243E-3</v>
      </c>
      <c r="E709" s="25">
        <f t="shared" si="66"/>
        <v>-5.6168286730924333E-3</v>
      </c>
      <c r="F709" s="25">
        <f t="shared" si="63"/>
        <v>0.13828943616958256</v>
      </c>
      <c r="K709" s="29">
        <v>43419</v>
      </c>
      <c r="L709" s="24">
        <v>13273.53</v>
      </c>
      <c r="M709" s="25">
        <f t="shared" si="71"/>
        <v>3.825659037196635E-3</v>
      </c>
      <c r="O709" t="b">
        <f t="shared" si="69"/>
        <v>1</v>
      </c>
      <c r="Q709" s="25">
        <f t="shared" si="67"/>
        <v>8.7399612880068034E-5</v>
      </c>
      <c r="R709" s="25">
        <f t="shared" si="64"/>
        <v>0.15285709185355412</v>
      </c>
      <c r="X709">
        <f t="shared" si="68"/>
        <v>0</v>
      </c>
      <c r="Y709">
        <f t="shared" si="65"/>
        <v>0</v>
      </c>
    </row>
    <row r="710" spans="1:25">
      <c r="A710" s="26">
        <v>43420</v>
      </c>
      <c r="B710" s="23">
        <v>731.69</v>
      </c>
      <c r="C710" s="25">
        <f t="shared" si="70"/>
        <v>3.1533198974486466E-3</v>
      </c>
      <c r="E710" s="25">
        <f t="shared" si="66"/>
        <v>-9.4091844470918229E-3</v>
      </c>
      <c r="F710" s="25">
        <f t="shared" si="63"/>
        <v>0.15363677371507256</v>
      </c>
      <c r="K710" s="28">
        <v>43420</v>
      </c>
      <c r="L710" s="23">
        <v>13330.69</v>
      </c>
      <c r="M710" s="25">
        <f t="shared" si="71"/>
        <v>4.2878500662756284E-3</v>
      </c>
      <c r="O710" t="b">
        <f t="shared" si="69"/>
        <v>1</v>
      </c>
      <c r="Q710" s="25">
        <f t="shared" si="67"/>
        <v>-3.5319339150871043E-3</v>
      </c>
      <c r="R710" s="25">
        <f t="shared" si="64"/>
        <v>0.16782244401150814</v>
      </c>
      <c r="X710">
        <f t="shared" si="68"/>
        <v>0</v>
      </c>
      <c r="Y710">
        <f t="shared" si="65"/>
        <v>0</v>
      </c>
    </row>
    <row r="711" spans="1:25">
      <c r="A711" s="27">
        <v>43423</v>
      </c>
      <c r="B711" s="24">
        <v>736.18</v>
      </c>
      <c r="C711" s="25">
        <f t="shared" si="70"/>
        <v>6.1364785633258555E-3</v>
      </c>
      <c r="E711" s="25">
        <f t="shared" si="66"/>
        <v>-6.7191969345350433E-3</v>
      </c>
      <c r="F711" s="25">
        <f t="shared" si="63"/>
        <v>0.1488014278016736</v>
      </c>
      <c r="K711" s="29">
        <v>43423</v>
      </c>
      <c r="L711" s="24">
        <v>13418.97</v>
      </c>
      <c r="M711" s="25">
        <f t="shared" si="71"/>
        <v>6.5787463568365411E-3</v>
      </c>
      <c r="O711" t="b">
        <f t="shared" si="69"/>
        <v>1</v>
      </c>
      <c r="Q711" s="25">
        <f t="shared" si="67"/>
        <v>3.3918723284331875E-4</v>
      </c>
      <c r="R711" s="25">
        <f t="shared" si="64"/>
        <v>0.1653403074031925</v>
      </c>
      <c r="X711">
        <f t="shared" si="68"/>
        <v>0</v>
      </c>
      <c r="Y711">
        <f t="shared" si="65"/>
        <v>0</v>
      </c>
    </row>
    <row r="712" spans="1:25">
      <c r="A712" s="26">
        <v>43424</v>
      </c>
      <c r="B712" s="23">
        <v>726.42</v>
      </c>
      <c r="C712" s="25">
        <f t="shared" si="70"/>
        <v>-1.3257627210736493E-2</v>
      </c>
      <c r="E712" s="25">
        <f t="shared" si="66"/>
        <v>-2.2841000807102496E-2</v>
      </c>
      <c r="F712" s="25">
        <f t="shared" si="63"/>
        <v>0.13561659606553844</v>
      </c>
      <c r="K712" s="28">
        <v>43424</v>
      </c>
      <c r="L712" s="23">
        <v>13282.16</v>
      </c>
      <c r="M712" s="25">
        <f t="shared" si="71"/>
        <v>-1.0300282484174222E-2</v>
      </c>
      <c r="O712" t="b">
        <f t="shared" si="69"/>
        <v>1</v>
      </c>
      <c r="Q712" s="25">
        <f t="shared" si="67"/>
        <v>-1.2399508659431402E-2</v>
      </c>
      <c r="R712" s="25">
        <f t="shared" si="64"/>
        <v>0.15538794772094544</v>
      </c>
      <c r="X712">
        <f t="shared" si="68"/>
        <v>0</v>
      </c>
      <c r="Y712">
        <f t="shared" si="65"/>
        <v>0</v>
      </c>
    </row>
    <row r="713" spans="1:25">
      <c r="A713" s="27">
        <v>43425</v>
      </c>
      <c r="B713" s="24">
        <v>728.47</v>
      </c>
      <c r="C713" s="25">
        <f t="shared" si="70"/>
        <v>2.8220588640181553E-3</v>
      </c>
      <c r="E713" s="25">
        <f t="shared" si="66"/>
        <v>-1.8644501623310883E-2</v>
      </c>
      <c r="F713" s="25">
        <f t="shared" si="63"/>
        <v>0.14121611746735385</v>
      </c>
      <c r="K713" s="29">
        <v>43425</v>
      </c>
      <c r="L713" s="24">
        <v>13252.75</v>
      </c>
      <c r="M713" s="25">
        <f t="shared" si="71"/>
        <v>-2.219162060704371E-3</v>
      </c>
      <c r="O713" t="b">
        <f t="shared" si="69"/>
        <v>1</v>
      </c>
      <c r="Q713" s="25">
        <f t="shared" si="67"/>
        <v>-1.5689257047873606E-2</v>
      </c>
      <c r="R713" s="25">
        <f t="shared" si="64"/>
        <v>0.15790639645563576</v>
      </c>
      <c r="X713">
        <f t="shared" si="68"/>
        <v>0</v>
      </c>
      <c r="Y713">
        <f t="shared" si="65"/>
        <v>0</v>
      </c>
    </row>
    <row r="714" spans="1:25">
      <c r="A714" s="26">
        <v>43426</v>
      </c>
      <c r="B714" s="23">
        <v>722.74</v>
      </c>
      <c r="C714" s="25">
        <f t="shared" si="70"/>
        <v>-7.86580092522687E-3</v>
      </c>
      <c r="E714" s="25">
        <f t="shared" si="66"/>
        <v>-2.6179985717557863E-2</v>
      </c>
      <c r="F714" s="25">
        <f t="shared" si="63"/>
        <v>0.12605923638089789</v>
      </c>
      <c r="K714" s="28">
        <v>43426</v>
      </c>
      <c r="L714" s="23">
        <v>13161.85</v>
      </c>
      <c r="M714" s="25">
        <f t="shared" si="71"/>
        <v>-6.9063239590178918E-3</v>
      </c>
      <c r="O714" t="b">
        <f t="shared" si="69"/>
        <v>1</v>
      </c>
      <c r="Q714" s="25">
        <f t="shared" si="67"/>
        <v>-2.3680577757436483E-2</v>
      </c>
      <c r="R714" s="25">
        <f t="shared" si="64"/>
        <v>0.14366500456836673</v>
      </c>
      <c r="X714">
        <f t="shared" si="68"/>
        <v>0</v>
      </c>
      <c r="Y714">
        <f t="shared" si="65"/>
        <v>0</v>
      </c>
    </row>
    <row r="715" spans="1:25">
      <c r="A715" s="27">
        <v>43430</v>
      </c>
      <c r="B715" s="24">
        <v>727.46</v>
      </c>
      <c r="C715" s="25">
        <f t="shared" si="70"/>
        <v>6.530702603979339E-3</v>
      </c>
      <c r="E715" s="25">
        <f t="shared" si="66"/>
        <v>-2.2415136936597913E-2</v>
      </c>
      <c r="F715" s="25">
        <f t="shared" si="63"/>
        <v>0.12712297601752676</v>
      </c>
      <c r="K715" s="29">
        <v>43430</v>
      </c>
      <c r="L715" s="24">
        <v>13256.78</v>
      </c>
      <c r="M715" s="25">
        <f t="shared" si="71"/>
        <v>7.1608641012372749E-3</v>
      </c>
      <c r="O715" t="b">
        <f t="shared" si="69"/>
        <v>1</v>
      </c>
      <c r="Q715" s="25">
        <f t="shared" si="67"/>
        <v>-2.0748769913877307E-2</v>
      </c>
      <c r="R715" s="25">
        <f t="shared" si="64"/>
        <v>0.14591929601515896</v>
      </c>
      <c r="X715">
        <f t="shared" si="68"/>
        <v>0</v>
      </c>
      <c r="Y715">
        <f t="shared" si="65"/>
        <v>0</v>
      </c>
    </row>
    <row r="716" spans="1:25">
      <c r="A716" s="26">
        <v>43431</v>
      </c>
      <c r="B716" s="23">
        <v>731.99</v>
      </c>
      <c r="C716" s="25">
        <f t="shared" si="70"/>
        <v>6.2271465097736957E-3</v>
      </c>
      <c r="E716" s="25">
        <f t="shared" si="66"/>
        <v>-1.8569666416389574E-2</v>
      </c>
      <c r="F716" s="25">
        <f t="shared" si="63"/>
        <v>0.12909978690443547</v>
      </c>
      <c r="K716" s="28">
        <v>43431</v>
      </c>
      <c r="L716" s="23">
        <v>13317.44</v>
      </c>
      <c r="M716" s="25">
        <f t="shared" si="71"/>
        <v>4.5549294759353034E-3</v>
      </c>
      <c r="O716" t="b">
        <f t="shared" si="69"/>
        <v>1</v>
      </c>
      <c r="Q716" s="25">
        <f t="shared" si="67"/>
        <v>-1.8547997217210899E-2</v>
      </c>
      <c r="R716" s="25">
        <f t="shared" si="64"/>
        <v>0.14687723786653439</v>
      </c>
      <c r="X716">
        <f t="shared" si="68"/>
        <v>0</v>
      </c>
      <c r="Y716">
        <f t="shared" si="65"/>
        <v>0</v>
      </c>
    </row>
    <row r="717" spans="1:25">
      <c r="A717" s="27">
        <v>43432</v>
      </c>
      <c r="B717" s="24">
        <v>730.43</v>
      </c>
      <c r="C717" s="25">
        <f t="shared" si="70"/>
        <v>-2.1311766554188705E-3</v>
      </c>
      <c r="E717" s="25">
        <f t="shared" si="66"/>
        <v>-1.9636002469599734E-2</v>
      </c>
      <c r="F717" s="25">
        <f t="shared" si="63"/>
        <v>0.12216465486497197</v>
      </c>
      <c r="K717" s="29">
        <v>43432</v>
      </c>
      <c r="L717" s="24">
        <v>13331.32</v>
      </c>
      <c r="M717" s="25">
        <f t="shared" si="71"/>
        <v>1.0411572147393656E-3</v>
      </c>
      <c r="O717" t="b">
        <f t="shared" si="69"/>
        <v>1</v>
      </c>
      <c r="Q717" s="25">
        <f t="shared" si="67"/>
        <v>-1.6124949353533369E-2</v>
      </c>
      <c r="R717" s="25">
        <f t="shared" si="64"/>
        <v>0.14131685727596821</v>
      </c>
      <c r="X717">
        <f t="shared" si="68"/>
        <v>0</v>
      </c>
      <c r="Y717">
        <f t="shared" si="65"/>
        <v>0</v>
      </c>
    </row>
    <row r="718" spans="1:25">
      <c r="A718" s="26">
        <v>43433</v>
      </c>
      <c r="B718" s="23">
        <v>737.79</v>
      </c>
      <c r="C718" s="25">
        <f t="shared" si="70"/>
        <v>1.0076256451679167E-2</v>
      </c>
      <c r="E718" s="25">
        <f t="shared" si="66"/>
        <v>-7.4529482194988228E-3</v>
      </c>
      <c r="F718" s="25">
        <f t="shared" si="63"/>
        <v>0.13062418170943557</v>
      </c>
      <c r="K718" s="28">
        <v>43433</v>
      </c>
      <c r="L718" s="23">
        <v>13462.63</v>
      </c>
      <c r="M718" s="25">
        <f t="shared" si="71"/>
        <v>9.7536662598615206E-3</v>
      </c>
      <c r="O718" t="b">
        <f t="shared" si="69"/>
        <v>1</v>
      </c>
      <c r="Q718" s="25">
        <f t="shared" si="67"/>
        <v>-5.4034606084472081E-3</v>
      </c>
      <c r="R718" s="25">
        <f t="shared" si="64"/>
        <v>0.15010464832320825</v>
      </c>
      <c r="X718">
        <f t="shared" si="68"/>
        <v>0</v>
      </c>
      <c r="Y718">
        <f t="shared" si="65"/>
        <v>0</v>
      </c>
    </row>
    <row r="719" spans="1:25">
      <c r="A719" s="27">
        <v>43434</v>
      </c>
      <c r="B719" s="24">
        <v>739.91</v>
      </c>
      <c r="C719" s="25">
        <f t="shared" si="70"/>
        <v>2.8734463736293588E-3</v>
      </c>
      <c r="E719" s="25">
        <f t="shared" si="66"/>
        <v>2.669593733907849E-3</v>
      </c>
      <c r="F719" s="25">
        <f t="shared" si="63"/>
        <v>0.14149137249969557</v>
      </c>
      <c r="K719" s="29">
        <v>43434</v>
      </c>
      <c r="L719" s="24">
        <v>13503.06</v>
      </c>
      <c r="M719" s="25">
        <f t="shared" si="71"/>
        <v>2.9941361439555399E-3</v>
      </c>
      <c r="O719" t="b">
        <f t="shared" si="69"/>
        <v>1</v>
      </c>
      <c r="Q719" s="25">
        <f t="shared" si="67"/>
        <v>7.4113753495297363E-3</v>
      </c>
      <c r="R719" s="25">
        <f t="shared" si="64"/>
        <v>0.15951037192652162</v>
      </c>
      <c r="X719">
        <f t="shared" si="68"/>
        <v>0</v>
      </c>
      <c r="Y719">
        <f t="shared" si="65"/>
        <v>0</v>
      </c>
    </row>
    <row r="720" spans="1:25">
      <c r="A720" s="26">
        <v>43437</v>
      </c>
      <c r="B720" s="23">
        <v>743.29</v>
      </c>
      <c r="C720" s="25">
        <f t="shared" si="70"/>
        <v>4.5681231501128452E-3</v>
      </c>
      <c r="E720" s="25">
        <f t="shared" si="66"/>
        <v>1.7968418313543344E-2</v>
      </c>
      <c r="F720" s="25">
        <f t="shared" si="63"/>
        <v>0.13989788012807591</v>
      </c>
      <c r="K720" s="28">
        <v>43437</v>
      </c>
      <c r="L720" s="23">
        <v>13529.42</v>
      </c>
      <c r="M720" s="25">
        <f t="shared" si="71"/>
        <v>1.9483466401368707E-3</v>
      </c>
      <c r="O720" t="b">
        <f t="shared" si="69"/>
        <v>1</v>
      </c>
      <c r="Q720" s="25">
        <f t="shared" si="67"/>
        <v>1.9861389392685336E-2</v>
      </c>
      <c r="R720" s="25">
        <f t="shared" si="64"/>
        <v>0.1575706254146747</v>
      </c>
      <c r="X720">
        <f t="shared" si="68"/>
        <v>0</v>
      </c>
      <c r="Y720">
        <f t="shared" si="65"/>
        <v>0</v>
      </c>
    </row>
    <row r="721" spans="1:25">
      <c r="A721" s="27">
        <v>43438</v>
      </c>
      <c r="B721" s="24">
        <v>742.77</v>
      </c>
      <c r="C721" s="25">
        <f t="shared" si="70"/>
        <v>-6.9959235291741021E-4</v>
      </c>
      <c r="E721" s="25">
        <f t="shared" si="66"/>
        <v>1.7604669004822382E-2</v>
      </c>
      <c r="F721" s="25">
        <f t="shared" si="63"/>
        <v>0.13875281520031524</v>
      </c>
      <c r="K721" s="29">
        <v>43438</v>
      </c>
      <c r="L721" s="24">
        <v>13513.95</v>
      </c>
      <c r="M721" s="25">
        <f t="shared" si="71"/>
        <v>-1.1447430248002503E-3</v>
      </c>
      <c r="O721" t="b">
        <f t="shared" si="69"/>
        <v>1</v>
      </c>
      <c r="Q721" s="25">
        <f t="shared" si="67"/>
        <v>1.8815052041633473E-2</v>
      </c>
      <c r="R721" s="25">
        <f t="shared" si="64"/>
        <v>0.15547330973891138</v>
      </c>
      <c r="X721">
        <f t="shared" si="68"/>
        <v>0</v>
      </c>
      <c r="Y721">
        <f t="shared" si="65"/>
        <v>0</v>
      </c>
    </row>
    <row r="722" spans="1:25">
      <c r="A722" s="26">
        <v>43439</v>
      </c>
      <c r="B722" s="23">
        <v>732.85</v>
      </c>
      <c r="C722" s="25">
        <f t="shared" si="70"/>
        <v>-1.335541284650694E-2</v>
      </c>
      <c r="E722" s="25">
        <f t="shared" si="66"/>
        <v>3.3131169311229058E-3</v>
      </c>
      <c r="F722" s="25">
        <f t="shared" si="63"/>
        <v>0.13433574573738505</v>
      </c>
      <c r="K722" s="28">
        <v>43439</v>
      </c>
      <c r="L722" s="23">
        <v>13384.98</v>
      </c>
      <c r="M722" s="25">
        <f t="shared" si="71"/>
        <v>-9.6354271728460675E-3</v>
      </c>
      <c r="O722" t="b">
        <f t="shared" si="69"/>
        <v>1</v>
      </c>
      <c r="Q722" s="25">
        <f t="shared" si="67"/>
        <v>9.3994573291484862E-3</v>
      </c>
      <c r="R722" s="25">
        <f t="shared" si="64"/>
        <v>0.15245006628104951</v>
      </c>
      <c r="X722">
        <f t="shared" si="68"/>
        <v>0</v>
      </c>
      <c r="Y722">
        <f t="shared" si="65"/>
        <v>0</v>
      </c>
    </row>
    <row r="723" spans="1:25">
      <c r="A723" s="27">
        <v>43440</v>
      </c>
      <c r="B723" s="24">
        <v>721.08</v>
      </c>
      <c r="C723" s="25">
        <f t="shared" si="70"/>
        <v>-1.6060585385822449E-2</v>
      </c>
      <c r="E723" s="25">
        <f t="shared" si="66"/>
        <v>-4.7342341720610914E-3</v>
      </c>
      <c r="F723" s="25">
        <f t="shared" si="63"/>
        <v>0.11594089291177156</v>
      </c>
      <c r="K723" s="29">
        <v>43440</v>
      </c>
      <c r="L723" s="24">
        <v>13168.2</v>
      </c>
      <c r="M723" s="25">
        <f t="shared" si="71"/>
        <v>-1.6462386658768764E-2</v>
      </c>
      <c r="O723" t="b">
        <f t="shared" si="69"/>
        <v>1</v>
      </c>
      <c r="Q723" s="25">
        <f t="shared" si="67"/>
        <v>5.6987850190348688E-4</v>
      </c>
      <c r="R723" s="25">
        <f t="shared" si="64"/>
        <v>0.13352013874476576</v>
      </c>
      <c r="X723">
        <f t="shared" si="68"/>
        <v>0</v>
      </c>
      <c r="Y723">
        <f t="shared" si="65"/>
        <v>0</v>
      </c>
    </row>
    <row r="724" spans="1:25">
      <c r="A724" s="26">
        <v>43441</v>
      </c>
      <c r="B724" s="23">
        <v>723.43</v>
      </c>
      <c r="C724" s="25">
        <f t="shared" si="70"/>
        <v>3.2590003883063031E-3</v>
      </c>
      <c r="E724" s="25">
        <f t="shared" si="66"/>
        <v>-1.474954375834181E-2</v>
      </c>
      <c r="F724" s="25">
        <f t="shared" si="63"/>
        <v>0.11621671511118525</v>
      </c>
      <c r="K724" s="28">
        <v>43441</v>
      </c>
      <c r="L724" s="23">
        <v>13253.29</v>
      </c>
      <c r="M724" s="25">
        <f t="shared" si="71"/>
        <v>6.4202926216811174E-3</v>
      </c>
      <c r="O724" t="b">
        <f t="shared" si="69"/>
        <v>1</v>
      </c>
      <c r="Q724" s="25">
        <f t="shared" si="67"/>
        <v>-5.633842972664227E-3</v>
      </c>
      <c r="R724" s="25">
        <f t="shared" si="64"/>
        <v>0.13622403106447045</v>
      </c>
      <c r="X724">
        <f t="shared" si="68"/>
        <v>0</v>
      </c>
      <c r="Y724">
        <f t="shared" si="65"/>
        <v>0</v>
      </c>
    </row>
    <row r="725" spans="1:25">
      <c r="A725" s="27">
        <v>43444</v>
      </c>
      <c r="B725" s="24">
        <v>713.21</v>
      </c>
      <c r="C725" s="25">
        <f t="shared" si="70"/>
        <v>-1.4127144298688075E-2</v>
      </c>
      <c r="E725" s="25">
        <f t="shared" si="66"/>
        <v>-3.9796976183744559E-2</v>
      </c>
      <c r="F725" s="25">
        <f t="shared" si="63"/>
        <v>0.11627264078154376</v>
      </c>
      <c r="K725" s="29">
        <v>43444</v>
      </c>
      <c r="L725" s="24">
        <v>12999.73</v>
      </c>
      <c r="M725" s="25">
        <f t="shared" si="71"/>
        <v>-1.9505020488887179E-2</v>
      </c>
      <c r="O725" t="b">
        <f t="shared" si="69"/>
        <v>1</v>
      </c>
      <c r="Q725" s="25">
        <f t="shared" si="67"/>
        <v>-3.3945626358077741E-2</v>
      </c>
      <c r="R725" s="25">
        <f t="shared" si="64"/>
        <v>0.13153013163524929</v>
      </c>
      <c r="X725">
        <f t="shared" si="68"/>
        <v>0</v>
      </c>
      <c r="Y725">
        <f t="shared" si="65"/>
        <v>0</v>
      </c>
    </row>
    <row r="726" spans="1:25">
      <c r="A726" s="26">
        <v>43445</v>
      </c>
      <c r="B726" s="23">
        <v>717.49</v>
      </c>
      <c r="C726" s="25">
        <f t="shared" si="70"/>
        <v>6.0010375625691907E-3</v>
      </c>
      <c r="E726" s="25">
        <f t="shared" si="66"/>
        <v>-3.8848477541561177E-2</v>
      </c>
      <c r="F726" s="25">
        <f t="shared" si="63"/>
        <v>0.12004761970048716</v>
      </c>
      <c r="K726" s="28">
        <v>43445</v>
      </c>
      <c r="L726" s="23">
        <v>13111.79</v>
      </c>
      <c r="M726" s="25">
        <f t="shared" si="71"/>
        <v>8.5465066173269471E-3</v>
      </c>
      <c r="O726" t="b">
        <f t="shared" si="69"/>
        <v>1</v>
      </c>
      <c r="Q726" s="25">
        <f t="shared" si="67"/>
        <v>-2.9979958615169111E-2</v>
      </c>
      <c r="R726" s="25">
        <f t="shared" si="64"/>
        <v>0.13460896758630425</v>
      </c>
      <c r="X726">
        <f t="shared" si="68"/>
        <v>0</v>
      </c>
      <c r="Y726">
        <f t="shared" si="65"/>
        <v>0</v>
      </c>
    </row>
    <row r="727" spans="1:25">
      <c r="A727" s="27">
        <v>43446</v>
      </c>
      <c r="B727" s="24">
        <v>730.79</v>
      </c>
      <c r="C727" s="25">
        <f t="shared" si="70"/>
        <v>1.853684371907616E-2</v>
      </c>
      <c r="E727" s="25">
        <f t="shared" si="66"/>
        <v>-1.3379235857972294E-2</v>
      </c>
      <c r="F727" s="25">
        <f t="shared" si="63"/>
        <v>0.13395548810489899</v>
      </c>
      <c r="K727" s="29">
        <v>43446</v>
      </c>
      <c r="L727" s="24">
        <v>13373.36</v>
      </c>
      <c r="M727" s="25">
        <f t="shared" si="71"/>
        <v>1.9559033780590644E-2</v>
      </c>
      <c r="O727" t="b">
        <f t="shared" si="69"/>
        <v>1</v>
      </c>
      <c r="Q727" s="25">
        <f t="shared" si="67"/>
        <v>-2.4808639314011227E-3</v>
      </c>
      <c r="R727" s="25">
        <f t="shared" si="64"/>
        <v>0.14919405848725287</v>
      </c>
      <c r="X727">
        <f t="shared" si="68"/>
        <v>0</v>
      </c>
      <c r="Y727">
        <f t="shared" si="65"/>
        <v>0</v>
      </c>
    </row>
    <row r="728" spans="1:25">
      <c r="A728" s="26">
        <v>43447</v>
      </c>
      <c r="B728" s="23">
        <v>734.43</v>
      </c>
      <c r="C728" s="25">
        <f t="shared" si="70"/>
        <v>4.980911068843288E-3</v>
      </c>
      <c r="E728" s="25">
        <f t="shared" si="66"/>
        <v>-1.1424374719490871E-3</v>
      </c>
      <c r="F728" s="25">
        <f t="shared" si="63"/>
        <v>0.13686606583192207</v>
      </c>
      <c r="K728" s="28">
        <v>43447</v>
      </c>
      <c r="L728" s="23">
        <v>13455.91</v>
      </c>
      <c r="M728" s="25">
        <f t="shared" si="71"/>
        <v>6.1348507830387743E-3</v>
      </c>
      <c r="O728" t="b">
        <f t="shared" si="69"/>
        <v>1</v>
      </c>
      <c r="Q728" s="25">
        <f t="shared" si="67"/>
        <v>9.7092114070289615E-3</v>
      </c>
      <c r="R728" s="25">
        <f t="shared" si="64"/>
        <v>0.15400050715653846</v>
      </c>
      <c r="X728">
        <f t="shared" si="68"/>
        <v>0</v>
      </c>
      <c r="Y728">
        <f t="shared" si="65"/>
        <v>0</v>
      </c>
    </row>
    <row r="729" spans="1:25">
      <c r="A729" s="27">
        <v>43448</v>
      </c>
      <c r="B729" s="24">
        <v>735.43</v>
      </c>
      <c r="C729" s="25">
        <f t="shared" si="70"/>
        <v>1.3616001524992172E-3</v>
      </c>
      <c r="E729" s="25">
        <f t="shared" si="66"/>
        <v>-3.4553781945311224E-3</v>
      </c>
      <c r="F729" s="25">
        <f t="shared" si="63"/>
        <v>0.13898352556642823</v>
      </c>
      <c r="K729" s="29">
        <v>43448</v>
      </c>
      <c r="L729" s="24">
        <v>13476.66</v>
      </c>
      <c r="M729" s="25">
        <f t="shared" si="71"/>
        <v>1.5396990055399483E-3</v>
      </c>
      <c r="O729" t="b">
        <f t="shared" si="69"/>
        <v>1</v>
      </c>
      <c r="Q729" s="25">
        <f t="shared" si="67"/>
        <v>7.737121808633507E-3</v>
      </c>
      <c r="R729" s="25">
        <f t="shared" si="64"/>
        <v>0.15594578850425278</v>
      </c>
      <c r="X729">
        <f t="shared" si="68"/>
        <v>0</v>
      </c>
      <c r="Y729">
        <f t="shared" si="65"/>
        <v>0</v>
      </c>
    </row>
    <row r="730" spans="1:25">
      <c r="A730" s="26">
        <v>43451</v>
      </c>
      <c r="B730" s="23">
        <v>741.93</v>
      </c>
      <c r="C730" s="25">
        <f t="shared" si="70"/>
        <v>8.8383666698394151E-3</v>
      </c>
      <c r="E730" s="25">
        <f t="shared" si="66"/>
        <v>-3.7463744763133189E-3</v>
      </c>
      <c r="F730" s="25">
        <f t="shared" si="63"/>
        <v>0.14637422769198505</v>
      </c>
      <c r="K730" s="28">
        <v>43451</v>
      </c>
      <c r="L730" s="23">
        <v>13569.56</v>
      </c>
      <c r="M730" s="25">
        <f t="shared" si="71"/>
        <v>6.8462057723315747E-3</v>
      </c>
      <c r="O730" t="b">
        <f t="shared" si="69"/>
        <v>1</v>
      </c>
      <c r="Q730" s="25">
        <f t="shared" si="67"/>
        <v>5.5361860265210616E-3</v>
      </c>
      <c r="R730" s="25">
        <f t="shared" si="64"/>
        <v>0.16268681726293766</v>
      </c>
      <c r="X730">
        <f t="shared" si="68"/>
        <v>0</v>
      </c>
      <c r="Y730">
        <f t="shared" si="65"/>
        <v>0</v>
      </c>
    </row>
    <row r="731" spans="1:25">
      <c r="A731" s="27">
        <v>43452</v>
      </c>
      <c r="B731" s="24">
        <v>743.98</v>
      </c>
      <c r="C731" s="25">
        <f t="shared" si="70"/>
        <v>2.7630639009071857E-3</v>
      </c>
      <c r="E731" s="25">
        <f t="shared" si="66"/>
        <v>-7.2854397950470329E-3</v>
      </c>
      <c r="F731" s="25">
        <f t="shared" si="63"/>
        <v>0.15119340848452612</v>
      </c>
      <c r="K731" s="29">
        <v>43452</v>
      </c>
      <c r="L731" s="24">
        <v>13604.26</v>
      </c>
      <c r="M731" s="25">
        <f t="shared" si="71"/>
        <v>2.5506716278577979E-3</v>
      </c>
      <c r="O731" t="b">
        <f t="shared" si="69"/>
        <v>1</v>
      </c>
      <c r="Q731" s="25">
        <f t="shared" si="67"/>
        <v>2.2144951452018891E-3</v>
      </c>
      <c r="R731" s="25">
        <f t="shared" si="64"/>
        <v>0.1671406580914907</v>
      </c>
      <c r="X731">
        <f t="shared" si="68"/>
        <v>0</v>
      </c>
      <c r="Y731">
        <f t="shared" si="65"/>
        <v>0</v>
      </c>
    </row>
    <row r="732" spans="1:25">
      <c r="A732" s="26">
        <v>43453</v>
      </c>
      <c r="B732" s="23">
        <v>748.63</v>
      </c>
      <c r="C732" s="25">
        <f t="shared" si="70"/>
        <v>6.2501680152691969E-3</v>
      </c>
      <c r="E732" s="25">
        <f t="shared" si="66"/>
        <v>-1.157908634803273E-2</v>
      </c>
      <c r="F732" s="25">
        <f t="shared" si="63"/>
        <v>0.1553514747335687</v>
      </c>
      <c r="K732" s="28">
        <v>43453</v>
      </c>
      <c r="L732" s="23">
        <v>13707.21</v>
      </c>
      <c r="M732" s="25">
        <f t="shared" si="71"/>
        <v>7.510645857180193E-3</v>
      </c>
      <c r="O732" t="b">
        <f t="shared" si="69"/>
        <v>1</v>
      </c>
      <c r="Q732" s="25">
        <f t="shared" si="67"/>
        <v>1.364431674075739E-4</v>
      </c>
      <c r="R732" s="25">
        <f t="shared" si="64"/>
        <v>0.17257277019013029</v>
      </c>
      <c r="X732">
        <f t="shared" si="68"/>
        <v>0</v>
      </c>
      <c r="Y732">
        <f t="shared" si="65"/>
        <v>0</v>
      </c>
    </row>
    <row r="733" spans="1:25">
      <c r="A733" s="27">
        <v>43454</v>
      </c>
      <c r="B733" s="24">
        <v>747.66</v>
      </c>
      <c r="C733" s="25">
        <f t="shared" si="70"/>
        <v>-1.2957001455993311E-3</v>
      </c>
      <c r="E733" s="25">
        <f t="shared" si="66"/>
        <v>-1.3367819580622609E-2</v>
      </c>
      <c r="F733" s="25">
        <f t="shared" si="63"/>
        <v>0.16068242094677099</v>
      </c>
      <c r="K733" s="29">
        <v>43454</v>
      </c>
      <c r="L733" s="24">
        <v>13688.88</v>
      </c>
      <c r="M733" s="25">
        <f t="shared" si="71"/>
        <v>-1.3390430773006943E-3</v>
      </c>
      <c r="O733" t="b">
        <f t="shared" si="69"/>
        <v>1</v>
      </c>
      <c r="Q733" s="25">
        <f t="shared" si="67"/>
        <v>-1.5244591816937492E-3</v>
      </c>
      <c r="R733" s="25">
        <f t="shared" si="64"/>
        <v>0.17861675565317214</v>
      </c>
      <c r="X733">
        <f t="shared" si="68"/>
        <v>0</v>
      </c>
      <c r="Y733">
        <f t="shared" si="65"/>
        <v>0</v>
      </c>
    </row>
    <row r="734" spans="1:25">
      <c r="A734" s="26">
        <v>43455</v>
      </c>
      <c r="B734" s="23">
        <v>735.62</v>
      </c>
      <c r="C734" s="25">
        <f t="shared" si="70"/>
        <v>-1.6103576491988288E-2</v>
      </c>
      <c r="E734" s="25">
        <f t="shared" si="66"/>
        <v>-3.2244484496072978E-2</v>
      </c>
      <c r="F734" s="25">
        <f t="shared" si="63"/>
        <v>0.15158945972815574</v>
      </c>
      <c r="K734" s="28">
        <v>43455</v>
      </c>
      <c r="L734" s="23">
        <v>13466.86</v>
      </c>
      <c r="M734" s="25">
        <f t="shared" si="71"/>
        <v>-1.6486396977469033E-2</v>
      </c>
      <c r="O734" t="b">
        <f t="shared" si="69"/>
        <v>1</v>
      </c>
      <c r="Q734" s="25">
        <f t="shared" si="67"/>
        <v>-2.0259957192764966E-2</v>
      </c>
      <c r="R734" s="25">
        <f t="shared" si="64"/>
        <v>0.16914308393684485</v>
      </c>
      <c r="X734">
        <f t="shared" si="68"/>
        <v>0</v>
      </c>
      <c r="Y734">
        <f t="shared" si="65"/>
        <v>0</v>
      </c>
    </row>
    <row r="735" spans="1:25">
      <c r="A735" s="27">
        <v>43458</v>
      </c>
      <c r="B735" s="24">
        <v>729.25</v>
      </c>
      <c r="C735" s="25">
        <f t="shared" si="70"/>
        <v>-8.6593621706859587E-3</v>
      </c>
      <c r="E735" s="25">
        <f t="shared" si="66"/>
        <v>-4.2740315826780839E-2</v>
      </c>
      <c r="F735" s="25">
        <f t="shared" si="63"/>
        <v>0.15495132638000486</v>
      </c>
      <c r="K735" s="29">
        <v>43458</v>
      </c>
      <c r="L735" s="24">
        <v>13348.09</v>
      </c>
      <c r="M735" s="25">
        <f t="shared" si="71"/>
        <v>-8.8979022466885108E-3</v>
      </c>
      <c r="O735" t="b">
        <f t="shared" si="69"/>
        <v>1</v>
      </c>
      <c r="Q735" s="25">
        <f t="shared" si="67"/>
        <v>-3.3406906300192163E-2</v>
      </c>
      <c r="R735" s="25">
        <f t="shared" si="64"/>
        <v>0.17177810795080739</v>
      </c>
      <c r="X735">
        <f t="shared" si="68"/>
        <v>0</v>
      </c>
      <c r="Y735">
        <f t="shared" si="65"/>
        <v>0</v>
      </c>
    </row>
    <row r="736" spans="1:25">
      <c r="A736" s="26">
        <v>43460</v>
      </c>
      <c r="B736" s="23">
        <v>732.33</v>
      </c>
      <c r="C736" s="25">
        <f t="shared" si="70"/>
        <v>4.2235173123072213E-3</v>
      </c>
      <c r="E736" s="25">
        <f t="shared" si="66"/>
        <v>-4.1515607617302441E-2</v>
      </c>
      <c r="F736" s="25">
        <f t="shared" si="63"/>
        <v>0.14812170719500117</v>
      </c>
      <c r="K736" s="28">
        <v>43460</v>
      </c>
      <c r="L736" s="23">
        <v>13406.24</v>
      </c>
      <c r="M736" s="25">
        <f t="shared" si="71"/>
        <v>4.3375323729844938E-3</v>
      </c>
      <c r="O736" t="b">
        <f t="shared" si="69"/>
        <v>1</v>
      </c>
      <c r="Q736" s="25">
        <f t="shared" si="67"/>
        <v>-3.3176189415033752E-2</v>
      </c>
      <c r="R736" s="25">
        <f t="shared" si="64"/>
        <v>0.16504684051972274</v>
      </c>
      <c r="X736">
        <f t="shared" si="68"/>
        <v>0</v>
      </c>
      <c r="Y736">
        <f t="shared" si="65"/>
        <v>0</v>
      </c>
    </row>
    <row r="737" spans="1:26">
      <c r="A737" s="27">
        <v>43461</v>
      </c>
      <c r="B737" s="24">
        <v>733.78</v>
      </c>
      <c r="C737" s="25">
        <f t="shared" si="70"/>
        <v>1.9799817022379687E-3</v>
      </c>
      <c r="E737" s="25">
        <f t="shared" si="66"/>
        <v>-3.7766529413307492E-2</v>
      </c>
      <c r="F737" s="25">
        <f t="shared" si="63"/>
        <v>0.14762702117552284</v>
      </c>
      <c r="K737" s="29">
        <v>43461</v>
      </c>
      <c r="L737" s="24">
        <v>13461.24</v>
      </c>
      <c r="M737" s="25">
        <f t="shared" si="71"/>
        <v>4.085804873845203E-3</v>
      </c>
      <c r="O737" t="b">
        <f t="shared" si="69"/>
        <v>1</v>
      </c>
      <c r="Q737" s="25">
        <f t="shared" si="67"/>
        <v>-2.5907320652480692E-2</v>
      </c>
      <c r="R737" s="25">
        <f t="shared" si="64"/>
        <v>0.16612443936562515</v>
      </c>
      <c r="X737">
        <f t="shared" si="68"/>
        <v>0</v>
      </c>
      <c r="Y737">
        <f t="shared" si="65"/>
        <v>0</v>
      </c>
    </row>
    <row r="738" spans="1:26">
      <c r="A738" s="26">
        <v>43462</v>
      </c>
      <c r="B738" s="23">
        <v>740.94</v>
      </c>
      <c r="C738" s="25">
        <f t="shared" si="70"/>
        <v>9.7576930415111916E-3</v>
      </c>
      <c r="E738" s="25">
        <f t="shared" si="66"/>
        <v>-2.9077614561083931E-2</v>
      </c>
      <c r="F738" s="25">
        <f t="shared" si="63"/>
        <v>0.14696094737523602</v>
      </c>
      <c r="K738" s="28">
        <v>43462</v>
      </c>
      <c r="L738" s="23">
        <v>13573.23</v>
      </c>
      <c r="M738" s="25">
        <f t="shared" si="71"/>
        <v>8.2507995517647446E-3</v>
      </c>
      <c r="O738" t="b">
        <f t="shared" si="69"/>
        <v>1</v>
      </c>
      <c r="Q738" s="25">
        <f t="shared" si="67"/>
        <v>-1.7557434241954883E-2</v>
      </c>
      <c r="R738" s="25">
        <f t="shared" si="64"/>
        <v>0.16518946511795862</v>
      </c>
      <c r="X738">
        <f t="shared" si="68"/>
        <v>0</v>
      </c>
      <c r="Y738">
        <f t="shared" si="65"/>
        <v>0</v>
      </c>
    </row>
    <row r="739" spans="1:26">
      <c r="A739" s="27">
        <v>43465</v>
      </c>
      <c r="B739" s="24">
        <v>742.91</v>
      </c>
      <c r="C739" s="25">
        <f t="shared" si="70"/>
        <v>2.6587847868922094E-3</v>
      </c>
      <c r="E739" s="25">
        <f t="shared" si="66"/>
        <v>-3.0257541542116573E-2</v>
      </c>
      <c r="F739" s="25">
        <f t="shared" si="63"/>
        <v>0.14447852499960323</v>
      </c>
      <c r="G739" s="25">
        <f>((B739/B2)^(1/3))-1</f>
        <v>0.14949457936284571</v>
      </c>
      <c r="K739" s="29">
        <v>43465</v>
      </c>
      <c r="L739" s="24">
        <v>13599.13</v>
      </c>
      <c r="M739" s="25">
        <f t="shared" si="71"/>
        <v>1.9045335988404873E-3</v>
      </c>
      <c r="O739" t="b">
        <f t="shared" si="69"/>
        <v>1</v>
      </c>
      <c r="Q739" s="25">
        <f t="shared" si="67"/>
        <v>-2.1365110297768775E-2</v>
      </c>
      <c r="R739" s="25">
        <f t="shared" si="64"/>
        <v>0.1606616305091737</v>
      </c>
      <c r="S739" s="25">
        <f>((L739/L2)^(1/3))-1</f>
        <v>0.12137651909461988</v>
      </c>
      <c r="X739">
        <f t="shared" si="68"/>
        <v>0</v>
      </c>
      <c r="Y739">
        <f t="shared" si="65"/>
        <v>0</v>
      </c>
      <c r="Z739">
        <f>IF(G739&gt;S739,1,0)</f>
        <v>1</v>
      </c>
    </row>
    <row r="740" spans="1:26">
      <c r="A740" s="26">
        <v>43466</v>
      </c>
      <c r="B740" s="23">
        <v>743.66</v>
      </c>
      <c r="C740" s="25">
        <f t="shared" si="70"/>
        <v>1.0095435517088207E-3</v>
      </c>
      <c r="E740" s="25">
        <f t="shared" si="66"/>
        <v>-2.260599847540945E-2</v>
      </c>
      <c r="F740" s="25">
        <f t="shared" si="63"/>
        <v>0.14168939843033179</v>
      </c>
      <c r="G740" s="25">
        <f t="shared" ref="G740:G803" si="72">((B740/B3)^(1/3))-1</f>
        <v>0.15599541648251258</v>
      </c>
      <c r="K740" s="28">
        <v>43466</v>
      </c>
      <c r="L740" s="23">
        <v>13640.46</v>
      </c>
      <c r="M740" s="25">
        <f t="shared" si="71"/>
        <v>3.0299564677437512E-3</v>
      </c>
      <c r="O740" t="b">
        <f t="shared" si="69"/>
        <v>1</v>
      </c>
      <c r="Q740" s="25">
        <f t="shared" si="67"/>
        <v>-1.2549036073320807E-2</v>
      </c>
      <c r="R740" s="25">
        <f t="shared" si="64"/>
        <v>0.16078658950679525</v>
      </c>
      <c r="S740" s="25">
        <f t="shared" ref="S740:S803" si="73">((L740/L3)^(1/3))-1</f>
        <v>0.12940070499577483</v>
      </c>
      <c r="X740">
        <f t="shared" si="68"/>
        <v>0</v>
      </c>
      <c r="Y740">
        <f t="shared" si="65"/>
        <v>0</v>
      </c>
      <c r="Z740">
        <f t="shared" ref="Z740:Z803" si="74">IF(G740&gt;S740,1,0)</f>
        <v>1</v>
      </c>
    </row>
    <row r="741" spans="1:26">
      <c r="A741" s="27">
        <v>43467</v>
      </c>
      <c r="B741" s="24">
        <v>735.01</v>
      </c>
      <c r="C741" s="25">
        <f t="shared" si="70"/>
        <v>-1.1631659629400503E-2</v>
      </c>
      <c r="E741" s="25">
        <f t="shared" si="66"/>
        <v>-3.1875238735000866E-2</v>
      </c>
      <c r="F741" s="25">
        <f t="shared" si="63"/>
        <v>0.13188007255589729</v>
      </c>
      <c r="G741" s="25">
        <f t="shared" si="72"/>
        <v>0.15046916219349749</v>
      </c>
      <c r="K741" s="29">
        <v>43467</v>
      </c>
      <c r="L741" s="24">
        <v>13500.3</v>
      </c>
      <c r="M741" s="25">
        <f t="shared" si="71"/>
        <v>-1.0381991511299739E-2</v>
      </c>
      <c r="O741" t="b">
        <f t="shared" si="69"/>
        <v>1</v>
      </c>
      <c r="Q741" s="25">
        <f t="shared" si="67"/>
        <v>-2.0966799183722018E-2</v>
      </c>
      <c r="R741" s="25">
        <f t="shared" si="64"/>
        <v>0.15264841974456633</v>
      </c>
      <c r="S741" s="25">
        <f t="shared" si="73"/>
        <v>0.12502619041606144</v>
      </c>
      <c r="X741">
        <f t="shared" si="68"/>
        <v>0</v>
      </c>
      <c r="Y741">
        <f t="shared" si="65"/>
        <v>0</v>
      </c>
      <c r="Z741">
        <f t="shared" si="74"/>
        <v>1</v>
      </c>
    </row>
    <row r="742" spans="1:26">
      <c r="A742" s="26">
        <v>43468</v>
      </c>
      <c r="B742" s="23">
        <v>728</v>
      </c>
      <c r="C742" s="25">
        <f t="shared" si="70"/>
        <v>-9.5372852070039742E-3</v>
      </c>
      <c r="E742" s="25">
        <f t="shared" si="66"/>
        <v>-4.4079992646769206E-2</v>
      </c>
      <c r="F742" s="25">
        <f t="shared" si="63"/>
        <v>0.1265088815381914</v>
      </c>
      <c r="G742" s="25">
        <f t="shared" si="72"/>
        <v>0.1478632041596577</v>
      </c>
      <c r="K742" s="28">
        <v>43468</v>
      </c>
      <c r="L742" s="23">
        <v>13368.91</v>
      </c>
      <c r="M742" s="25">
        <f t="shared" si="71"/>
        <v>-9.8280263686418273E-3</v>
      </c>
      <c r="O742" t="b">
        <f t="shared" si="69"/>
        <v>1</v>
      </c>
      <c r="Q742" s="25">
        <f t="shared" si="67"/>
        <v>-3.2701969773270556E-2</v>
      </c>
      <c r="R742" s="25">
        <f t="shared" si="64"/>
        <v>0.1468631865337402</v>
      </c>
      <c r="S742" s="25">
        <f t="shared" si="73"/>
        <v>0.12316454782937436</v>
      </c>
      <c r="X742">
        <f t="shared" si="68"/>
        <v>0</v>
      </c>
      <c r="Y742">
        <f t="shared" si="65"/>
        <v>0</v>
      </c>
      <c r="Z742">
        <f t="shared" si="74"/>
        <v>1</v>
      </c>
    </row>
    <row r="743" spans="1:26">
      <c r="A743" s="27">
        <v>43469</v>
      </c>
      <c r="B743" s="24">
        <v>730.89</v>
      </c>
      <c r="C743" s="25">
        <f t="shared" si="70"/>
        <v>3.969780219780201E-3</v>
      </c>
      <c r="E743" s="25">
        <f t="shared" si="66"/>
        <v>-4.7464518903702513E-2</v>
      </c>
      <c r="F743" s="25">
        <f t="shared" si="63"/>
        <v>0.12224711863385718</v>
      </c>
      <c r="G743" s="25">
        <f t="shared" si="72"/>
        <v>0.15934037254329825</v>
      </c>
      <c r="K743" s="29">
        <v>43469</v>
      </c>
      <c r="L743" s="24">
        <v>13428.43</v>
      </c>
      <c r="M743" s="25">
        <f t="shared" si="71"/>
        <v>4.4323871070557344E-3</v>
      </c>
      <c r="O743" t="b">
        <f t="shared" si="69"/>
        <v>1</v>
      </c>
      <c r="Q743" s="25">
        <f t="shared" si="67"/>
        <v>-3.5182244702940735E-2</v>
      </c>
      <c r="R743" s="25">
        <f t="shared" si="64"/>
        <v>0.14323871000350219</v>
      </c>
      <c r="S743" s="25">
        <f t="shared" si="73"/>
        <v>0.13410429593048434</v>
      </c>
      <c r="X743">
        <f t="shared" si="68"/>
        <v>0</v>
      </c>
      <c r="Y743">
        <f t="shared" si="65"/>
        <v>0</v>
      </c>
      <c r="Z743">
        <f t="shared" si="74"/>
        <v>1</v>
      </c>
    </row>
    <row r="744" spans="1:26">
      <c r="A744" s="26">
        <v>43472</v>
      </c>
      <c r="B744" s="23">
        <v>731.96</v>
      </c>
      <c r="C744" s="25">
        <f t="shared" si="70"/>
        <v>1.4639685862442365E-3</v>
      </c>
      <c r="E744" s="25">
        <f t="shared" si="66"/>
        <v>-5.4620600581207546E-2</v>
      </c>
      <c r="F744" s="25">
        <f t="shared" si="63"/>
        <v>0.12370745447923204</v>
      </c>
      <c r="G744" s="25">
        <f t="shared" si="72"/>
        <v>0.15625262330247014</v>
      </c>
      <c r="K744" s="28">
        <v>43472</v>
      </c>
      <c r="L744" s="23">
        <v>13467.36</v>
      </c>
      <c r="M744" s="25">
        <f t="shared" si="71"/>
        <v>2.8906927564125626E-3</v>
      </c>
      <c r="O744" t="b">
        <f t="shared" si="69"/>
        <v>1</v>
      </c>
      <c r="Q744" s="25">
        <f t="shared" si="67"/>
        <v>-3.922814992691126E-2</v>
      </c>
      <c r="R744" s="25">
        <f t="shared" si="64"/>
        <v>0.14681671235202809</v>
      </c>
      <c r="S744" s="25">
        <f t="shared" si="73"/>
        <v>0.13262871774401574</v>
      </c>
      <c r="X744">
        <f t="shared" si="68"/>
        <v>0</v>
      </c>
      <c r="Y744">
        <f t="shared" si="65"/>
        <v>0</v>
      </c>
      <c r="Z744">
        <f t="shared" si="74"/>
        <v>1</v>
      </c>
    </row>
    <row r="745" spans="1:26">
      <c r="A745" s="27">
        <v>43473</v>
      </c>
      <c r="B745" s="24">
        <v>734.87</v>
      </c>
      <c r="C745" s="25">
        <f t="shared" si="70"/>
        <v>3.9756270834471396E-3</v>
      </c>
      <c r="E745" s="25">
        <f t="shared" si="66"/>
        <v>-5.4635037435356471E-2</v>
      </c>
      <c r="F745" s="25">
        <f t="shared" si="63"/>
        <v>0.12453337116487395</v>
      </c>
      <c r="G745" s="25">
        <f t="shared" si="72"/>
        <v>0.16002472583203109</v>
      </c>
      <c r="K745" s="29">
        <v>43473</v>
      </c>
      <c r="L745" s="24">
        <v>13493.29</v>
      </c>
      <c r="M745" s="25">
        <f t="shared" si="71"/>
        <v>1.9216958947743871E-3</v>
      </c>
      <c r="O745" t="b">
        <f t="shared" si="69"/>
        <v>1</v>
      </c>
      <c r="Q745" s="25">
        <f t="shared" si="67"/>
        <v>-4.3951224350980533E-2</v>
      </c>
      <c r="R745" s="25">
        <f t="shared" si="64"/>
        <v>0.14775602387549447</v>
      </c>
      <c r="S745" s="25">
        <f t="shared" si="73"/>
        <v>0.13563171741381486</v>
      </c>
      <c r="X745">
        <f t="shared" si="68"/>
        <v>0</v>
      </c>
      <c r="Y745">
        <f t="shared" si="65"/>
        <v>0</v>
      </c>
      <c r="Z745">
        <f t="shared" si="74"/>
        <v>1</v>
      </c>
    </row>
    <row r="746" spans="1:26">
      <c r="A746" s="26">
        <v>43474</v>
      </c>
      <c r="B746" s="23">
        <v>736.63</v>
      </c>
      <c r="C746" s="25">
        <f t="shared" si="70"/>
        <v>2.3949814252860928E-3</v>
      </c>
      <c r="E746" s="25">
        <f t="shared" si="66"/>
        <v>-5.1150269211943211E-2</v>
      </c>
      <c r="F746" s="25">
        <f t="shared" si="63"/>
        <v>0.12325349343922842</v>
      </c>
      <c r="G746" s="25">
        <f t="shared" si="72"/>
        <v>0.16447315607593072</v>
      </c>
      <c r="K746" s="28">
        <v>43474</v>
      </c>
      <c r="L746" s="23">
        <v>13536.01</v>
      </c>
      <c r="M746" s="25">
        <f t="shared" si="71"/>
        <v>3.1560260372147588E-3</v>
      </c>
      <c r="O746" t="b">
        <f t="shared" si="69"/>
        <v>1</v>
      </c>
      <c r="Q746" s="25">
        <f t="shared" si="67"/>
        <v>-4.1074511487473875E-2</v>
      </c>
      <c r="R746" s="25">
        <f t="shared" si="64"/>
        <v>0.14577338701346298</v>
      </c>
      <c r="S746" s="25">
        <f t="shared" si="73"/>
        <v>0.13956989946185239</v>
      </c>
      <c r="X746">
        <f t="shared" si="68"/>
        <v>0</v>
      </c>
      <c r="Y746">
        <f t="shared" si="65"/>
        <v>0</v>
      </c>
      <c r="Z746">
        <f t="shared" si="74"/>
        <v>1</v>
      </c>
    </row>
    <row r="747" spans="1:26">
      <c r="A747" s="27">
        <v>43475</v>
      </c>
      <c r="B747" s="24">
        <v>735.79</v>
      </c>
      <c r="C747" s="25">
        <f t="shared" si="70"/>
        <v>-1.1403282516324774E-3</v>
      </c>
      <c r="E747" s="25">
        <f t="shared" si="66"/>
        <v>-4.8961443509506597E-2</v>
      </c>
      <c r="F747" s="25">
        <f t="shared" si="63"/>
        <v>0.11467965043368045</v>
      </c>
      <c r="G747" s="25">
        <f t="shared" si="72"/>
        <v>0.16446318151189043</v>
      </c>
      <c r="K747" s="29">
        <v>43475</v>
      </c>
      <c r="L747" s="24">
        <v>13524.03</v>
      </c>
      <c r="M747" s="25">
        <f t="shared" si="71"/>
        <v>-8.8583062888795451E-4</v>
      </c>
      <c r="O747" t="b">
        <f t="shared" si="69"/>
        <v>1</v>
      </c>
      <c r="Q747" s="25">
        <f t="shared" si="67"/>
        <v>-4.0909474508346588E-2</v>
      </c>
      <c r="R747" s="25">
        <f t="shared" si="64"/>
        <v>0.13874183088425251</v>
      </c>
      <c r="S747" s="25">
        <f t="shared" si="73"/>
        <v>0.13861070899138017</v>
      </c>
      <c r="X747">
        <f t="shared" si="68"/>
        <v>0</v>
      </c>
      <c r="Y747">
        <f t="shared" si="65"/>
        <v>0</v>
      </c>
      <c r="Z747">
        <f t="shared" si="74"/>
        <v>1</v>
      </c>
    </row>
    <row r="748" spans="1:26">
      <c r="A748" s="26">
        <v>43476</v>
      </c>
      <c r="B748" s="23">
        <v>735.51</v>
      </c>
      <c r="C748" s="25">
        <f t="shared" si="70"/>
        <v>-3.8054336155692893E-4</v>
      </c>
      <c r="E748" s="25">
        <f t="shared" si="66"/>
        <v>-5.0440238580908403E-2</v>
      </c>
      <c r="F748" s="25">
        <f t="shared" si="63"/>
        <v>0.11314311106313113</v>
      </c>
      <c r="G748" s="25">
        <f t="shared" si="72"/>
        <v>0.16719467845377523</v>
      </c>
      <c r="K748" s="28">
        <v>43476</v>
      </c>
      <c r="L748" s="23">
        <v>13492.62</v>
      </c>
      <c r="M748" s="25">
        <f t="shared" si="71"/>
        <v>-2.3279392734694856E-3</v>
      </c>
      <c r="O748" t="b">
        <f t="shared" si="69"/>
        <v>1</v>
      </c>
      <c r="Q748" s="25">
        <f t="shared" si="67"/>
        <v>-4.5093412636290187E-2</v>
      </c>
      <c r="R748" s="25">
        <f t="shared" si="64"/>
        <v>0.13602419206259109</v>
      </c>
      <c r="S748" s="25">
        <f t="shared" si="73"/>
        <v>0.13996971634053845</v>
      </c>
      <c r="X748">
        <f t="shared" si="68"/>
        <v>0</v>
      </c>
      <c r="Y748">
        <f t="shared" si="65"/>
        <v>0</v>
      </c>
      <c r="Z748">
        <f t="shared" si="74"/>
        <v>1</v>
      </c>
    </row>
    <row r="749" spans="1:26">
      <c r="A749" s="27">
        <v>43479</v>
      </c>
      <c r="B749" s="24">
        <v>733.46</v>
      </c>
      <c r="C749" s="25">
        <f t="shared" si="70"/>
        <v>-2.7871816834576751E-3</v>
      </c>
      <c r="E749" s="25">
        <f t="shared" si="66"/>
        <v>-5.4283356542369265E-2</v>
      </c>
      <c r="F749" s="25">
        <f t="shared" si="63"/>
        <v>0.11250950253315772</v>
      </c>
      <c r="G749" s="25">
        <f t="shared" si="72"/>
        <v>0.1728160360829385</v>
      </c>
      <c r="K749" s="29">
        <v>43479</v>
      </c>
      <c r="L749" s="24">
        <v>13423.32</v>
      </c>
      <c r="M749" s="25">
        <f t="shared" si="71"/>
        <v>-5.162657226379248E-3</v>
      </c>
      <c r="O749" t="b">
        <f t="shared" si="69"/>
        <v>1</v>
      </c>
      <c r="Q749" s="25">
        <f t="shared" si="67"/>
        <v>-5.1463402397324498E-2</v>
      </c>
      <c r="R749" s="25">
        <f t="shared" si="64"/>
        <v>0.1333822272005043</v>
      </c>
      <c r="S749" s="25">
        <f t="shared" si="73"/>
        <v>0.14498598203208712</v>
      </c>
      <c r="X749">
        <f t="shared" si="68"/>
        <v>0</v>
      </c>
      <c r="Y749">
        <f t="shared" si="65"/>
        <v>0</v>
      </c>
      <c r="Z749">
        <f t="shared" si="74"/>
        <v>1</v>
      </c>
    </row>
    <row r="750" spans="1:26">
      <c r="A750" s="26">
        <v>43480</v>
      </c>
      <c r="B750" s="23">
        <v>741.31</v>
      </c>
      <c r="C750" s="25">
        <f t="shared" si="70"/>
        <v>1.0702696806915045E-2</v>
      </c>
      <c r="E750" s="25">
        <f t="shared" si="66"/>
        <v>-4.601902016549364E-2</v>
      </c>
      <c r="F750" s="25">
        <f t="shared" si="63"/>
        <v>0.11599223175401385</v>
      </c>
      <c r="G750" s="25">
        <f t="shared" si="72"/>
        <v>0.18453666616199693</v>
      </c>
      <c r="K750" s="28">
        <v>43480</v>
      </c>
      <c r="L750" s="23">
        <v>13580.01</v>
      </c>
      <c r="M750" s="25">
        <f t="shared" si="71"/>
        <v>1.1538283108775362E-2</v>
      </c>
      <c r="O750" t="b">
        <f t="shared" si="69"/>
        <v>1</v>
      </c>
      <c r="Q750" s="25">
        <f t="shared" si="67"/>
        <v>-4.3816142455799345E-2</v>
      </c>
      <c r="R750" s="25">
        <f t="shared" si="64"/>
        <v>0.13843151639542928</v>
      </c>
      <c r="S750" s="25">
        <f t="shared" si="73"/>
        <v>0.15643662242264167</v>
      </c>
      <c r="X750">
        <f t="shared" si="68"/>
        <v>0</v>
      </c>
      <c r="Y750">
        <f t="shared" si="65"/>
        <v>0</v>
      </c>
      <c r="Z750">
        <f t="shared" si="74"/>
        <v>1</v>
      </c>
    </row>
    <row r="751" spans="1:26">
      <c r="A751" s="27">
        <v>43481</v>
      </c>
      <c r="B751" s="24">
        <v>741.47</v>
      </c>
      <c r="C751" s="25">
        <f t="shared" si="70"/>
        <v>2.1583413147007577E-4</v>
      </c>
      <c r="E751" s="25">
        <f t="shared" si="66"/>
        <v>-3.7176990001298482E-2</v>
      </c>
      <c r="F751" s="25">
        <f t="shared" ref="F751:F814" si="75">((B751/B259)^(1/2))-1</f>
        <v>0.11680710417074924</v>
      </c>
      <c r="G751" s="25">
        <f t="shared" si="72"/>
        <v>0.18045491462064756</v>
      </c>
      <c r="K751" s="29">
        <v>43481</v>
      </c>
      <c r="L751" s="24">
        <v>13582.44</v>
      </c>
      <c r="M751" s="25">
        <f t="shared" si="71"/>
        <v>1.7890747170613608E-4</v>
      </c>
      <c r="O751" t="b">
        <f t="shared" si="69"/>
        <v>1</v>
      </c>
      <c r="Q751" s="25">
        <f t="shared" si="67"/>
        <v>-3.496315685141882E-2</v>
      </c>
      <c r="R751" s="25">
        <f t="shared" ref="R751:R814" si="76">((L751/L259)^(1/2))-1</f>
        <v>0.13887307351168987</v>
      </c>
      <c r="S751" s="25">
        <f t="shared" si="73"/>
        <v>0.15176632763514308</v>
      </c>
      <c r="X751">
        <f t="shared" si="68"/>
        <v>0</v>
      </c>
      <c r="Y751">
        <f t="shared" ref="Y751:Y814" si="77">IF(F751&gt;R751,1,0)</f>
        <v>0</v>
      </c>
      <c r="Z751">
        <f t="shared" si="74"/>
        <v>1</v>
      </c>
    </row>
    <row r="752" spans="1:26">
      <c r="A752" s="26">
        <v>43482</v>
      </c>
      <c r="B752" s="23">
        <v>739.78</v>
      </c>
      <c r="C752" s="25">
        <f t="shared" si="70"/>
        <v>-2.279256072396799E-3</v>
      </c>
      <c r="E752" s="25">
        <f t="shared" si="66"/>
        <v>-4.5482110369921114E-2</v>
      </c>
      <c r="F752" s="25">
        <f t="shared" si="75"/>
        <v>0.11166947760103363</v>
      </c>
      <c r="G752" s="25">
        <f t="shared" si="72"/>
        <v>0.18651210276870422</v>
      </c>
      <c r="K752" s="28">
        <v>43482</v>
      </c>
      <c r="L752" s="23">
        <v>13587.51</v>
      </c>
      <c r="M752" s="25">
        <f t="shared" si="71"/>
        <v>3.7313679989929788E-4</v>
      </c>
      <c r="O752" t="b">
        <f t="shared" si="69"/>
        <v>1</v>
      </c>
      <c r="Q752" s="25">
        <f t="shared" si="67"/>
        <v>-4.1978074974899249E-2</v>
      </c>
      <c r="R752" s="25">
        <f t="shared" si="76"/>
        <v>0.13709536108147202</v>
      </c>
      <c r="S752" s="25">
        <f t="shared" si="73"/>
        <v>0.15873913255816663</v>
      </c>
      <c r="X752">
        <f t="shared" si="68"/>
        <v>0</v>
      </c>
      <c r="Y752">
        <f t="shared" si="77"/>
        <v>0</v>
      </c>
      <c r="Z752">
        <f t="shared" si="74"/>
        <v>1</v>
      </c>
    </row>
    <row r="753" spans="1:26">
      <c r="A753" s="27">
        <v>43483</v>
      </c>
      <c r="B753" s="24">
        <v>736.05</v>
      </c>
      <c r="C753" s="25">
        <f t="shared" si="70"/>
        <v>-5.0420395252642929E-3</v>
      </c>
      <c r="E753" s="25">
        <f t="shared" si="66"/>
        <v>-4.6110182341277617E-2</v>
      </c>
      <c r="F753" s="25">
        <f t="shared" si="75"/>
        <v>0.10765208325209774</v>
      </c>
      <c r="G753" s="25">
        <f t="shared" si="72"/>
        <v>0.1849964095747938</v>
      </c>
      <c r="K753" s="29">
        <v>43483</v>
      </c>
      <c r="L753" s="24">
        <v>13555.85</v>
      </c>
      <c r="M753" s="25">
        <f t="shared" si="71"/>
        <v>-2.3355230398683854E-3</v>
      </c>
      <c r="O753" t="b">
        <f t="shared" si="69"/>
        <v>1</v>
      </c>
      <c r="Q753" s="25">
        <f t="shared" si="67"/>
        <v>-4.0344760455197082E-2</v>
      </c>
      <c r="R753" s="25">
        <f t="shared" si="76"/>
        <v>0.13426188019343588</v>
      </c>
      <c r="S753" s="25">
        <f t="shared" si="73"/>
        <v>0.15931024002249905</v>
      </c>
      <c r="X753">
        <f t="shared" si="68"/>
        <v>0</v>
      </c>
      <c r="Y753">
        <f t="shared" si="77"/>
        <v>0</v>
      </c>
      <c r="Z753">
        <f t="shared" si="74"/>
        <v>1</v>
      </c>
    </row>
    <row r="754" spans="1:26">
      <c r="A754" s="26">
        <v>43486</v>
      </c>
      <c r="B754" s="23">
        <v>735.75</v>
      </c>
      <c r="C754" s="25">
        <f t="shared" si="70"/>
        <v>-4.0758100672502485E-4</v>
      </c>
      <c r="E754" s="25">
        <f t="shared" si="66"/>
        <v>-5.3454264762639814E-2</v>
      </c>
      <c r="F754" s="25">
        <f t="shared" si="75"/>
        <v>0.11336222135310292</v>
      </c>
      <c r="G754" s="25">
        <f t="shared" si="72"/>
        <v>0.17589180370319335</v>
      </c>
      <c r="K754" s="28">
        <v>43486</v>
      </c>
      <c r="L754" s="23">
        <v>13578.37</v>
      </c>
      <c r="M754" s="25">
        <f t="shared" si="71"/>
        <v>1.658520131650591E-3</v>
      </c>
      <c r="O754" t="b">
        <f t="shared" si="69"/>
        <v>1</v>
      </c>
      <c r="Q754" s="25">
        <f t="shared" si="67"/>
        <v>-4.6298026203965059E-2</v>
      </c>
      <c r="R754" s="25">
        <f t="shared" si="76"/>
        <v>0.14188161258700371</v>
      </c>
      <c r="S754" s="25">
        <f t="shared" si="73"/>
        <v>0.15214830907249799</v>
      </c>
      <c r="X754">
        <f t="shared" si="68"/>
        <v>0</v>
      </c>
      <c r="Y754">
        <f t="shared" si="77"/>
        <v>0</v>
      </c>
      <c r="Z754">
        <f t="shared" si="74"/>
        <v>1</v>
      </c>
    </row>
    <row r="755" spans="1:26">
      <c r="A755" s="27">
        <v>43487</v>
      </c>
      <c r="B755" s="24">
        <v>734.02</v>
      </c>
      <c r="C755" s="25">
        <f t="shared" si="70"/>
        <v>-2.3513421678559542E-3</v>
      </c>
      <c r="E755" s="25">
        <f t="shared" si="66"/>
        <v>-5.7232397441496108E-2</v>
      </c>
      <c r="F755" s="25">
        <f t="shared" si="75"/>
        <v>0.10823148605688915</v>
      </c>
      <c r="G755" s="25">
        <f t="shared" si="72"/>
        <v>0.17386365799945658</v>
      </c>
      <c r="K755" s="29">
        <v>43487</v>
      </c>
      <c r="L755" s="24">
        <v>13542.55</v>
      </c>
      <c r="M755" s="25">
        <f t="shared" si="71"/>
        <v>-2.6449966956002768E-3</v>
      </c>
      <c r="O755" t="b">
        <f t="shared" si="69"/>
        <v>1</v>
      </c>
      <c r="Q755" s="25">
        <f t="shared" si="67"/>
        <v>-5.5108743203331811E-2</v>
      </c>
      <c r="R755" s="25">
        <f t="shared" si="76"/>
        <v>0.1371886175560495</v>
      </c>
      <c r="S755" s="25">
        <f t="shared" si="73"/>
        <v>0.15001663717153235</v>
      </c>
      <c r="X755">
        <f t="shared" si="68"/>
        <v>0</v>
      </c>
      <c r="Y755">
        <f t="shared" si="77"/>
        <v>0</v>
      </c>
      <c r="Z755">
        <f t="shared" si="74"/>
        <v>1</v>
      </c>
    </row>
    <row r="756" spans="1:26">
      <c r="A756" s="26">
        <v>43488</v>
      </c>
      <c r="B756" s="23">
        <v>730.19</v>
      </c>
      <c r="C756" s="25">
        <f t="shared" si="70"/>
        <v>-5.2178414757090095E-3</v>
      </c>
      <c r="E756" s="25">
        <f t="shared" si="66"/>
        <v>-7.0957809557738227E-2</v>
      </c>
      <c r="F756" s="25">
        <f t="shared" si="75"/>
        <v>9.9729238994298974E-2</v>
      </c>
      <c r="G756" s="25">
        <f t="shared" si="72"/>
        <v>0.17112202806466925</v>
      </c>
      <c r="K756" s="28">
        <v>43488</v>
      </c>
      <c r="L756" s="23">
        <v>13450.22</v>
      </c>
      <c r="M756" s="25">
        <f t="shared" si="71"/>
        <v>-6.864571731912187E-3</v>
      </c>
      <c r="O756" t="b">
        <f t="shared" si="69"/>
        <v>1</v>
      </c>
      <c r="Q756" s="25">
        <f t="shared" si="67"/>
        <v>-7.0093092875093799E-2</v>
      </c>
      <c r="R756" s="25">
        <f t="shared" si="76"/>
        <v>0.12765928127668547</v>
      </c>
      <c r="S756" s="25">
        <f t="shared" si="73"/>
        <v>0.14688688871964906</v>
      </c>
      <c r="X756">
        <f t="shared" si="68"/>
        <v>0</v>
      </c>
      <c r="Y756">
        <f t="shared" si="77"/>
        <v>0</v>
      </c>
      <c r="Z756">
        <f t="shared" si="74"/>
        <v>1</v>
      </c>
    </row>
    <row r="757" spans="1:26">
      <c r="A757" s="27">
        <v>43489</v>
      </c>
      <c r="B757" s="24">
        <v>729.86</v>
      </c>
      <c r="C757" s="25">
        <f t="shared" si="70"/>
        <v>-4.5193716703877194E-4</v>
      </c>
      <c r="E757" s="25">
        <f t="shared" si="66"/>
        <v>-6.727156549520763E-2</v>
      </c>
      <c r="F757" s="25">
        <f t="shared" si="75"/>
        <v>9.1706098180333484E-2</v>
      </c>
      <c r="G757" s="25">
        <f t="shared" si="72"/>
        <v>0.1717795963077442</v>
      </c>
      <c r="K757" s="29">
        <v>43489</v>
      </c>
      <c r="L757" s="24">
        <v>13458.48</v>
      </c>
      <c r="M757" s="25">
        <f t="shared" si="71"/>
        <v>6.1373944160114798E-4</v>
      </c>
      <c r="O757" t="b">
        <f t="shared" si="69"/>
        <v>1</v>
      </c>
      <c r="Q757" s="25">
        <f t="shared" si="67"/>
        <v>-6.7325110637713959E-2</v>
      </c>
      <c r="R757" s="25">
        <f t="shared" si="76"/>
        <v>0.12018574819143568</v>
      </c>
      <c r="S757" s="25">
        <f t="shared" si="73"/>
        <v>0.14788171187545029</v>
      </c>
      <c r="X757">
        <f t="shared" si="68"/>
        <v>1</v>
      </c>
      <c r="Y757">
        <f t="shared" si="77"/>
        <v>0</v>
      </c>
      <c r="Z757">
        <f t="shared" si="74"/>
        <v>1</v>
      </c>
    </row>
    <row r="758" spans="1:26">
      <c r="A758" s="26">
        <v>43490</v>
      </c>
      <c r="B758" s="23">
        <v>721.66</v>
      </c>
      <c r="C758" s="25">
        <f t="shared" si="70"/>
        <v>-1.1235031375880368E-2</v>
      </c>
      <c r="E758" s="25">
        <f t="shared" si="66"/>
        <v>-7.298838762717097E-2</v>
      </c>
      <c r="F758" s="25">
        <f t="shared" si="75"/>
        <v>8.3329424061259427E-2</v>
      </c>
      <c r="G758" s="25">
        <f t="shared" si="72"/>
        <v>0.16145636976073008</v>
      </c>
      <c r="K758" s="28">
        <v>43490</v>
      </c>
      <c r="L758" s="23">
        <v>13343</v>
      </c>
      <c r="M758" s="25">
        <f t="shared" si="71"/>
        <v>-8.6547253241399651E-3</v>
      </c>
      <c r="O758" t="b">
        <f t="shared" si="69"/>
        <v>1</v>
      </c>
      <c r="Q758" s="25">
        <f t="shared" si="67"/>
        <v>-7.119945648844761E-2</v>
      </c>
      <c r="R758" s="25">
        <f t="shared" si="76"/>
        <v>0.11256145612863633</v>
      </c>
      <c r="S758" s="25">
        <f t="shared" si="73"/>
        <v>0.13796449397950772</v>
      </c>
      <c r="X758">
        <f t="shared" si="68"/>
        <v>0</v>
      </c>
      <c r="Y758">
        <f t="shared" si="77"/>
        <v>0</v>
      </c>
      <c r="Z758">
        <f t="shared" si="74"/>
        <v>1</v>
      </c>
    </row>
    <row r="759" spans="1:26">
      <c r="A759" s="27">
        <v>43493</v>
      </c>
      <c r="B759" s="24">
        <v>711.51</v>
      </c>
      <c r="C759" s="25">
        <f t="shared" si="70"/>
        <v>-1.4064795055843441E-2</v>
      </c>
      <c r="E759" s="25">
        <f t="shared" si="66"/>
        <v>-8.6425618242983004E-2</v>
      </c>
      <c r="F759" s="25">
        <f t="shared" si="75"/>
        <v>7.6393224712119512E-2</v>
      </c>
      <c r="G759" s="25">
        <f t="shared" si="72"/>
        <v>0.15488324479907156</v>
      </c>
      <c r="K759" s="29">
        <v>43493</v>
      </c>
      <c r="L759" s="24">
        <v>13168.57</v>
      </c>
      <c r="M759" s="25">
        <f t="shared" si="71"/>
        <v>-1.3245933309387449E-2</v>
      </c>
      <c r="O759" t="b">
        <f t="shared" si="69"/>
        <v>1</v>
      </c>
      <c r="Q759" s="25">
        <f t="shared" si="67"/>
        <v>-8.4241541701089551E-2</v>
      </c>
      <c r="R759" s="25">
        <f t="shared" si="76"/>
        <v>0.10549001591095752</v>
      </c>
      <c r="S759" s="25">
        <f t="shared" si="73"/>
        <v>0.13283758118870437</v>
      </c>
      <c r="X759">
        <f t="shared" si="68"/>
        <v>0</v>
      </c>
      <c r="Y759">
        <f t="shared" si="77"/>
        <v>0</v>
      </c>
      <c r="Z759">
        <f t="shared" si="74"/>
        <v>1</v>
      </c>
    </row>
    <row r="760" spans="1:26">
      <c r="A760" s="26">
        <v>43494</v>
      </c>
      <c r="B760" s="23">
        <v>713.75</v>
      </c>
      <c r="C760" s="25">
        <f t="shared" si="70"/>
        <v>3.1482340374696196E-3</v>
      </c>
      <c r="E760" s="25">
        <f t="shared" ref="E760:E823" si="78">(B760/B515)-1</f>
        <v>-7.7663629902435916E-2</v>
      </c>
      <c r="F760" s="25">
        <f t="shared" si="75"/>
        <v>8.4399846688130165E-2</v>
      </c>
      <c r="G760" s="25">
        <f t="shared" si="72"/>
        <v>0.1621553114688552</v>
      </c>
      <c r="K760" s="28">
        <v>43494</v>
      </c>
      <c r="L760" s="23">
        <v>13167.46</v>
      </c>
      <c r="M760" s="25">
        <f t="shared" si="71"/>
        <v>-8.4298718203858769E-5</v>
      </c>
      <c r="O760" t="b">
        <f t="shared" si="69"/>
        <v>1</v>
      </c>
      <c r="Q760" s="25">
        <f t="shared" ref="Q760:Q823" si="79">(L760/L515)-1</f>
        <v>-7.7194241478343972E-2</v>
      </c>
      <c r="R760" s="25">
        <f t="shared" si="76"/>
        <v>0.11087379978626011</v>
      </c>
      <c r="S760" s="25">
        <f t="shared" si="73"/>
        <v>0.13815085505117763</v>
      </c>
      <c r="X760">
        <f t="shared" ref="X760:X823" si="80">IF(E760&gt;Q760,1,0)</f>
        <v>0</v>
      </c>
      <c r="Y760">
        <f t="shared" si="77"/>
        <v>0</v>
      </c>
      <c r="Z760">
        <f t="shared" si="74"/>
        <v>1</v>
      </c>
    </row>
    <row r="761" spans="1:26">
      <c r="A761" s="27">
        <v>43495</v>
      </c>
      <c r="B761" s="24">
        <v>719.51</v>
      </c>
      <c r="C761" s="25">
        <f t="shared" si="70"/>
        <v>8.0700525394045413E-3</v>
      </c>
      <c r="E761" s="25">
        <f t="shared" si="78"/>
        <v>-6.8619582664526502E-2</v>
      </c>
      <c r="F761" s="25">
        <f t="shared" si="75"/>
        <v>7.9714606860920023E-2</v>
      </c>
      <c r="G761" s="25">
        <f t="shared" si="72"/>
        <v>0.16987055474604351</v>
      </c>
      <c r="K761" s="29">
        <v>43495</v>
      </c>
      <c r="L761" s="24">
        <v>13181.18</v>
      </c>
      <c r="M761" s="25">
        <f t="shared" si="71"/>
        <v>1.0408779790581088E-3</v>
      </c>
      <c r="O761" t="b">
        <f t="shared" si="69"/>
        <v>1</v>
      </c>
      <c r="Q761" s="25">
        <f t="shared" si="79"/>
        <v>-7.1949836268023315E-2</v>
      </c>
      <c r="R761" s="25">
        <f t="shared" si="76"/>
        <v>0.10125462478609526</v>
      </c>
      <c r="S761" s="25">
        <f t="shared" si="73"/>
        <v>0.14380007309524467</v>
      </c>
      <c r="X761">
        <f t="shared" si="80"/>
        <v>1</v>
      </c>
      <c r="Y761">
        <f t="shared" si="77"/>
        <v>0</v>
      </c>
      <c r="Z761">
        <f t="shared" si="74"/>
        <v>1</v>
      </c>
    </row>
    <row r="762" spans="1:26">
      <c r="A762" s="26">
        <v>43496</v>
      </c>
      <c r="B762" s="23">
        <v>724.97</v>
      </c>
      <c r="C762" s="25">
        <f t="shared" si="70"/>
        <v>7.5884977276202362E-3</v>
      </c>
      <c r="E762" s="25">
        <f t="shared" si="78"/>
        <v>-6.3418856419398928E-2</v>
      </c>
      <c r="F762" s="25">
        <f t="shared" si="75"/>
        <v>7.9596167742258972E-2</v>
      </c>
      <c r="G762" s="25">
        <f t="shared" si="72"/>
        <v>0.17168488044781194</v>
      </c>
      <c r="K762" s="28">
        <v>43496</v>
      </c>
      <c r="L762" s="23">
        <v>13357.8</v>
      </c>
      <c r="M762" s="25">
        <f t="shared" si="71"/>
        <v>1.3222237194747563E-2</v>
      </c>
      <c r="O762" t="b">
        <f t="shared" si="69"/>
        <v>1</v>
      </c>
      <c r="Q762" s="25">
        <f t="shared" si="79"/>
        <v>-5.8530826564234584E-2</v>
      </c>
      <c r="R762" s="25">
        <f t="shared" si="76"/>
        <v>0.10624576084037884</v>
      </c>
      <c r="S762" s="25">
        <f t="shared" si="73"/>
        <v>0.14764110693040089</v>
      </c>
      <c r="X762">
        <f t="shared" si="80"/>
        <v>0</v>
      </c>
      <c r="Y762">
        <f t="shared" si="77"/>
        <v>0</v>
      </c>
      <c r="Z762">
        <f t="shared" si="74"/>
        <v>1</v>
      </c>
    </row>
    <row r="763" spans="1:26">
      <c r="A763" s="27">
        <v>43497</v>
      </c>
      <c r="B763" s="24">
        <v>724.86</v>
      </c>
      <c r="C763" s="25">
        <f t="shared" si="70"/>
        <v>-1.5173041643104355E-4</v>
      </c>
      <c r="E763" s="25">
        <f t="shared" si="78"/>
        <v>-4.0162078417351976E-2</v>
      </c>
      <c r="F763" s="25">
        <f t="shared" si="75"/>
        <v>7.8033439037936692E-2</v>
      </c>
      <c r="G763" s="25">
        <f t="shared" si="72"/>
        <v>0.16440215788519974</v>
      </c>
      <c r="K763" s="29">
        <v>43497</v>
      </c>
      <c r="L763" s="24">
        <v>13435.65</v>
      </c>
      <c r="M763" s="25">
        <f t="shared" si="71"/>
        <v>5.794286097062693E-3</v>
      </c>
      <c r="O763" t="b">
        <f t="shared" si="69"/>
        <v>1</v>
      </c>
      <c r="Q763" s="25">
        <f t="shared" si="79"/>
        <v>-2.5156776374455236E-2</v>
      </c>
      <c r="R763" s="25">
        <f t="shared" si="76"/>
        <v>0.10779339927337106</v>
      </c>
      <c r="S763" s="25">
        <f t="shared" si="73"/>
        <v>0.14465247938810566</v>
      </c>
      <c r="X763">
        <f t="shared" si="80"/>
        <v>0</v>
      </c>
      <c r="Y763">
        <f t="shared" si="77"/>
        <v>0</v>
      </c>
      <c r="Z763">
        <f t="shared" si="74"/>
        <v>1</v>
      </c>
    </row>
    <row r="764" spans="1:26">
      <c r="A764" s="26">
        <v>43500</v>
      </c>
      <c r="B764" s="23">
        <v>720.92</v>
      </c>
      <c r="C764" s="25">
        <f t="shared" si="70"/>
        <v>-5.4355323786663004E-3</v>
      </c>
      <c r="E764" s="25">
        <f t="shared" si="78"/>
        <v>-3.9976562708072705E-2</v>
      </c>
      <c r="F764" s="25">
        <f t="shared" si="75"/>
        <v>7.212997075560601E-2</v>
      </c>
      <c r="G764" s="25">
        <f t="shared" si="72"/>
        <v>0.16543613546980263</v>
      </c>
      <c r="K764" s="28">
        <v>43500</v>
      </c>
      <c r="L764" s="23">
        <v>13414.64</v>
      </c>
      <c r="M764" s="25">
        <f t="shared" si="71"/>
        <v>-1.5661993165675874E-3</v>
      </c>
      <c r="O764" t="b">
        <f t="shared" si="69"/>
        <v>1</v>
      </c>
      <c r="Q764" s="25">
        <f t="shared" si="79"/>
        <v>-1.9873394784987397E-2</v>
      </c>
      <c r="R764" s="25">
        <f t="shared" si="76"/>
        <v>0.10268023651729474</v>
      </c>
      <c r="S764" s="25">
        <f t="shared" si="73"/>
        <v>0.14777192273755158</v>
      </c>
      <c r="X764">
        <f t="shared" si="80"/>
        <v>0</v>
      </c>
      <c r="Y764">
        <f t="shared" si="77"/>
        <v>0</v>
      </c>
      <c r="Z764">
        <f t="shared" si="74"/>
        <v>1</v>
      </c>
    </row>
    <row r="765" spans="1:26">
      <c r="A765" s="27">
        <v>43501</v>
      </c>
      <c r="B765" s="24">
        <v>720.91</v>
      </c>
      <c r="C765" s="25">
        <f t="shared" si="70"/>
        <v>-1.3871164622969131E-5</v>
      </c>
      <c r="E765" s="25">
        <f t="shared" si="78"/>
        <v>-2.8017096091359051E-2</v>
      </c>
      <c r="F765" s="25">
        <f t="shared" si="75"/>
        <v>7.3604260983242797E-2</v>
      </c>
      <c r="G765" s="25">
        <f t="shared" si="72"/>
        <v>0.1719516433656918</v>
      </c>
      <c r="K765" s="29">
        <v>43501</v>
      </c>
      <c r="L765" s="24">
        <v>13402.62</v>
      </c>
      <c r="M765" s="25">
        <f t="shared" si="71"/>
        <v>-8.9683957315798079E-4</v>
      </c>
      <c r="O765" t="b">
        <f t="shared" si="69"/>
        <v>1</v>
      </c>
      <c r="Q765" s="25">
        <f t="shared" si="79"/>
        <v>-4.38357019172253E-3</v>
      </c>
      <c r="R765" s="25">
        <f t="shared" si="76"/>
        <v>0.10392150049412896</v>
      </c>
      <c r="S765" s="25">
        <f t="shared" si="73"/>
        <v>0.1526596196518748</v>
      </c>
      <c r="X765">
        <f t="shared" si="80"/>
        <v>0</v>
      </c>
      <c r="Y765">
        <f t="shared" si="77"/>
        <v>0</v>
      </c>
      <c r="Z765">
        <f t="shared" si="74"/>
        <v>1</v>
      </c>
    </row>
    <row r="766" spans="1:26">
      <c r="A766" s="26">
        <v>43502</v>
      </c>
      <c r="B766" s="23">
        <v>728.34</v>
      </c>
      <c r="C766" s="25">
        <f t="shared" si="70"/>
        <v>1.0306418276900119E-2</v>
      </c>
      <c r="E766" s="25">
        <f t="shared" si="78"/>
        <v>-1.6341634703689767E-2</v>
      </c>
      <c r="F766" s="25">
        <f t="shared" si="75"/>
        <v>7.7341265309088136E-2</v>
      </c>
      <c r="G766" s="25">
        <f t="shared" si="72"/>
        <v>0.18144113216957192</v>
      </c>
      <c r="K766" s="28">
        <v>43502</v>
      </c>
      <c r="L766" s="23">
        <v>13531.56</v>
      </c>
      <c r="M766" s="25">
        <f t="shared" si="71"/>
        <v>9.5288348128374483E-3</v>
      </c>
      <c r="O766" t="b">
        <f t="shared" si="69"/>
        <v>1</v>
      </c>
      <c r="Q766" s="25">
        <f t="shared" si="79"/>
        <v>3.3329354077857865E-3</v>
      </c>
      <c r="R766" s="25">
        <f t="shared" si="76"/>
        <v>0.10837522258133103</v>
      </c>
      <c r="S766" s="25">
        <f t="shared" si="73"/>
        <v>0.16100520385884765</v>
      </c>
      <c r="X766">
        <f t="shared" si="80"/>
        <v>0</v>
      </c>
      <c r="Y766">
        <f t="shared" si="77"/>
        <v>0</v>
      </c>
      <c r="Z766">
        <f t="shared" si="74"/>
        <v>1</v>
      </c>
    </row>
    <row r="767" spans="1:26">
      <c r="A767" s="27">
        <v>43503</v>
      </c>
      <c r="B767" s="24">
        <v>731.35</v>
      </c>
      <c r="C767" s="25">
        <f t="shared" si="70"/>
        <v>4.1326852843452111E-3</v>
      </c>
      <c r="E767" s="25">
        <f t="shared" si="78"/>
        <v>-2.4033842212020873E-2</v>
      </c>
      <c r="F767" s="25">
        <f t="shared" si="75"/>
        <v>7.9694176957647578E-2</v>
      </c>
      <c r="G767" s="25">
        <f t="shared" si="72"/>
        <v>0.19582815605970016</v>
      </c>
      <c r="K767" s="29">
        <v>43503</v>
      </c>
      <c r="L767" s="24">
        <v>13571.96</v>
      </c>
      <c r="M767" s="25">
        <f t="shared" si="71"/>
        <v>2.9767255429576597E-3</v>
      </c>
      <c r="O767" t="b">
        <f t="shared" si="69"/>
        <v>1</v>
      </c>
      <c r="Q767" s="25">
        <f t="shared" si="79"/>
        <v>-6.637804525476465E-3</v>
      </c>
      <c r="R767" s="25">
        <f t="shared" si="76"/>
        <v>0.10917698964766576</v>
      </c>
      <c r="S767" s="25">
        <f t="shared" si="73"/>
        <v>0.17580370115022936</v>
      </c>
      <c r="X767">
        <f t="shared" si="80"/>
        <v>0</v>
      </c>
      <c r="Y767">
        <f t="shared" si="77"/>
        <v>0</v>
      </c>
      <c r="Z767">
        <f t="shared" si="74"/>
        <v>1</v>
      </c>
    </row>
    <row r="768" spans="1:26">
      <c r="A768" s="26">
        <v>43504</v>
      </c>
      <c r="B768" s="23">
        <v>722.56</v>
      </c>
      <c r="C768" s="25">
        <f t="shared" si="70"/>
        <v>-1.2018869214466503E-2</v>
      </c>
      <c r="E768" s="25">
        <f t="shared" si="78"/>
        <v>-3.1265082855151061E-2</v>
      </c>
      <c r="F768" s="25">
        <f t="shared" si="75"/>
        <v>7.3519936502676186E-2</v>
      </c>
      <c r="G768" s="25">
        <f t="shared" si="72"/>
        <v>0.19083240155503578</v>
      </c>
      <c r="K768" s="28">
        <v>43504</v>
      </c>
      <c r="L768" s="23">
        <v>13410.58</v>
      </c>
      <c r="M768" s="25">
        <f t="shared" si="71"/>
        <v>-1.2033782282347161E-2</v>
      </c>
      <c r="O768" t="b">
        <f t="shared" si="69"/>
        <v>1</v>
      </c>
      <c r="Q768" s="25">
        <f t="shared" si="79"/>
        <v>-1.0875473796709501E-2</v>
      </c>
      <c r="R768" s="25">
        <f t="shared" si="76"/>
        <v>0.10200455791351715</v>
      </c>
      <c r="S768" s="25">
        <f t="shared" si="73"/>
        <v>0.17177771650450424</v>
      </c>
      <c r="X768">
        <f t="shared" si="80"/>
        <v>0</v>
      </c>
      <c r="Y768">
        <f t="shared" si="77"/>
        <v>0</v>
      </c>
      <c r="Z768">
        <f t="shared" si="74"/>
        <v>1</v>
      </c>
    </row>
    <row r="769" spans="1:26">
      <c r="A769" s="27">
        <v>43507</v>
      </c>
      <c r="B769" s="24">
        <v>715.08</v>
      </c>
      <c r="C769" s="25">
        <f t="shared" si="70"/>
        <v>-1.0352081488042383E-2</v>
      </c>
      <c r="E769" s="25">
        <f t="shared" si="78"/>
        <v>-5.1026501930911738E-2</v>
      </c>
      <c r="F769" s="25">
        <f t="shared" si="75"/>
        <v>6.7897802106462013E-2</v>
      </c>
      <c r="G769" s="25">
        <f t="shared" si="72"/>
        <v>0.17535512961243049</v>
      </c>
      <c r="K769" s="29">
        <v>43507</v>
      </c>
      <c r="L769" s="24">
        <v>13309.39</v>
      </c>
      <c r="M769" s="25">
        <f t="shared" si="71"/>
        <v>-7.6029029129058897E-3</v>
      </c>
      <c r="O769" t="b">
        <f t="shared" si="69"/>
        <v>1</v>
      </c>
      <c r="Q769" s="25">
        <f t="shared" si="79"/>
        <v>-2.85584782046997E-2</v>
      </c>
      <c r="R769" s="25">
        <f t="shared" si="76"/>
        <v>9.8129986865139296E-2</v>
      </c>
      <c r="S769" s="25">
        <f t="shared" si="73"/>
        <v>0.15796033996937831</v>
      </c>
      <c r="X769">
        <f t="shared" si="80"/>
        <v>0</v>
      </c>
      <c r="Y769">
        <f t="shared" si="77"/>
        <v>0</v>
      </c>
      <c r="Z769">
        <f t="shared" si="74"/>
        <v>1</v>
      </c>
    </row>
    <row r="770" spans="1:26">
      <c r="A770" s="26">
        <v>43508</v>
      </c>
      <c r="B770" s="23">
        <v>712.04</v>
      </c>
      <c r="C770" s="25">
        <f t="shared" si="70"/>
        <v>-4.2512725848857149E-3</v>
      </c>
      <c r="E770" s="25">
        <f t="shared" si="78"/>
        <v>-5.1940616470274925E-2</v>
      </c>
      <c r="F770" s="25">
        <f t="shared" si="75"/>
        <v>6.8551997188919467E-2</v>
      </c>
      <c r="G770" s="25">
        <f t="shared" si="72"/>
        <v>0.18169258107228292</v>
      </c>
      <c r="K770" s="28">
        <v>43508</v>
      </c>
      <c r="L770" s="23">
        <v>13249.12</v>
      </c>
      <c r="M770" s="25">
        <f t="shared" si="71"/>
        <v>-4.5489813663095067E-3</v>
      </c>
      <c r="O770" t="b">
        <f t="shared" si="69"/>
        <v>1</v>
      </c>
      <c r="Q770" s="25">
        <f t="shared" si="79"/>
        <v>-3.0713427668860871E-2</v>
      </c>
      <c r="R770" s="25">
        <f t="shared" si="76"/>
        <v>9.7194684886906968E-2</v>
      </c>
      <c r="S770" s="25">
        <f t="shared" si="73"/>
        <v>0.16333587778912895</v>
      </c>
      <c r="X770">
        <f t="shared" si="80"/>
        <v>0</v>
      </c>
      <c r="Y770">
        <f t="shared" si="77"/>
        <v>0</v>
      </c>
      <c r="Z770">
        <f t="shared" si="74"/>
        <v>1</v>
      </c>
    </row>
    <row r="771" spans="1:26">
      <c r="A771" s="27">
        <v>43509</v>
      </c>
      <c r="B771" s="24">
        <v>709.04</v>
      </c>
      <c r="C771" s="25">
        <f t="shared" si="70"/>
        <v>-4.2132464468288304E-3</v>
      </c>
      <c r="E771" s="25">
        <f t="shared" si="78"/>
        <v>-5.5557775557775635E-2</v>
      </c>
      <c r="F771" s="25">
        <f t="shared" si="75"/>
        <v>7.2690714226093744E-2</v>
      </c>
      <c r="G771" s="25">
        <f t="shared" si="72"/>
        <v>0.17694756364643638</v>
      </c>
      <c r="K771" s="29">
        <v>43509</v>
      </c>
      <c r="L771" s="24">
        <v>13193.76</v>
      </c>
      <c r="M771" s="25">
        <f t="shared" si="71"/>
        <v>-4.1959229211385217E-3</v>
      </c>
      <c r="O771" t="b">
        <f t="shared" ref="O771:O834" si="81">K771=A771</f>
        <v>1</v>
      </c>
      <c r="Q771" s="25">
        <f t="shared" si="79"/>
        <v>-3.4723939486610678E-2</v>
      </c>
      <c r="R771" s="25">
        <f t="shared" si="76"/>
        <v>0.10015356723272806</v>
      </c>
      <c r="S771" s="25">
        <f t="shared" si="73"/>
        <v>0.1589781973244393</v>
      </c>
      <c r="X771">
        <f t="shared" si="80"/>
        <v>0</v>
      </c>
      <c r="Y771">
        <f t="shared" si="77"/>
        <v>0</v>
      </c>
      <c r="Z771">
        <f t="shared" si="74"/>
        <v>1</v>
      </c>
    </row>
    <row r="772" spans="1:26">
      <c r="A772" s="26">
        <v>43510</v>
      </c>
      <c r="B772" s="23">
        <v>708.34</v>
      </c>
      <c r="C772" s="25">
        <f t="shared" ref="C772:C835" si="82">(B772-B771)/B771</f>
        <v>-9.8725036669289725E-4</v>
      </c>
      <c r="E772" s="25">
        <f t="shared" si="78"/>
        <v>-4.6302155561240288E-2</v>
      </c>
      <c r="F772" s="25">
        <f t="shared" si="75"/>
        <v>6.5080616740491148E-2</v>
      </c>
      <c r="G772" s="25">
        <f t="shared" si="72"/>
        <v>0.17375999593553515</v>
      </c>
      <c r="K772" s="28">
        <v>43510</v>
      </c>
      <c r="L772" s="23">
        <v>13167.36</v>
      </c>
      <c r="M772" s="25">
        <f t="shared" ref="M772:M835" si="83">(L772-L771)/L772</f>
        <v>-2.0049577136191034E-3</v>
      </c>
      <c r="O772" t="b">
        <f t="shared" si="81"/>
        <v>1</v>
      </c>
      <c r="Q772" s="25">
        <f t="shared" si="79"/>
        <v>-2.7554455313925752E-2</v>
      </c>
      <c r="R772" s="25">
        <f t="shared" si="76"/>
        <v>9.4093886752231182E-2</v>
      </c>
      <c r="S772" s="25">
        <f t="shared" si="73"/>
        <v>0.15440146616924988</v>
      </c>
      <c r="X772">
        <f t="shared" si="80"/>
        <v>0</v>
      </c>
      <c r="Y772">
        <f t="shared" si="77"/>
        <v>0</v>
      </c>
      <c r="Z772">
        <f t="shared" si="74"/>
        <v>1</v>
      </c>
    </row>
    <row r="773" spans="1:26">
      <c r="A773" s="27">
        <v>43511</v>
      </c>
      <c r="B773" s="24">
        <v>701.33</v>
      </c>
      <c r="C773" s="25">
        <f t="shared" si="82"/>
        <v>-9.8963774458593196E-3</v>
      </c>
      <c r="E773" s="25">
        <f t="shared" si="78"/>
        <v>-4.6756282875511368E-2</v>
      </c>
      <c r="F773" s="25">
        <f t="shared" si="75"/>
        <v>5.6696499737175943E-2</v>
      </c>
      <c r="G773" s="25">
        <f t="shared" si="72"/>
        <v>0.17025822205894037</v>
      </c>
      <c r="K773" s="29">
        <v>43511</v>
      </c>
      <c r="L773" s="24">
        <v>13105.54</v>
      </c>
      <c r="M773" s="25">
        <f t="shared" si="83"/>
        <v>-4.7170891088806491E-3</v>
      </c>
      <c r="O773" t="b">
        <f t="shared" si="81"/>
        <v>1</v>
      </c>
      <c r="Q773" s="25">
        <f t="shared" si="79"/>
        <v>-2.4127372750856968E-2</v>
      </c>
      <c r="R773" s="25">
        <f t="shared" si="76"/>
        <v>8.8750202340304396E-2</v>
      </c>
      <c r="S773" s="25">
        <f t="shared" si="73"/>
        <v>0.15184829100085095</v>
      </c>
      <c r="X773">
        <f t="shared" si="80"/>
        <v>0</v>
      </c>
      <c r="Y773">
        <f t="shared" si="77"/>
        <v>0</v>
      </c>
      <c r="Z773">
        <f t="shared" si="74"/>
        <v>1</v>
      </c>
    </row>
    <row r="774" spans="1:26">
      <c r="A774" s="26">
        <v>43514</v>
      </c>
      <c r="B774" s="23">
        <v>696.06</v>
      </c>
      <c r="C774" s="25">
        <f t="shared" si="82"/>
        <v>-7.5142942694595913E-3</v>
      </c>
      <c r="E774" s="25">
        <f t="shared" si="78"/>
        <v>-5.330159809588586E-2</v>
      </c>
      <c r="F774" s="25">
        <f t="shared" si="75"/>
        <v>4.8992723597073073E-2</v>
      </c>
      <c r="G774" s="25">
        <f t="shared" si="72"/>
        <v>0.16608627396062614</v>
      </c>
      <c r="K774" s="28">
        <v>43514</v>
      </c>
      <c r="L774" s="23">
        <v>12998.01</v>
      </c>
      <c r="M774" s="25">
        <f t="shared" si="83"/>
        <v>-8.2728048370481824E-3</v>
      </c>
      <c r="O774" t="b">
        <f t="shared" si="81"/>
        <v>1</v>
      </c>
      <c r="Q774" s="25">
        <f t="shared" si="79"/>
        <v>-3.1245621305126758E-2</v>
      </c>
      <c r="R774" s="25">
        <f t="shared" si="76"/>
        <v>8.047270469391421E-2</v>
      </c>
      <c r="S774" s="25">
        <f t="shared" si="73"/>
        <v>0.14716640807257386</v>
      </c>
      <c r="X774">
        <f t="shared" si="80"/>
        <v>0</v>
      </c>
      <c r="Y774">
        <f t="shared" si="77"/>
        <v>0</v>
      </c>
      <c r="Z774">
        <f t="shared" si="74"/>
        <v>1</v>
      </c>
    </row>
    <row r="775" spans="1:26">
      <c r="A775" s="27">
        <v>43515</v>
      </c>
      <c r="B775" s="24">
        <v>696.99</v>
      </c>
      <c r="C775" s="25">
        <f t="shared" si="82"/>
        <v>1.3360917162314509E-3</v>
      </c>
      <c r="E775" s="25">
        <f t="shared" si="78"/>
        <v>-5.251352600527448E-2</v>
      </c>
      <c r="F775" s="25">
        <f t="shared" si="75"/>
        <v>4.7922160251774759E-2</v>
      </c>
      <c r="G775" s="25">
        <f t="shared" si="72"/>
        <v>0.17262864609063899</v>
      </c>
      <c r="K775" s="29">
        <v>43515</v>
      </c>
      <c r="L775" s="24">
        <v>12980.1</v>
      </c>
      <c r="M775" s="25">
        <f t="shared" si="83"/>
        <v>-1.3798044699193269E-3</v>
      </c>
      <c r="O775" t="b">
        <f t="shared" si="81"/>
        <v>1</v>
      </c>
      <c r="Q775" s="25">
        <f t="shared" si="79"/>
        <v>-3.4381841757381792E-2</v>
      </c>
      <c r="R775" s="25">
        <f t="shared" si="76"/>
        <v>7.7390781552545196E-2</v>
      </c>
      <c r="S775" s="25">
        <f t="shared" si="73"/>
        <v>0.15259864866849004</v>
      </c>
      <c r="X775">
        <f t="shared" si="80"/>
        <v>0</v>
      </c>
      <c r="Y775">
        <f t="shared" si="77"/>
        <v>0</v>
      </c>
      <c r="Z775">
        <f t="shared" si="74"/>
        <v>1</v>
      </c>
    </row>
    <row r="776" spans="1:26">
      <c r="A776" s="26">
        <v>43516</v>
      </c>
      <c r="B776" s="23">
        <v>705.85</v>
      </c>
      <c r="C776" s="25">
        <f t="shared" si="82"/>
        <v>1.2711803612677389E-2</v>
      </c>
      <c r="E776" s="25">
        <f t="shared" si="78"/>
        <v>-3.6026931428649434E-2</v>
      </c>
      <c r="F776" s="25">
        <f t="shared" si="75"/>
        <v>5.7054388528527733E-2</v>
      </c>
      <c r="G776" s="25">
        <f t="shared" si="72"/>
        <v>0.18217064471661426</v>
      </c>
      <c r="K776" s="28">
        <v>43516</v>
      </c>
      <c r="L776" s="23">
        <v>13133.49</v>
      </c>
      <c r="M776" s="25">
        <f t="shared" si="83"/>
        <v>1.1679302302738984E-2</v>
      </c>
      <c r="O776" t="b">
        <f t="shared" si="81"/>
        <v>1</v>
      </c>
      <c r="Q776" s="25">
        <f t="shared" si="79"/>
        <v>-2.0039456620847829E-2</v>
      </c>
      <c r="R776" s="25">
        <f t="shared" si="76"/>
        <v>8.3963419394515348E-2</v>
      </c>
      <c r="S776" s="25">
        <f t="shared" si="73"/>
        <v>0.16178351299522453</v>
      </c>
      <c r="X776">
        <f t="shared" si="80"/>
        <v>0</v>
      </c>
      <c r="Y776">
        <f t="shared" si="77"/>
        <v>0</v>
      </c>
      <c r="Z776">
        <f t="shared" si="74"/>
        <v>1</v>
      </c>
    </row>
    <row r="777" spans="1:26">
      <c r="A777" s="27">
        <v>43517</v>
      </c>
      <c r="B777" s="24">
        <v>712.73</v>
      </c>
      <c r="C777" s="25">
        <f t="shared" si="82"/>
        <v>9.7471134093645891E-3</v>
      </c>
      <c r="E777" s="25">
        <f t="shared" si="78"/>
        <v>-3.9848580781614018E-2</v>
      </c>
      <c r="F777" s="25">
        <f t="shared" si="75"/>
        <v>6.3262848634553892E-2</v>
      </c>
      <c r="G777" s="25">
        <f t="shared" si="72"/>
        <v>0.19045545171871558</v>
      </c>
      <c r="K777" s="29">
        <v>43517</v>
      </c>
      <c r="L777" s="24">
        <v>13218.92</v>
      </c>
      <c r="M777" s="25">
        <f t="shared" si="83"/>
        <v>6.4627064843421622E-3</v>
      </c>
      <c r="O777" t="b">
        <f t="shared" si="81"/>
        <v>1</v>
      </c>
      <c r="Q777" s="25">
        <f t="shared" si="79"/>
        <v>-2.569874237060521E-2</v>
      </c>
      <c r="R777" s="25">
        <f t="shared" si="76"/>
        <v>8.6904253641233886E-2</v>
      </c>
      <c r="S777" s="25">
        <f t="shared" si="73"/>
        <v>0.16717590354304801</v>
      </c>
      <c r="X777">
        <f t="shared" si="80"/>
        <v>0</v>
      </c>
      <c r="Y777">
        <f t="shared" si="77"/>
        <v>0</v>
      </c>
      <c r="Z777">
        <f t="shared" si="74"/>
        <v>1</v>
      </c>
    </row>
    <row r="778" spans="1:26">
      <c r="A778" s="26">
        <v>43518</v>
      </c>
      <c r="B778" s="23">
        <v>716.48</v>
      </c>
      <c r="C778" s="25">
        <f t="shared" si="82"/>
        <v>5.2614594587010507E-3</v>
      </c>
      <c r="E778" s="25">
        <f t="shared" si="78"/>
        <v>-4.3915718117402136E-2</v>
      </c>
      <c r="F778" s="25">
        <f t="shared" si="75"/>
        <v>6.9966985170321738E-2</v>
      </c>
      <c r="G778" s="25">
        <f t="shared" si="72"/>
        <v>0.19011250116495471</v>
      </c>
      <c r="K778" s="28">
        <v>43518</v>
      </c>
      <c r="L778" s="23">
        <v>13245.74</v>
      </c>
      <c r="M778" s="25">
        <f t="shared" si="83"/>
        <v>2.0248019363206366E-3</v>
      </c>
      <c r="O778" t="b">
        <f t="shared" si="81"/>
        <v>1</v>
      </c>
      <c r="Q778" s="25">
        <f t="shared" si="79"/>
        <v>-3.2225209691089218E-2</v>
      </c>
      <c r="R778" s="25">
        <f t="shared" si="76"/>
        <v>8.9578582095100057E-2</v>
      </c>
      <c r="S778" s="25">
        <f t="shared" si="73"/>
        <v>0.16553969567019422</v>
      </c>
      <c r="X778">
        <f t="shared" si="80"/>
        <v>0</v>
      </c>
      <c r="Y778">
        <f t="shared" si="77"/>
        <v>0</v>
      </c>
      <c r="Z778">
        <f t="shared" si="74"/>
        <v>1</v>
      </c>
    </row>
    <row r="779" spans="1:26">
      <c r="A779" s="27">
        <v>43521</v>
      </c>
      <c r="B779" s="24">
        <v>721.49</v>
      </c>
      <c r="C779" s="25">
        <f t="shared" si="82"/>
        <v>6.9925189816882408E-3</v>
      </c>
      <c r="E779" s="25">
        <f t="shared" si="78"/>
        <v>-3.3943013229071894E-2</v>
      </c>
      <c r="F779" s="25">
        <f t="shared" si="75"/>
        <v>7.2510979742235415E-2</v>
      </c>
      <c r="G779" s="25">
        <f t="shared" si="72"/>
        <v>0.19419258008716511</v>
      </c>
      <c r="K779" s="29">
        <v>43521</v>
      </c>
      <c r="L779" s="24">
        <v>13340.9</v>
      </c>
      <c r="M779" s="25">
        <f t="shared" si="83"/>
        <v>7.1329520497117778E-3</v>
      </c>
      <c r="O779" t="b">
        <f t="shared" si="81"/>
        <v>1</v>
      </c>
      <c r="Q779" s="25">
        <f t="shared" si="79"/>
        <v>-2.2086597406138719E-2</v>
      </c>
      <c r="R779" s="25">
        <f t="shared" si="76"/>
        <v>9.3188123342873963E-2</v>
      </c>
      <c r="S779" s="25">
        <f t="shared" si="73"/>
        <v>0.16985606936362729</v>
      </c>
      <c r="X779">
        <f t="shared" si="80"/>
        <v>0</v>
      </c>
      <c r="Y779">
        <f t="shared" si="77"/>
        <v>0</v>
      </c>
      <c r="Z779">
        <f t="shared" si="74"/>
        <v>1</v>
      </c>
    </row>
    <row r="780" spans="1:26">
      <c r="A780" s="26">
        <v>43522</v>
      </c>
      <c r="B780" s="23">
        <v>717.52</v>
      </c>
      <c r="C780" s="25">
        <f t="shared" si="82"/>
        <v>-5.5025017671762981E-3</v>
      </c>
      <c r="E780" s="25">
        <f t="shared" si="78"/>
        <v>-3.513749747865258E-2</v>
      </c>
      <c r="F780" s="25">
        <f t="shared" si="75"/>
        <v>6.6779005451014006E-2</v>
      </c>
      <c r="G780" s="25">
        <f t="shared" si="72"/>
        <v>0.17872811924663812</v>
      </c>
      <c r="K780" s="28">
        <v>43522</v>
      </c>
      <c r="L780" s="23">
        <v>13295.32</v>
      </c>
      <c r="M780" s="25">
        <f t="shared" si="83"/>
        <v>-3.4282740092002246E-3</v>
      </c>
      <c r="O780" t="b">
        <f t="shared" si="81"/>
        <v>1</v>
      </c>
      <c r="Q780" s="25">
        <f t="shared" si="79"/>
        <v>-2.1358817385313311E-2</v>
      </c>
      <c r="R780" s="25">
        <f t="shared" si="76"/>
        <v>8.7981297656741786E-2</v>
      </c>
      <c r="S780" s="25">
        <f t="shared" si="73"/>
        <v>0.15608842221129438</v>
      </c>
      <c r="X780">
        <f t="shared" si="80"/>
        <v>0</v>
      </c>
      <c r="Y780">
        <f t="shared" si="77"/>
        <v>0</v>
      </c>
      <c r="Z780">
        <f t="shared" si="74"/>
        <v>1</v>
      </c>
    </row>
    <row r="781" spans="1:26">
      <c r="A781" s="27">
        <v>43523</v>
      </c>
      <c r="B781" s="24">
        <v>716.87</v>
      </c>
      <c r="C781" s="25">
        <f t="shared" si="82"/>
        <v>-9.0589809343290402E-4</v>
      </c>
      <c r="E781" s="25">
        <f t="shared" si="78"/>
        <v>-3.3998113461797597E-2</v>
      </c>
      <c r="F781" s="25">
        <f t="shared" si="75"/>
        <v>7.0677376232155975E-2</v>
      </c>
      <c r="G781" s="25">
        <f t="shared" si="72"/>
        <v>0.17001090992126167</v>
      </c>
      <c r="K781" s="29">
        <v>43523</v>
      </c>
      <c r="L781" s="24">
        <v>13285.19</v>
      </c>
      <c r="M781" s="25">
        <f t="shared" si="83"/>
        <v>-7.6250320845988649E-4</v>
      </c>
      <c r="O781" t="b">
        <f t="shared" si="81"/>
        <v>1</v>
      </c>
      <c r="Q781" s="25">
        <f t="shared" si="79"/>
        <v>-1.8226655226972199E-2</v>
      </c>
      <c r="R781" s="25">
        <f t="shared" si="76"/>
        <v>9.2011609081368295E-2</v>
      </c>
      <c r="S781" s="25">
        <f t="shared" si="73"/>
        <v>0.14839781139061525</v>
      </c>
      <c r="X781">
        <f t="shared" si="80"/>
        <v>0</v>
      </c>
      <c r="Y781">
        <f t="shared" si="77"/>
        <v>0</v>
      </c>
      <c r="Z781">
        <f t="shared" si="74"/>
        <v>1</v>
      </c>
    </row>
    <row r="782" spans="1:26">
      <c r="A782" s="26">
        <v>43524</v>
      </c>
      <c r="B782" s="23">
        <v>717.35</v>
      </c>
      <c r="C782" s="25">
        <f t="shared" si="82"/>
        <v>6.6957746871820301E-4</v>
      </c>
      <c r="E782" s="25">
        <f t="shared" si="78"/>
        <v>-2.1804347233207011E-2</v>
      </c>
      <c r="F782" s="25">
        <f t="shared" si="75"/>
        <v>7.0804627572169876E-2</v>
      </c>
      <c r="G782" s="25">
        <f t="shared" si="72"/>
        <v>0.1642083397537073</v>
      </c>
      <c r="K782" s="28">
        <v>43524</v>
      </c>
      <c r="L782" s="23">
        <v>13303.2</v>
      </c>
      <c r="M782" s="25">
        <f t="shared" si="83"/>
        <v>1.3538096097179789E-3</v>
      </c>
      <c r="O782" t="b">
        <f t="shared" si="81"/>
        <v>1</v>
      </c>
      <c r="Q782" s="25">
        <f t="shared" si="79"/>
        <v>-7.2927774415656454E-3</v>
      </c>
      <c r="R782" s="25">
        <f t="shared" si="76"/>
        <v>9.2425067503370872E-2</v>
      </c>
      <c r="S782" s="25">
        <f t="shared" si="73"/>
        <v>0.14388379465510748</v>
      </c>
      <c r="X782">
        <f t="shared" si="80"/>
        <v>0</v>
      </c>
      <c r="Y782">
        <f t="shared" si="77"/>
        <v>0</v>
      </c>
      <c r="Z782">
        <f t="shared" si="74"/>
        <v>1</v>
      </c>
    </row>
    <row r="783" spans="1:26">
      <c r="A783" s="27">
        <v>43525</v>
      </c>
      <c r="B783" s="24">
        <v>726.79</v>
      </c>
      <c r="C783" s="25">
        <f t="shared" si="82"/>
        <v>1.3159545549592167E-2</v>
      </c>
      <c r="E783" s="25">
        <f t="shared" si="78"/>
        <v>6.7465234751473702E-4</v>
      </c>
      <c r="F783" s="25">
        <f t="shared" si="75"/>
        <v>7.5560307398509385E-2</v>
      </c>
      <c r="G783" s="25">
        <f t="shared" si="72"/>
        <v>0.16780490785301727</v>
      </c>
      <c r="K783" s="29">
        <v>43525</v>
      </c>
      <c r="L783" s="24">
        <v>13424.34</v>
      </c>
      <c r="M783" s="25">
        <f t="shared" si="83"/>
        <v>9.0239073205833145E-3</v>
      </c>
      <c r="O783" t="b">
        <f t="shared" si="81"/>
        <v>1</v>
      </c>
      <c r="Q783" s="25">
        <f t="shared" si="79"/>
        <v>1.2384503307662387E-2</v>
      </c>
      <c r="R783" s="25">
        <f t="shared" si="76"/>
        <v>9.3895371797728666E-2</v>
      </c>
      <c r="S783" s="25">
        <f t="shared" si="73"/>
        <v>0.14606042946612985</v>
      </c>
      <c r="X783">
        <f t="shared" si="80"/>
        <v>0</v>
      </c>
      <c r="Y783">
        <f t="shared" si="77"/>
        <v>0</v>
      </c>
      <c r="Z783">
        <f t="shared" si="74"/>
        <v>1</v>
      </c>
    </row>
    <row r="784" spans="1:26">
      <c r="A784" s="26">
        <v>43529</v>
      </c>
      <c r="B784" s="23">
        <v>736.99</v>
      </c>
      <c r="C784" s="25">
        <f t="shared" si="82"/>
        <v>1.4034315276765016E-2</v>
      </c>
      <c r="E784" s="25">
        <f t="shared" si="78"/>
        <v>2.227678137960698E-2</v>
      </c>
      <c r="F784" s="25">
        <f t="shared" si="75"/>
        <v>8.4298813246345805E-2</v>
      </c>
      <c r="G784" s="25">
        <f t="shared" si="72"/>
        <v>0.17452234269840816</v>
      </c>
      <c r="K784" s="28">
        <v>43529</v>
      </c>
      <c r="L784" s="23">
        <v>13626.72</v>
      </c>
      <c r="M784" s="25">
        <f t="shared" si="83"/>
        <v>1.4851703124449552E-2</v>
      </c>
      <c r="O784" t="b">
        <f t="shared" si="81"/>
        <v>1</v>
      </c>
      <c r="Q784" s="25">
        <f t="shared" si="79"/>
        <v>3.9484755257984672E-2</v>
      </c>
      <c r="R784" s="25">
        <f t="shared" si="76"/>
        <v>0.10282646092114778</v>
      </c>
      <c r="S784" s="25">
        <f t="shared" si="73"/>
        <v>0.1515211092836013</v>
      </c>
      <c r="X784">
        <f t="shared" si="80"/>
        <v>0</v>
      </c>
      <c r="Y784">
        <f t="shared" si="77"/>
        <v>0</v>
      </c>
      <c r="Z784">
        <f t="shared" si="74"/>
        <v>1</v>
      </c>
    </row>
    <row r="785" spans="1:26">
      <c r="A785" s="27">
        <v>43530</v>
      </c>
      <c r="B785" s="24">
        <v>741.42</v>
      </c>
      <c r="C785" s="25">
        <f t="shared" si="82"/>
        <v>6.0109363763415375E-3</v>
      </c>
      <c r="E785" s="25">
        <f t="shared" si="78"/>
        <v>2.4442817072665157E-2</v>
      </c>
      <c r="F785" s="25">
        <f t="shared" si="75"/>
        <v>9.026942212595146E-2</v>
      </c>
      <c r="G785" s="25">
        <f t="shared" si="72"/>
        <v>0.17289623926343145</v>
      </c>
      <c r="K785" s="29">
        <v>43530</v>
      </c>
      <c r="L785" s="24">
        <v>13711.14</v>
      </c>
      <c r="M785" s="25">
        <f t="shared" si="83"/>
        <v>6.1570372704239087E-3</v>
      </c>
      <c r="O785" t="b">
        <f t="shared" si="81"/>
        <v>1</v>
      </c>
      <c r="Q785" s="25">
        <f t="shared" si="79"/>
        <v>3.8500865724140798E-2</v>
      </c>
      <c r="R785" s="25">
        <f t="shared" si="76"/>
        <v>0.10798012541414326</v>
      </c>
      <c r="S785" s="25">
        <f t="shared" si="73"/>
        <v>0.15196548797530074</v>
      </c>
      <c r="X785">
        <f t="shared" si="80"/>
        <v>0</v>
      </c>
      <c r="Y785">
        <f t="shared" si="77"/>
        <v>0</v>
      </c>
      <c r="Z785">
        <f t="shared" si="74"/>
        <v>1</v>
      </c>
    </row>
    <row r="786" spans="1:26">
      <c r="A786" s="26">
        <v>43531</v>
      </c>
      <c r="B786" s="23">
        <v>739.67</v>
      </c>
      <c r="C786" s="25">
        <f t="shared" si="82"/>
        <v>-2.3603355722802192E-3</v>
      </c>
      <c r="E786" s="25">
        <f t="shared" si="78"/>
        <v>2.5183645183645131E-2</v>
      </c>
      <c r="F786" s="25">
        <f t="shared" si="75"/>
        <v>8.9104196013719994E-2</v>
      </c>
      <c r="G786" s="25">
        <f t="shared" si="72"/>
        <v>0.17339595259407514</v>
      </c>
      <c r="K786" s="28">
        <v>43531</v>
      </c>
      <c r="L786" s="23">
        <v>13703.58</v>
      </c>
      <c r="M786" s="25">
        <f t="shared" si="83"/>
        <v>-5.5168065571182796E-4</v>
      </c>
      <c r="O786" t="b">
        <f t="shared" si="81"/>
        <v>1</v>
      </c>
      <c r="Q786" s="25">
        <f t="shared" si="79"/>
        <v>3.9580998996345818E-2</v>
      </c>
      <c r="R786" s="25">
        <f t="shared" si="76"/>
        <v>0.10767462621078217</v>
      </c>
      <c r="S786" s="25">
        <f t="shared" si="73"/>
        <v>0.15372558591158669</v>
      </c>
      <c r="X786">
        <f t="shared" si="80"/>
        <v>0</v>
      </c>
      <c r="Y786">
        <f t="shared" si="77"/>
        <v>0</v>
      </c>
      <c r="Z786">
        <f t="shared" si="74"/>
        <v>1</v>
      </c>
    </row>
    <row r="787" spans="1:26">
      <c r="A787" s="27">
        <v>43532</v>
      </c>
      <c r="B787" s="24">
        <v>737.21</v>
      </c>
      <c r="C787" s="25">
        <f t="shared" si="82"/>
        <v>-3.3258074546756292E-3</v>
      </c>
      <c r="E787" s="25">
        <f t="shared" si="78"/>
        <v>4.0449989104380801E-3</v>
      </c>
      <c r="F787" s="25">
        <f t="shared" si="75"/>
        <v>8.8645426677004702E-2</v>
      </c>
      <c r="G787" s="25">
        <f t="shared" si="72"/>
        <v>0.17064653184448986</v>
      </c>
      <c r="K787" s="29">
        <v>43532</v>
      </c>
      <c r="L787" s="24">
        <v>13682.38</v>
      </c>
      <c r="M787" s="25">
        <f t="shared" si="83"/>
        <v>-1.5494380363650715E-3</v>
      </c>
      <c r="O787" t="b">
        <f t="shared" si="81"/>
        <v>1</v>
      </c>
      <c r="Q787" s="25">
        <f t="shared" si="79"/>
        <v>2.2572653181717861E-2</v>
      </c>
      <c r="R787" s="25">
        <f t="shared" si="76"/>
        <v>0.10675208643955214</v>
      </c>
      <c r="S787" s="25">
        <f t="shared" si="73"/>
        <v>0.15217863671722354</v>
      </c>
      <c r="X787">
        <f t="shared" si="80"/>
        <v>0</v>
      </c>
      <c r="Y787">
        <f t="shared" si="77"/>
        <v>0</v>
      </c>
      <c r="Z787">
        <f t="shared" si="74"/>
        <v>1</v>
      </c>
    </row>
    <row r="788" spans="1:26">
      <c r="A788" s="26">
        <v>43535</v>
      </c>
      <c r="B788" s="23">
        <v>747.25</v>
      </c>
      <c r="C788" s="25">
        <f t="shared" si="82"/>
        <v>1.3618914556232231E-2</v>
      </c>
      <c r="E788" s="25">
        <f t="shared" si="78"/>
        <v>1.383895258123613E-2</v>
      </c>
      <c r="F788" s="25">
        <f t="shared" si="75"/>
        <v>8.8336072625393447E-2</v>
      </c>
      <c r="G788" s="25">
        <f t="shared" si="72"/>
        <v>0.17415951639882987</v>
      </c>
      <c r="K788" s="28">
        <v>43535</v>
      </c>
      <c r="L788" s="23">
        <v>13882.22</v>
      </c>
      <c r="M788" s="25">
        <f t="shared" si="83"/>
        <v>1.439539209146665E-2</v>
      </c>
      <c r="O788" t="b">
        <f t="shared" si="81"/>
        <v>1</v>
      </c>
      <c r="Q788" s="25">
        <f t="shared" si="79"/>
        <v>3.3300756317720337E-2</v>
      </c>
      <c r="R788" s="25">
        <f t="shared" si="76"/>
        <v>0.10562482709222998</v>
      </c>
      <c r="S788" s="25">
        <f t="shared" si="73"/>
        <v>0.15602758429855546</v>
      </c>
      <c r="X788">
        <f t="shared" si="80"/>
        <v>0</v>
      </c>
      <c r="Y788">
        <f t="shared" si="77"/>
        <v>0</v>
      </c>
      <c r="Z788">
        <f t="shared" si="74"/>
        <v>1</v>
      </c>
    </row>
    <row r="789" spans="1:26">
      <c r="A789" s="27">
        <v>43536</v>
      </c>
      <c r="B789" s="24">
        <v>755.61</v>
      </c>
      <c r="C789" s="25">
        <f t="shared" si="82"/>
        <v>1.1187688190030128E-2</v>
      </c>
      <c r="E789" s="25">
        <f t="shared" si="78"/>
        <v>2.3528933680104114E-2</v>
      </c>
      <c r="F789" s="25">
        <f t="shared" si="75"/>
        <v>9.0833749479561021E-2</v>
      </c>
      <c r="G789" s="25">
        <f t="shared" si="72"/>
        <v>0.18149846517755353</v>
      </c>
      <c r="K789" s="29">
        <v>43536</v>
      </c>
      <c r="L789" s="24">
        <v>14023.67</v>
      </c>
      <c r="M789" s="25">
        <f t="shared" si="83"/>
        <v>1.0086518008481427E-2</v>
      </c>
      <c r="O789" t="b">
        <f t="shared" si="81"/>
        <v>1</v>
      </c>
      <c r="Q789" s="25">
        <f t="shared" si="79"/>
        <v>4.4557099304531E-2</v>
      </c>
      <c r="R789" s="25">
        <f t="shared" si="76"/>
        <v>0.10989396709575527</v>
      </c>
      <c r="S789" s="25">
        <f t="shared" si="73"/>
        <v>0.16365711934429639</v>
      </c>
      <c r="X789">
        <f t="shared" si="80"/>
        <v>0</v>
      </c>
      <c r="Y789">
        <f t="shared" si="77"/>
        <v>0</v>
      </c>
      <c r="Z789">
        <f t="shared" si="74"/>
        <v>1</v>
      </c>
    </row>
    <row r="790" spans="1:26">
      <c r="A790" s="26">
        <v>43537</v>
      </c>
      <c r="B790" s="23">
        <v>756.92</v>
      </c>
      <c r="C790" s="25">
        <f t="shared" si="82"/>
        <v>1.7336986011301403E-3</v>
      </c>
      <c r="E790" s="25">
        <f t="shared" si="78"/>
        <v>2.7655963614147128E-2</v>
      </c>
      <c r="F790" s="25">
        <f t="shared" si="75"/>
        <v>8.5912132615975523E-2</v>
      </c>
      <c r="G790" s="25">
        <f t="shared" si="72"/>
        <v>0.18173392855603288</v>
      </c>
      <c r="K790" s="28">
        <v>43537</v>
      </c>
      <c r="L790" s="23">
        <v>14038.41</v>
      </c>
      <c r="M790" s="25">
        <f t="shared" si="83"/>
        <v>1.0499764574478008E-3</v>
      </c>
      <c r="O790" t="b">
        <f t="shared" si="81"/>
        <v>1</v>
      </c>
      <c r="Q790" s="25">
        <f t="shared" si="79"/>
        <v>4.7673029289658331E-2</v>
      </c>
      <c r="R790" s="25">
        <f t="shared" si="76"/>
        <v>0.10516072540324584</v>
      </c>
      <c r="S790" s="25">
        <f t="shared" si="73"/>
        <v>0.16299456454030348</v>
      </c>
      <c r="X790">
        <f t="shared" si="80"/>
        <v>0</v>
      </c>
      <c r="Y790">
        <f t="shared" si="77"/>
        <v>0</v>
      </c>
      <c r="Z790">
        <f t="shared" si="74"/>
        <v>1</v>
      </c>
    </row>
    <row r="791" spans="1:26">
      <c r="A791" s="27">
        <v>43538</v>
      </c>
      <c r="B791" s="24">
        <v>756.84</v>
      </c>
      <c r="C791" s="25">
        <f t="shared" si="82"/>
        <v>-1.0569148655066222E-4</v>
      </c>
      <c r="E791" s="25">
        <f t="shared" si="78"/>
        <v>4.0244103579086365E-2</v>
      </c>
      <c r="F791" s="25">
        <f t="shared" si="75"/>
        <v>8.6650696198550703E-2</v>
      </c>
      <c r="G791" s="25">
        <f t="shared" si="72"/>
        <v>0.18012485654360266</v>
      </c>
      <c r="K791" s="29">
        <v>43538</v>
      </c>
      <c r="L791" s="24">
        <v>14036.92</v>
      </c>
      <c r="M791" s="25">
        <f t="shared" si="83"/>
        <v>-1.0614864229473286E-4</v>
      </c>
      <c r="O791" t="b">
        <f t="shared" si="81"/>
        <v>1</v>
      </c>
      <c r="Q791" s="25">
        <f t="shared" si="79"/>
        <v>6.2239395329056313E-2</v>
      </c>
      <c r="R791" s="25">
        <f t="shared" si="76"/>
        <v>0.10478396553229974</v>
      </c>
      <c r="S791" s="25">
        <f t="shared" si="73"/>
        <v>0.16166706888376803</v>
      </c>
      <c r="X791">
        <f t="shared" si="80"/>
        <v>0</v>
      </c>
      <c r="Y791">
        <f t="shared" si="77"/>
        <v>0</v>
      </c>
      <c r="Z791">
        <f t="shared" si="74"/>
        <v>1</v>
      </c>
    </row>
    <row r="792" spans="1:26">
      <c r="A792" s="26">
        <v>43539</v>
      </c>
      <c r="B792" s="23">
        <v>761.13</v>
      </c>
      <c r="C792" s="25">
        <f t="shared" si="82"/>
        <v>5.6683050578721569E-3</v>
      </c>
      <c r="E792" s="25">
        <f t="shared" si="78"/>
        <v>6.108934770183061E-2</v>
      </c>
      <c r="F792" s="25">
        <f t="shared" si="75"/>
        <v>9.0628289183556143E-2</v>
      </c>
      <c r="G792" s="25">
        <f t="shared" si="72"/>
        <v>0.17827059738682349</v>
      </c>
      <c r="K792" s="28">
        <v>43539</v>
      </c>
      <c r="L792" s="23">
        <v>14115.72</v>
      </c>
      <c r="M792" s="25">
        <f t="shared" si="83"/>
        <v>5.5824286681798218E-3</v>
      </c>
      <c r="O792" t="b">
        <f t="shared" si="81"/>
        <v>1</v>
      </c>
      <c r="Q792" s="25">
        <f t="shared" si="79"/>
        <v>8.1428193842723928E-2</v>
      </c>
      <c r="R792" s="25">
        <f t="shared" si="76"/>
        <v>0.10889496023641687</v>
      </c>
      <c r="S792" s="25">
        <f t="shared" si="73"/>
        <v>0.15968096582928526</v>
      </c>
      <c r="X792">
        <f t="shared" si="80"/>
        <v>0</v>
      </c>
      <c r="Y792">
        <f t="shared" si="77"/>
        <v>0</v>
      </c>
      <c r="Z792">
        <f t="shared" si="74"/>
        <v>1</v>
      </c>
    </row>
    <row r="793" spans="1:26">
      <c r="A793" s="27">
        <v>43542</v>
      </c>
      <c r="B793" s="24">
        <v>761.35</v>
      </c>
      <c r="C793" s="25">
        <f t="shared" si="82"/>
        <v>2.8904392153774949E-4</v>
      </c>
      <c r="E793" s="25">
        <f t="shared" si="78"/>
        <v>5.7122228238985828E-2</v>
      </c>
      <c r="F793" s="25">
        <f t="shared" si="75"/>
        <v>9.2032422577549289E-2</v>
      </c>
      <c r="G793" s="25">
        <f t="shared" si="72"/>
        <v>0.17364436232302904</v>
      </c>
      <c r="K793" s="29">
        <v>43542</v>
      </c>
      <c r="L793" s="24">
        <v>14141.44</v>
      </c>
      <c r="M793" s="25">
        <f t="shared" si="83"/>
        <v>1.8187681028241228E-3</v>
      </c>
      <c r="O793" t="b">
        <f t="shared" si="81"/>
        <v>1</v>
      </c>
      <c r="Q793" s="25">
        <f t="shared" si="79"/>
        <v>7.948028393394635E-2</v>
      </c>
      <c r="R793" s="25">
        <f t="shared" si="76"/>
        <v>0.11056086152182276</v>
      </c>
      <c r="S793" s="25">
        <f t="shared" si="73"/>
        <v>0.15523887462275865</v>
      </c>
      <c r="X793">
        <f t="shared" si="80"/>
        <v>0</v>
      </c>
      <c r="Y793">
        <f t="shared" si="77"/>
        <v>0</v>
      </c>
      <c r="Z793">
        <f t="shared" si="74"/>
        <v>1</v>
      </c>
    </row>
    <row r="794" spans="1:26">
      <c r="A794" s="26">
        <v>43543</v>
      </c>
      <c r="B794" s="23">
        <v>765.89</v>
      </c>
      <c r="C794" s="25">
        <f t="shared" si="82"/>
        <v>5.9630918762723631E-3</v>
      </c>
      <c r="E794" s="25">
        <f t="shared" si="78"/>
        <v>6.2246016005325755E-2</v>
      </c>
      <c r="F794" s="25">
        <f t="shared" si="75"/>
        <v>9.9675984397362694E-2</v>
      </c>
      <c r="G794" s="25">
        <f t="shared" si="72"/>
        <v>0.17519122954857869</v>
      </c>
      <c r="K794" s="28">
        <v>43543</v>
      </c>
      <c r="L794" s="23">
        <v>14221.02</v>
      </c>
      <c r="M794" s="25">
        <f t="shared" si="83"/>
        <v>5.5959417819537501E-3</v>
      </c>
      <c r="O794" t="b">
        <f t="shared" si="81"/>
        <v>1</v>
      </c>
      <c r="Q794" s="25">
        <f t="shared" si="79"/>
        <v>8.2079177861426267E-2</v>
      </c>
      <c r="R794" s="25">
        <f t="shared" si="76"/>
        <v>0.11928937574708032</v>
      </c>
      <c r="S794" s="25">
        <f t="shared" si="73"/>
        <v>0.15665410463596419</v>
      </c>
      <c r="X794">
        <f t="shared" si="80"/>
        <v>0</v>
      </c>
      <c r="Y794">
        <f t="shared" si="77"/>
        <v>0</v>
      </c>
      <c r="Z794">
        <f t="shared" si="74"/>
        <v>1</v>
      </c>
    </row>
    <row r="795" spans="1:26">
      <c r="A795" s="27">
        <v>43544</v>
      </c>
      <c r="B795" s="24">
        <v>763.41</v>
      </c>
      <c r="C795" s="25">
        <f t="shared" si="82"/>
        <v>-3.2380629072060194E-3</v>
      </c>
      <c r="E795" s="25">
        <f t="shared" si="78"/>
        <v>6.383779264214029E-2</v>
      </c>
      <c r="F795" s="25">
        <f t="shared" si="75"/>
        <v>9.3294753336881531E-2</v>
      </c>
      <c r="G795" s="25">
        <f t="shared" si="72"/>
        <v>0.17302720178290998</v>
      </c>
      <c r="K795" s="29">
        <v>43544</v>
      </c>
      <c r="L795" s="24">
        <v>14195.69</v>
      </c>
      <c r="M795" s="25">
        <f t="shared" si="83"/>
        <v>-1.7843444031251687E-3</v>
      </c>
      <c r="O795" t="b">
        <f t="shared" si="81"/>
        <v>1</v>
      </c>
      <c r="Q795" s="25">
        <f t="shared" si="79"/>
        <v>8.5506534898160957E-2</v>
      </c>
      <c r="R795" s="25">
        <f t="shared" si="76"/>
        <v>0.11433365197911027</v>
      </c>
      <c r="S795" s="25">
        <f t="shared" si="73"/>
        <v>0.15563927451988357</v>
      </c>
      <c r="X795">
        <f t="shared" si="80"/>
        <v>0</v>
      </c>
      <c r="Y795">
        <f t="shared" si="77"/>
        <v>0</v>
      </c>
      <c r="Z795">
        <f t="shared" si="74"/>
        <v>1</v>
      </c>
    </row>
    <row r="796" spans="1:26">
      <c r="A796" s="26">
        <v>43546</v>
      </c>
      <c r="B796" s="23">
        <v>759.52</v>
      </c>
      <c r="C796" s="25">
        <f t="shared" si="82"/>
        <v>-5.0955580880522738E-3</v>
      </c>
      <c r="E796" s="25">
        <f t="shared" si="78"/>
        <v>7.0968287764914706E-2</v>
      </c>
      <c r="F796" s="25">
        <f t="shared" si="75"/>
        <v>9.0403290647767198E-2</v>
      </c>
      <c r="G796" s="25">
        <f t="shared" si="72"/>
        <v>0.17550550301411372</v>
      </c>
      <c r="K796" s="28">
        <v>43546</v>
      </c>
      <c r="L796" s="23">
        <v>14120.15</v>
      </c>
      <c r="M796" s="25">
        <f t="shared" si="83"/>
        <v>-5.3498015247713995E-3</v>
      </c>
      <c r="O796" t="b">
        <f t="shared" si="81"/>
        <v>1</v>
      </c>
      <c r="Q796" s="25">
        <f t="shared" si="79"/>
        <v>9.2362440769751419E-2</v>
      </c>
      <c r="R796" s="25">
        <f t="shared" si="76"/>
        <v>0.10982185083796447</v>
      </c>
      <c r="S796" s="25">
        <f t="shared" si="73"/>
        <v>0.15895477222562948</v>
      </c>
      <c r="X796">
        <f t="shared" si="80"/>
        <v>0</v>
      </c>
      <c r="Y796">
        <f t="shared" si="77"/>
        <v>0</v>
      </c>
      <c r="Z796">
        <f t="shared" si="74"/>
        <v>1</v>
      </c>
    </row>
    <row r="797" spans="1:26">
      <c r="A797" s="27">
        <v>43549</v>
      </c>
      <c r="B797" s="24">
        <v>752.5</v>
      </c>
      <c r="C797" s="25">
        <f t="shared" si="82"/>
        <v>-9.2426795871076231E-3</v>
      </c>
      <c r="E797" s="25">
        <f t="shared" si="78"/>
        <v>4.48051316940421E-2</v>
      </c>
      <c r="F797" s="25">
        <f t="shared" si="75"/>
        <v>8.7670580720333513E-2</v>
      </c>
      <c r="G797" s="25">
        <f t="shared" si="72"/>
        <v>0.17188103478490979</v>
      </c>
      <c r="K797" s="29">
        <v>43549</v>
      </c>
      <c r="L797" s="24">
        <v>13988.74</v>
      </c>
      <c r="M797" s="25">
        <f t="shared" si="83"/>
        <v>-9.3939840185749291E-3</v>
      </c>
      <c r="O797" t="b">
        <f t="shared" si="81"/>
        <v>1</v>
      </c>
      <c r="Q797" s="25">
        <f t="shared" si="79"/>
        <v>6.8398152016429847E-2</v>
      </c>
      <c r="R797" s="25">
        <f t="shared" si="76"/>
        <v>0.10743303715297969</v>
      </c>
      <c r="S797" s="25">
        <f t="shared" si="73"/>
        <v>0.15605817504297259</v>
      </c>
      <c r="X797">
        <f t="shared" si="80"/>
        <v>0</v>
      </c>
      <c r="Y797">
        <f t="shared" si="77"/>
        <v>0</v>
      </c>
      <c r="Z797">
        <f t="shared" si="74"/>
        <v>1</v>
      </c>
    </row>
    <row r="798" spans="1:26">
      <c r="A798" s="26">
        <v>43550</v>
      </c>
      <c r="B798" s="23">
        <v>760.07</v>
      </c>
      <c r="C798" s="25">
        <f t="shared" si="82"/>
        <v>1.0059800664451893E-2</v>
      </c>
      <c r="E798" s="25">
        <f t="shared" si="78"/>
        <v>4.4927755399441827E-2</v>
      </c>
      <c r="F798" s="25">
        <f t="shared" si="75"/>
        <v>8.925594451791441E-2</v>
      </c>
      <c r="G798" s="25">
        <f t="shared" si="72"/>
        <v>0.16961838014602848</v>
      </c>
      <c r="K798" s="28">
        <v>43550</v>
      </c>
      <c r="L798" s="23">
        <v>14138.82</v>
      </c>
      <c r="M798" s="25">
        <f t="shared" si="83"/>
        <v>1.0614747199554131E-2</v>
      </c>
      <c r="O798" t="b">
        <f t="shared" si="81"/>
        <v>1</v>
      </c>
      <c r="Q798" s="25">
        <f t="shared" si="79"/>
        <v>7.2105490639146508E-2</v>
      </c>
      <c r="R798" s="25">
        <f t="shared" si="76"/>
        <v>0.11006062933213823</v>
      </c>
      <c r="S798" s="25">
        <f t="shared" si="73"/>
        <v>0.15326454939824052</v>
      </c>
      <c r="X798">
        <f t="shared" si="80"/>
        <v>0</v>
      </c>
      <c r="Y798">
        <f t="shared" si="77"/>
        <v>0</v>
      </c>
      <c r="Z798">
        <f t="shared" si="74"/>
        <v>1</v>
      </c>
    </row>
    <row r="799" spans="1:26">
      <c r="A799" s="27">
        <v>43551</v>
      </c>
      <c r="B799" s="24">
        <v>761.84</v>
      </c>
      <c r="C799" s="25">
        <f t="shared" si="82"/>
        <v>2.328732879866304E-3</v>
      </c>
      <c r="E799" s="25">
        <f t="shared" si="78"/>
        <v>5.5282368096629897E-2</v>
      </c>
      <c r="F799" s="25">
        <f t="shared" si="75"/>
        <v>8.742153917500417E-2</v>
      </c>
      <c r="G799" s="25">
        <f t="shared" si="72"/>
        <v>0.16950067136200864</v>
      </c>
      <c r="K799" s="29">
        <v>43551</v>
      </c>
      <c r="L799" s="24">
        <v>14123.69</v>
      </c>
      <c r="M799" s="25">
        <f t="shared" si="83"/>
        <v>-1.071249793786128E-3</v>
      </c>
      <c r="O799" t="b">
        <f t="shared" si="81"/>
        <v>1</v>
      </c>
      <c r="Q799" s="25">
        <f t="shared" si="79"/>
        <v>7.8887142139091315E-2</v>
      </c>
      <c r="R799" s="25">
        <f t="shared" si="76"/>
        <v>0.10706332480897629</v>
      </c>
      <c r="S799" s="25">
        <f t="shared" si="73"/>
        <v>0.15193150217355078</v>
      </c>
      <c r="X799">
        <f t="shared" si="80"/>
        <v>0</v>
      </c>
      <c r="Y799">
        <f t="shared" si="77"/>
        <v>0</v>
      </c>
      <c r="Z799">
        <f t="shared" si="74"/>
        <v>1</v>
      </c>
    </row>
    <row r="800" spans="1:26">
      <c r="A800" s="26">
        <v>43552</v>
      </c>
      <c r="B800" s="23">
        <v>767.46</v>
      </c>
      <c r="C800" s="25">
        <f t="shared" si="82"/>
        <v>7.3768770345479422E-3</v>
      </c>
      <c r="E800" s="25">
        <f t="shared" si="78"/>
        <v>5.0854419980282506E-2</v>
      </c>
      <c r="F800" s="25">
        <f t="shared" si="75"/>
        <v>8.9431553922289186E-2</v>
      </c>
      <c r="G800" s="25">
        <f t="shared" si="72"/>
        <v>0.17245965242733807</v>
      </c>
      <c r="K800" s="28">
        <v>43552</v>
      </c>
      <c r="L800" s="23">
        <v>14272.79</v>
      </c>
      <c r="M800" s="25">
        <f t="shared" si="83"/>
        <v>1.0446450904132994E-2</v>
      </c>
      <c r="O800" t="b">
        <f t="shared" si="81"/>
        <v>1</v>
      </c>
      <c r="Q800" s="25">
        <f t="shared" si="79"/>
        <v>7.6806485830729354E-2</v>
      </c>
      <c r="R800" s="25">
        <f t="shared" si="76"/>
        <v>0.11063039342408998</v>
      </c>
      <c r="S800" s="25">
        <f t="shared" si="73"/>
        <v>0.15637064697995884</v>
      </c>
      <c r="X800">
        <f t="shared" si="80"/>
        <v>0</v>
      </c>
      <c r="Y800">
        <f t="shared" si="77"/>
        <v>0</v>
      </c>
      <c r="Z800">
        <f t="shared" si="74"/>
        <v>1</v>
      </c>
    </row>
    <row r="801" spans="1:26">
      <c r="A801" s="27">
        <v>43553</v>
      </c>
      <c r="B801" s="24">
        <v>774.25</v>
      </c>
      <c r="C801" s="25">
        <f t="shared" si="82"/>
        <v>8.8473666380006304E-3</v>
      </c>
      <c r="E801" s="25">
        <f t="shared" si="78"/>
        <v>5.4147151726391396E-2</v>
      </c>
      <c r="F801" s="25">
        <f t="shared" si="75"/>
        <v>9.2274116945157525E-2</v>
      </c>
      <c r="G801" s="25">
        <f t="shared" si="72"/>
        <v>0.1735950141459115</v>
      </c>
      <c r="K801" s="29">
        <v>43553</v>
      </c>
      <c r="L801" s="24">
        <v>14364.59</v>
      </c>
      <c r="M801" s="25">
        <f t="shared" si="83"/>
        <v>6.3907149455709683E-3</v>
      </c>
      <c r="O801" t="b">
        <f t="shared" si="81"/>
        <v>1</v>
      </c>
      <c r="Q801" s="25">
        <f t="shared" si="79"/>
        <v>7.761122818178201E-2</v>
      </c>
      <c r="R801" s="25">
        <f t="shared" si="76"/>
        <v>0.11286605506776737</v>
      </c>
      <c r="S801" s="25">
        <f t="shared" si="73"/>
        <v>0.15680573155141331</v>
      </c>
      <c r="X801">
        <f t="shared" si="80"/>
        <v>0</v>
      </c>
      <c r="Y801">
        <f t="shared" si="77"/>
        <v>0</v>
      </c>
      <c r="Z801">
        <f t="shared" si="74"/>
        <v>1</v>
      </c>
    </row>
    <row r="802" spans="1:26">
      <c r="A802" s="26">
        <v>43556</v>
      </c>
      <c r="B802" s="23">
        <v>777.35</v>
      </c>
      <c r="C802" s="25">
        <f t="shared" si="82"/>
        <v>4.0038747174685474E-3</v>
      </c>
      <c r="E802" s="25">
        <f t="shared" si="78"/>
        <v>7.0508848034152694E-2</v>
      </c>
      <c r="F802" s="25">
        <f t="shared" si="75"/>
        <v>9.3120303324635278E-2</v>
      </c>
      <c r="G802" s="25">
        <f t="shared" si="72"/>
        <v>0.18165004297220566</v>
      </c>
      <c r="K802" s="28">
        <v>43556</v>
      </c>
      <c r="L802" s="23">
        <v>14421.49</v>
      </c>
      <c r="M802" s="25">
        <f t="shared" si="83"/>
        <v>3.9455007769654618E-3</v>
      </c>
      <c r="O802" t="b">
        <f t="shared" si="81"/>
        <v>1</v>
      </c>
      <c r="Q802" s="25">
        <f t="shared" si="79"/>
        <v>9.3834807051395686E-2</v>
      </c>
      <c r="R802" s="25">
        <f t="shared" si="76"/>
        <v>0.11103630366769068</v>
      </c>
      <c r="S802" s="25">
        <f t="shared" si="73"/>
        <v>0.16564907729094625</v>
      </c>
      <c r="X802">
        <f t="shared" si="80"/>
        <v>0</v>
      </c>
      <c r="Y802">
        <f t="shared" si="77"/>
        <v>0</v>
      </c>
      <c r="Z802">
        <f t="shared" si="74"/>
        <v>1</v>
      </c>
    </row>
    <row r="803" spans="1:26">
      <c r="A803" s="27">
        <v>43557</v>
      </c>
      <c r="B803" s="24">
        <v>779.3</v>
      </c>
      <c r="C803" s="25">
        <f t="shared" si="82"/>
        <v>2.5085225445422676E-3</v>
      </c>
      <c r="E803" s="25">
        <f t="shared" si="78"/>
        <v>5.2397029034436216E-2</v>
      </c>
      <c r="F803" s="25">
        <f t="shared" si="75"/>
        <v>9.2418627182409008E-2</v>
      </c>
      <c r="G803" s="25">
        <f t="shared" si="72"/>
        <v>0.18141818914127961</v>
      </c>
      <c r="K803" s="29">
        <v>43557</v>
      </c>
      <c r="L803" s="24">
        <v>14449.48</v>
      </c>
      <c r="M803" s="25">
        <f t="shared" si="83"/>
        <v>1.9370939300237644E-3</v>
      </c>
      <c r="O803" t="b">
        <f t="shared" si="81"/>
        <v>1</v>
      </c>
      <c r="Q803" s="25">
        <f t="shared" si="79"/>
        <v>7.5498226666617096E-2</v>
      </c>
      <c r="R803" s="25">
        <f t="shared" si="76"/>
        <v>0.10923092935951595</v>
      </c>
      <c r="S803" s="25">
        <f t="shared" si="73"/>
        <v>0.16519894211432407</v>
      </c>
      <c r="X803">
        <f t="shared" si="80"/>
        <v>0</v>
      </c>
      <c r="Y803">
        <f t="shared" si="77"/>
        <v>0</v>
      </c>
      <c r="Z803">
        <f t="shared" si="74"/>
        <v>1</v>
      </c>
    </row>
    <row r="804" spans="1:26">
      <c r="A804" s="26">
        <v>43558</v>
      </c>
      <c r="B804" s="23">
        <v>774.26</v>
      </c>
      <c r="C804" s="25">
        <f t="shared" si="82"/>
        <v>-6.4673424868471243E-3</v>
      </c>
      <c r="E804" s="25">
        <f t="shared" si="78"/>
        <v>4.2507641142333963E-2</v>
      </c>
      <c r="F804" s="25">
        <f t="shared" si="75"/>
        <v>8.9097208113730453E-2</v>
      </c>
      <c r="G804" s="25">
        <f t="shared" ref="G804:G867" si="84">((B804/B67)^(1/3))-1</f>
        <v>0.18059199716212326</v>
      </c>
      <c r="K804" s="28">
        <v>43558</v>
      </c>
      <c r="L804" s="23">
        <v>14356.79</v>
      </c>
      <c r="M804" s="25">
        <f t="shared" si="83"/>
        <v>-6.4561785747370192E-3</v>
      </c>
      <c r="O804" t="b">
        <f t="shared" si="81"/>
        <v>1</v>
      </c>
      <c r="Q804" s="25">
        <f t="shared" si="79"/>
        <v>6.5577347707494571E-2</v>
      </c>
      <c r="R804" s="25">
        <f t="shared" si="76"/>
        <v>0.10587042554695558</v>
      </c>
      <c r="S804" s="25">
        <f t="shared" ref="S804:S867" si="85">((L804/L67)^(1/3))-1</f>
        <v>0.16564561292454716</v>
      </c>
      <c r="X804">
        <f t="shared" si="80"/>
        <v>0</v>
      </c>
      <c r="Y804">
        <f t="shared" si="77"/>
        <v>0</v>
      </c>
      <c r="Z804">
        <f t="shared" ref="Z804:Z867" si="86">IF(G804&gt;S804,1,0)</f>
        <v>1</v>
      </c>
    </row>
    <row r="805" spans="1:26">
      <c r="A805" s="27">
        <v>43559</v>
      </c>
      <c r="B805" s="24">
        <v>774.34</v>
      </c>
      <c r="C805" s="25">
        <f t="shared" si="82"/>
        <v>1.0332446465017039E-4</v>
      </c>
      <c r="E805" s="25">
        <f t="shared" si="78"/>
        <v>4.0793559053213135E-2</v>
      </c>
      <c r="F805" s="25">
        <f t="shared" si="75"/>
        <v>9.1538949694479621E-2</v>
      </c>
      <c r="G805" s="25">
        <f t="shared" si="84"/>
        <v>0.17857398656766588</v>
      </c>
      <c r="K805" s="29">
        <v>43559</v>
      </c>
      <c r="L805" s="24">
        <v>14309.63</v>
      </c>
      <c r="M805" s="25">
        <f t="shared" si="83"/>
        <v>-3.2956826975960719E-3</v>
      </c>
      <c r="O805" t="b">
        <f t="shared" si="81"/>
        <v>1</v>
      </c>
      <c r="Q805" s="25">
        <f t="shared" si="79"/>
        <v>5.8254301164331723E-2</v>
      </c>
      <c r="R805" s="25">
        <f t="shared" si="76"/>
        <v>0.10725608162503719</v>
      </c>
      <c r="S805" s="25">
        <f t="shared" si="85"/>
        <v>0.1633365539490248</v>
      </c>
      <c r="X805">
        <f t="shared" si="80"/>
        <v>0</v>
      </c>
      <c r="Y805">
        <f t="shared" si="77"/>
        <v>0</v>
      </c>
      <c r="Z805">
        <f t="shared" si="86"/>
        <v>1</v>
      </c>
    </row>
    <row r="806" spans="1:26">
      <c r="A806" s="26">
        <v>43560</v>
      </c>
      <c r="B806" s="23">
        <v>779.4</v>
      </c>
      <c r="C806" s="25">
        <f t="shared" si="82"/>
        <v>6.5345972053619146E-3</v>
      </c>
      <c r="E806" s="25">
        <f t="shared" si="78"/>
        <v>4.3610995808952335E-2</v>
      </c>
      <c r="F806" s="25">
        <f t="shared" si="75"/>
        <v>9.2630945651769325E-2</v>
      </c>
      <c r="G806" s="25">
        <f t="shared" si="84"/>
        <v>0.17734774615143012</v>
      </c>
      <c r="K806" s="28">
        <v>43560</v>
      </c>
      <c r="L806" s="23">
        <v>14396.45</v>
      </c>
      <c r="M806" s="25">
        <f t="shared" si="83"/>
        <v>6.0306533902456175E-3</v>
      </c>
      <c r="O806" t="b">
        <f t="shared" si="81"/>
        <v>1</v>
      </c>
      <c r="Q806" s="25">
        <f t="shared" si="79"/>
        <v>6.3062537520961914E-2</v>
      </c>
      <c r="R806" s="25">
        <f t="shared" si="76"/>
        <v>0.11013738181823429</v>
      </c>
      <c r="S806" s="25">
        <f t="shared" si="85"/>
        <v>0.16058693938903756</v>
      </c>
      <c r="X806">
        <f t="shared" si="80"/>
        <v>0</v>
      </c>
      <c r="Y806">
        <f t="shared" si="77"/>
        <v>0</v>
      </c>
      <c r="Z806">
        <f t="shared" si="86"/>
        <v>1</v>
      </c>
    </row>
    <row r="807" spans="1:26">
      <c r="A807" s="27">
        <v>43563</v>
      </c>
      <c r="B807" s="24">
        <v>775.14</v>
      </c>
      <c r="C807" s="25">
        <f t="shared" si="82"/>
        <v>-5.4657428791377869E-3</v>
      </c>
      <c r="E807" s="25">
        <f t="shared" si="78"/>
        <v>3.5992568931182412E-2</v>
      </c>
      <c r="F807" s="25">
        <f t="shared" si="75"/>
        <v>8.6516505063999549E-2</v>
      </c>
      <c r="G807" s="25">
        <f t="shared" si="84"/>
        <v>0.17164414098318703</v>
      </c>
      <c r="K807" s="29">
        <v>43563</v>
      </c>
      <c r="L807" s="24">
        <v>14321.35</v>
      </c>
      <c r="M807" s="25">
        <f t="shared" si="83"/>
        <v>-5.2439190439449047E-3</v>
      </c>
      <c r="O807" t="b">
        <f t="shared" si="81"/>
        <v>1</v>
      </c>
      <c r="Q807" s="25">
        <f t="shared" si="79"/>
        <v>5.6175574112273141E-2</v>
      </c>
      <c r="R807" s="25">
        <f t="shared" si="76"/>
        <v>0.10327373309546073</v>
      </c>
      <c r="S807" s="25">
        <f t="shared" si="85"/>
        <v>0.15620398024891013</v>
      </c>
      <c r="X807">
        <f t="shared" si="80"/>
        <v>0</v>
      </c>
      <c r="Y807">
        <f t="shared" si="77"/>
        <v>0</v>
      </c>
      <c r="Z807">
        <f t="shared" si="86"/>
        <v>1</v>
      </c>
    </row>
    <row r="808" spans="1:26">
      <c r="A808" s="26">
        <v>43564</v>
      </c>
      <c r="B808" s="23">
        <v>778.2</v>
      </c>
      <c r="C808" s="25">
        <f t="shared" si="82"/>
        <v>3.9476739685734953E-3</v>
      </c>
      <c r="E808" s="25">
        <f t="shared" si="78"/>
        <v>4.0750003343452912E-2</v>
      </c>
      <c r="F808" s="25">
        <f t="shared" si="75"/>
        <v>8.9131836849489998E-2</v>
      </c>
      <c r="G808" s="25">
        <f t="shared" si="84"/>
        <v>0.16714462283906939</v>
      </c>
      <c r="K808" s="28">
        <v>43564</v>
      </c>
      <c r="L808" s="23">
        <v>14385.8</v>
      </c>
      <c r="M808" s="25">
        <f t="shared" si="83"/>
        <v>4.4801123329949611E-3</v>
      </c>
      <c r="O808" t="b">
        <f t="shared" si="81"/>
        <v>1</v>
      </c>
      <c r="Q808" s="25">
        <f t="shared" si="79"/>
        <v>5.9048712795482627E-2</v>
      </c>
      <c r="R808" s="25">
        <f t="shared" si="76"/>
        <v>0.10768418288298398</v>
      </c>
      <c r="S808" s="25">
        <f t="shared" si="85"/>
        <v>0.15171681989733754</v>
      </c>
      <c r="X808">
        <f t="shared" si="80"/>
        <v>0</v>
      </c>
      <c r="Y808">
        <f t="shared" si="77"/>
        <v>0</v>
      </c>
      <c r="Z808">
        <f t="shared" si="86"/>
        <v>1</v>
      </c>
    </row>
    <row r="809" spans="1:26">
      <c r="A809" s="27">
        <v>43565</v>
      </c>
      <c r="B809" s="24">
        <v>773.52</v>
      </c>
      <c r="C809" s="25">
        <f t="shared" si="82"/>
        <v>-6.0138781804164269E-3</v>
      </c>
      <c r="E809" s="25">
        <f t="shared" si="78"/>
        <v>3.2723194616894213E-2</v>
      </c>
      <c r="F809" s="25">
        <f t="shared" si="75"/>
        <v>8.9277721292783108E-2</v>
      </c>
      <c r="G809" s="25">
        <f t="shared" si="84"/>
        <v>0.16274503837522181</v>
      </c>
      <c r="K809" s="29">
        <v>43565</v>
      </c>
      <c r="L809" s="24">
        <v>14304.29</v>
      </c>
      <c r="M809" s="25">
        <f t="shared" si="83"/>
        <v>-5.6982905128460338E-3</v>
      </c>
      <c r="O809" t="b">
        <f t="shared" si="81"/>
        <v>1</v>
      </c>
      <c r="Q809" s="25">
        <f t="shared" si="79"/>
        <v>5.0729891351854572E-2</v>
      </c>
      <c r="R809" s="25">
        <f t="shared" si="76"/>
        <v>0.1068683440823075</v>
      </c>
      <c r="S809" s="25">
        <f t="shared" si="85"/>
        <v>0.1460804724224718</v>
      </c>
      <c r="X809">
        <f t="shared" si="80"/>
        <v>0</v>
      </c>
      <c r="Y809">
        <f t="shared" si="77"/>
        <v>0</v>
      </c>
      <c r="Z809">
        <f t="shared" si="86"/>
        <v>1</v>
      </c>
    </row>
    <row r="810" spans="1:26">
      <c r="A810" s="26">
        <v>43566</v>
      </c>
      <c r="B810" s="23">
        <v>773.55</v>
      </c>
      <c r="C810" s="25">
        <f t="shared" si="82"/>
        <v>3.8783741855378937E-5</v>
      </c>
      <c r="E810" s="25">
        <f t="shared" si="78"/>
        <v>2.8397080524867224E-2</v>
      </c>
      <c r="F810" s="25">
        <f t="shared" si="75"/>
        <v>8.948269071805437E-2</v>
      </c>
      <c r="G810" s="25">
        <f t="shared" si="84"/>
        <v>0.16264194178979485</v>
      </c>
      <c r="K810" s="28">
        <v>43566</v>
      </c>
      <c r="L810" s="23">
        <v>14321.82</v>
      </c>
      <c r="M810" s="25">
        <f t="shared" si="83"/>
        <v>1.224006446108025E-3</v>
      </c>
      <c r="O810" t="b">
        <f t="shared" si="81"/>
        <v>1</v>
      </c>
      <c r="Q810" s="25">
        <f t="shared" si="79"/>
        <v>4.7085057538493125E-2</v>
      </c>
      <c r="R810" s="25">
        <f t="shared" si="76"/>
        <v>0.10770482538606174</v>
      </c>
      <c r="S810" s="25">
        <f t="shared" si="85"/>
        <v>0.1460718360618114</v>
      </c>
      <c r="X810">
        <f t="shared" si="80"/>
        <v>0</v>
      </c>
      <c r="Y810">
        <f t="shared" si="77"/>
        <v>0</v>
      </c>
      <c r="Z810">
        <f t="shared" si="86"/>
        <v>1</v>
      </c>
    </row>
    <row r="811" spans="1:26">
      <c r="A811" s="27">
        <v>43567</v>
      </c>
      <c r="B811" s="24">
        <v>775.78</v>
      </c>
      <c r="C811" s="25">
        <f t="shared" si="82"/>
        <v>2.8828130049770775E-3</v>
      </c>
      <c r="E811" s="25">
        <f t="shared" si="78"/>
        <v>2.9842028408336718E-2</v>
      </c>
      <c r="F811" s="25">
        <f t="shared" si="75"/>
        <v>9.3723648474092869E-2</v>
      </c>
      <c r="G811" s="25">
        <f t="shared" si="84"/>
        <v>0.16400251544721112</v>
      </c>
      <c r="K811" s="29">
        <v>43567</v>
      </c>
      <c r="L811" s="24">
        <v>14381.36</v>
      </c>
      <c r="M811" s="25">
        <f t="shared" si="83"/>
        <v>4.1400813274962084E-3</v>
      </c>
      <c r="O811" t="b">
        <f t="shared" si="81"/>
        <v>1</v>
      </c>
      <c r="Q811" s="25">
        <f t="shared" si="79"/>
        <v>4.9294675077741212E-2</v>
      </c>
      <c r="R811" s="25">
        <f t="shared" si="76"/>
        <v>0.11273865779087444</v>
      </c>
      <c r="S811" s="25">
        <f t="shared" si="85"/>
        <v>0.14817780302976025</v>
      </c>
      <c r="X811">
        <f t="shared" si="80"/>
        <v>0</v>
      </c>
      <c r="Y811">
        <f t="shared" si="77"/>
        <v>0</v>
      </c>
      <c r="Z811">
        <f t="shared" si="86"/>
        <v>1</v>
      </c>
    </row>
    <row r="812" spans="1:26">
      <c r="A812" s="26">
        <v>43570</v>
      </c>
      <c r="B812" s="23">
        <v>779.29</v>
      </c>
      <c r="C812" s="25">
        <f t="shared" si="82"/>
        <v>4.5244785892907665E-3</v>
      </c>
      <c r="E812" s="25">
        <f t="shared" si="78"/>
        <v>3.6097003217486101E-2</v>
      </c>
      <c r="F812" s="25">
        <f t="shared" si="75"/>
        <v>9.3928711759761141E-2</v>
      </c>
      <c r="G812" s="25">
        <f t="shared" si="84"/>
        <v>0.16481682767469175</v>
      </c>
      <c r="K812" s="28">
        <v>43570</v>
      </c>
      <c r="L812" s="23">
        <v>14443.67</v>
      </c>
      <c r="M812" s="25">
        <f t="shared" si="83"/>
        <v>4.3140005275667118E-3</v>
      </c>
      <c r="O812" t="b">
        <f t="shared" si="81"/>
        <v>1</v>
      </c>
      <c r="Q812" s="25">
        <f t="shared" si="79"/>
        <v>5.5958912872626332E-2</v>
      </c>
      <c r="R812" s="25">
        <f t="shared" si="76"/>
        <v>0.11386374686668677</v>
      </c>
      <c r="S812" s="25">
        <f t="shared" si="85"/>
        <v>0.15020017266444508</v>
      </c>
      <c r="X812">
        <f t="shared" si="80"/>
        <v>0</v>
      </c>
      <c r="Y812">
        <f t="shared" si="77"/>
        <v>0</v>
      </c>
      <c r="Z812">
        <f t="shared" si="86"/>
        <v>1</v>
      </c>
    </row>
    <row r="813" spans="1:26">
      <c r="A813" s="27">
        <v>43571</v>
      </c>
      <c r="B813" s="24">
        <v>785.61</v>
      </c>
      <c r="C813" s="25">
        <f t="shared" si="82"/>
        <v>8.1099462331096894E-3</v>
      </c>
      <c r="E813" s="25">
        <f t="shared" si="78"/>
        <v>3.4309788690672249E-2</v>
      </c>
      <c r="F813" s="25">
        <f t="shared" si="75"/>
        <v>9.6521773330474403E-2</v>
      </c>
      <c r="G813" s="25">
        <f t="shared" si="84"/>
        <v>0.16942948715086215</v>
      </c>
      <c r="K813" s="29">
        <v>43571</v>
      </c>
      <c r="L813" s="24">
        <v>14540.12</v>
      </c>
      <c r="M813" s="25">
        <f t="shared" si="83"/>
        <v>6.6333702885533769E-3</v>
      </c>
      <c r="O813" t="b">
        <f t="shared" si="81"/>
        <v>1</v>
      </c>
      <c r="Q813" s="25">
        <f t="shared" si="79"/>
        <v>5.7921064024068603E-2</v>
      </c>
      <c r="R813" s="25">
        <f t="shared" si="76"/>
        <v>0.1146543550392225</v>
      </c>
      <c r="S813" s="25">
        <f t="shared" si="85"/>
        <v>0.15476106572065818</v>
      </c>
      <c r="X813">
        <f t="shared" si="80"/>
        <v>0</v>
      </c>
      <c r="Y813">
        <f t="shared" si="77"/>
        <v>0</v>
      </c>
      <c r="Z813">
        <f t="shared" si="86"/>
        <v>1</v>
      </c>
    </row>
    <row r="814" spans="1:26">
      <c r="A814" s="26">
        <v>43573</v>
      </c>
      <c r="B814" s="23">
        <v>777.95</v>
      </c>
      <c r="C814" s="25">
        <f t="shared" si="82"/>
        <v>-9.7503850511067424E-3</v>
      </c>
      <c r="E814" s="25">
        <f t="shared" si="78"/>
        <v>2.3429894493119718E-2</v>
      </c>
      <c r="F814" s="25">
        <f t="shared" si="75"/>
        <v>9.1739531451988876E-2</v>
      </c>
      <c r="G814" s="25">
        <f t="shared" si="84"/>
        <v>0.16082325112107476</v>
      </c>
      <c r="K814" s="28">
        <v>43573</v>
      </c>
      <c r="L814" s="23">
        <v>14476.63</v>
      </c>
      <c r="M814" s="25">
        <f t="shared" si="83"/>
        <v>-4.3856892108178214E-3</v>
      </c>
      <c r="O814" t="b">
        <f t="shared" si="81"/>
        <v>1</v>
      </c>
      <c r="Q814" s="25">
        <f t="shared" si="79"/>
        <v>5.428961989400749E-2</v>
      </c>
      <c r="R814" s="25">
        <f t="shared" si="76"/>
        <v>0.11259179380285222</v>
      </c>
      <c r="S814" s="25">
        <f t="shared" si="85"/>
        <v>0.14867726458776054</v>
      </c>
      <c r="X814">
        <f t="shared" si="80"/>
        <v>0</v>
      </c>
      <c r="Y814">
        <f t="shared" si="77"/>
        <v>0</v>
      </c>
      <c r="Z814">
        <f t="shared" si="86"/>
        <v>1</v>
      </c>
    </row>
    <row r="815" spans="1:26">
      <c r="A815" s="27">
        <v>43577</v>
      </c>
      <c r="B815" s="24">
        <v>766.28</v>
      </c>
      <c r="C815" s="25">
        <f t="shared" si="82"/>
        <v>-1.5000964072241239E-2</v>
      </c>
      <c r="E815" s="25">
        <f t="shared" si="78"/>
        <v>4.6806781083241766E-3</v>
      </c>
      <c r="F815" s="25">
        <f t="shared" ref="F815:F878" si="87">((B815/B323)^(1/2))-1</f>
        <v>7.9869816933609394E-2</v>
      </c>
      <c r="G815" s="25">
        <f t="shared" si="84"/>
        <v>0.15461042761626365</v>
      </c>
      <c r="K815" s="29">
        <v>43577</v>
      </c>
      <c r="L815" s="24">
        <v>14270.2</v>
      </c>
      <c r="M815" s="25">
        <f t="shared" si="83"/>
        <v>-1.446580986951819E-2</v>
      </c>
      <c r="O815" t="b">
        <f t="shared" si="81"/>
        <v>1</v>
      </c>
      <c r="Q815" s="25">
        <f t="shared" si="79"/>
        <v>3.638931960215408E-2</v>
      </c>
      <c r="R815" s="25">
        <f t="shared" ref="R815:R878" si="88">((L815/L323)^(1/2))-1</f>
        <v>9.9211945970351767E-2</v>
      </c>
      <c r="S815" s="25">
        <f t="shared" si="85"/>
        <v>0.14234113302315565</v>
      </c>
      <c r="X815">
        <f t="shared" si="80"/>
        <v>0</v>
      </c>
      <c r="Y815">
        <f t="shared" ref="Y815:Y878" si="89">IF(F815&gt;R815,1,0)</f>
        <v>0</v>
      </c>
      <c r="Z815">
        <f t="shared" si="86"/>
        <v>1</v>
      </c>
    </row>
    <row r="816" spans="1:26">
      <c r="A816" s="26">
        <v>43578</v>
      </c>
      <c r="B816" s="23">
        <v>764.58</v>
      </c>
      <c r="C816" s="25">
        <f t="shared" si="82"/>
        <v>-2.2185102051468547E-3</v>
      </c>
      <c r="E816" s="25">
        <f t="shared" si="78"/>
        <v>5.2723615183349892E-3</v>
      </c>
      <c r="F816" s="25">
        <f t="shared" si="87"/>
        <v>7.4956139856928283E-2</v>
      </c>
      <c r="G816" s="25">
        <f t="shared" si="84"/>
        <v>0.15825601911788723</v>
      </c>
      <c r="K816" s="28">
        <v>43578</v>
      </c>
      <c r="L816" s="23">
        <v>14251.64</v>
      </c>
      <c r="M816" s="25">
        <f t="shared" si="83"/>
        <v>-1.302306260893575E-3</v>
      </c>
      <c r="O816" t="b">
        <f t="shared" si="81"/>
        <v>1</v>
      </c>
      <c r="Q816" s="25">
        <f t="shared" si="79"/>
        <v>3.316625755574476E-2</v>
      </c>
      <c r="R816" s="25">
        <f t="shared" si="88"/>
        <v>9.3175156389571523E-2</v>
      </c>
      <c r="S816" s="25">
        <f t="shared" si="85"/>
        <v>0.14766446888839635</v>
      </c>
      <c r="X816">
        <f t="shared" si="80"/>
        <v>0</v>
      </c>
      <c r="Y816">
        <f t="shared" si="89"/>
        <v>0</v>
      </c>
      <c r="Z816">
        <f t="shared" si="86"/>
        <v>1</v>
      </c>
    </row>
    <row r="817" spans="1:26">
      <c r="A817" s="27">
        <v>43579</v>
      </c>
      <c r="B817" s="24">
        <v>771.51</v>
      </c>
      <c r="C817" s="25">
        <f t="shared" si="82"/>
        <v>9.0637997331867812E-3</v>
      </c>
      <c r="E817" s="25">
        <f t="shared" si="78"/>
        <v>2.019200253887643E-2</v>
      </c>
      <c r="F817" s="25">
        <f t="shared" si="87"/>
        <v>7.8822625377338085E-2</v>
      </c>
      <c r="G817" s="25">
        <f t="shared" si="84"/>
        <v>0.16042572427247892</v>
      </c>
      <c r="K817" s="29">
        <v>43579</v>
      </c>
      <c r="L817" s="24">
        <v>14400.64</v>
      </c>
      <c r="M817" s="25">
        <f t="shared" si="83"/>
        <v>1.0346762366117063E-2</v>
      </c>
      <c r="O817" t="b">
        <f t="shared" si="81"/>
        <v>1</v>
      </c>
      <c r="Q817" s="25">
        <f t="shared" si="79"/>
        <v>4.8463050600655144E-2</v>
      </c>
      <c r="R817" s="25">
        <f t="shared" si="88"/>
        <v>9.7930666334845595E-2</v>
      </c>
      <c r="S817" s="25">
        <f t="shared" si="85"/>
        <v>0.15133440421058686</v>
      </c>
      <c r="X817">
        <f t="shared" si="80"/>
        <v>0</v>
      </c>
      <c r="Y817">
        <f t="shared" si="89"/>
        <v>0</v>
      </c>
      <c r="Z817">
        <f t="shared" si="86"/>
        <v>1</v>
      </c>
    </row>
    <row r="818" spans="1:26">
      <c r="A818" s="26">
        <v>43580</v>
      </c>
      <c r="B818" s="23">
        <v>766.8</v>
      </c>
      <c r="C818" s="25">
        <f t="shared" si="82"/>
        <v>-6.1049111482677299E-3</v>
      </c>
      <c r="E818" s="25">
        <f t="shared" si="78"/>
        <v>9.3192228715841541E-3</v>
      </c>
      <c r="F818" s="25">
        <f t="shared" si="87"/>
        <v>7.5394751125749337E-2</v>
      </c>
      <c r="G818" s="25">
        <f t="shared" si="84"/>
        <v>0.15769223684807598</v>
      </c>
      <c r="K818" s="28">
        <v>43580</v>
      </c>
      <c r="L818" s="23">
        <v>14313.53</v>
      </c>
      <c r="M818" s="25">
        <f t="shared" si="83"/>
        <v>-6.0858502409956708E-3</v>
      </c>
      <c r="O818" t="b">
        <f t="shared" si="81"/>
        <v>1</v>
      </c>
      <c r="Q818" s="25">
        <f t="shared" si="79"/>
        <v>3.8623492063492026E-2</v>
      </c>
      <c r="R818" s="25">
        <f t="shared" si="88"/>
        <v>9.5180792158158445E-2</v>
      </c>
      <c r="S818" s="25">
        <f t="shared" si="85"/>
        <v>0.14949775197665116</v>
      </c>
      <c r="X818">
        <f t="shared" si="80"/>
        <v>0</v>
      </c>
      <c r="Y818">
        <f t="shared" si="89"/>
        <v>0</v>
      </c>
      <c r="Z818">
        <f t="shared" si="86"/>
        <v>1</v>
      </c>
    </row>
    <row r="819" spans="1:26">
      <c r="A819" s="27">
        <v>43581</v>
      </c>
      <c r="B819" s="24">
        <v>773.33</v>
      </c>
      <c r="C819" s="25">
        <f t="shared" si="82"/>
        <v>8.5159102764737708E-3</v>
      </c>
      <c r="E819" s="25">
        <f t="shared" si="78"/>
        <v>1.1602961567642511E-2</v>
      </c>
      <c r="F819" s="25">
        <f t="shared" si="87"/>
        <v>7.8695813782552415E-2</v>
      </c>
      <c r="G819" s="25">
        <f t="shared" si="84"/>
        <v>0.16369133328633967</v>
      </c>
      <c r="K819" s="29">
        <v>43581</v>
      </c>
      <c r="L819" s="24">
        <v>14404.12</v>
      </c>
      <c r="M819" s="25">
        <f t="shared" si="83"/>
        <v>6.2891728199987321E-3</v>
      </c>
      <c r="O819" t="b">
        <f t="shared" si="81"/>
        <v>1</v>
      </c>
      <c r="Q819" s="25">
        <f t="shared" si="79"/>
        <v>3.8301651364507583E-2</v>
      </c>
      <c r="R819" s="25">
        <f t="shared" si="88"/>
        <v>9.9164298950256358E-2</v>
      </c>
      <c r="S819" s="25">
        <f t="shared" si="85"/>
        <v>0.15465036694589251</v>
      </c>
      <c r="X819">
        <f t="shared" si="80"/>
        <v>0</v>
      </c>
      <c r="Y819">
        <f t="shared" si="89"/>
        <v>0</v>
      </c>
      <c r="Z819">
        <f t="shared" si="86"/>
        <v>1</v>
      </c>
    </row>
    <row r="820" spans="1:26">
      <c r="A820" s="26">
        <v>43585</v>
      </c>
      <c r="B820" s="23">
        <v>773.83</v>
      </c>
      <c r="C820" s="25">
        <f t="shared" si="82"/>
        <v>6.4655451101082331E-4</v>
      </c>
      <c r="E820" s="25">
        <f t="shared" si="78"/>
        <v>3.6965939453683649E-3</v>
      </c>
      <c r="F820" s="25">
        <f t="shared" si="87"/>
        <v>7.9710757799509979E-2</v>
      </c>
      <c r="G820" s="25">
        <f t="shared" si="84"/>
        <v>0.16682620036865581</v>
      </c>
      <c r="K820" s="28">
        <v>43585</v>
      </c>
      <c r="L820" s="23">
        <v>14366.33</v>
      </c>
      <c r="M820" s="25">
        <f t="shared" si="83"/>
        <v>-2.6304560733326379E-3</v>
      </c>
      <c r="O820" t="b">
        <f t="shared" si="81"/>
        <v>1</v>
      </c>
      <c r="Q820" s="25">
        <f t="shared" si="79"/>
        <v>2.9813439308637335E-2</v>
      </c>
      <c r="R820" s="25">
        <f t="shared" si="88"/>
        <v>9.658340594364212E-2</v>
      </c>
      <c r="S820" s="25">
        <f t="shared" si="85"/>
        <v>0.15654673978877787</v>
      </c>
      <c r="X820">
        <f t="shared" si="80"/>
        <v>0</v>
      </c>
      <c r="Y820">
        <f t="shared" si="89"/>
        <v>0</v>
      </c>
      <c r="Z820">
        <f t="shared" si="86"/>
        <v>1</v>
      </c>
    </row>
    <row r="821" spans="1:26">
      <c r="A821" s="27">
        <v>43587</v>
      </c>
      <c r="B821" s="24">
        <v>768.97</v>
      </c>
      <c r="C821" s="25">
        <f t="shared" si="82"/>
        <v>-6.2804491942674923E-3</v>
      </c>
      <c r="E821" s="25">
        <f t="shared" si="78"/>
        <v>6.4393691512336648E-3</v>
      </c>
      <c r="F821" s="25">
        <f t="shared" si="87"/>
        <v>7.6834128793020762E-2</v>
      </c>
      <c r="G821" s="25">
        <f t="shared" si="84"/>
        <v>0.16342375279317078</v>
      </c>
      <c r="K821" s="29">
        <v>43587</v>
      </c>
      <c r="L821" s="24">
        <v>14326.52</v>
      </c>
      <c r="M821" s="25">
        <f t="shared" si="83"/>
        <v>-2.7787627421034201E-3</v>
      </c>
      <c r="O821" t="b">
        <f t="shared" si="81"/>
        <v>1</v>
      </c>
      <c r="Q821" s="25">
        <f t="shared" si="79"/>
        <v>3.2559842476554524E-2</v>
      </c>
      <c r="R821" s="25">
        <f t="shared" si="88"/>
        <v>9.5305979318139E-2</v>
      </c>
      <c r="S821" s="25">
        <f t="shared" si="85"/>
        <v>0.15451147478481175</v>
      </c>
      <c r="X821">
        <f t="shared" si="80"/>
        <v>0</v>
      </c>
      <c r="Y821">
        <f t="shared" si="89"/>
        <v>0</v>
      </c>
      <c r="Z821">
        <f t="shared" si="86"/>
        <v>1</v>
      </c>
    </row>
    <row r="822" spans="1:26">
      <c r="A822" s="26">
        <v>43588</v>
      </c>
      <c r="B822" s="23">
        <v>768.77</v>
      </c>
      <c r="C822" s="25">
        <f t="shared" si="82"/>
        <v>-2.6008816988965172E-4</v>
      </c>
      <c r="E822" s="25">
        <f t="shared" si="78"/>
        <v>1.3446353006314471E-2</v>
      </c>
      <c r="F822" s="25">
        <f t="shared" si="87"/>
        <v>7.4234655821750373E-2</v>
      </c>
      <c r="G822" s="25">
        <f t="shared" si="84"/>
        <v>0.16438097459572121</v>
      </c>
      <c r="K822" s="28">
        <v>43588</v>
      </c>
      <c r="L822" s="23">
        <v>14307.21</v>
      </c>
      <c r="M822" s="25">
        <f t="shared" si="83"/>
        <v>-1.3496691528258346E-3</v>
      </c>
      <c r="O822" t="b">
        <f t="shared" si="81"/>
        <v>1</v>
      </c>
      <c r="Q822" s="25">
        <f t="shared" si="79"/>
        <v>3.7294793446730479E-2</v>
      </c>
      <c r="R822" s="25">
        <f t="shared" si="88"/>
        <v>9.2013314910104782E-2</v>
      </c>
      <c r="S822" s="25">
        <f t="shared" si="85"/>
        <v>0.15372575007295963</v>
      </c>
      <c r="X822">
        <f t="shared" si="80"/>
        <v>0</v>
      </c>
      <c r="Y822">
        <f t="shared" si="89"/>
        <v>0</v>
      </c>
      <c r="Z822">
        <f t="shared" si="86"/>
        <v>1</v>
      </c>
    </row>
    <row r="823" spans="1:26">
      <c r="A823" s="27">
        <v>43591</v>
      </c>
      <c r="B823" s="24">
        <v>763.92</v>
      </c>
      <c r="C823" s="25">
        <f t="shared" si="82"/>
        <v>-6.3087789585962286E-3</v>
      </c>
      <c r="E823" s="25">
        <f t="shared" si="78"/>
        <v>1.2377746561000658E-2</v>
      </c>
      <c r="F823" s="25">
        <f t="shared" si="87"/>
        <v>7.5826164524559259E-2</v>
      </c>
      <c r="G823" s="25">
        <f t="shared" si="84"/>
        <v>0.1569359607938059</v>
      </c>
      <c r="K823" s="29">
        <v>43591</v>
      </c>
      <c r="L823" s="24">
        <v>14170.39</v>
      </c>
      <c r="M823" s="25">
        <f t="shared" si="83"/>
        <v>-9.6553447011691086E-3</v>
      </c>
      <c r="O823" t="b">
        <f t="shared" si="81"/>
        <v>1</v>
      </c>
      <c r="Q823" s="25">
        <f t="shared" si="79"/>
        <v>3.2751986006850808E-2</v>
      </c>
      <c r="R823" s="25">
        <f t="shared" si="88"/>
        <v>9.1578239079583401E-2</v>
      </c>
      <c r="S823" s="25">
        <f t="shared" si="85"/>
        <v>0.14427862010582659</v>
      </c>
      <c r="X823">
        <f t="shared" si="80"/>
        <v>0</v>
      </c>
      <c r="Y823">
        <f t="shared" si="89"/>
        <v>0</v>
      </c>
      <c r="Z823">
        <f t="shared" si="86"/>
        <v>1</v>
      </c>
    </row>
    <row r="824" spans="1:26">
      <c r="A824" s="26">
        <v>43592</v>
      </c>
      <c r="B824" s="23">
        <v>758.65</v>
      </c>
      <c r="C824" s="25">
        <f t="shared" si="82"/>
        <v>-6.89862812859983E-3</v>
      </c>
      <c r="E824" s="25">
        <f t="shared" ref="E824:E887" si="90">(B824/B579)-1</f>
        <v>-1.0139316847067592E-3</v>
      </c>
      <c r="F824" s="25">
        <f t="shared" si="87"/>
        <v>6.9737124994852628E-2</v>
      </c>
      <c r="G824" s="25">
        <f t="shared" si="84"/>
        <v>0.15297757799574985</v>
      </c>
      <c r="K824" s="28">
        <v>43592</v>
      </c>
      <c r="L824" s="23">
        <v>14051.08</v>
      </c>
      <c r="M824" s="25">
        <f t="shared" si="83"/>
        <v>-8.4911622451796943E-3</v>
      </c>
      <c r="O824" t="b">
        <f t="shared" si="81"/>
        <v>1</v>
      </c>
      <c r="Q824" s="25">
        <f t="shared" ref="Q824:Q887" si="91">(L824/L579)-1</f>
        <v>1.5464222994702626E-2</v>
      </c>
      <c r="R824" s="25">
        <f t="shared" si="88"/>
        <v>8.4801167004657785E-2</v>
      </c>
      <c r="S824" s="25">
        <f t="shared" si="85"/>
        <v>0.14024927743762405</v>
      </c>
      <c r="X824">
        <f t="shared" ref="X824:X887" si="92">IF(E824&gt;Q824,1,0)</f>
        <v>0</v>
      </c>
      <c r="Y824">
        <f t="shared" si="89"/>
        <v>0</v>
      </c>
      <c r="Z824">
        <f t="shared" si="86"/>
        <v>1</v>
      </c>
    </row>
    <row r="825" spans="1:26">
      <c r="A825" s="27">
        <v>43593</v>
      </c>
      <c r="B825" s="24">
        <v>751.8</v>
      </c>
      <c r="C825" s="25">
        <f t="shared" si="82"/>
        <v>-9.029196599222333E-3</v>
      </c>
      <c r="E825" s="25">
        <f t="shared" si="90"/>
        <v>-1.1478837126740582E-2</v>
      </c>
      <c r="F825" s="25">
        <f t="shared" si="87"/>
        <v>6.4174651535435778E-2</v>
      </c>
      <c r="G825" s="25">
        <f t="shared" si="84"/>
        <v>0.15010913278517002</v>
      </c>
      <c r="K825" s="29">
        <v>43593</v>
      </c>
      <c r="L825" s="24">
        <v>13886.83</v>
      </c>
      <c r="M825" s="25">
        <f t="shared" si="83"/>
        <v>-1.1827753346156034E-2</v>
      </c>
      <c r="O825" t="b">
        <f t="shared" si="81"/>
        <v>1</v>
      </c>
      <c r="Q825" s="25">
        <f t="shared" si="91"/>
        <v>3.4815534752306032E-3</v>
      </c>
      <c r="R825" s="25">
        <f t="shared" si="88"/>
        <v>7.7353620227134323E-2</v>
      </c>
      <c r="S825" s="25">
        <f t="shared" si="85"/>
        <v>0.1371815807177208</v>
      </c>
      <c r="X825">
        <f t="shared" si="92"/>
        <v>0</v>
      </c>
      <c r="Y825">
        <f t="shared" si="89"/>
        <v>0</v>
      </c>
      <c r="Z825">
        <f t="shared" si="86"/>
        <v>1</v>
      </c>
    </row>
    <row r="826" spans="1:26">
      <c r="A826" s="26">
        <v>43594</v>
      </c>
      <c r="B826" s="23">
        <v>751.62</v>
      </c>
      <c r="C826" s="25">
        <f t="shared" si="82"/>
        <v>-2.3942537909011705E-4</v>
      </c>
      <c r="E826" s="25">
        <f t="shared" si="90"/>
        <v>-9.5536784956580245E-3</v>
      </c>
      <c r="F826" s="25">
        <f t="shared" si="87"/>
        <v>6.0054771334600687E-2</v>
      </c>
      <c r="G826" s="25">
        <f t="shared" si="84"/>
        <v>0.14756880793312077</v>
      </c>
      <c r="K826" s="28">
        <v>43594</v>
      </c>
      <c r="L826" s="23">
        <v>13826.96</v>
      </c>
      <c r="M826" s="25">
        <f t="shared" si="83"/>
        <v>-4.329946712798822E-3</v>
      </c>
      <c r="O826" t="b">
        <f t="shared" si="81"/>
        <v>1</v>
      </c>
      <c r="Q826" s="25">
        <f t="shared" si="91"/>
        <v>-7.6025403469426323E-4</v>
      </c>
      <c r="R826" s="25">
        <f t="shared" si="88"/>
        <v>7.0011622417965214E-2</v>
      </c>
      <c r="S826" s="25">
        <f t="shared" si="85"/>
        <v>0.13280808414062473</v>
      </c>
      <c r="X826">
        <f t="shared" si="92"/>
        <v>0</v>
      </c>
      <c r="Y826">
        <f t="shared" si="89"/>
        <v>0</v>
      </c>
      <c r="Z826">
        <f t="shared" si="86"/>
        <v>1</v>
      </c>
    </row>
    <row r="827" spans="1:26">
      <c r="A827" s="27">
        <v>43595</v>
      </c>
      <c r="B827" s="24">
        <v>750.19</v>
      </c>
      <c r="C827" s="25">
        <f t="shared" si="82"/>
        <v>-1.9025571432372075E-3</v>
      </c>
      <c r="E827" s="25">
        <f t="shared" si="90"/>
        <v>-7.619551557642712E-3</v>
      </c>
      <c r="F827" s="25">
        <f t="shared" si="87"/>
        <v>5.6631660359232283E-2</v>
      </c>
      <c r="G827" s="25">
        <f t="shared" si="84"/>
        <v>0.14877636247699022</v>
      </c>
      <c r="K827" s="29">
        <v>43595</v>
      </c>
      <c r="L827" s="24">
        <v>13812.96</v>
      </c>
      <c r="M827" s="25">
        <f t="shared" si="83"/>
        <v>-1.0135409065109868E-3</v>
      </c>
      <c r="O827" t="b">
        <f t="shared" si="81"/>
        <v>1</v>
      </c>
      <c r="Q827" s="25">
        <f t="shared" si="91"/>
        <v>4.3984825998528709E-3</v>
      </c>
      <c r="R827" s="25">
        <f t="shared" si="88"/>
        <v>6.8775295155663052E-2</v>
      </c>
      <c r="S827" s="25">
        <f t="shared" si="85"/>
        <v>0.1357729388662523</v>
      </c>
      <c r="X827">
        <f t="shared" si="92"/>
        <v>0</v>
      </c>
      <c r="Y827">
        <f t="shared" si="89"/>
        <v>0</v>
      </c>
      <c r="Z827">
        <f t="shared" si="86"/>
        <v>1</v>
      </c>
    </row>
    <row r="828" spans="1:26">
      <c r="A828" s="26">
        <v>43598</v>
      </c>
      <c r="B828" s="23">
        <v>735.51</v>
      </c>
      <c r="C828" s="25">
        <f t="shared" si="82"/>
        <v>-1.9568376011410527E-2</v>
      </c>
      <c r="E828" s="25">
        <f t="shared" si="90"/>
        <v>-3.3330266668419095E-2</v>
      </c>
      <c r="F828" s="25">
        <f t="shared" si="87"/>
        <v>4.8805283284898859E-2</v>
      </c>
      <c r="G828" s="25">
        <f t="shared" si="84"/>
        <v>0.13937937089757657</v>
      </c>
      <c r="K828" s="28">
        <v>43598</v>
      </c>
      <c r="L828" s="23">
        <v>13619.29</v>
      </c>
      <c r="M828" s="25">
        <f t="shared" si="83"/>
        <v>-1.4220271394470508E-2</v>
      </c>
      <c r="O828" t="b">
        <f t="shared" si="81"/>
        <v>1</v>
      </c>
      <c r="Q828" s="25">
        <f t="shared" si="91"/>
        <v>-1.5510493817343818E-2</v>
      </c>
      <c r="R828" s="25">
        <f t="shared" si="88"/>
        <v>6.3285412452838807E-2</v>
      </c>
      <c r="S828" s="25">
        <f t="shared" si="85"/>
        <v>0.1289576320334167</v>
      </c>
      <c r="X828">
        <f t="shared" si="92"/>
        <v>0</v>
      </c>
      <c r="Y828">
        <f t="shared" si="89"/>
        <v>0</v>
      </c>
      <c r="Z828">
        <f t="shared" si="86"/>
        <v>1</v>
      </c>
    </row>
    <row r="829" spans="1:26">
      <c r="A829" s="27">
        <v>43599</v>
      </c>
      <c r="B829" s="24">
        <v>740.45</v>
      </c>
      <c r="C829" s="25">
        <f t="shared" si="82"/>
        <v>6.7164280567226205E-3</v>
      </c>
      <c r="E829" s="25">
        <f t="shared" si="90"/>
        <v>-2.417006022746726E-2</v>
      </c>
      <c r="F829" s="25">
        <f t="shared" si="87"/>
        <v>4.8198891637102337E-2</v>
      </c>
      <c r="G829" s="25">
        <f t="shared" si="84"/>
        <v>0.14148090220246479</v>
      </c>
      <c r="K829" s="29">
        <v>43599</v>
      </c>
      <c r="L829" s="24">
        <v>13697.17</v>
      </c>
      <c r="M829" s="25">
        <f t="shared" si="83"/>
        <v>5.6858460543308727E-3</v>
      </c>
      <c r="O829" t="b">
        <f t="shared" si="81"/>
        <v>1</v>
      </c>
      <c r="Q829" s="25">
        <f t="shared" si="91"/>
        <v>-7.0952986759742487E-3</v>
      </c>
      <c r="R829" s="25">
        <f t="shared" si="88"/>
        <v>6.2989561229079394E-2</v>
      </c>
      <c r="S829" s="25">
        <f t="shared" si="85"/>
        <v>0.12988479111155482</v>
      </c>
      <c r="X829">
        <f t="shared" si="92"/>
        <v>0</v>
      </c>
      <c r="Y829">
        <f t="shared" si="89"/>
        <v>0</v>
      </c>
      <c r="Z829">
        <f t="shared" si="86"/>
        <v>1</v>
      </c>
    </row>
    <row r="830" spans="1:26">
      <c r="A830" s="26">
        <v>43600</v>
      </c>
      <c r="B830" s="23">
        <v>735.49</v>
      </c>
      <c r="C830" s="25">
        <f t="shared" si="82"/>
        <v>-6.6986292119657455E-3</v>
      </c>
      <c r="E830" s="25">
        <f t="shared" si="90"/>
        <v>-2.8093822266270219E-2</v>
      </c>
      <c r="F830" s="25">
        <f t="shared" si="87"/>
        <v>4.2149228645632197E-2</v>
      </c>
      <c r="G830" s="25">
        <f t="shared" si="84"/>
        <v>0.13904844275863493</v>
      </c>
      <c r="K830" s="28">
        <v>43600</v>
      </c>
      <c r="L830" s="23">
        <v>13619.46</v>
      </c>
      <c r="M830" s="25">
        <f t="shared" si="83"/>
        <v>-5.7058062507618478E-3</v>
      </c>
      <c r="O830" t="b">
        <f t="shared" si="81"/>
        <v>1</v>
      </c>
      <c r="Q830" s="25">
        <f t="shared" si="91"/>
        <v>-1.0224452495067315E-2</v>
      </c>
      <c r="R830" s="25">
        <f t="shared" si="88"/>
        <v>5.694512856477485E-2</v>
      </c>
      <c r="S830" s="25">
        <f t="shared" si="85"/>
        <v>0.12820672603281458</v>
      </c>
      <c r="X830">
        <f t="shared" si="92"/>
        <v>0</v>
      </c>
      <c r="Y830">
        <f t="shared" si="89"/>
        <v>0</v>
      </c>
      <c r="Z830">
        <f t="shared" si="86"/>
        <v>1</v>
      </c>
    </row>
    <row r="831" spans="1:26">
      <c r="A831" s="27">
        <v>43601</v>
      </c>
      <c r="B831" s="24">
        <v>742.82</v>
      </c>
      <c r="C831" s="25">
        <f t="shared" si="82"/>
        <v>9.9661450189670025E-3</v>
      </c>
      <c r="E831" s="25">
        <f t="shared" si="90"/>
        <v>-1.3728822560943099E-2</v>
      </c>
      <c r="F831" s="25">
        <f t="shared" si="87"/>
        <v>4.6943033413576529E-2</v>
      </c>
      <c r="G831" s="25">
        <f t="shared" si="84"/>
        <v>0.14585173115090067</v>
      </c>
      <c r="K831" s="29">
        <v>43601</v>
      </c>
      <c r="L831" s="24">
        <v>13711.21</v>
      </c>
      <c r="M831" s="25">
        <f t="shared" si="83"/>
        <v>6.6916048984735849E-3</v>
      </c>
      <c r="O831" t="b">
        <f t="shared" si="81"/>
        <v>1</v>
      </c>
      <c r="Q831" s="25">
        <f t="shared" si="91"/>
        <v>4.2027076819795006E-4</v>
      </c>
      <c r="R831" s="25">
        <f t="shared" si="88"/>
        <v>6.0641558204832968E-2</v>
      </c>
      <c r="S831" s="25">
        <f t="shared" si="85"/>
        <v>0.13503931030965211</v>
      </c>
      <c r="X831">
        <f t="shared" si="92"/>
        <v>0</v>
      </c>
      <c r="Y831">
        <f t="shared" si="89"/>
        <v>0</v>
      </c>
      <c r="Z831">
        <f t="shared" si="86"/>
        <v>1</v>
      </c>
    </row>
    <row r="832" spans="1:26">
      <c r="A832" s="26">
        <v>43602</v>
      </c>
      <c r="B832" s="23">
        <v>750.7</v>
      </c>
      <c r="C832" s="25">
        <f t="shared" si="82"/>
        <v>1.0608222718828242E-2</v>
      </c>
      <c r="E832" s="25">
        <f t="shared" si="90"/>
        <v>-1.3967409378117246E-3</v>
      </c>
      <c r="F832" s="25">
        <f t="shared" si="87"/>
        <v>6.1717890765878858E-2</v>
      </c>
      <c r="G832" s="25">
        <f t="shared" si="84"/>
        <v>0.15139150337329532</v>
      </c>
      <c r="K832" s="28">
        <v>43602</v>
      </c>
      <c r="L832" s="23">
        <v>13871.89</v>
      </c>
      <c r="M832" s="25">
        <f t="shared" si="83"/>
        <v>1.1583136832832462E-2</v>
      </c>
      <c r="O832" t="b">
        <f t="shared" si="81"/>
        <v>1</v>
      </c>
      <c r="Q832" s="25">
        <f t="shared" si="91"/>
        <v>1.4758444317322317E-2</v>
      </c>
      <c r="R832" s="25">
        <f t="shared" si="88"/>
        <v>7.4337852126387771E-2</v>
      </c>
      <c r="S832" s="25">
        <f t="shared" si="85"/>
        <v>0.1414003847920795</v>
      </c>
      <c r="X832">
        <f t="shared" si="92"/>
        <v>0</v>
      </c>
      <c r="Y832">
        <f t="shared" si="89"/>
        <v>0</v>
      </c>
      <c r="Z832">
        <f t="shared" si="86"/>
        <v>1</v>
      </c>
    </row>
    <row r="833" spans="1:26">
      <c r="A833" s="27">
        <v>43605</v>
      </c>
      <c r="B833" s="24">
        <v>772.92</v>
      </c>
      <c r="C833" s="25">
        <f t="shared" si="82"/>
        <v>2.9599040895164398E-2</v>
      </c>
      <c r="E833" s="25">
        <f t="shared" si="90"/>
        <v>3.7365115155419515E-2</v>
      </c>
      <c r="F833" s="25">
        <f t="shared" si="87"/>
        <v>7.8718257425631766E-2</v>
      </c>
      <c r="G833" s="25">
        <f t="shared" si="84"/>
        <v>0.16426908798908024</v>
      </c>
      <c r="K833" s="29">
        <v>43605</v>
      </c>
      <c r="L833" s="24">
        <v>14380.78</v>
      </c>
      <c r="M833" s="25">
        <f t="shared" si="83"/>
        <v>3.5386814901556186E-2</v>
      </c>
      <c r="O833" t="b">
        <f t="shared" si="81"/>
        <v>1</v>
      </c>
      <c r="Q833" s="25">
        <f t="shared" si="91"/>
        <v>6.2862151743058536E-2</v>
      </c>
      <c r="R833" s="25">
        <f t="shared" si="88"/>
        <v>9.525381541927902E-2</v>
      </c>
      <c r="S833" s="25">
        <f t="shared" si="85"/>
        <v>0.15624501325715401</v>
      </c>
      <c r="X833">
        <f t="shared" si="92"/>
        <v>0</v>
      </c>
      <c r="Y833">
        <f t="shared" si="89"/>
        <v>0</v>
      </c>
      <c r="Z833">
        <f t="shared" si="86"/>
        <v>1</v>
      </c>
    </row>
    <row r="834" spans="1:26">
      <c r="A834" s="26">
        <v>43606</v>
      </c>
      <c r="B834" s="23">
        <v>765.11</v>
      </c>
      <c r="C834" s="25">
        <f t="shared" si="82"/>
        <v>-1.0104538632717416E-2</v>
      </c>
      <c r="E834" s="25">
        <f t="shared" si="90"/>
        <v>3.9678765066380572E-2</v>
      </c>
      <c r="F834" s="25">
        <f t="shared" si="87"/>
        <v>7.5710769683049683E-2</v>
      </c>
      <c r="G834" s="25">
        <f t="shared" si="84"/>
        <v>0.16053974447474828</v>
      </c>
      <c r="K834" s="28">
        <v>43606</v>
      </c>
      <c r="L834" s="23">
        <v>14242.53</v>
      </c>
      <c r="M834" s="25">
        <f t="shared" si="83"/>
        <v>-9.7068428151459041E-3</v>
      </c>
      <c r="O834" t="b">
        <f t="shared" si="81"/>
        <v>1</v>
      </c>
      <c r="Q834" s="25">
        <f t="shared" si="91"/>
        <v>6.4257319205535568E-2</v>
      </c>
      <c r="R834" s="25">
        <f t="shared" si="88"/>
        <v>9.1497580325860639E-2</v>
      </c>
      <c r="S834" s="25">
        <f t="shared" si="85"/>
        <v>0.15233055653331729</v>
      </c>
      <c r="X834">
        <f t="shared" si="92"/>
        <v>0</v>
      </c>
      <c r="Y834">
        <f t="shared" si="89"/>
        <v>0</v>
      </c>
      <c r="Z834">
        <f t="shared" si="86"/>
        <v>1</v>
      </c>
    </row>
    <row r="835" spans="1:26">
      <c r="A835" s="27">
        <v>43607</v>
      </c>
      <c r="B835" s="24">
        <v>768.22</v>
      </c>
      <c r="C835" s="25">
        <f t="shared" si="82"/>
        <v>4.0647749996732671E-3</v>
      </c>
      <c r="E835" s="25">
        <f t="shared" si="90"/>
        <v>3.8135135135135112E-2</v>
      </c>
      <c r="F835" s="25">
        <f t="shared" si="87"/>
        <v>8.0759057274749413E-2</v>
      </c>
      <c r="G835" s="25">
        <f t="shared" si="84"/>
        <v>0.1559246362990041</v>
      </c>
      <c r="K835" s="29">
        <v>43607</v>
      </c>
      <c r="L835" s="24">
        <v>14281.87</v>
      </c>
      <c r="M835" s="25">
        <f t="shared" si="83"/>
        <v>2.754541247049591E-3</v>
      </c>
      <c r="O835" t="b">
        <f t="shared" ref="O835:O898" si="93">K835=A835</f>
        <v>1</v>
      </c>
      <c r="Q835" s="25">
        <f t="shared" si="91"/>
        <v>6.2881132162531106E-2</v>
      </c>
      <c r="R835" s="25">
        <f t="shared" si="88"/>
        <v>9.8075845337057155E-2</v>
      </c>
      <c r="S835" s="25">
        <f t="shared" si="85"/>
        <v>0.14590120640767434</v>
      </c>
      <c r="X835">
        <f t="shared" si="92"/>
        <v>0</v>
      </c>
      <c r="Y835">
        <f t="shared" si="89"/>
        <v>0</v>
      </c>
      <c r="Z835">
        <f t="shared" si="86"/>
        <v>1</v>
      </c>
    </row>
    <row r="836" spans="1:26">
      <c r="A836" s="26">
        <v>43608</v>
      </c>
      <c r="B836" s="23">
        <v>765</v>
      </c>
      <c r="C836" s="25">
        <f t="shared" ref="C836:C899" si="94">(B836-B835)/B835</f>
        <v>-4.191507641040362E-3</v>
      </c>
      <c r="E836" s="25">
        <f t="shared" si="90"/>
        <v>4.5381871848481081E-2</v>
      </c>
      <c r="F836" s="25">
        <f t="shared" si="87"/>
        <v>8.3411720259564781E-2</v>
      </c>
      <c r="G836" s="25">
        <f t="shared" si="84"/>
        <v>0.15117596340614159</v>
      </c>
      <c r="K836" s="28">
        <v>43608</v>
      </c>
      <c r="L836" s="23">
        <v>14214.3</v>
      </c>
      <c r="M836" s="25">
        <f t="shared" ref="M836:M899" si="95">(L836-L835)/L836</f>
        <v>-4.7536635641573293E-3</v>
      </c>
      <c r="O836" t="b">
        <f t="shared" si="93"/>
        <v>1</v>
      </c>
      <c r="Q836" s="25">
        <f t="shared" si="91"/>
        <v>6.6688779442322765E-2</v>
      </c>
      <c r="R836" s="25">
        <f t="shared" si="88"/>
        <v>9.8982881477698514E-2</v>
      </c>
      <c r="S836" s="25">
        <f t="shared" si="85"/>
        <v>0.13848540441940571</v>
      </c>
      <c r="X836">
        <f t="shared" si="92"/>
        <v>0</v>
      </c>
      <c r="Y836">
        <f t="shared" si="89"/>
        <v>0</v>
      </c>
      <c r="Z836">
        <f t="shared" si="86"/>
        <v>1</v>
      </c>
    </row>
    <row r="837" spans="1:26">
      <c r="A837" s="27">
        <v>43609</v>
      </c>
      <c r="B837" s="24">
        <v>782.85</v>
      </c>
      <c r="C837" s="25">
        <f t="shared" si="94"/>
        <v>2.3333333333333362E-2</v>
      </c>
      <c r="E837" s="25">
        <f t="shared" si="90"/>
        <v>6.7061950521365876E-2</v>
      </c>
      <c r="F837" s="25">
        <f t="shared" si="87"/>
        <v>8.8612408822392741E-2</v>
      </c>
      <c r="G837" s="25">
        <f t="shared" si="84"/>
        <v>0.1569163273756875</v>
      </c>
      <c r="K837" s="29">
        <v>43609</v>
      </c>
      <c r="L837" s="24">
        <v>14466.44</v>
      </c>
      <c r="M837" s="25">
        <f t="shared" si="95"/>
        <v>1.7429305343954784E-2</v>
      </c>
      <c r="O837" t="b">
        <f t="shared" si="93"/>
        <v>1</v>
      </c>
      <c r="Q837" s="25">
        <f t="shared" si="91"/>
        <v>8.0159816379909543E-2</v>
      </c>
      <c r="R837" s="25">
        <f t="shared" si="88"/>
        <v>0.10007800813693879</v>
      </c>
      <c r="S837" s="25">
        <f t="shared" si="85"/>
        <v>0.14113062760894857</v>
      </c>
      <c r="X837">
        <f t="shared" si="92"/>
        <v>0</v>
      </c>
      <c r="Y837">
        <f t="shared" si="89"/>
        <v>0</v>
      </c>
      <c r="Z837">
        <f t="shared" si="86"/>
        <v>1</v>
      </c>
    </row>
    <row r="838" spans="1:26">
      <c r="A838" s="26">
        <v>43612</v>
      </c>
      <c r="B838" s="23">
        <v>789.76</v>
      </c>
      <c r="C838" s="25">
        <f t="shared" si="94"/>
        <v>8.8267228715590059E-3</v>
      </c>
      <c r="E838" s="25">
        <f t="shared" si="90"/>
        <v>6.1063266649648673E-2</v>
      </c>
      <c r="F838" s="25">
        <f t="shared" si="87"/>
        <v>8.636581367978069E-2</v>
      </c>
      <c r="G838" s="25">
        <f t="shared" si="84"/>
        <v>0.15938607194875254</v>
      </c>
      <c r="K838" s="28">
        <v>43612</v>
      </c>
      <c r="L838" s="23">
        <v>14589.9</v>
      </c>
      <c r="M838" s="25">
        <f t="shared" si="95"/>
        <v>8.4620182454985381E-3</v>
      </c>
      <c r="O838" t="b">
        <f t="shared" si="93"/>
        <v>1</v>
      </c>
      <c r="Q838" s="25">
        <f t="shared" si="91"/>
        <v>7.679545248229247E-2</v>
      </c>
      <c r="R838" s="25">
        <f t="shared" si="88"/>
        <v>9.8165843463805746E-2</v>
      </c>
      <c r="S838" s="25">
        <f t="shared" si="85"/>
        <v>0.14261143503465923</v>
      </c>
      <c r="X838">
        <f t="shared" si="92"/>
        <v>0</v>
      </c>
      <c r="Y838">
        <f t="shared" si="89"/>
        <v>0</v>
      </c>
      <c r="Z838">
        <f t="shared" si="86"/>
        <v>1</v>
      </c>
    </row>
    <row r="839" spans="1:26">
      <c r="A839" s="27">
        <v>43613</v>
      </c>
      <c r="B839" s="24">
        <v>789.91</v>
      </c>
      <c r="C839" s="25">
        <f t="shared" si="94"/>
        <v>1.8993111831439586E-4</v>
      </c>
      <c r="E839" s="25">
        <f t="shared" si="90"/>
        <v>5.4577253247533486E-2</v>
      </c>
      <c r="F839" s="25">
        <f t="shared" si="87"/>
        <v>8.8251174614464079E-2</v>
      </c>
      <c r="G839" s="25">
        <f t="shared" si="84"/>
        <v>0.15920028449272139</v>
      </c>
      <c r="K839" s="29">
        <v>43613</v>
      </c>
      <c r="L839" s="24">
        <v>14606.28</v>
      </c>
      <c r="M839" s="25">
        <f t="shared" si="95"/>
        <v>1.1214354373598903E-3</v>
      </c>
      <c r="O839" t="b">
        <f t="shared" si="93"/>
        <v>1</v>
      </c>
      <c r="Q839" s="25">
        <f t="shared" si="91"/>
        <v>6.7349281639328407E-2</v>
      </c>
      <c r="R839" s="25">
        <f t="shared" si="88"/>
        <v>0.10087656767509334</v>
      </c>
      <c r="S839" s="25">
        <f t="shared" si="85"/>
        <v>0.14394840451952118</v>
      </c>
      <c r="X839">
        <f t="shared" si="92"/>
        <v>0</v>
      </c>
      <c r="Y839">
        <f t="shared" si="89"/>
        <v>0</v>
      </c>
      <c r="Z839">
        <f t="shared" si="86"/>
        <v>1</v>
      </c>
    </row>
    <row r="840" spans="1:26">
      <c r="A840" s="26">
        <v>43614</v>
      </c>
      <c r="B840" s="23">
        <v>783.01</v>
      </c>
      <c r="C840" s="25">
        <f t="shared" si="94"/>
        <v>-8.7351723614082326E-3</v>
      </c>
      <c r="E840" s="25">
        <f t="shared" si="90"/>
        <v>5.0399763897831962E-2</v>
      </c>
      <c r="F840" s="25">
        <f t="shared" si="87"/>
        <v>8.0156787995823597E-2</v>
      </c>
      <c r="G840" s="25">
        <f t="shared" si="84"/>
        <v>0.15621047227854112</v>
      </c>
      <c r="K840" s="28">
        <v>43614</v>
      </c>
      <c r="L840" s="23">
        <v>14519.5</v>
      </c>
      <c r="M840" s="25">
        <f t="shared" si="95"/>
        <v>-5.9767898343607321E-3</v>
      </c>
      <c r="O840" t="b">
        <f t="shared" si="93"/>
        <v>1</v>
      </c>
      <c r="Q840" s="25">
        <f t="shared" si="91"/>
        <v>6.520653026369172E-2</v>
      </c>
      <c r="R840" s="25">
        <f t="shared" si="88"/>
        <v>9.5662163567731939E-2</v>
      </c>
      <c r="S840" s="25">
        <f t="shared" si="85"/>
        <v>0.14104023580029623</v>
      </c>
      <c r="X840">
        <f t="shared" si="92"/>
        <v>0</v>
      </c>
      <c r="Y840">
        <f t="shared" si="89"/>
        <v>0</v>
      </c>
      <c r="Z840">
        <f t="shared" si="86"/>
        <v>1</v>
      </c>
    </row>
    <row r="841" spans="1:26">
      <c r="A841" s="27">
        <v>43615</v>
      </c>
      <c r="B841" s="24">
        <v>785.39</v>
      </c>
      <c r="C841" s="25">
        <f t="shared" si="94"/>
        <v>3.0395524961366973E-3</v>
      </c>
      <c r="E841" s="25">
        <f t="shared" si="90"/>
        <v>5.4880260029817496E-2</v>
      </c>
      <c r="F841" s="25">
        <f t="shared" si="87"/>
        <v>7.9515406500469732E-2</v>
      </c>
      <c r="G841" s="25">
        <f t="shared" si="84"/>
        <v>0.15553607103264389</v>
      </c>
      <c r="K841" s="29">
        <v>43615</v>
      </c>
      <c r="L841" s="24">
        <v>14606.29</v>
      </c>
      <c r="M841" s="25">
        <f t="shared" si="95"/>
        <v>5.9419606210749524E-3</v>
      </c>
      <c r="O841" t="b">
        <f t="shared" si="93"/>
        <v>1</v>
      </c>
      <c r="Q841" s="25">
        <f t="shared" si="91"/>
        <v>7.3380242876302182E-2</v>
      </c>
      <c r="R841" s="25">
        <f t="shared" si="88"/>
        <v>9.748240995521118E-2</v>
      </c>
      <c r="S841" s="25">
        <f t="shared" si="85"/>
        <v>0.1414223399404182</v>
      </c>
      <c r="X841">
        <f t="shared" si="92"/>
        <v>0</v>
      </c>
      <c r="Y841">
        <f t="shared" si="89"/>
        <v>0</v>
      </c>
      <c r="Z841">
        <f t="shared" si="86"/>
        <v>1</v>
      </c>
    </row>
    <row r="842" spans="1:26">
      <c r="A842" s="26">
        <v>43616</v>
      </c>
      <c r="B842" s="23">
        <v>783.55</v>
      </c>
      <c r="C842" s="25">
        <f t="shared" si="94"/>
        <v>-2.3427851131285499E-3</v>
      </c>
      <c r="E842" s="25">
        <f t="shared" si="90"/>
        <v>4.857811977249904E-2</v>
      </c>
      <c r="F842" s="25">
        <f t="shared" si="87"/>
        <v>7.786635855150581E-2</v>
      </c>
      <c r="G842" s="25">
        <f t="shared" si="84"/>
        <v>0.15472372257269074</v>
      </c>
      <c r="K842" s="28">
        <v>43616</v>
      </c>
      <c r="L842" s="23">
        <v>14591.01</v>
      </c>
      <c r="M842" s="25">
        <f t="shared" si="95"/>
        <v>-1.0472201718729995E-3</v>
      </c>
      <c r="O842" t="b">
        <f t="shared" si="93"/>
        <v>1</v>
      </c>
      <c r="Q842" s="25">
        <f t="shared" si="91"/>
        <v>6.4600506945325931E-2</v>
      </c>
      <c r="R842" s="25">
        <f t="shared" si="88"/>
        <v>9.5548059697625476E-2</v>
      </c>
      <c r="S842" s="25">
        <f t="shared" si="85"/>
        <v>0.14120197322939254</v>
      </c>
      <c r="X842">
        <f t="shared" si="92"/>
        <v>0</v>
      </c>
      <c r="Y842">
        <f t="shared" si="89"/>
        <v>0</v>
      </c>
      <c r="Z842">
        <f t="shared" si="86"/>
        <v>1</v>
      </c>
    </row>
    <row r="843" spans="1:26">
      <c r="A843" s="27">
        <v>43619</v>
      </c>
      <c r="B843" s="24">
        <v>792.07</v>
      </c>
      <c r="C843" s="25">
        <f t="shared" si="94"/>
        <v>1.0873588156467483E-2</v>
      </c>
      <c r="E843" s="25">
        <f t="shared" si="90"/>
        <v>6.6976493567724171E-2</v>
      </c>
      <c r="F843" s="25">
        <f t="shared" si="87"/>
        <v>8.1747602241705408E-2</v>
      </c>
      <c r="G843" s="25">
        <f t="shared" si="84"/>
        <v>0.15953230712186994</v>
      </c>
      <c r="K843" s="29">
        <v>43619</v>
      </c>
      <c r="L843" s="24">
        <v>14766.71</v>
      </c>
      <c r="M843" s="25">
        <f t="shared" si="95"/>
        <v>1.1898384948305947E-2</v>
      </c>
      <c r="O843" t="b">
        <f t="shared" si="93"/>
        <v>1</v>
      </c>
      <c r="Q843" s="25">
        <f t="shared" si="91"/>
        <v>8.4415236307584296E-2</v>
      </c>
      <c r="R843" s="25">
        <f t="shared" si="88"/>
        <v>9.9532611958032202E-2</v>
      </c>
      <c r="S843" s="25">
        <f t="shared" si="85"/>
        <v>0.14629821368883378</v>
      </c>
      <c r="X843">
        <f t="shared" si="92"/>
        <v>0</v>
      </c>
      <c r="Y843">
        <f t="shared" si="89"/>
        <v>0</v>
      </c>
      <c r="Z843">
        <f t="shared" si="86"/>
        <v>1</v>
      </c>
    </row>
    <row r="844" spans="1:26">
      <c r="A844" s="26">
        <v>43620</v>
      </c>
      <c r="B844" s="23">
        <v>787.24</v>
      </c>
      <c r="C844" s="25">
        <f t="shared" si="94"/>
        <v>-6.0979458886210062E-3</v>
      </c>
      <c r="E844" s="25">
        <f t="shared" si="90"/>
        <v>6.8197237374148623E-2</v>
      </c>
      <c r="F844" s="25">
        <f t="shared" si="87"/>
        <v>7.648995802508729E-2</v>
      </c>
      <c r="G844" s="25">
        <f t="shared" si="84"/>
        <v>0.15452548681276945</v>
      </c>
      <c r="K844" s="28">
        <v>43620</v>
      </c>
      <c r="L844" s="23">
        <v>14702.41</v>
      </c>
      <c r="M844" s="25">
        <f t="shared" si="95"/>
        <v>-4.3734326549184303E-3</v>
      </c>
      <c r="O844" t="b">
        <f t="shared" si="93"/>
        <v>1</v>
      </c>
      <c r="Q844" s="25">
        <f t="shared" si="91"/>
        <v>8.8943993754781792E-2</v>
      </c>
      <c r="R844" s="25">
        <f t="shared" si="88"/>
        <v>9.4822834446095294E-2</v>
      </c>
      <c r="S844" s="25">
        <f t="shared" si="85"/>
        <v>0.14175064093514789</v>
      </c>
      <c r="X844">
        <f t="shared" si="92"/>
        <v>0</v>
      </c>
      <c r="Y844">
        <f t="shared" si="89"/>
        <v>0</v>
      </c>
      <c r="Z844">
        <f t="shared" si="86"/>
        <v>1</v>
      </c>
    </row>
    <row r="845" spans="1:26">
      <c r="A845" s="27">
        <v>43622</v>
      </c>
      <c r="B845" s="24">
        <v>772.29</v>
      </c>
      <c r="C845" s="25">
        <f t="shared" si="94"/>
        <v>-1.8990396829429455E-2</v>
      </c>
      <c r="E845" s="25">
        <f t="shared" si="90"/>
        <v>5.4522366049483795E-2</v>
      </c>
      <c r="F845" s="25">
        <f t="shared" si="87"/>
        <v>6.8889767335297281E-2</v>
      </c>
      <c r="G845" s="25">
        <f t="shared" si="84"/>
        <v>0.14631209412325075</v>
      </c>
      <c r="K845" s="29">
        <v>43622</v>
      </c>
      <c r="L845" s="24">
        <v>14475.15</v>
      </c>
      <c r="M845" s="25">
        <f t="shared" si="95"/>
        <v>-1.5700010017167369E-2</v>
      </c>
      <c r="O845" t="b">
        <f t="shared" si="93"/>
        <v>1</v>
      </c>
      <c r="Q845" s="25">
        <f t="shared" si="91"/>
        <v>7.9808791902301168E-2</v>
      </c>
      <c r="R845" s="25">
        <f t="shared" si="88"/>
        <v>8.8814466038781292E-2</v>
      </c>
      <c r="S845" s="25">
        <f t="shared" si="85"/>
        <v>0.13486920692744286</v>
      </c>
      <c r="X845">
        <f t="shared" si="92"/>
        <v>0</v>
      </c>
      <c r="Y845">
        <f t="shared" si="89"/>
        <v>0</v>
      </c>
      <c r="Z845">
        <f t="shared" si="86"/>
        <v>1</v>
      </c>
    </row>
    <row r="846" spans="1:26">
      <c r="A846" s="26">
        <v>43623</v>
      </c>
      <c r="B846" s="23">
        <v>774.44</v>
      </c>
      <c r="C846" s="25">
        <f t="shared" si="94"/>
        <v>2.7839283170830792E-3</v>
      </c>
      <c r="E846" s="25">
        <f t="shared" si="90"/>
        <v>4.8254578432301631E-2</v>
      </c>
      <c r="F846" s="25">
        <f t="shared" si="87"/>
        <v>6.8646843181436212E-2</v>
      </c>
      <c r="G846" s="25">
        <f t="shared" si="84"/>
        <v>0.14834624193475721</v>
      </c>
      <c r="K846" s="28">
        <v>43623</v>
      </c>
      <c r="L846" s="23">
        <v>14495.06</v>
      </c>
      <c r="M846" s="25">
        <f t="shared" si="95"/>
        <v>1.3735714098458271E-3</v>
      </c>
      <c r="O846" t="b">
        <f t="shared" si="93"/>
        <v>1</v>
      </c>
      <c r="Q846" s="25">
        <f t="shared" si="91"/>
        <v>7.0088079807052672E-2</v>
      </c>
      <c r="R846" s="25">
        <f t="shared" si="88"/>
        <v>8.7344728357553691E-2</v>
      </c>
      <c r="S846" s="25">
        <f t="shared" si="85"/>
        <v>0.13755478218404282</v>
      </c>
      <c r="X846">
        <f t="shared" si="92"/>
        <v>0</v>
      </c>
      <c r="Y846">
        <f t="shared" si="89"/>
        <v>0</v>
      </c>
      <c r="Z846">
        <f t="shared" si="86"/>
        <v>1</v>
      </c>
    </row>
    <row r="847" spans="1:26">
      <c r="A847" s="27">
        <v>43626</v>
      </c>
      <c r="B847" s="24">
        <v>777.78</v>
      </c>
      <c r="C847" s="25">
        <f t="shared" si="94"/>
        <v>4.3127937606527531E-3</v>
      </c>
      <c r="E847" s="25">
        <f t="shared" si="90"/>
        <v>4.3103910734402673E-2</v>
      </c>
      <c r="F847" s="25">
        <f t="shared" si="87"/>
        <v>7.0790901098640058E-2</v>
      </c>
      <c r="G847" s="25">
        <f t="shared" si="84"/>
        <v>0.15165604662230492</v>
      </c>
      <c r="K847" s="29">
        <v>43626</v>
      </c>
      <c r="L847" s="24">
        <v>14539.75</v>
      </c>
      <c r="M847" s="25">
        <f t="shared" si="95"/>
        <v>3.0736429443422694E-3</v>
      </c>
      <c r="O847" t="b">
        <f t="shared" si="93"/>
        <v>1</v>
      </c>
      <c r="Q847" s="25">
        <f t="shared" si="91"/>
        <v>6.2497716394460889E-2</v>
      </c>
      <c r="R847" s="25">
        <f t="shared" si="88"/>
        <v>8.9150690192515647E-2</v>
      </c>
      <c r="S847" s="25">
        <f t="shared" si="85"/>
        <v>0.14014512671773116</v>
      </c>
      <c r="X847">
        <f t="shared" si="92"/>
        <v>0</v>
      </c>
      <c r="Y847">
        <f t="shared" si="89"/>
        <v>0</v>
      </c>
      <c r="Z847">
        <f t="shared" si="86"/>
        <v>1</v>
      </c>
    </row>
    <row r="848" spans="1:26">
      <c r="A848" s="26">
        <v>43627</v>
      </c>
      <c r="B848" s="23">
        <v>782.53</v>
      </c>
      <c r="C848" s="25">
        <f t="shared" si="94"/>
        <v>6.1071254082131193E-3</v>
      </c>
      <c r="E848" s="25">
        <f t="shared" si="90"/>
        <v>4.9502427509991564E-2</v>
      </c>
      <c r="F848" s="25">
        <f t="shared" si="87"/>
        <v>7.1154071474965219E-2</v>
      </c>
      <c r="G848" s="25">
        <f t="shared" si="84"/>
        <v>0.15611110916076432</v>
      </c>
      <c r="K848" s="28">
        <v>43627</v>
      </c>
      <c r="L848" s="23">
        <v>14598.2</v>
      </c>
      <c r="M848" s="25">
        <f t="shared" si="95"/>
        <v>4.0039182912962367E-3</v>
      </c>
      <c r="O848" t="b">
        <f t="shared" si="93"/>
        <v>1</v>
      </c>
      <c r="Q848" s="25">
        <f t="shared" si="91"/>
        <v>6.4909106825012497E-2</v>
      </c>
      <c r="R848" s="25">
        <f t="shared" si="88"/>
        <v>8.9809447782554175E-2</v>
      </c>
      <c r="S848" s="25">
        <f t="shared" si="85"/>
        <v>0.14429437835852599</v>
      </c>
      <c r="X848">
        <f t="shared" si="92"/>
        <v>0</v>
      </c>
      <c r="Y848">
        <f t="shared" si="89"/>
        <v>0</v>
      </c>
      <c r="Z848">
        <f t="shared" si="86"/>
        <v>1</v>
      </c>
    </row>
    <row r="849" spans="1:26">
      <c r="A849" s="27">
        <v>43628</v>
      </c>
      <c r="B849" s="24">
        <v>778.22</v>
      </c>
      <c r="C849" s="25">
        <f t="shared" si="94"/>
        <v>-5.5077760597037114E-3</v>
      </c>
      <c r="E849" s="25">
        <f t="shared" si="90"/>
        <v>4.1459236657566567E-2</v>
      </c>
      <c r="F849" s="25">
        <f t="shared" si="87"/>
        <v>7.0305113867528801E-2</v>
      </c>
      <c r="G849" s="25">
        <f t="shared" si="84"/>
        <v>0.15375688106962793</v>
      </c>
      <c r="K849" s="29">
        <v>43628</v>
      </c>
      <c r="L849" s="24">
        <v>14516.16</v>
      </c>
      <c r="M849" s="25">
        <f t="shared" si="95"/>
        <v>-5.6516323876287444E-3</v>
      </c>
      <c r="O849" t="b">
        <f t="shared" si="93"/>
        <v>1</v>
      </c>
      <c r="Q849" s="25">
        <f t="shared" si="91"/>
        <v>5.7093026219492193E-2</v>
      </c>
      <c r="R849" s="25">
        <f t="shared" si="88"/>
        <v>8.9560956510005729E-2</v>
      </c>
      <c r="S849" s="25">
        <f t="shared" si="85"/>
        <v>0.14165520604241078</v>
      </c>
      <c r="X849">
        <f t="shared" si="92"/>
        <v>0</v>
      </c>
      <c r="Y849">
        <f t="shared" si="89"/>
        <v>0</v>
      </c>
      <c r="Z849">
        <f t="shared" si="86"/>
        <v>1</v>
      </c>
    </row>
    <row r="850" spans="1:26">
      <c r="A850" s="26">
        <v>43629</v>
      </c>
      <c r="B850" s="23">
        <v>776.83</v>
      </c>
      <c r="C850" s="25">
        <f t="shared" si="94"/>
        <v>-1.7861273161830669E-3</v>
      </c>
      <c r="E850" s="25">
        <f t="shared" si="90"/>
        <v>3.5759523206357224E-2</v>
      </c>
      <c r="F850" s="25">
        <f t="shared" si="87"/>
        <v>6.8546948149033282E-2</v>
      </c>
      <c r="G850" s="25">
        <f t="shared" si="84"/>
        <v>0.14983369093129939</v>
      </c>
      <c r="K850" s="28">
        <v>43629</v>
      </c>
      <c r="L850" s="23">
        <v>14521.38</v>
      </c>
      <c r="M850" s="25">
        <f t="shared" si="95"/>
        <v>3.5946996773029462E-4</v>
      </c>
      <c r="O850" t="b">
        <f t="shared" si="93"/>
        <v>1</v>
      </c>
      <c r="Q850" s="25">
        <f t="shared" si="91"/>
        <v>5.1380239839614594E-2</v>
      </c>
      <c r="R850" s="25">
        <f t="shared" si="88"/>
        <v>8.96548121245484E-2</v>
      </c>
      <c r="S850" s="25">
        <f t="shared" si="85"/>
        <v>0.13783051808330127</v>
      </c>
      <c r="X850">
        <f t="shared" si="92"/>
        <v>0</v>
      </c>
      <c r="Y850">
        <f t="shared" si="89"/>
        <v>0</v>
      </c>
      <c r="Z850">
        <f t="shared" si="86"/>
        <v>1</v>
      </c>
    </row>
    <row r="851" spans="1:26">
      <c r="A851" s="27">
        <v>43630</v>
      </c>
      <c r="B851" s="24">
        <v>769.79</v>
      </c>
      <c r="C851" s="25">
        <f t="shared" si="94"/>
        <v>-9.0624718406859626E-3</v>
      </c>
      <c r="E851" s="25">
        <f t="shared" si="90"/>
        <v>2.7770731251418601E-2</v>
      </c>
      <c r="F851" s="25">
        <f t="shared" si="87"/>
        <v>6.4429663699545614E-2</v>
      </c>
      <c r="G851" s="25">
        <f t="shared" si="84"/>
        <v>0.14927342221519835</v>
      </c>
      <c r="K851" s="29">
        <v>43630</v>
      </c>
      <c r="L851" s="24">
        <v>14406.49</v>
      </c>
      <c r="M851" s="25">
        <f t="shared" si="95"/>
        <v>-7.9748779890174096E-3</v>
      </c>
      <c r="O851" t="b">
        <f t="shared" si="93"/>
        <v>1</v>
      </c>
      <c r="Q851" s="25">
        <f t="shared" si="91"/>
        <v>4.3058172082092172E-2</v>
      </c>
      <c r="R851" s="25">
        <f t="shared" si="88"/>
        <v>8.4506899565306881E-2</v>
      </c>
      <c r="S851" s="25">
        <f t="shared" si="85"/>
        <v>0.13703188078400608</v>
      </c>
      <c r="X851">
        <f t="shared" si="92"/>
        <v>0</v>
      </c>
      <c r="Y851">
        <f t="shared" si="89"/>
        <v>0</v>
      </c>
      <c r="Z851">
        <f t="shared" si="86"/>
        <v>1</v>
      </c>
    </row>
    <row r="852" spans="1:26">
      <c r="A852" s="26">
        <v>43633</v>
      </c>
      <c r="B852" s="23">
        <v>757.62</v>
      </c>
      <c r="C852" s="25">
        <f t="shared" si="94"/>
        <v>-1.5809506488782602E-2</v>
      </c>
      <c r="E852" s="25">
        <f t="shared" si="90"/>
        <v>1.2874503669835224E-2</v>
      </c>
      <c r="F852" s="25">
        <f t="shared" si="87"/>
        <v>5.6347524977821362E-2</v>
      </c>
      <c r="G852" s="25">
        <f t="shared" si="84"/>
        <v>0.14247926053353677</v>
      </c>
      <c r="K852" s="28">
        <v>43633</v>
      </c>
      <c r="L852" s="23">
        <v>14218.31</v>
      </c>
      <c r="M852" s="25">
        <f t="shared" si="95"/>
        <v>-1.3235046921891582E-2</v>
      </c>
      <c r="O852" t="b">
        <f t="shared" si="93"/>
        <v>1</v>
      </c>
      <c r="Q852" s="25">
        <f t="shared" si="91"/>
        <v>3.1719344787601633E-2</v>
      </c>
      <c r="R852" s="25">
        <f t="shared" si="88"/>
        <v>7.8684916674044647E-2</v>
      </c>
      <c r="S852" s="25">
        <f t="shared" si="85"/>
        <v>0.13081314080630446</v>
      </c>
      <c r="X852">
        <f t="shared" si="92"/>
        <v>0</v>
      </c>
      <c r="Y852">
        <f t="shared" si="89"/>
        <v>0</v>
      </c>
      <c r="Z852">
        <f t="shared" si="86"/>
        <v>1</v>
      </c>
    </row>
    <row r="853" spans="1:26">
      <c r="A853" s="27">
        <v>43634</v>
      </c>
      <c r="B853" s="24">
        <v>759.53</v>
      </c>
      <c r="C853" s="25">
        <f t="shared" si="94"/>
        <v>2.5210527705181599E-3</v>
      </c>
      <c r="E853" s="25">
        <f t="shared" si="90"/>
        <v>1.7373017573939276E-2</v>
      </c>
      <c r="F853" s="25">
        <f t="shared" si="87"/>
        <v>5.7001241924653945E-2</v>
      </c>
      <c r="G853" s="25">
        <f t="shared" si="84"/>
        <v>0.14097349907463808</v>
      </c>
      <c r="K853" s="29">
        <v>43634</v>
      </c>
      <c r="L853" s="24">
        <v>14229.85</v>
      </c>
      <c r="M853" s="25">
        <f t="shared" si="95"/>
        <v>8.1097130328154361E-4</v>
      </c>
      <c r="O853" t="b">
        <f t="shared" si="93"/>
        <v>1</v>
      </c>
      <c r="Q853" s="25">
        <f t="shared" si="91"/>
        <v>3.3986769480283563E-2</v>
      </c>
      <c r="R853" s="25">
        <f t="shared" si="88"/>
        <v>7.8394309412640473E-2</v>
      </c>
      <c r="S853" s="25">
        <f t="shared" si="85"/>
        <v>0.12843647799924751</v>
      </c>
      <c r="X853">
        <f t="shared" si="92"/>
        <v>0</v>
      </c>
      <c r="Y853">
        <f t="shared" si="89"/>
        <v>0</v>
      </c>
      <c r="Z853">
        <f t="shared" si="86"/>
        <v>1</v>
      </c>
    </row>
    <row r="854" spans="1:26">
      <c r="A854" s="26">
        <v>43635</v>
      </c>
      <c r="B854" s="23">
        <v>756.37</v>
      </c>
      <c r="C854" s="25">
        <f t="shared" si="94"/>
        <v>-4.1604676576303349E-3</v>
      </c>
      <c r="E854" s="25">
        <f t="shared" si="90"/>
        <v>1.6394103497856749E-2</v>
      </c>
      <c r="F854" s="25">
        <f t="shared" si="87"/>
        <v>5.2272410333279451E-2</v>
      </c>
      <c r="G854" s="25">
        <f t="shared" si="84"/>
        <v>0.13949297334994948</v>
      </c>
      <c r="K854" s="28">
        <v>43635</v>
      </c>
      <c r="L854" s="23">
        <v>14192.79</v>
      </c>
      <c r="M854" s="25">
        <f t="shared" si="95"/>
        <v>-2.6111849749062368E-3</v>
      </c>
      <c r="O854" t="b">
        <f t="shared" si="93"/>
        <v>1</v>
      </c>
      <c r="Q854" s="25">
        <f t="shared" si="91"/>
        <v>3.4056690721912419E-2</v>
      </c>
      <c r="R854" s="25">
        <f t="shared" si="88"/>
        <v>7.432988564372045E-2</v>
      </c>
      <c r="S854" s="25">
        <f t="shared" si="85"/>
        <v>0.12773544777743484</v>
      </c>
      <c r="X854">
        <f t="shared" si="92"/>
        <v>0</v>
      </c>
      <c r="Y854">
        <f t="shared" si="89"/>
        <v>0</v>
      </c>
      <c r="Z854">
        <f t="shared" si="86"/>
        <v>1</v>
      </c>
    </row>
    <row r="855" spans="1:26">
      <c r="A855" s="27">
        <v>43636</v>
      </c>
      <c r="B855" s="24">
        <v>767.66</v>
      </c>
      <c r="C855" s="25">
        <f t="shared" si="94"/>
        <v>1.4926557108293511E-2</v>
      </c>
      <c r="E855" s="25">
        <f t="shared" si="90"/>
        <v>3.996423539612004E-2</v>
      </c>
      <c r="F855" s="25">
        <f t="shared" si="87"/>
        <v>5.8725942831731714E-2</v>
      </c>
      <c r="G855" s="25">
        <f t="shared" si="84"/>
        <v>0.14534371235648424</v>
      </c>
      <c r="K855" s="29">
        <v>43636</v>
      </c>
      <c r="L855" s="24">
        <v>14380.25</v>
      </c>
      <c r="M855" s="25">
        <f t="shared" si="95"/>
        <v>1.3035934702108735E-2</v>
      </c>
      <c r="O855" t="b">
        <f t="shared" si="93"/>
        <v>1</v>
      </c>
      <c r="Q855" s="25">
        <f t="shared" si="91"/>
        <v>5.722828676120284E-2</v>
      </c>
      <c r="R855" s="25">
        <f t="shared" si="88"/>
        <v>8.1200657019409039E-2</v>
      </c>
      <c r="S855" s="25">
        <f t="shared" si="85"/>
        <v>0.13345174132856075</v>
      </c>
      <c r="X855">
        <f t="shared" si="92"/>
        <v>0</v>
      </c>
      <c r="Y855">
        <f t="shared" si="89"/>
        <v>0</v>
      </c>
      <c r="Z855">
        <f t="shared" si="86"/>
        <v>1</v>
      </c>
    </row>
    <row r="856" spans="1:26">
      <c r="A856" s="26">
        <v>43637</v>
      </c>
      <c r="B856" s="23">
        <v>764.39</v>
      </c>
      <c r="C856" s="25">
        <f t="shared" si="94"/>
        <v>-4.2596983039366147E-3</v>
      </c>
      <c r="E856" s="25">
        <f t="shared" si="90"/>
        <v>3.2819889204161568E-2</v>
      </c>
      <c r="F856" s="25">
        <f t="shared" si="87"/>
        <v>5.6908526934612347E-2</v>
      </c>
      <c r="G856" s="25">
        <f t="shared" si="84"/>
        <v>0.14095278621134577</v>
      </c>
      <c r="K856" s="28">
        <v>43637</v>
      </c>
      <c r="L856" s="23">
        <v>14284.21</v>
      </c>
      <c r="M856" s="25">
        <f t="shared" si="95"/>
        <v>-6.7235079853909235E-3</v>
      </c>
      <c r="O856" t="b">
        <f t="shared" si="93"/>
        <v>1</v>
      </c>
      <c r="Q856" s="25">
        <f t="shared" si="91"/>
        <v>4.5409203183606195E-2</v>
      </c>
      <c r="R856" s="25">
        <f t="shared" si="88"/>
        <v>7.8221998894895783E-2</v>
      </c>
      <c r="S856" s="25">
        <f t="shared" si="85"/>
        <v>0.12874090041566832</v>
      </c>
      <c r="X856">
        <f t="shared" si="92"/>
        <v>0</v>
      </c>
      <c r="Y856">
        <f t="shared" si="89"/>
        <v>0</v>
      </c>
      <c r="Z856">
        <f t="shared" si="86"/>
        <v>1</v>
      </c>
    </row>
    <row r="857" spans="1:26">
      <c r="A857" s="27">
        <v>43640</v>
      </c>
      <c r="B857" s="24">
        <v>762.49</v>
      </c>
      <c r="C857" s="25">
        <f t="shared" si="94"/>
        <v>-2.4856421460249054E-3</v>
      </c>
      <c r="E857" s="25">
        <f t="shared" si="90"/>
        <v>3.5527548789265673E-2</v>
      </c>
      <c r="F857" s="25">
        <f t="shared" si="87"/>
        <v>5.7519971108370038E-2</v>
      </c>
      <c r="G857" s="25">
        <f t="shared" si="84"/>
        <v>0.14744201365544396</v>
      </c>
      <c r="K857" s="29">
        <v>43640</v>
      </c>
      <c r="L857" s="24">
        <v>14258.15</v>
      </c>
      <c r="M857" s="25">
        <f t="shared" si="95"/>
        <v>-1.8277265984717155E-3</v>
      </c>
      <c r="O857" t="b">
        <f t="shared" si="93"/>
        <v>1</v>
      </c>
      <c r="Q857" s="25">
        <f t="shared" si="91"/>
        <v>4.740758697696279E-2</v>
      </c>
      <c r="R857" s="25">
        <f t="shared" si="88"/>
        <v>7.8387932377073088E-2</v>
      </c>
      <c r="S857" s="25">
        <f t="shared" si="85"/>
        <v>0.13549795574105095</v>
      </c>
      <c r="X857">
        <f t="shared" si="92"/>
        <v>0</v>
      </c>
      <c r="Y857">
        <f t="shared" si="89"/>
        <v>0</v>
      </c>
      <c r="Z857">
        <f t="shared" si="86"/>
        <v>1</v>
      </c>
    </row>
    <row r="858" spans="1:26">
      <c r="A858" s="26">
        <v>43641</v>
      </c>
      <c r="B858" s="23">
        <v>768.15</v>
      </c>
      <c r="C858" s="25">
        <f t="shared" si="94"/>
        <v>7.4230481711235136E-3</v>
      </c>
      <c r="E858" s="25">
        <f t="shared" si="90"/>
        <v>3.8082624971282453E-2</v>
      </c>
      <c r="F858" s="25">
        <f t="shared" si="87"/>
        <v>6.5555997618177875E-2</v>
      </c>
      <c r="G858" s="25">
        <f t="shared" si="84"/>
        <v>0.14839629907337248</v>
      </c>
      <c r="K858" s="28">
        <v>43641</v>
      </c>
      <c r="L858" s="23">
        <v>14360.63</v>
      </c>
      <c r="M858" s="25">
        <f t="shared" si="95"/>
        <v>7.1361771732855435E-3</v>
      </c>
      <c r="O858" t="b">
        <f t="shared" si="93"/>
        <v>1</v>
      </c>
      <c r="Q858" s="25">
        <f t="shared" si="91"/>
        <v>4.853496301812954E-2</v>
      </c>
      <c r="R858" s="25">
        <f t="shared" si="88"/>
        <v>8.6700730393855618E-2</v>
      </c>
      <c r="S858" s="25">
        <f t="shared" si="85"/>
        <v>0.13663653580021595</v>
      </c>
      <c r="X858">
        <f t="shared" si="92"/>
        <v>0</v>
      </c>
      <c r="Y858">
        <f t="shared" si="89"/>
        <v>0</v>
      </c>
      <c r="Z858">
        <f t="shared" si="86"/>
        <v>1</v>
      </c>
    </row>
    <row r="859" spans="1:26">
      <c r="A859" s="27">
        <v>43642</v>
      </c>
      <c r="B859" s="24">
        <v>775.27</v>
      </c>
      <c r="C859" s="25">
        <f t="shared" si="94"/>
        <v>9.2690229772830895E-3</v>
      </c>
      <c r="E859" s="25">
        <f t="shared" si="90"/>
        <v>5.092856174596716E-2</v>
      </c>
      <c r="F859" s="25">
        <f t="shared" si="87"/>
        <v>7.3933117826715744E-2</v>
      </c>
      <c r="G859" s="25">
        <f t="shared" si="84"/>
        <v>0.15005460745322829</v>
      </c>
      <c r="K859" s="29">
        <v>43642</v>
      </c>
      <c r="L859" s="24">
        <v>14435.08</v>
      </c>
      <c r="M859" s="25">
        <f t="shared" si="95"/>
        <v>5.1575744644297592E-3</v>
      </c>
      <c r="O859" t="b">
        <f t="shared" si="93"/>
        <v>1</v>
      </c>
      <c r="Q859" s="25">
        <f t="shared" si="91"/>
        <v>6.1072136333966576E-2</v>
      </c>
      <c r="R859" s="25">
        <f t="shared" si="88"/>
        <v>9.4071857501202727E-2</v>
      </c>
      <c r="S859" s="25">
        <f t="shared" si="85"/>
        <v>0.13670395770988897</v>
      </c>
      <c r="X859">
        <f t="shared" si="92"/>
        <v>0</v>
      </c>
      <c r="Y859">
        <f t="shared" si="89"/>
        <v>0</v>
      </c>
      <c r="Z859">
        <f t="shared" si="86"/>
        <v>1</v>
      </c>
    </row>
    <row r="860" spans="1:26">
      <c r="A860" s="26">
        <v>43643</v>
      </c>
      <c r="B860" s="23">
        <v>776.49</v>
      </c>
      <c r="C860" s="25">
        <f t="shared" si="94"/>
        <v>1.5736453106659969E-3</v>
      </c>
      <c r="E860" s="25">
        <f t="shared" si="90"/>
        <v>5.0972483521243062E-2</v>
      </c>
      <c r="F860" s="25">
        <f t="shared" si="87"/>
        <v>7.2888084462070069E-2</v>
      </c>
      <c r="G860" s="25">
        <f t="shared" si="84"/>
        <v>0.14655554964415196</v>
      </c>
      <c r="K860" s="28">
        <v>43643</v>
      </c>
      <c r="L860" s="23">
        <v>14449.59</v>
      </c>
      <c r="M860" s="25">
        <f t="shared" si="95"/>
        <v>1.0041807414604995E-3</v>
      </c>
      <c r="O860" t="b">
        <f t="shared" si="93"/>
        <v>1</v>
      </c>
      <c r="Q860" s="25">
        <f t="shared" si="91"/>
        <v>6.2435480028587342E-2</v>
      </c>
      <c r="R860" s="25">
        <f t="shared" si="88"/>
        <v>9.5002114031805585E-2</v>
      </c>
      <c r="S860" s="25">
        <f t="shared" si="85"/>
        <v>0.13309248377377481</v>
      </c>
      <c r="X860">
        <f t="shared" si="92"/>
        <v>0</v>
      </c>
      <c r="Y860">
        <f t="shared" si="89"/>
        <v>0</v>
      </c>
      <c r="Z860">
        <f t="shared" si="86"/>
        <v>1</v>
      </c>
    </row>
    <row r="861" spans="1:26">
      <c r="A861" s="27">
        <v>43644</v>
      </c>
      <c r="B861" s="24">
        <v>772.73</v>
      </c>
      <c r="C861" s="25">
        <f t="shared" si="94"/>
        <v>-4.8423031848446093E-3</v>
      </c>
      <c r="E861" s="25">
        <f t="shared" si="90"/>
        <v>5.3066953760612767E-2</v>
      </c>
      <c r="F861" s="25">
        <f t="shared" si="87"/>
        <v>6.8309526200601711E-2</v>
      </c>
      <c r="G861" s="25">
        <f t="shared" si="84"/>
        <v>0.14056939065454621</v>
      </c>
      <c r="K861" s="29">
        <v>43644</v>
      </c>
      <c r="L861" s="24">
        <v>14398.8</v>
      </c>
      <c r="M861" s="25">
        <f t="shared" si="95"/>
        <v>-3.527377281440181E-3</v>
      </c>
      <c r="O861" t="b">
        <f t="shared" si="93"/>
        <v>1</v>
      </c>
      <c r="Q861" s="25">
        <f t="shared" si="91"/>
        <v>7.0236400732875737E-2</v>
      </c>
      <c r="R861" s="25">
        <f t="shared" si="88"/>
        <v>9.1440627832828358E-2</v>
      </c>
      <c r="S861" s="25">
        <f t="shared" si="85"/>
        <v>0.12775780616909183</v>
      </c>
      <c r="X861">
        <f t="shared" si="92"/>
        <v>0</v>
      </c>
      <c r="Y861">
        <f t="shared" si="89"/>
        <v>0</v>
      </c>
      <c r="Z861">
        <f t="shared" si="86"/>
        <v>1</v>
      </c>
    </row>
    <row r="862" spans="1:26">
      <c r="A862" s="26">
        <v>43647</v>
      </c>
      <c r="B862" s="23">
        <v>776.94</v>
      </c>
      <c r="C862" s="25">
        <f t="shared" si="94"/>
        <v>5.4482160651198172E-3</v>
      </c>
      <c r="E862" s="25">
        <f t="shared" si="90"/>
        <v>6.9369890164340697E-2</v>
      </c>
      <c r="F862" s="25">
        <f t="shared" si="87"/>
        <v>6.8693286460879577E-2</v>
      </c>
      <c r="G862" s="25">
        <f t="shared" si="84"/>
        <v>0.1387292233520967</v>
      </c>
      <c r="K862" s="28">
        <v>43647</v>
      </c>
      <c r="L862" s="23">
        <v>14481.11</v>
      </c>
      <c r="M862" s="25">
        <f t="shared" si="95"/>
        <v>5.6839565475299411E-3</v>
      </c>
      <c r="O862" t="b">
        <f t="shared" si="93"/>
        <v>1</v>
      </c>
      <c r="Q862" s="25">
        <f t="shared" si="91"/>
        <v>8.7303476326307194E-2</v>
      </c>
      <c r="R862" s="25">
        <f t="shared" si="88"/>
        <v>9.2506391643670138E-2</v>
      </c>
      <c r="S862" s="25">
        <f t="shared" si="85"/>
        <v>0.12737551855718676</v>
      </c>
      <c r="X862">
        <f t="shared" si="92"/>
        <v>0</v>
      </c>
      <c r="Y862">
        <f t="shared" si="89"/>
        <v>0</v>
      </c>
      <c r="Z862">
        <f t="shared" si="86"/>
        <v>1</v>
      </c>
    </row>
    <row r="863" spans="1:26">
      <c r="A863" s="27">
        <v>43648</v>
      </c>
      <c r="B863" s="24">
        <v>778.22</v>
      </c>
      <c r="C863" s="25">
        <f t="shared" si="94"/>
        <v>1.6474888665791085E-3</v>
      </c>
      <c r="E863" s="25">
        <f t="shared" si="90"/>
        <v>6.1764103963435346E-2</v>
      </c>
      <c r="F863" s="25">
        <f t="shared" si="87"/>
        <v>6.485636330479827E-2</v>
      </c>
      <c r="G863" s="25">
        <f t="shared" si="84"/>
        <v>0.13734035380856113</v>
      </c>
      <c r="K863" s="29">
        <v>43648</v>
      </c>
      <c r="L863" s="24">
        <v>14528.7</v>
      </c>
      <c r="M863" s="25">
        <f t="shared" si="95"/>
        <v>3.2755855651228358E-3</v>
      </c>
      <c r="O863" t="b">
        <f t="shared" si="93"/>
        <v>1</v>
      </c>
      <c r="Q863" s="25">
        <f t="shared" si="91"/>
        <v>7.5937789975628167E-2</v>
      </c>
      <c r="R863" s="25">
        <f t="shared" si="88"/>
        <v>8.874740145219806E-2</v>
      </c>
      <c r="S863" s="25">
        <f t="shared" si="85"/>
        <v>0.12624788044360602</v>
      </c>
      <c r="X863">
        <f t="shared" si="92"/>
        <v>0</v>
      </c>
      <c r="Y863">
        <f t="shared" si="89"/>
        <v>0</v>
      </c>
      <c r="Z863">
        <f t="shared" si="86"/>
        <v>1</v>
      </c>
    </row>
    <row r="864" spans="1:26">
      <c r="A864" s="26">
        <v>43649</v>
      </c>
      <c r="B864" s="23">
        <v>779.21</v>
      </c>
      <c r="C864" s="25">
        <f t="shared" si="94"/>
        <v>1.272133843900194E-3</v>
      </c>
      <c r="E864" s="25">
        <f t="shared" si="90"/>
        <v>7.0549281455224877E-2</v>
      </c>
      <c r="F864" s="25">
        <f t="shared" si="87"/>
        <v>6.6341714819693198E-2</v>
      </c>
      <c r="G864" s="25">
        <f t="shared" si="84"/>
        <v>0.13849721678174087</v>
      </c>
      <c r="K864" s="28">
        <v>43649</v>
      </c>
      <c r="L864" s="23">
        <v>14547.48</v>
      </c>
      <c r="M864" s="25">
        <f t="shared" si="95"/>
        <v>1.2909452358758242E-3</v>
      </c>
      <c r="O864" t="b">
        <f t="shared" si="93"/>
        <v>1</v>
      </c>
      <c r="Q864" s="25">
        <f t="shared" si="91"/>
        <v>8.3648303778006472E-2</v>
      </c>
      <c r="R864" s="25">
        <f t="shared" si="88"/>
        <v>8.9814121661969448E-2</v>
      </c>
      <c r="S864" s="25">
        <f t="shared" si="85"/>
        <v>0.12784078747987704</v>
      </c>
      <c r="X864">
        <f t="shared" si="92"/>
        <v>0</v>
      </c>
      <c r="Y864">
        <f t="shared" si="89"/>
        <v>0</v>
      </c>
      <c r="Z864">
        <f t="shared" si="86"/>
        <v>1</v>
      </c>
    </row>
    <row r="865" spans="1:26">
      <c r="A865" s="27">
        <v>43650</v>
      </c>
      <c r="B865" s="24">
        <v>779.91</v>
      </c>
      <c r="C865" s="25">
        <f t="shared" si="94"/>
        <v>8.9834576044959863E-4</v>
      </c>
      <c r="E865" s="25">
        <f t="shared" si="90"/>
        <v>6.7331773206880774E-2</v>
      </c>
      <c r="F865" s="25">
        <f t="shared" si="87"/>
        <v>6.2918979968981326E-2</v>
      </c>
      <c r="G865" s="25">
        <f t="shared" si="84"/>
        <v>0.13994011722756206</v>
      </c>
      <c r="K865" s="29">
        <v>43650</v>
      </c>
      <c r="L865" s="24">
        <v>14579.18</v>
      </c>
      <c r="M865" s="25">
        <f t="shared" si="95"/>
        <v>2.1743335359053614E-3</v>
      </c>
      <c r="O865" t="b">
        <f t="shared" si="93"/>
        <v>1</v>
      </c>
      <c r="Q865" s="25">
        <f t="shared" si="91"/>
        <v>8.1200660029293381E-2</v>
      </c>
      <c r="R865" s="25">
        <f t="shared" si="88"/>
        <v>8.8344225806209042E-2</v>
      </c>
      <c r="S865" s="25">
        <f t="shared" si="85"/>
        <v>0.12863714809992066</v>
      </c>
      <c r="X865">
        <f t="shared" si="92"/>
        <v>0</v>
      </c>
      <c r="Y865">
        <f t="shared" si="89"/>
        <v>0</v>
      </c>
      <c r="Z865">
        <f t="shared" si="86"/>
        <v>1</v>
      </c>
    </row>
    <row r="866" spans="1:26">
      <c r="A866" s="26">
        <v>43651</v>
      </c>
      <c r="B866" s="23">
        <v>770.71</v>
      </c>
      <c r="C866" s="25">
        <f t="shared" si="94"/>
        <v>-1.1796232898667708E-2</v>
      </c>
      <c r="E866" s="25">
        <f t="shared" si="90"/>
        <v>5.0299809212319468E-2</v>
      </c>
      <c r="F866" s="25">
        <f t="shared" si="87"/>
        <v>5.6034709200748933E-2</v>
      </c>
      <c r="G866" s="25">
        <f t="shared" si="84"/>
        <v>0.13551912855055259</v>
      </c>
      <c r="K866" s="28">
        <v>43651</v>
      </c>
      <c r="L866" s="23">
        <v>14401.47</v>
      </c>
      <c r="M866" s="25">
        <f t="shared" si="95"/>
        <v>-1.2339712543233501E-2</v>
      </c>
      <c r="O866" t="b">
        <f t="shared" si="93"/>
        <v>1</v>
      </c>
      <c r="Q866" s="25">
        <f t="shared" si="91"/>
        <v>6.2694807494775517E-2</v>
      </c>
      <c r="R866" s="25">
        <f t="shared" si="88"/>
        <v>7.9557637717953433E-2</v>
      </c>
      <c r="S866" s="25">
        <f t="shared" si="85"/>
        <v>0.12457813068981083</v>
      </c>
      <c r="X866">
        <f t="shared" si="92"/>
        <v>0</v>
      </c>
      <c r="Y866">
        <f t="shared" si="89"/>
        <v>0</v>
      </c>
      <c r="Z866">
        <f t="shared" si="86"/>
        <v>1</v>
      </c>
    </row>
    <row r="867" spans="1:26">
      <c r="A867" s="27">
        <v>43654</v>
      </c>
      <c r="B867" s="24">
        <v>752.63</v>
      </c>
      <c r="C867" s="25">
        <f t="shared" si="94"/>
        <v>-2.3458888557304356E-2</v>
      </c>
      <c r="E867" s="25">
        <f t="shared" si="90"/>
        <v>2.8183060109289615E-2</v>
      </c>
      <c r="F867" s="25">
        <f t="shared" si="87"/>
        <v>4.4519557664431497E-2</v>
      </c>
      <c r="G867" s="25">
        <f t="shared" si="84"/>
        <v>0.12101034876642092</v>
      </c>
      <c r="K867" s="29">
        <v>43654</v>
      </c>
      <c r="L867" s="24">
        <v>14090.09</v>
      </c>
      <c r="M867" s="25">
        <f t="shared" si="95"/>
        <v>-2.2099220090148409E-2</v>
      </c>
      <c r="O867" t="b">
        <f t="shared" si="93"/>
        <v>1</v>
      </c>
      <c r="Q867" s="25">
        <f t="shared" si="91"/>
        <v>4.2564321886163548E-2</v>
      </c>
      <c r="R867" s="25">
        <f t="shared" si="88"/>
        <v>6.7958781712270433E-2</v>
      </c>
      <c r="S867" s="25">
        <f t="shared" si="85"/>
        <v>0.11053859054097059</v>
      </c>
      <c r="X867">
        <f t="shared" si="92"/>
        <v>0</v>
      </c>
      <c r="Y867">
        <f t="shared" si="89"/>
        <v>0</v>
      </c>
      <c r="Z867">
        <f t="shared" si="86"/>
        <v>1</v>
      </c>
    </row>
    <row r="868" spans="1:26">
      <c r="A868" s="26">
        <v>43655</v>
      </c>
      <c r="B868" s="23">
        <v>755.46</v>
      </c>
      <c r="C868" s="25">
        <f t="shared" si="94"/>
        <v>3.7601477485617648E-3</v>
      </c>
      <c r="E868" s="25">
        <f t="shared" si="90"/>
        <v>3.0163362151253148E-2</v>
      </c>
      <c r="F868" s="25">
        <f t="shared" si="87"/>
        <v>4.3498236024880121E-2</v>
      </c>
      <c r="G868" s="25">
        <f t="shared" ref="G868:G931" si="96">((B868/B131)^(1/3))-1</f>
        <v>0.1204318366626862</v>
      </c>
      <c r="K868" s="28">
        <v>43655</v>
      </c>
      <c r="L868" s="23">
        <v>14102.22</v>
      </c>
      <c r="M868" s="25">
        <f t="shared" si="95"/>
        <v>8.6014826034476845E-4</v>
      </c>
      <c r="O868" t="b">
        <f t="shared" si="93"/>
        <v>1</v>
      </c>
      <c r="Q868" s="25">
        <f t="shared" si="91"/>
        <v>4.0234510137739266E-2</v>
      </c>
      <c r="R868" s="25">
        <f t="shared" si="88"/>
        <v>6.355505526841343E-2</v>
      </c>
      <c r="S868" s="25">
        <f t="shared" ref="S868:S931" si="97">((L868/L131)^(1/3))-1</f>
        <v>0.10874414936509291</v>
      </c>
      <c r="X868">
        <f t="shared" si="92"/>
        <v>0</v>
      </c>
      <c r="Y868">
        <f t="shared" si="89"/>
        <v>0</v>
      </c>
      <c r="Z868">
        <f t="shared" ref="Z868:Z931" si="98">IF(G868&gt;S868,1,0)</f>
        <v>1</v>
      </c>
    </row>
    <row r="869" spans="1:26">
      <c r="A869" s="27">
        <v>43656</v>
      </c>
      <c r="B869" s="24">
        <v>751.44</v>
      </c>
      <c r="C869" s="25">
        <f t="shared" si="94"/>
        <v>-5.3212612183305289E-3</v>
      </c>
      <c r="E869" s="25">
        <f t="shared" si="90"/>
        <v>1.5500628403854355E-2</v>
      </c>
      <c r="F869" s="25">
        <f t="shared" si="87"/>
        <v>4.1822459653915622E-2</v>
      </c>
      <c r="G869" s="25">
        <f t="shared" si="96"/>
        <v>0.11973498908060276</v>
      </c>
      <c r="K869" s="29">
        <v>43656</v>
      </c>
      <c r="L869" s="24">
        <v>14019.84</v>
      </c>
      <c r="M869" s="25">
        <f t="shared" si="95"/>
        <v>-5.8759586414680338E-3</v>
      </c>
      <c r="O869" t="b">
        <f t="shared" si="93"/>
        <v>1</v>
      </c>
      <c r="Q869" s="25">
        <f t="shared" si="91"/>
        <v>2.4764199212925275E-2</v>
      </c>
      <c r="R869" s="25">
        <f t="shared" si="88"/>
        <v>6.1161405129047219E-2</v>
      </c>
      <c r="S869" s="25">
        <f t="shared" si="97"/>
        <v>0.10735210210362545</v>
      </c>
      <c r="X869">
        <f t="shared" si="92"/>
        <v>0</v>
      </c>
      <c r="Y869">
        <f t="shared" si="89"/>
        <v>0</v>
      </c>
      <c r="Z869">
        <f t="shared" si="98"/>
        <v>1</v>
      </c>
    </row>
    <row r="870" spans="1:26">
      <c r="A870" s="26">
        <v>43657</v>
      </c>
      <c r="B870" s="23">
        <v>758.85</v>
      </c>
      <c r="C870" s="25">
        <f t="shared" si="94"/>
        <v>9.8610667518364316E-3</v>
      </c>
      <c r="E870" s="25">
        <f t="shared" si="90"/>
        <v>1.8166937247588333E-2</v>
      </c>
      <c r="F870" s="25">
        <f t="shared" si="87"/>
        <v>4.3860230220533092E-2</v>
      </c>
      <c r="G870" s="25">
        <f t="shared" si="96"/>
        <v>0.12062583570331098</v>
      </c>
      <c r="K870" s="28">
        <v>43657</v>
      </c>
      <c r="L870" s="23">
        <v>14122.25</v>
      </c>
      <c r="M870" s="25">
        <f t="shared" si="95"/>
        <v>7.2516773177078624E-3</v>
      </c>
      <c r="O870" t="b">
        <f t="shared" si="93"/>
        <v>1</v>
      </c>
      <c r="Q870" s="25">
        <f t="shared" si="91"/>
        <v>2.3243193111453397E-2</v>
      </c>
      <c r="R870" s="25">
        <f t="shared" si="88"/>
        <v>6.2484488815858441E-2</v>
      </c>
      <c r="S870" s="25">
        <f t="shared" si="97"/>
        <v>0.10804147581725165</v>
      </c>
      <c r="X870">
        <f t="shared" si="92"/>
        <v>0</v>
      </c>
      <c r="Y870">
        <f t="shared" si="89"/>
        <v>0</v>
      </c>
      <c r="Z870">
        <f t="shared" si="98"/>
        <v>1</v>
      </c>
    </row>
    <row r="871" spans="1:26">
      <c r="A871" s="27">
        <v>43658</v>
      </c>
      <c r="B871" s="24">
        <v>760.23</v>
      </c>
      <c r="C871" s="25">
        <f t="shared" si="94"/>
        <v>1.8185412136785867E-3</v>
      </c>
      <c r="E871" s="25">
        <f t="shared" si="90"/>
        <v>2.7101882000081234E-2</v>
      </c>
      <c r="F871" s="25">
        <f t="shared" si="87"/>
        <v>4.1211991732613695E-2</v>
      </c>
      <c r="G871" s="25">
        <f t="shared" si="96"/>
        <v>0.12111071041864907</v>
      </c>
      <c r="K871" s="29">
        <v>43658</v>
      </c>
      <c r="L871" s="24">
        <v>14109.72</v>
      </c>
      <c r="M871" s="25">
        <f t="shared" si="95"/>
        <v>-8.8804030129589079E-4</v>
      </c>
      <c r="O871" t="b">
        <f t="shared" si="93"/>
        <v>1</v>
      </c>
      <c r="Q871" s="25">
        <f t="shared" si="91"/>
        <v>2.3865761351094195E-2</v>
      </c>
      <c r="R871" s="25">
        <f t="shared" si="88"/>
        <v>5.8004288824784478E-2</v>
      </c>
      <c r="S871" s="25">
        <f t="shared" si="97"/>
        <v>0.10859576361302814</v>
      </c>
      <c r="X871">
        <f t="shared" si="92"/>
        <v>1</v>
      </c>
      <c r="Y871">
        <f t="shared" si="89"/>
        <v>0</v>
      </c>
      <c r="Z871">
        <f t="shared" si="98"/>
        <v>1</v>
      </c>
    </row>
    <row r="872" spans="1:26">
      <c r="A872" s="26">
        <v>43661</v>
      </c>
      <c r="B872" s="23">
        <v>759.82</v>
      </c>
      <c r="C872" s="25">
        <f t="shared" si="94"/>
        <v>-5.3931047183085139E-4</v>
      </c>
      <c r="E872" s="25">
        <f t="shared" si="90"/>
        <v>2.5149086591651271E-2</v>
      </c>
      <c r="F872" s="25">
        <f t="shared" si="87"/>
        <v>4.0249025846850639E-2</v>
      </c>
      <c r="G872" s="25">
        <f t="shared" si="96"/>
        <v>0.12188732892977239</v>
      </c>
      <c r="K872" s="28">
        <v>43661</v>
      </c>
      <c r="L872" s="23">
        <v>14128.3</v>
      </c>
      <c r="M872" s="25">
        <f t="shared" si="95"/>
        <v>1.3150909875922743E-3</v>
      </c>
      <c r="O872" t="b">
        <f t="shared" si="93"/>
        <v>1</v>
      </c>
      <c r="Q872" s="25">
        <f t="shared" si="91"/>
        <v>2.1021997613715149E-2</v>
      </c>
      <c r="R872" s="25">
        <f t="shared" si="88"/>
        <v>5.8805665316477906E-2</v>
      </c>
      <c r="S872" s="25">
        <f t="shared" si="97"/>
        <v>0.11070364974012703</v>
      </c>
      <c r="X872">
        <f t="shared" si="92"/>
        <v>1</v>
      </c>
      <c r="Y872">
        <f t="shared" si="89"/>
        <v>0</v>
      </c>
      <c r="Z872">
        <f t="shared" si="98"/>
        <v>1</v>
      </c>
    </row>
    <row r="873" spans="1:26">
      <c r="A873" s="27">
        <v>43662</v>
      </c>
      <c r="B873" s="24">
        <v>765.35</v>
      </c>
      <c r="C873" s="25">
        <f t="shared" si="94"/>
        <v>7.278039535679467E-3</v>
      </c>
      <c r="E873" s="25">
        <f t="shared" si="90"/>
        <v>4.0372459729490995E-2</v>
      </c>
      <c r="F873" s="25">
        <f t="shared" si="87"/>
        <v>4.2366318128991498E-2</v>
      </c>
      <c r="G873" s="25">
        <f t="shared" si="96"/>
        <v>0.12417783026697693</v>
      </c>
      <c r="K873" s="29">
        <v>43662</v>
      </c>
      <c r="L873" s="24">
        <v>14220.97</v>
      </c>
      <c r="M873" s="25">
        <f t="shared" si="95"/>
        <v>6.5164331265729469E-3</v>
      </c>
      <c r="O873" t="b">
        <f t="shared" si="93"/>
        <v>1</v>
      </c>
      <c r="Q873" s="25">
        <f t="shared" si="91"/>
        <v>3.1177579580885961E-2</v>
      </c>
      <c r="R873" s="25">
        <f t="shared" si="88"/>
        <v>6.109013150295084E-2</v>
      </c>
      <c r="S873" s="25">
        <f t="shared" si="97"/>
        <v>0.11228815557203808</v>
      </c>
      <c r="X873">
        <f t="shared" si="92"/>
        <v>1</v>
      </c>
      <c r="Y873">
        <f t="shared" si="89"/>
        <v>0</v>
      </c>
      <c r="Z873">
        <f t="shared" si="98"/>
        <v>1</v>
      </c>
    </row>
    <row r="874" spans="1:26">
      <c r="A874" s="26">
        <v>43663</v>
      </c>
      <c r="B874" s="23">
        <v>768.52</v>
      </c>
      <c r="C874" s="25">
        <f t="shared" si="94"/>
        <v>4.1418958646370404E-3</v>
      </c>
      <c r="E874" s="25">
        <f t="shared" si="90"/>
        <v>6.488935692610398E-2</v>
      </c>
      <c r="F874" s="25">
        <f t="shared" si="87"/>
        <v>4.6701956535623257E-2</v>
      </c>
      <c r="G874" s="25">
        <f t="shared" si="96"/>
        <v>0.12239713172276812</v>
      </c>
      <c r="K874" s="28">
        <v>43663</v>
      </c>
      <c r="L874" s="23">
        <v>14242.02</v>
      </c>
      <c r="M874" s="25">
        <f t="shared" si="95"/>
        <v>1.4780206740336757E-3</v>
      </c>
      <c r="O874" t="b">
        <f t="shared" si="93"/>
        <v>1</v>
      </c>
      <c r="Q874" s="25">
        <f t="shared" si="91"/>
        <v>4.5771723670519959E-2</v>
      </c>
      <c r="R874" s="25">
        <f t="shared" si="88"/>
        <v>6.6137467959156204E-2</v>
      </c>
      <c r="S874" s="25">
        <f t="shared" si="97"/>
        <v>0.11060404246539801</v>
      </c>
      <c r="X874">
        <f t="shared" si="92"/>
        <v>1</v>
      </c>
      <c r="Y874">
        <f t="shared" si="89"/>
        <v>0</v>
      </c>
      <c r="Z874">
        <f t="shared" si="98"/>
        <v>1</v>
      </c>
    </row>
    <row r="875" spans="1:26">
      <c r="A875" s="27">
        <v>43664</v>
      </c>
      <c r="B875" s="24">
        <v>760.71</v>
      </c>
      <c r="C875" s="25">
        <f t="shared" si="94"/>
        <v>-1.0162390048404656E-2</v>
      </c>
      <c r="E875" s="25">
        <f t="shared" si="90"/>
        <v>4.5275915136858469E-2</v>
      </c>
      <c r="F875" s="25">
        <f t="shared" si="87"/>
        <v>3.6307590343276797E-2</v>
      </c>
      <c r="G875" s="25">
        <f t="shared" si="96"/>
        <v>0.11948910338822927</v>
      </c>
      <c r="K875" s="29">
        <v>43664</v>
      </c>
      <c r="L875" s="24">
        <v>14115.05</v>
      </c>
      <c r="M875" s="25">
        <f t="shared" si="95"/>
        <v>-8.9953631053380032E-3</v>
      </c>
      <c r="O875" t="b">
        <f t="shared" si="93"/>
        <v>1</v>
      </c>
      <c r="Q875" s="25">
        <f t="shared" si="91"/>
        <v>2.7018158111486557E-2</v>
      </c>
      <c r="R875" s="25">
        <f t="shared" si="88"/>
        <v>5.6924495408368969E-2</v>
      </c>
      <c r="S875" s="25">
        <f t="shared" si="97"/>
        <v>0.10900526187135551</v>
      </c>
      <c r="X875">
        <f t="shared" si="92"/>
        <v>1</v>
      </c>
      <c r="Y875">
        <f t="shared" si="89"/>
        <v>0</v>
      </c>
      <c r="Z875">
        <f t="shared" si="98"/>
        <v>1</v>
      </c>
    </row>
    <row r="876" spans="1:26">
      <c r="A876" s="26">
        <v>43665</v>
      </c>
      <c r="B876" s="23">
        <v>747.24</v>
      </c>
      <c r="C876" s="25">
        <f t="shared" si="94"/>
        <v>-1.770714201206771E-2</v>
      </c>
      <c r="E876" s="25">
        <f t="shared" si="90"/>
        <v>3.6235803136830613E-2</v>
      </c>
      <c r="F876" s="25">
        <f t="shared" si="87"/>
        <v>2.9981989532144482E-2</v>
      </c>
      <c r="G876" s="25">
        <f t="shared" si="96"/>
        <v>0.10923950770972746</v>
      </c>
      <c r="K876" s="28">
        <v>43665</v>
      </c>
      <c r="L876" s="23">
        <v>13896.06</v>
      </c>
      <c r="M876" s="25">
        <f t="shared" si="95"/>
        <v>-1.5759143239162741E-2</v>
      </c>
      <c r="O876" t="b">
        <f t="shared" si="93"/>
        <v>1</v>
      </c>
      <c r="Q876" s="25">
        <f t="shared" si="91"/>
        <v>1.596838638216358E-2</v>
      </c>
      <c r="R876" s="25">
        <f t="shared" si="88"/>
        <v>4.9817859476335213E-2</v>
      </c>
      <c r="S876" s="25">
        <f t="shared" si="97"/>
        <v>0.10115702792634518</v>
      </c>
      <c r="X876">
        <f t="shared" si="92"/>
        <v>1</v>
      </c>
      <c r="Y876">
        <f t="shared" si="89"/>
        <v>0</v>
      </c>
      <c r="Z876">
        <f t="shared" si="98"/>
        <v>1</v>
      </c>
    </row>
    <row r="877" spans="1:26">
      <c r="A877" s="27">
        <v>43668</v>
      </c>
      <c r="B877" s="24">
        <v>745.85</v>
      </c>
      <c r="C877" s="25">
        <f t="shared" si="94"/>
        <v>-1.8601787912852449E-3</v>
      </c>
      <c r="E877" s="25">
        <f t="shared" si="90"/>
        <v>3.6939717495273028E-2</v>
      </c>
      <c r="F877" s="25">
        <f t="shared" si="87"/>
        <v>2.8665831143905862E-2</v>
      </c>
      <c r="G877" s="25">
        <f t="shared" si="96"/>
        <v>0.10457768580515348</v>
      </c>
      <c r="K877" s="29">
        <v>43668</v>
      </c>
      <c r="L877" s="24">
        <v>13813.05</v>
      </c>
      <c r="M877" s="25">
        <f t="shared" si="95"/>
        <v>-6.0095344619761912E-3</v>
      </c>
      <c r="O877" t="b">
        <f t="shared" si="93"/>
        <v>1</v>
      </c>
      <c r="Q877" s="25">
        <f t="shared" si="91"/>
        <v>1.2822092097332538E-2</v>
      </c>
      <c r="R877" s="25">
        <f t="shared" si="88"/>
        <v>4.4955952549951661E-2</v>
      </c>
      <c r="S877" s="25">
        <f t="shared" si="97"/>
        <v>9.4986217794029049E-2</v>
      </c>
      <c r="X877">
        <f t="shared" si="92"/>
        <v>1</v>
      </c>
      <c r="Y877">
        <f t="shared" si="89"/>
        <v>0</v>
      </c>
      <c r="Z877">
        <f t="shared" si="98"/>
        <v>1</v>
      </c>
    </row>
    <row r="878" spans="1:26">
      <c r="A878" s="26">
        <v>43669</v>
      </c>
      <c r="B878" s="23">
        <v>743.29</v>
      </c>
      <c r="C878" s="25">
        <f t="shared" si="94"/>
        <v>-3.4323255346250039E-3</v>
      </c>
      <c r="E878" s="25">
        <f t="shared" si="90"/>
        <v>2.5949288464989007E-2</v>
      </c>
      <c r="F878" s="25">
        <f t="shared" si="87"/>
        <v>2.7241494671208288E-2</v>
      </c>
      <c r="G878" s="25">
        <f t="shared" si="96"/>
        <v>0.10419105739002643</v>
      </c>
      <c r="K878" s="28">
        <v>43669</v>
      </c>
      <c r="L878" s="23">
        <v>13793.16</v>
      </c>
      <c r="M878" s="25">
        <f t="shared" si="95"/>
        <v>-1.4420190877216981E-3</v>
      </c>
      <c r="O878" t="b">
        <f t="shared" si="93"/>
        <v>1</v>
      </c>
      <c r="Q878" s="25">
        <f t="shared" si="91"/>
        <v>5.906432023523589E-3</v>
      </c>
      <c r="R878" s="25">
        <f t="shared" si="88"/>
        <v>4.2143350522485301E-2</v>
      </c>
      <c r="S878" s="25">
        <f t="shared" si="97"/>
        <v>9.6229314012939327E-2</v>
      </c>
      <c r="X878">
        <f t="shared" si="92"/>
        <v>1</v>
      </c>
      <c r="Y878">
        <f t="shared" si="89"/>
        <v>0</v>
      </c>
      <c r="Z878">
        <f t="shared" si="98"/>
        <v>1</v>
      </c>
    </row>
    <row r="879" spans="1:26">
      <c r="A879" s="27">
        <v>43670</v>
      </c>
      <c r="B879" s="24">
        <v>736.18</v>
      </c>
      <c r="C879" s="25">
        <f t="shared" si="94"/>
        <v>-9.5655800562364814E-3</v>
      </c>
      <c r="E879" s="25">
        <f t="shared" si="90"/>
        <v>3.8863813017331328E-3</v>
      </c>
      <c r="F879" s="25">
        <f t="shared" ref="F879:F942" si="99">((B879/B387)^(1/2))-1</f>
        <v>2.0146512639531267E-2</v>
      </c>
      <c r="G879" s="25">
        <f t="shared" si="96"/>
        <v>0.10002183112541729</v>
      </c>
      <c r="K879" s="29">
        <v>43670</v>
      </c>
      <c r="L879" s="24">
        <v>13689.15</v>
      </c>
      <c r="M879" s="25">
        <f t="shared" si="95"/>
        <v>-7.5979881877253318E-3</v>
      </c>
      <c r="O879" t="b">
        <f t="shared" si="93"/>
        <v>1</v>
      </c>
      <c r="Q879" s="25">
        <f t="shared" si="91"/>
        <v>-1.0032629730660103E-2</v>
      </c>
      <c r="R879" s="25">
        <f t="shared" ref="R879:R942" si="100">((L879/L387)^(1/2))-1</f>
        <v>3.7732861581162291E-2</v>
      </c>
      <c r="S879" s="25">
        <f t="shared" si="97"/>
        <v>9.206655537582642E-2</v>
      </c>
      <c r="X879">
        <f t="shared" si="92"/>
        <v>1</v>
      </c>
      <c r="Y879">
        <f t="shared" ref="Y879:Y942" si="101">IF(F879&gt;R879,1,0)</f>
        <v>0</v>
      </c>
      <c r="Z879">
        <f t="shared" si="98"/>
        <v>1</v>
      </c>
    </row>
    <row r="880" spans="1:26">
      <c r="A880" s="26">
        <v>43671</v>
      </c>
      <c r="B880" s="23">
        <v>737.75</v>
      </c>
      <c r="C880" s="25">
        <f t="shared" si="94"/>
        <v>2.1326306066451819E-3</v>
      </c>
      <c r="E880" s="25">
        <f t="shared" si="90"/>
        <v>-4.1171706263498642E-3</v>
      </c>
      <c r="F880" s="25">
        <f t="shared" si="99"/>
        <v>1.8065258177135446E-2</v>
      </c>
      <c r="G880" s="25">
        <f t="shared" si="96"/>
        <v>9.7584533908912974E-2</v>
      </c>
      <c r="K880" s="28">
        <v>43671</v>
      </c>
      <c r="L880" s="23">
        <v>13690.06</v>
      </c>
      <c r="M880" s="25">
        <f t="shared" si="95"/>
        <v>6.6471585953593664E-5</v>
      </c>
      <c r="O880" t="b">
        <f t="shared" si="93"/>
        <v>1</v>
      </c>
      <c r="Q880" s="25">
        <f t="shared" si="91"/>
        <v>-1.9050683114633093E-2</v>
      </c>
      <c r="R880" s="25">
        <f t="shared" si="100"/>
        <v>3.5482513935858329E-2</v>
      </c>
      <c r="S880" s="25">
        <f t="shared" si="97"/>
        <v>8.992502094938648E-2</v>
      </c>
      <c r="X880">
        <f t="shared" si="92"/>
        <v>1</v>
      </c>
      <c r="Y880">
        <f t="shared" si="101"/>
        <v>0</v>
      </c>
      <c r="Z880">
        <f t="shared" si="98"/>
        <v>1</v>
      </c>
    </row>
    <row r="881" spans="1:26">
      <c r="A881" s="27">
        <v>43672</v>
      </c>
      <c r="B881" s="24">
        <v>742.36</v>
      </c>
      <c r="C881" s="25">
        <f t="shared" si="94"/>
        <v>6.2487292443239766E-3</v>
      </c>
      <c r="E881" s="25">
        <f t="shared" si="90"/>
        <v>3.5282189929031205E-3</v>
      </c>
      <c r="F881" s="25">
        <f t="shared" si="99"/>
        <v>2.1305680708853192E-2</v>
      </c>
      <c r="G881" s="25">
        <f t="shared" si="96"/>
        <v>9.9229320832916246E-2</v>
      </c>
      <c r="K881" s="29">
        <v>43672</v>
      </c>
      <c r="L881" s="24">
        <v>13740.26</v>
      </c>
      <c r="M881" s="25">
        <f t="shared" si="95"/>
        <v>3.6534970953970834E-3</v>
      </c>
      <c r="O881" t="b">
        <f t="shared" si="93"/>
        <v>1</v>
      </c>
      <c r="Q881" s="25">
        <f t="shared" si="91"/>
        <v>-1.542895386648202E-2</v>
      </c>
      <c r="R881" s="25">
        <f t="shared" si="100"/>
        <v>3.7980637551539465E-2</v>
      </c>
      <c r="S881" s="25">
        <f t="shared" si="97"/>
        <v>9.1664961507990084E-2</v>
      </c>
      <c r="X881">
        <f t="shared" si="92"/>
        <v>1</v>
      </c>
      <c r="Y881">
        <f t="shared" si="101"/>
        <v>0</v>
      </c>
      <c r="Z881">
        <f t="shared" si="98"/>
        <v>1</v>
      </c>
    </row>
    <row r="882" spans="1:26">
      <c r="A882" s="26">
        <v>43675</v>
      </c>
      <c r="B882" s="23">
        <v>736.23</v>
      </c>
      <c r="C882" s="25">
        <f t="shared" si="94"/>
        <v>-8.2574492160137868E-3</v>
      </c>
      <c r="E882" s="25">
        <f t="shared" si="90"/>
        <v>-8.8849400266548528E-3</v>
      </c>
      <c r="F882" s="25">
        <f t="shared" si="99"/>
        <v>1.728752776368192E-2</v>
      </c>
      <c r="G882" s="25">
        <f t="shared" si="96"/>
        <v>9.4052882442189345E-2</v>
      </c>
      <c r="K882" s="28">
        <v>43675</v>
      </c>
      <c r="L882" s="23">
        <v>13616.28</v>
      </c>
      <c r="M882" s="25">
        <f t="shared" si="95"/>
        <v>-9.1052769185122184E-3</v>
      </c>
      <c r="O882" t="b">
        <f t="shared" si="93"/>
        <v>1</v>
      </c>
      <c r="Q882" s="25">
        <f t="shared" si="91"/>
        <v>-2.8452984470265785E-2</v>
      </c>
      <c r="R882" s="25">
        <f t="shared" si="100"/>
        <v>3.2645610812653825E-2</v>
      </c>
      <c r="S882" s="25">
        <f t="shared" si="97"/>
        <v>8.8116869502869788E-2</v>
      </c>
      <c r="X882">
        <f t="shared" si="92"/>
        <v>1</v>
      </c>
      <c r="Y882">
        <f t="shared" si="101"/>
        <v>0</v>
      </c>
      <c r="Z882">
        <f t="shared" si="98"/>
        <v>1</v>
      </c>
    </row>
    <row r="883" spans="1:26">
      <c r="A883" s="27">
        <v>43676</v>
      </c>
      <c r="B883" s="24">
        <v>725.77</v>
      </c>
      <c r="C883" s="25">
        <f t="shared" si="94"/>
        <v>-1.4207516672778937E-2</v>
      </c>
      <c r="E883" s="25">
        <f t="shared" si="90"/>
        <v>-3.5072791331516306E-2</v>
      </c>
      <c r="F883" s="25">
        <f t="shared" si="99"/>
        <v>8.1097768624853739E-3</v>
      </c>
      <c r="G883" s="25">
        <f t="shared" si="96"/>
        <v>8.9156943818779144E-2</v>
      </c>
      <c r="K883" s="29">
        <v>43676</v>
      </c>
      <c r="L883" s="24">
        <v>13459.9</v>
      </c>
      <c r="M883" s="25">
        <f t="shared" si="95"/>
        <v>-1.1618214102630853E-2</v>
      </c>
      <c r="O883" t="b">
        <f t="shared" si="93"/>
        <v>1</v>
      </c>
      <c r="Q883" s="25">
        <f t="shared" si="91"/>
        <v>-4.879182944272642E-2</v>
      </c>
      <c r="R883" s="25">
        <f t="shared" si="100"/>
        <v>2.3972915273056783E-2</v>
      </c>
      <c r="S883" s="25">
        <f t="shared" si="97"/>
        <v>8.5090440249606214E-2</v>
      </c>
      <c r="X883">
        <f t="shared" si="92"/>
        <v>1</v>
      </c>
      <c r="Y883">
        <f t="shared" si="101"/>
        <v>0</v>
      </c>
      <c r="Z883">
        <f t="shared" si="98"/>
        <v>1</v>
      </c>
    </row>
    <row r="884" spans="1:26">
      <c r="A884" s="26">
        <v>43677</v>
      </c>
      <c r="B884" s="23">
        <v>731.62</v>
      </c>
      <c r="C884" s="25">
        <f t="shared" si="94"/>
        <v>8.0604048114416727E-3</v>
      </c>
      <c r="E884" s="25">
        <f t="shared" si="90"/>
        <v>-2.9668828499051725E-2</v>
      </c>
      <c r="F884" s="25">
        <f t="shared" si="99"/>
        <v>1.0728989486342932E-2</v>
      </c>
      <c r="G884" s="25">
        <f t="shared" si="96"/>
        <v>9.4948383805386172E-2</v>
      </c>
      <c r="K884" s="28">
        <v>43677</v>
      </c>
      <c r="L884" s="23">
        <v>13522.1</v>
      </c>
      <c r="M884" s="25">
        <f t="shared" si="95"/>
        <v>4.5998772380030266E-3</v>
      </c>
      <c r="O884" t="b">
        <f t="shared" si="93"/>
        <v>1</v>
      </c>
      <c r="Q884" s="25">
        <f t="shared" si="91"/>
        <v>-4.8374746999890195E-2</v>
      </c>
      <c r="R884" s="25">
        <f t="shared" si="100"/>
        <v>2.520949354630897E-2</v>
      </c>
      <c r="S884" s="25">
        <f t="shared" si="97"/>
        <v>9.0646326082839845E-2</v>
      </c>
      <c r="X884">
        <f t="shared" si="92"/>
        <v>1</v>
      </c>
      <c r="Y884">
        <f t="shared" si="101"/>
        <v>0</v>
      </c>
      <c r="Z884">
        <f t="shared" si="98"/>
        <v>1</v>
      </c>
    </row>
    <row r="885" spans="1:26">
      <c r="A885" s="27">
        <v>43678</v>
      </c>
      <c r="B885" s="24">
        <v>721.35</v>
      </c>
      <c r="C885" s="25">
        <f t="shared" si="94"/>
        <v>-1.4037341789453517E-2</v>
      </c>
      <c r="E885" s="25">
        <f t="shared" si="90"/>
        <v>-4.8928091132030671E-2</v>
      </c>
      <c r="F885" s="25">
        <f t="shared" si="99"/>
        <v>4.4939655852054283E-3</v>
      </c>
      <c r="G885" s="25">
        <f t="shared" si="96"/>
        <v>8.8351162173988085E-2</v>
      </c>
      <c r="K885" s="29">
        <v>43678</v>
      </c>
      <c r="L885" s="24">
        <v>13362.08</v>
      </c>
      <c r="M885" s="25">
        <f t="shared" si="95"/>
        <v>-1.1975680432986514E-2</v>
      </c>
      <c r="O885" t="b">
        <f t="shared" si="93"/>
        <v>1</v>
      </c>
      <c r="Q885" s="25">
        <f t="shared" si="91"/>
        <v>-6.2771883605409862E-2</v>
      </c>
      <c r="R885" s="25">
        <f t="shared" si="100"/>
        <v>2.0554169049139759E-2</v>
      </c>
      <c r="S885" s="25">
        <f t="shared" si="97"/>
        <v>8.5537109955527324E-2</v>
      </c>
      <c r="X885">
        <f t="shared" si="92"/>
        <v>1</v>
      </c>
      <c r="Y885">
        <f t="shared" si="101"/>
        <v>0</v>
      </c>
      <c r="Z885">
        <f t="shared" si="98"/>
        <v>1</v>
      </c>
    </row>
    <row r="886" spans="1:26">
      <c r="A886" s="26">
        <v>43679</v>
      </c>
      <c r="B886" s="23">
        <v>720.13</v>
      </c>
      <c r="C886" s="25">
        <f t="shared" si="94"/>
        <v>-1.6912733069938688E-3</v>
      </c>
      <c r="E886" s="25">
        <f t="shared" si="90"/>
        <v>-4.9258027038445396E-2</v>
      </c>
      <c r="F886" s="25">
        <f t="shared" si="99"/>
        <v>7.0234401896616117E-3</v>
      </c>
      <c r="G886" s="25">
        <f t="shared" si="96"/>
        <v>8.2163879616026891E-2</v>
      </c>
      <c r="K886" s="28">
        <v>43679</v>
      </c>
      <c r="L886" s="23">
        <v>13379.19</v>
      </c>
      <c r="M886" s="25">
        <f t="shared" si="95"/>
        <v>1.2788517092589746E-3</v>
      </c>
      <c r="O886" t="b">
        <f t="shared" si="93"/>
        <v>1</v>
      </c>
      <c r="Q886" s="25">
        <f t="shared" si="91"/>
        <v>-6.169484440934736E-2</v>
      </c>
      <c r="R886" s="25">
        <f t="shared" si="100"/>
        <v>2.4549780403265942E-2</v>
      </c>
      <c r="S886" s="25">
        <f t="shared" si="97"/>
        <v>8.02605249168451E-2</v>
      </c>
      <c r="X886">
        <f t="shared" si="92"/>
        <v>1</v>
      </c>
      <c r="Y886">
        <f t="shared" si="101"/>
        <v>0</v>
      </c>
      <c r="Z886">
        <f t="shared" si="98"/>
        <v>1</v>
      </c>
    </row>
    <row r="887" spans="1:26">
      <c r="A887" s="27">
        <v>43682</v>
      </c>
      <c r="B887" s="24">
        <v>711.93</v>
      </c>
      <c r="C887" s="25">
        <f t="shared" si="94"/>
        <v>-1.1386832932942726E-2</v>
      </c>
      <c r="E887" s="25">
        <f t="shared" si="90"/>
        <v>-5.6071172867333208E-2</v>
      </c>
      <c r="F887" s="25">
        <f t="shared" si="99"/>
        <v>-2.4909078708367227E-3</v>
      </c>
      <c r="G887" s="25">
        <f t="shared" si="96"/>
        <v>7.7200953658046023E-2</v>
      </c>
      <c r="K887" s="29">
        <v>43682</v>
      </c>
      <c r="L887" s="24">
        <v>13211.96</v>
      </c>
      <c r="M887" s="25">
        <f t="shared" si="95"/>
        <v>-1.2657470958131981E-2</v>
      </c>
      <c r="O887" t="b">
        <f t="shared" si="93"/>
        <v>1</v>
      </c>
      <c r="Q887" s="25">
        <f t="shared" si="91"/>
        <v>-6.7525554549426214E-2</v>
      </c>
      <c r="R887" s="25">
        <f t="shared" si="100"/>
        <v>1.5380282151477909E-2</v>
      </c>
      <c r="S887" s="25">
        <f t="shared" si="97"/>
        <v>7.4068874656828321E-2</v>
      </c>
      <c r="X887">
        <f t="shared" si="92"/>
        <v>1</v>
      </c>
      <c r="Y887">
        <f t="shared" si="101"/>
        <v>0</v>
      </c>
      <c r="Z887">
        <f t="shared" si="98"/>
        <v>1</v>
      </c>
    </row>
    <row r="888" spans="1:26">
      <c r="A888" s="26">
        <v>43683</v>
      </c>
      <c r="B888" s="23">
        <v>722.55</v>
      </c>
      <c r="C888" s="25">
        <f t="shared" si="94"/>
        <v>1.4917196915427085E-2</v>
      </c>
      <c r="E888" s="25">
        <f t="shared" ref="E888:E951" si="102">(B888/B643)-1</f>
        <v>-5.0812500821039719E-2</v>
      </c>
      <c r="F888" s="25">
        <f t="shared" si="99"/>
        <v>2.9121248182548687E-3</v>
      </c>
      <c r="G888" s="25">
        <f t="shared" si="96"/>
        <v>8.3960035198019645E-2</v>
      </c>
      <c r="K888" s="28">
        <v>43683</v>
      </c>
      <c r="L888" s="23">
        <v>13341.72</v>
      </c>
      <c r="M888" s="25">
        <f t="shared" si="95"/>
        <v>9.7258824199578636E-3</v>
      </c>
      <c r="O888" t="b">
        <f t="shared" si="93"/>
        <v>1</v>
      </c>
      <c r="Q888" s="25">
        <f t="shared" ref="Q888:Q951" si="103">(L888/L643)-1</f>
        <v>-6.7800719531528997E-2</v>
      </c>
      <c r="R888" s="25">
        <f t="shared" si="100"/>
        <v>1.8594040107287935E-2</v>
      </c>
      <c r="S888" s="25">
        <f t="shared" si="97"/>
        <v>7.9000058898968328E-2</v>
      </c>
      <c r="X888">
        <f t="shared" ref="X888:X951" si="104">IF(E888&gt;Q888,1,0)</f>
        <v>1</v>
      </c>
      <c r="Y888">
        <f t="shared" si="101"/>
        <v>0</v>
      </c>
      <c r="Z888">
        <f t="shared" si="98"/>
        <v>1</v>
      </c>
    </row>
    <row r="889" spans="1:26">
      <c r="A889" s="27">
        <v>43684</v>
      </c>
      <c r="B889" s="24">
        <v>718.09</v>
      </c>
      <c r="C889" s="25">
        <f t="shared" si="94"/>
        <v>-6.1725832122343409E-3</v>
      </c>
      <c r="E889" s="25">
        <f t="shared" si="102"/>
        <v>-5.8835093973629737E-2</v>
      </c>
      <c r="F889" s="25">
        <f t="shared" si="99"/>
        <v>2.860055698962638E-3</v>
      </c>
      <c r="G889" s="25">
        <f t="shared" si="96"/>
        <v>8.3971679659425869E-2</v>
      </c>
      <c r="K889" s="29">
        <v>43684</v>
      </c>
      <c r="L889" s="24">
        <v>13246.28</v>
      </c>
      <c r="M889" s="25">
        <f t="shared" si="95"/>
        <v>-7.2050417173726271E-3</v>
      </c>
      <c r="O889" t="b">
        <f t="shared" si="93"/>
        <v>1</v>
      </c>
      <c r="Q889" s="25">
        <f t="shared" si="103"/>
        <v>-7.6783684381832362E-2</v>
      </c>
      <c r="R889" s="25">
        <f t="shared" si="100"/>
        <v>1.9546090893329371E-2</v>
      </c>
      <c r="S889" s="25">
        <f t="shared" si="97"/>
        <v>8.0884185041359524E-2</v>
      </c>
      <c r="X889">
        <f t="shared" si="104"/>
        <v>1</v>
      </c>
      <c r="Y889">
        <f t="shared" si="101"/>
        <v>0</v>
      </c>
      <c r="Z889">
        <f t="shared" si="98"/>
        <v>1</v>
      </c>
    </row>
    <row r="890" spans="1:26">
      <c r="A890" s="26">
        <v>43685</v>
      </c>
      <c r="B890" s="23">
        <v>726.89</v>
      </c>
      <c r="C890" s="25">
        <f t="shared" si="94"/>
        <v>1.2254731301090329E-2</v>
      </c>
      <c r="E890" s="25">
        <f t="shared" si="102"/>
        <v>-4.790034841380042E-2</v>
      </c>
      <c r="F890" s="25">
        <f t="shared" si="99"/>
        <v>1.3997597734300093E-2</v>
      </c>
      <c r="G890" s="25">
        <f t="shared" si="96"/>
        <v>8.8748672205257728E-2</v>
      </c>
      <c r="K890" s="28">
        <v>43685</v>
      </c>
      <c r="L890" s="23">
        <v>13436.18</v>
      </c>
      <c r="M890" s="25">
        <f t="shared" si="95"/>
        <v>1.4133481391288271E-2</v>
      </c>
      <c r="O890" t="b">
        <f t="shared" si="93"/>
        <v>1</v>
      </c>
      <c r="Q890" s="25">
        <f t="shared" si="103"/>
        <v>-6.3110868144871435E-2</v>
      </c>
      <c r="R890" s="25">
        <f t="shared" si="100"/>
        <v>3.2142248295652376E-2</v>
      </c>
      <c r="S890" s="25">
        <f t="shared" si="97"/>
        <v>8.5384108879810405E-2</v>
      </c>
      <c r="X890">
        <f t="shared" si="104"/>
        <v>1</v>
      </c>
      <c r="Y890">
        <f t="shared" si="101"/>
        <v>0</v>
      </c>
      <c r="Z890">
        <f t="shared" si="98"/>
        <v>1</v>
      </c>
    </row>
    <row r="891" spans="1:26">
      <c r="A891" s="27">
        <v>43686</v>
      </c>
      <c r="B891" s="24">
        <v>731.13</v>
      </c>
      <c r="C891" s="25">
        <f t="shared" si="94"/>
        <v>5.8330696529048541E-3</v>
      </c>
      <c r="E891" s="25">
        <f t="shared" si="102"/>
        <v>-4.514823037743243E-2</v>
      </c>
      <c r="F891" s="25">
        <f t="shared" si="99"/>
        <v>2.4433442524824267E-2</v>
      </c>
      <c r="G891" s="25">
        <f t="shared" si="96"/>
        <v>8.8764918481457622E-2</v>
      </c>
      <c r="K891" s="29">
        <v>43686</v>
      </c>
      <c r="L891" s="24">
        <v>13536.4</v>
      </c>
      <c r="M891" s="25">
        <f t="shared" si="95"/>
        <v>7.4037410242013641E-3</v>
      </c>
      <c r="O891" t="b">
        <f t="shared" si="93"/>
        <v>1</v>
      </c>
      <c r="Q891" s="25">
        <f t="shared" si="103"/>
        <v>-6.0015304854083129E-2</v>
      </c>
      <c r="R891" s="25">
        <f t="shared" si="100"/>
        <v>4.4405195225821092E-2</v>
      </c>
      <c r="S891" s="25">
        <f t="shared" si="97"/>
        <v>8.518322622516239E-2</v>
      </c>
      <c r="X891">
        <f t="shared" si="104"/>
        <v>1</v>
      </c>
      <c r="Y891">
        <f t="shared" si="101"/>
        <v>0</v>
      </c>
      <c r="Z891">
        <f t="shared" si="98"/>
        <v>1</v>
      </c>
    </row>
    <row r="892" spans="1:26">
      <c r="A892" s="26">
        <v>43690</v>
      </c>
      <c r="B892" s="23">
        <v>714.83</v>
      </c>
      <c r="C892" s="25">
        <f t="shared" si="94"/>
        <v>-2.2294256835309664E-2</v>
      </c>
      <c r="E892" s="25">
        <f t="shared" si="102"/>
        <v>-6.9449868520398805E-2</v>
      </c>
      <c r="F892" s="25">
        <f t="shared" si="99"/>
        <v>1.6743895716362367E-2</v>
      </c>
      <c r="G892" s="25">
        <f t="shared" si="96"/>
        <v>7.9268311325220164E-2</v>
      </c>
      <c r="K892" s="28">
        <v>43690</v>
      </c>
      <c r="L892" s="23">
        <v>13304.77</v>
      </c>
      <c r="M892" s="25">
        <f t="shared" si="95"/>
        <v>-1.7409545599059526E-2</v>
      </c>
      <c r="O892" t="b">
        <f t="shared" si="93"/>
        <v>1</v>
      </c>
      <c r="Q892" s="25">
        <f t="shared" si="103"/>
        <v>-7.8489402964399435E-2</v>
      </c>
      <c r="R892" s="25">
        <f t="shared" si="100"/>
        <v>3.9560967687600979E-2</v>
      </c>
      <c r="S892" s="25">
        <f t="shared" si="97"/>
        <v>7.9358779748844865E-2</v>
      </c>
      <c r="X892">
        <f t="shared" si="104"/>
        <v>1</v>
      </c>
      <c r="Y892">
        <f t="shared" si="101"/>
        <v>0</v>
      </c>
      <c r="Z892">
        <f t="shared" si="98"/>
        <v>0</v>
      </c>
    </row>
    <row r="893" spans="1:26">
      <c r="A893" s="27">
        <v>43691</v>
      </c>
      <c r="B893" s="24">
        <v>723.1</v>
      </c>
      <c r="C893" s="25">
        <f t="shared" si="94"/>
        <v>1.1569184281577412E-2</v>
      </c>
      <c r="E893" s="25">
        <f t="shared" si="102"/>
        <v>-5.5968249409245829E-2</v>
      </c>
      <c r="F893" s="25">
        <f t="shared" si="99"/>
        <v>1.4332205231303963E-2</v>
      </c>
      <c r="G893" s="25">
        <f t="shared" si="96"/>
        <v>8.2444446728769272E-2</v>
      </c>
      <c r="K893" s="29">
        <v>43691</v>
      </c>
      <c r="L893" s="24">
        <v>13429.64</v>
      </c>
      <c r="M893" s="25">
        <f t="shared" si="95"/>
        <v>9.2980898966762322E-3</v>
      </c>
      <c r="O893" t="b">
        <f t="shared" si="93"/>
        <v>1</v>
      </c>
      <c r="Q893" s="25">
        <f t="shared" si="103"/>
        <v>-6.5573063290857436E-2</v>
      </c>
      <c r="R893" s="25">
        <f t="shared" si="100"/>
        <v>3.7409268356014769E-2</v>
      </c>
      <c r="S893" s="25">
        <f t="shared" si="97"/>
        <v>8.2505410641596777E-2</v>
      </c>
      <c r="X893">
        <f t="shared" si="104"/>
        <v>1</v>
      </c>
      <c r="Y893">
        <f t="shared" si="101"/>
        <v>0</v>
      </c>
      <c r="Z893">
        <f t="shared" si="98"/>
        <v>0</v>
      </c>
    </row>
    <row r="894" spans="1:26">
      <c r="A894" s="26">
        <v>43693</v>
      </c>
      <c r="B894" s="23">
        <v>724.43</v>
      </c>
      <c r="C894" s="25">
        <f t="shared" si="94"/>
        <v>1.8393030009679536E-3</v>
      </c>
      <c r="E894" s="25">
        <f t="shared" si="102"/>
        <v>-4.7441848233422346E-2</v>
      </c>
      <c r="F894" s="25">
        <f t="shared" si="99"/>
        <v>9.3008982893449943E-3</v>
      </c>
      <c r="G894" s="25">
        <f t="shared" si="96"/>
        <v>7.9715874958542043E-2</v>
      </c>
      <c r="K894" s="28">
        <v>43693</v>
      </c>
      <c r="L894" s="23">
        <v>13456.71</v>
      </c>
      <c r="M894" s="25">
        <f t="shared" si="95"/>
        <v>2.0116358307490992E-3</v>
      </c>
      <c r="O894" t="b">
        <f t="shared" si="93"/>
        <v>1</v>
      </c>
      <c r="Q894" s="25">
        <f t="shared" si="103"/>
        <v>-5.7171383130031561E-2</v>
      </c>
      <c r="R894" s="25">
        <f t="shared" si="100"/>
        <v>3.2763862910610175E-2</v>
      </c>
      <c r="S894" s="25">
        <f t="shared" si="97"/>
        <v>8.08306512338266E-2</v>
      </c>
      <c r="X894">
        <f t="shared" si="104"/>
        <v>1</v>
      </c>
      <c r="Y894">
        <f t="shared" si="101"/>
        <v>0</v>
      </c>
      <c r="Z894">
        <f t="shared" si="98"/>
        <v>0</v>
      </c>
    </row>
    <row r="895" spans="1:26">
      <c r="A895" s="27">
        <v>43696</v>
      </c>
      <c r="B895" s="24">
        <v>725.78</v>
      </c>
      <c r="C895" s="25">
        <f t="shared" si="94"/>
        <v>1.8635340888699017E-3</v>
      </c>
      <c r="E895" s="25">
        <f t="shared" si="102"/>
        <v>-5.5822243036855013E-2</v>
      </c>
      <c r="F895" s="25">
        <f t="shared" si="99"/>
        <v>9.4888199572327192E-3</v>
      </c>
      <c r="G895" s="25">
        <f t="shared" si="96"/>
        <v>7.8515449448560259E-2</v>
      </c>
      <c r="K895" s="29">
        <v>43696</v>
      </c>
      <c r="L895" s="24">
        <v>13473.78</v>
      </c>
      <c r="M895" s="25">
        <f t="shared" si="95"/>
        <v>1.2669050555969836E-3</v>
      </c>
      <c r="O895" t="b">
        <f t="shared" si="93"/>
        <v>1</v>
      </c>
      <c r="Q895" s="25">
        <f t="shared" si="103"/>
        <v>-6.3181036928262602E-2</v>
      </c>
      <c r="R895" s="25">
        <f t="shared" si="100"/>
        <v>3.2966024686582163E-2</v>
      </c>
      <c r="S895" s="25">
        <f t="shared" si="97"/>
        <v>8.0912349118521965E-2</v>
      </c>
      <c r="X895">
        <f t="shared" si="104"/>
        <v>1</v>
      </c>
      <c r="Y895">
        <f t="shared" si="101"/>
        <v>0</v>
      </c>
      <c r="Z895">
        <f t="shared" si="98"/>
        <v>0</v>
      </c>
    </row>
    <row r="896" spans="1:26">
      <c r="A896" s="26">
        <v>43697</v>
      </c>
      <c r="B896" s="23">
        <v>721.06</v>
      </c>
      <c r="C896" s="25">
        <f t="shared" si="94"/>
        <v>-6.5033481220204848E-3</v>
      </c>
      <c r="E896" s="25">
        <f t="shared" si="102"/>
        <v>-6.047141907827025E-2</v>
      </c>
      <c r="F896" s="25">
        <f t="shared" si="99"/>
        <v>9.1382591035276128E-3</v>
      </c>
      <c r="G896" s="25">
        <f t="shared" si="96"/>
        <v>7.82138982866456E-2</v>
      </c>
      <c r="K896" s="28">
        <v>43697</v>
      </c>
      <c r="L896" s="23">
        <v>13414.23</v>
      </c>
      <c r="M896" s="25">
        <f t="shared" si="95"/>
        <v>-4.4393155626525783E-3</v>
      </c>
      <c r="O896" t="b">
        <f t="shared" si="93"/>
        <v>1</v>
      </c>
      <c r="Q896" s="25">
        <f t="shared" si="103"/>
        <v>-6.3424759681176113E-2</v>
      </c>
      <c r="R896" s="25">
        <f t="shared" si="100"/>
        <v>3.3586126882664935E-2</v>
      </c>
      <c r="S896" s="25">
        <f t="shared" si="97"/>
        <v>8.0959737906503904E-2</v>
      </c>
      <c r="X896">
        <f t="shared" si="104"/>
        <v>1</v>
      </c>
      <c r="Y896">
        <f t="shared" si="101"/>
        <v>0</v>
      </c>
      <c r="Z896">
        <f t="shared" si="98"/>
        <v>0</v>
      </c>
    </row>
    <row r="897" spans="1:26">
      <c r="A897" s="27">
        <v>43698</v>
      </c>
      <c r="B897" s="24">
        <v>713.05</v>
      </c>
      <c r="C897" s="25">
        <f t="shared" si="94"/>
        <v>-1.1108645605081397E-2</v>
      </c>
      <c r="E897" s="25">
        <f t="shared" si="102"/>
        <v>-8.2893890675241222E-2</v>
      </c>
      <c r="F897" s="25">
        <f t="shared" si="99"/>
        <v>7.9401522539648273E-3</v>
      </c>
      <c r="G897" s="25">
        <f t="shared" si="96"/>
        <v>7.3417164048714678E-2</v>
      </c>
      <c r="K897" s="29">
        <v>43698</v>
      </c>
      <c r="L897" s="24">
        <v>13277.02</v>
      </c>
      <c r="M897" s="25">
        <f t="shared" si="95"/>
        <v>-1.0334397327110988E-2</v>
      </c>
      <c r="O897" t="b">
        <f t="shared" si="93"/>
        <v>1</v>
      </c>
      <c r="Q897" s="25">
        <f t="shared" si="103"/>
        <v>-8.1023725707071503E-2</v>
      </c>
      <c r="R897" s="25">
        <f t="shared" si="100"/>
        <v>3.3399569338858237E-2</v>
      </c>
      <c r="S897" s="25">
        <f t="shared" si="97"/>
        <v>7.7452601025064016E-2</v>
      </c>
      <c r="X897">
        <f t="shared" si="104"/>
        <v>0</v>
      </c>
      <c r="Y897">
        <f t="shared" si="101"/>
        <v>0</v>
      </c>
      <c r="Z897">
        <f t="shared" si="98"/>
        <v>0</v>
      </c>
    </row>
    <row r="898" spans="1:26">
      <c r="A898" s="26">
        <v>43699</v>
      </c>
      <c r="B898" s="23">
        <v>701.63</v>
      </c>
      <c r="C898" s="25">
        <f t="shared" si="94"/>
        <v>-1.6015707173409943E-2</v>
      </c>
      <c r="E898" s="25">
        <f t="shared" si="102"/>
        <v>-0.10105060858424086</v>
      </c>
      <c r="F898" s="25">
        <f t="shared" si="99"/>
        <v>1.0063200859227184E-3</v>
      </c>
      <c r="G898" s="25">
        <f t="shared" si="96"/>
        <v>6.6313454958666362E-2</v>
      </c>
      <c r="K898" s="28">
        <v>43699</v>
      </c>
      <c r="L898" s="23">
        <v>13061.91</v>
      </c>
      <c r="M898" s="25">
        <f t="shared" si="95"/>
        <v>-1.6468495036330872E-2</v>
      </c>
      <c r="O898" t="b">
        <f t="shared" si="93"/>
        <v>1</v>
      </c>
      <c r="Q898" s="25">
        <f t="shared" si="103"/>
        <v>-0.10239452444517749</v>
      </c>
      <c r="R898" s="25">
        <f t="shared" si="100"/>
        <v>2.5595111187711073E-2</v>
      </c>
      <c r="S898" s="25">
        <f t="shared" si="97"/>
        <v>7.0327329457164467E-2</v>
      </c>
      <c r="X898">
        <f t="shared" si="104"/>
        <v>1</v>
      </c>
      <c r="Y898">
        <f t="shared" si="101"/>
        <v>0</v>
      </c>
      <c r="Z898">
        <f t="shared" si="98"/>
        <v>0</v>
      </c>
    </row>
    <row r="899" spans="1:26">
      <c r="A899" s="27">
        <v>43700</v>
      </c>
      <c r="B899" s="24">
        <v>706.94</v>
      </c>
      <c r="C899" s="25">
        <f t="shared" si="94"/>
        <v>7.56809144420857E-3</v>
      </c>
      <c r="E899" s="25">
        <f t="shared" si="102"/>
        <v>-9.6123357029611722E-2</v>
      </c>
      <c r="F899" s="25">
        <f t="shared" si="99"/>
        <v>7.0728110534989952E-6</v>
      </c>
      <c r="G899" s="25">
        <f t="shared" si="96"/>
        <v>7.0255765264577219E-2</v>
      </c>
      <c r="K899" s="29">
        <v>43700</v>
      </c>
      <c r="L899" s="24">
        <v>13168.84</v>
      </c>
      <c r="M899" s="25">
        <f t="shared" si="95"/>
        <v>8.119925521154505E-3</v>
      </c>
      <c r="O899" t="b">
        <f t="shared" ref="O899:O962" si="105">K899=A899</f>
        <v>1</v>
      </c>
      <c r="Q899" s="25">
        <f t="shared" si="103"/>
        <v>-9.7149634748746272E-2</v>
      </c>
      <c r="R899" s="25">
        <f t="shared" si="100"/>
        <v>2.461470615469441E-2</v>
      </c>
      <c r="S899" s="25">
        <f t="shared" si="97"/>
        <v>7.530633338892545E-2</v>
      </c>
      <c r="X899">
        <f t="shared" si="104"/>
        <v>1</v>
      </c>
      <c r="Y899">
        <f t="shared" si="101"/>
        <v>0</v>
      </c>
      <c r="Z899">
        <f t="shared" si="98"/>
        <v>0</v>
      </c>
    </row>
    <row r="900" spans="1:26">
      <c r="A900" s="26">
        <v>43703</v>
      </c>
      <c r="B900" s="23">
        <v>720.76</v>
      </c>
      <c r="C900" s="25">
        <f t="shared" ref="C900:C963" si="106">(B900-B899)/B899</f>
        <v>1.9549042351543179E-2</v>
      </c>
      <c r="E900" s="25">
        <f t="shared" si="102"/>
        <v>-7.98299480396788E-2</v>
      </c>
      <c r="F900" s="25">
        <f t="shared" si="99"/>
        <v>8.3161515010412579E-3</v>
      </c>
      <c r="G900" s="25">
        <f t="shared" si="96"/>
        <v>7.5923928527943163E-2</v>
      </c>
      <c r="K900" s="28">
        <v>43703</v>
      </c>
      <c r="L900" s="23">
        <v>13429.74</v>
      </c>
      <c r="M900" s="25">
        <f t="shared" ref="M900:M963" si="107">(L900-L899)/L900</f>
        <v>1.9427032839057171E-2</v>
      </c>
      <c r="O900" t="b">
        <f t="shared" si="105"/>
        <v>1</v>
      </c>
      <c r="Q900" s="25">
        <f t="shared" si="103"/>
        <v>-8.023795108935361E-2</v>
      </c>
      <c r="R900" s="25">
        <f t="shared" si="100"/>
        <v>3.3371946680519349E-2</v>
      </c>
      <c r="S900" s="25">
        <f t="shared" si="97"/>
        <v>8.2788403525822174E-2</v>
      </c>
      <c r="X900">
        <f t="shared" si="104"/>
        <v>1</v>
      </c>
      <c r="Y900">
        <f t="shared" si="101"/>
        <v>0</v>
      </c>
      <c r="Z900">
        <f t="shared" si="98"/>
        <v>0</v>
      </c>
    </row>
    <row r="901" spans="1:26">
      <c r="A901" s="27">
        <v>43704</v>
      </c>
      <c r="B901" s="24">
        <v>724.63</v>
      </c>
      <c r="C901" s="25">
        <f t="shared" si="106"/>
        <v>5.369332371385766E-3</v>
      </c>
      <c r="E901" s="25">
        <f t="shared" si="102"/>
        <v>-7.1403857243544588E-2</v>
      </c>
      <c r="F901" s="25">
        <f t="shared" si="99"/>
        <v>6.4795042865470887E-3</v>
      </c>
      <c r="G901" s="25">
        <f t="shared" si="96"/>
        <v>7.7430505198013533E-2</v>
      </c>
      <c r="K901" s="29">
        <v>43704</v>
      </c>
      <c r="L901" s="24">
        <v>13516.01</v>
      </c>
      <c r="M901" s="25">
        <f t="shared" si="107"/>
        <v>6.3828008413725967E-3</v>
      </c>
      <c r="O901" t="b">
        <f t="shared" si="105"/>
        <v>1</v>
      </c>
      <c r="Q901" s="25">
        <f t="shared" si="103"/>
        <v>-7.242823093747397E-2</v>
      </c>
      <c r="R901" s="25">
        <f t="shared" si="100"/>
        <v>3.2859114795911193E-2</v>
      </c>
      <c r="S901" s="25">
        <f t="shared" si="97"/>
        <v>8.3812644569595474E-2</v>
      </c>
      <c r="X901">
        <f t="shared" si="104"/>
        <v>1</v>
      </c>
      <c r="Y901">
        <f t="shared" si="101"/>
        <v>0</v>
      </c>
      <c r="Z901">
        <f t="shared" si="98"/>
        <v>0</v>
      </c>
    </row>
    <row r="902" spans="1:26">
      <c r="A902" s="26">
        <v>43705</v>
      </c>
      <c r="B902" s="23">
        <v>719.06</v>
      </c>
      <c r="C902" s="25">
        <f t="shared" si="106"/>
        <v>-7.6866814788237444E-3</v>
      </c>
      <c r="E902" s="25">
        <f t="shared" si="102"/>
        <v>-8.9324839473650997E-2</v>
      </c>
      <c r="F902" s="25">
        <f t="shared" si="99"/>
        <v>7.2897458226190981E-3</v>
      </c>
      <c r="G902" s="25">
        <f t="shared" si="96"/>
        <v>7.0679692159298257E-2</v>
      </c>
      <c r="K902" s="28">
        <v>43705</v>
      </c>
      <c r="L902" s="23">
        <v>13439.14</v>
      </c>
      <c r="M902" s="25">
        <f t="shared" si="107"/>
        <v>-5.7198600505687716E-3</v>
      </c>
      <c r="O902" t="b">
        <f t="shared" si="105"/>
        <v>1</v>
      </c>
      <c r="Q902" s="25">
        <f t="shared" si="103"/>
        <v>-8.7707222169047028E-2</v>
      </c>
      <c r="R902" s="25">
        <f t="shared" si="100"/>
        <v>3.5778059636747628E-2</v>
      </c>
      <c r="S902" s="25">
        <f t="shared" si="97"/>
        <v>7.683327472773116E-2</v>
      </c>
      <c r="X902">
        <f t="shared" si="104"/>
        <v>0</v>
      </c>
      <c r="Y902">
        <f t="shared" si="101"/>
        <v>0</v>
      </c>
      <c r="Z902">
        <f t="shared" si="98"/>
        <v>0</v>
      </c>
    </row>
    <row r="903" spans="1:26">
      <c r="A903" s="27">
        <v>43706</v>
      </c>
      <c r="B903" s="24">
        <v>714.99</v>
      </c>
      <c r="C903" s="25">
        <f t="shared" si="106"/>
        <v>-5.6601674408254341E-3</v>
      </c>
      <c r="E903" s="25">
        <f t="shared" si="102"/>
        <v>-9.4674331442463511E-2</v>
      </c>
      <c r="F903" s="25">
        <f t="shared" si="99"/>
        <v>1.398650302530946E-5</v>
      </c>
      <c r="G903" s="25">
        <f t="shared" si="96"/>
        <v>6.6777500074088003E-2</v>
      </c>
      <c r="K903" s="29">
        <v>43706</v>
      </c>
      <c r="L903" s="24">
        <v>13342.2</v>
      </c>
      <c r="M903" s="25">
        <f t="shared" si="107"/>
        <v>-7.2656683305600787E-3</v>
      </c>
      <c r="O903" t="b">
        <f t="shared" si="105"/>
        <v>1</v>
      </c>
      <c r="Q903" s="25">
        <f t="shared" si="103"/>
        <v>-9.6747812817973289E-2</v>
      </c>
      <c r="R903" s="25">
        <f t="shared" si="100"/>
        <v>2.6576649881694614E-2</v>
      </c>
      <c r="S903" s="25">
        <f t="shared" si="97"/>
        <v>7.2785902645585265E-2</v>
      </c>
      <c r="X903">
        <f t="shared" si="104"/>
        <v>1</v>
      </c>
      <c r="Y903">
        <f t="shared" si="101"/>
        <v>0</v>
      </c>
      <c r="Z903">
        <f t="shared" si="98"/>
        <v>0</v>
      </c>
    </row>
    <row r="904" spans="1:26">
      <c r="A904" s="26">
        <v>43707</v>
      </c>
      <c r="B904" s="23">
        <v>721.97</v>
      </c>
      <c r="C904" s="25">
        <f t="shared" si="106"/>
        <v>9.7623742989412701E-3</v>
      </c>
      <c r="E904" s="25">
        <f t="shared" si="102"/>
        <v>-8.553514882837232E-2</v>
      </c>
      <c r="F904" s="25">
        <f t="shared" si="99"/>
        <v>3.8659534046434629E-3</v>
      </c>
      <c r="G904" s="25">
        <f t="shared" si="96"/>
        <v>7.1105293184199114E-2</v>
      </c>
      <c r="K904" s="28">
        <v>43707</v>
      </c>
      <c r="L904" s="23">
        <v>13449.3</v>
      </c>
      <c r="M904" s="25">
        <f t="shared" si="107"/>
        <v>7.9632397225133308E-3</v>
      </c>
      <c r="O904" t="b">
        <f t="shared" si="105"/>
        <v>1</v>
      </c>
      <c r="Q904" s="25">
        <f t="shared" si="103"/>
        <v>-8.8395655521695371E-2</v>
      </c>
      <c r="R904" s="25">
        <f t="shared" si="100"/>
        <v>2.8777172826905284E-2</v>
      </c>
      <c r="S904" s="25">
        <f t="shared" si="97"/>
        <v>7.6424907572336886E-2</v>
      </c>
      <c r="X904">
        <f t="shared" si="104"/>
        <v>1</v>
      </c>
      <c r="Y904">
        <f t="shared" si="101"/>
        <v>0</v>
      </c>
      <c r="Z904">
        <f t="shared" si="98"/>
        <v>0</v>
      </c>
    </row>
    <row r="905" spans="1:26">
      <c r="A905" s="27">
        <v>43711</v>
      </c>
      <c r="B905" s="24">
        <v>709.14</v>
      </c>
      <c r="C905" s="25">
        <f t="shared" si="106"/>
        <v>-1.7770821502278544E-2</v>
      </c>
      <c r="E905" s="25">
        <f t="shared" si="102"/>
        <v>-0.10312642282592199</v>
      </c>
      <c r="F905" s="25">
        <f t="shared" si="99"/>
        <v>-9.3573700012284933E-3</v>
      </c>
      <c r="G905" s="25">
        <f t="shared" si="96"/>
        <v>6.2694536032723347E-2</v>
      </c>
      <c r="K905" s="29">
        <v>43711</v>
      </c>
      <c r="L905" s="24">
        <v>13186.84</v>
      </c>
      <c r="M905" s="25">
        <f t="shared" si="107"/>
        <v>-1.9903176196875001E-2</v>
      </c>
      <c r="O905" t="b">
        <f t="shared" si="105"/>
        <v>1</v>
      </c>
      <c r="Q905" s="25">
        <f t="shared" si="103"/>
        <v>-0.10634228854237893</v>
      </c>
      <c r="R905" s="25">
        <f t="shared" si="100"/>
        <v>1.5176528652915522E-2</v>
      </c>
      <c r="S905" s="25">
        <f t="shared" si="97"/>
        <v>6.7899283486630324E-2</v>
      </c>
      <c r="X905">
        <f t="shared" si="104"/>
        <v>1</v>
      </c>
      <c r="Y905">
        <f t="shared" si="101"/>
        <v>0</v>
      </c>
      <c r="Z905">
        <f t="shared" si="98"/>
        <v>0</v>
      </c>
    </row>
    <row r="906" spans="1:26">
      <c r="A906" s="26">
        <v>43712</v>
      </c>
      <c r="B906" s="23">
        <v>713.03</v>
      </c>
      <c r="C906" s="25">
        <f t="shared" si="106"/>
        <v>5.4855176692895427E-3</v>
      </c>
      <c r="E906" s="25">
        <f t="shared" si="102"/>
        <v>-0.1011169381271747</v>
      </c>
      <c r="F906" s="25">
        <f t="shared" si="99"/>
        <v>-3.1198493082502665E-3</v>
      </c>
      <c r="G906" s="25">
        <f t="shared" si="96"/>
        <v>5.9996303868625533E-2</v>
      </c>
      <c r="K906" s="28">
        <v>43712</v>
      </c>
      <c r="L906" s="23">
        <v>13232.93</v>
      </c>
      <c r="M906" s="25">
        <f t="shared" si="107"/>
        <v>3.4829776927709998E-3</v>
      </c>
      <c r="O906" t="b">
        <f t="shared" si="105"/>
        <v>1</v>
      </c>
      <c r="Q906" s="25">
        <f t="shared" si="103"/>
        <v>-0.10485187327292589</v>
      </c>
      <c r="R906" s="25">
        <f t="shared" si="100"/>
        <v>2.0151168136810726E-2</v>
      </c>
      <c r="S906" s="25">
        <f t="shared" si="97"/>
        <v>6.3941440112529557E-2</v>
      </c>
      <c r="X906">
        <f t="shared" si="104"/>
        <v>1</v>
      </c>
      <c r="Y906">
        <f t="shared" si="101"/>
        <v>0</v>
      </c>
      <c r="Z906">
        <f t="shared" si="98"/>
        <v>0</v>
      </c>
    </row>
    <row r="907" spans="1:26">
      <c r="A907" s="27">
        <v>43713</v>
      </c>
      <c r="B907" s="24">
        <v>714.85</v>
      </c>
      <c r="C907" s="25">
        <f t="shared" si="106"/>
        <v>2.5524872726253455E-3</v>
      </c>
      <c r="E907" s="25">
        <f t="shared" si="102"/>
        <v>-9.3589125859051991E-2</v>
      </c>
      <c r="F907" s="25">
        <f t="shared" si="99"/>
        <v>-4.3568953065188376E-3</v>
      </c>
      <c r="G907" s="25">
        <f t="shared" si="96"/>
        <v>6.1169268573935565E-2</v>
      </c>
      <c r="K907" s="29">
        <v>43713</v>
      </c>
      <c r="L907" s="24">
        <v>13252.79</v>
      </c>
      <c r="M907" s="25">
        <f t="shared" si="107"/>
        <v>1.4985523802912883E-3</v>
      </c>
      <c r="O907" t="b">
        <f t="shared" si="105"/>
        <v>1</v>
      </c>
      <c r="Q907" s="25">
        <f t="shared" si="103"/>
        <v>-9.7150662347527228E-2</v>
      </c>
      <c r="R907" s="25">
        <f t="shared" si="100"/>
        <v>1.8153627892012691E-2</v>
      </c>
      <c r="S907" s="25">
        <f t="shared" si="97"/>
        <v>6.4804316705993958E-2</v>
      </c>
      <c r="X907">
        <f t="shared" si="104"/>
        <v>1</v>
      </c>
      <c r="Y907">
        <f t="shared" si="101"/>
        <v>0</v>
      </c>
      <c r="Z907">
        <f t="shared" si="98"/>
        <v>0</v>
      </c>
    </row>
    <row r="908" spans="1:26">
      <c r="A908" s="26">
        <v>43714</v>
      </c>
      <c r="B908" s="23">
        <v>721.62</v>
      </c>
      <c r="C908" s="25">
        <f t="shared" si="106"/>
        <v>9.4705182905504386E-3</v>
      </c>
      <c r="E908" s="25">
        <f t="shared" si="102"/>
        <v>-7.1668403380803603E-2</v>
      </c>
      <c r="F908" s="25">
        <f t="shared" si="99"/>
        <v>5.8947344340376517E-4</v>
      </c>
      <c r="G908" s="25">
        <f t="shared" si="96"/>
        <v>6.2623229101466782E-2</v>
      </c>
      <c r="K908" s="28">
        <v>43714</v>
      </c>
      <c r="L908" s="23">
        <v>13363.98</v>
      </c>
      <c r="M908" s="25">
        <f t="shared" si="107"/>
        <v>8.3201261899522976E-3</v>
      </c>
      <c r="O908" t="b">
        <f t="shared" si="105"/>
        <v>1</v>
      </c>
      <c r="Q908" s="25">
        <f t="shared" si="103"/>
        <v>-7.8847440944203484E-2</v>
      </c>
      <c r="R908" s="25">
        <f t="shared" si="100"/>
        <v>2.3278633198115184E-2</v>
      </c>
      <c r="S908" s="25">
        <f t="shared" si="97"/>
        <v>6.6030044205651173E-2</v>
      </c>
      <c r="X908">
        <f t="shared" si="104"/>
        <v>1</v>
      </c>
      <c r="Y908">
        <f t="shared" si="101"/>
        <v>0</v>
      </c>
      <c r="Z908">
        <f t="shared" si="98"/>
        <v>0</v>
      </c>
    </row>
    <row r="909" spans="1:26">
      <c r="A909" s="27">
        <v>43717</v>
      </c>
      <c r="B909" s="24">
        <v>726.52</v>
      </c>
      <c r="C909" s="25">
        <f t="shared" si="106"/>
        <v>6.7902774313350197E-3</v>
      </c>
      <c r="E909" s="25">
        <f t="shared" si="102"/>
        <v>-6.494375659605145E-2</v>
      </c>
      <c r="F909" s="25">
        <f t="shared" si="99"/>
        <v>1.1305826109369033E-3</v>
      </c>
      <c r="G909" s="25">
        <f t="shared" si="96"/>
        <v>6.7055409449447545E-2</v>
      </c>
      <c r="K909" s="29">
        <v>43717</v>
      </c>
      <c r="L909" s="24">
        <v>13442.01</v>
      </c>
      <c r="M909" s="25">
        <f t="shared" si="107"/>
        <v>5.8049354226042578E-3</v>
      </c>
      <c r="O909" t="b">
        <f t="shared" si="105"/>
        <v>1</v>
      </c>
      <c r="Q909" s="25">
        <f t="shared" si="103"/>
        <v>-6.9530432326767477E-2</v>
      </c>
      <c r="R909" s="25">
        <f t="shared" si="100"/>
        <v>2.4729668069627841E-2</v>
      </c>
      <c r="S909" s="25">
        <f t="shared" si="97"/>
        <v>7.124602337848418E-2</v>
      </c>
      <c r="X909">
        <f t="shared" si="104"/>
        <v>1</v>
      </c>
      <c r="Y909">
        <f t="shared" si="101"/>
        <v>0</v>
      </c>
      <c r="Z909">
        <f t="shared" si="98"/>
        <v>0</v>
      </c>
    </row>
    <row r="910" spans="1:26">
      <c r="A910" s="26">
        <v>43719</v>
      </c>
      <c r="B910" s="23">
        <v>730.96</v>
      </c>
      <c r="C910" s="25">
        <f t="shared" si="106"/>
        <v>6.1113252216044361E-3</v>
      </c>
      <c r="E910" s="25">
        <f t="shared" si="102"/>
        <v>-6.1307307050211923E-2</v>
      </c>
      <c r="F910" s="25">
        <f t="shared" si="99"/>
        <v>4.1919669450773966E-3</v>
      </c>
      <c r="G910" s="25">
        <f t="shared" si="96"/>
        <v>7.7627838108867087E-2</v>
      </c>
      <c r="K910" s="28">
        <v>43719</v>
      </c>
      <c r="L910" s="23">
        <v>13506.72</v>
      </c>
      <c r="M910" s="25">
        <f t="shared" si="107"/>
        <v>4.7909485056326874E-3</v>
      </c>
      <c r="O910" t="b">
        <f t="shared" si="105"/>
        <v>1</v>
      </c>
      <c r="Q910" s="25">
        <f t="shared" si="103"/>
        <v>-7.0061159531846995E-2</v>
      </c>
      <c r="R910" s="25">
        <f t="shared" si="100"/>
        <v>2.7614771780621883E-2</v>
      </c>
      <c r="S910" s="25">
        <f t="shared" si="97"/>
        <v>8.0369241756381271E-2</v>
      </c>
      <c r="X910">
        <f t="shared" si="104"/>
        <v>1</v>
      </c>
      <c r="Y910">
        <f t="shared" si="101"/>
        <v>0</v>
      </c>
      <c r="Z910">
        <f t="shared" si="98"/>
        <v>0</v>
      </c>
    </row>
    <row r="911" spans="1:26">
      <c r="A911" s="27">
        <v>43720</v>
      </c>
      <c r="B911" s="24">
        <v>732.56</v>
      </c>
      <c r="C911" s="25">
        <f t="shared" si="106"/>
        <v>2.1889022655137203E-3</v>
      </c>
      <c r="E911" s="25">
        <f t="shared" si="102"/>
        <v>-6.9055788537298324E-2</v>
      </c>
      <c r="F911" s="25">
        <f t="shared" si="99"/>
        <v>7.9952724501675121E-4</v>
      </c>
      <c r="G911" s="25">
        <f t="shared" si="96"/>
        <v>7.4837141421909781E-2</v>
      </c>
      <c r="K911" s="29">
        <v>43720</v>
      </c>
      <c r="L911" s="24">
        <v>13457.64</v>
      </c>
      <c r="M911" s="25">
        <f t="shared" si="107"/>
        <v>-3.6469990280613785E-3</v>
      </c>
      <c r="O911" t="b">
        <f t="shared" si="105"/>
        <v>1</v>
      </c>
      <c r="Q911" s="25">
        <f t="shared" si="103"/>
        <v>-7.9053763676328548E-2</v>
      </c>
      <c r="R911" s="25">
        <f t="shared" si="100"/>
        <v>2.2118862313451393E-2</v>
      </c>
      <c r="S911" s="25">
        <f t="shared" si="97"/>
        <v>7.7360530287208684E-2</v>
      </c>
      <c r="X911">
        <f t="shared" si="104"/>
        <v>1</v>
      </c>
      <c r="Y911">
        <f t="shared" si="101"/>
        <v>0</v>
      </c>
      <c r="Z911">
        <f t="shared" si="98"/>
        <v>0</v>
      </c>
    </row>
    <row r="912" spans="1:26">
      <c r="A912" s="26">
        <v>43721</v>
      </c>
      <c r="B912" s="23">
        <v>737.58</v>
      </c>
      <c r="C912" s="25">
        <f t="shared" si="106"/>
        <v>6.8526810090642348E-3</v>
      </c>
      <c r="E912" s="25">
        <f t="shared" si="102"/>
        <v>-4.9742975302438874E-2</v>
      </c>
      <c r="F912" s="25">
        <f t="shared" si="99"/>
        <v>6.1745363955467703E-4</v>
      </c>
      <c r="G912" s="25">
        <f t="shared" si="96"/>
        <v>7.6769838007181068E-2</v>
      </c>
      <c r="K912" s="28">
        <v>43721</v>
      </c>
      <c r="L912" s="23">
        <v>13561.51</v>
      </c>
      <c r="M912" s="25">
        <f t="shared" si="107"/>
        <v>7.6591765961165677E-3</v>
      </c>
      <c r="O912" t="b">
        <f t="shared" si="105"/>
        <v>1</v>
      </c>
      <c r="Q912" s="25">
        <f t="shared" si="103"/>
        <v>-5.9167344809381239E-2</v>
      </c>
      <c r="R912" s="25">
        <f t="shared" si="100"/>
        <v>2.143620472586627E-2</v>
      </c>
      <c r="S912" s="25">
        <f t="shared" si="97"/>
        <v>7.9708356328923369E-2</v>
      </c>
      <c r="X912">
        <f t="shared" si="104"/>
        <v>1</v>
      </c>
      <c r="Y912">
        <f t="shared" si="101"/>
        <v>0</v>
      </c>
      <c r="Z912">
        <f t="shared" si="98"/>
        <v>0</v>
      </c>
    </row>
    <row r="913" spans="1:26">
      <c r="A913" s="27">
        <v>43724</v>
      </c>
      <c r="B913" s="24">
        <v>734.63</v>
      </c>
      <c r="C913" s="25">
        <f t="shared" si="106"/>
        <v>-3.9995661487568068E-3</v>
      </c>
      <c r="E913" s="25">
        <f t="shared" si="102"/>
        <v>-3.8857561524472506E-2</v>
      </c>
      <c r="F913" s="25">
        <f t="shared" si="99"/>
        <v>3.4729434923197466E-4</v>
      </c>
      <c r="G913" s="25">
        <f t="shared" si="96"/>
        <v>7.498678020463001E-2</v>
      </c>
      <c r="K913" s="29">
        <v>43724</v>
      </c>
      <c r="L913" s="24">
        <v>13499.13</v>
      </c>
      <c r="M913" s="25">
        <f t="shared" si="107"/>
        <v>-4.621038541002348E-3</v>
      </c>
      <c r="O913" t="b">
        <f t="shared" si="105"/>
        <v>1</v>
      </c>
      <c r="Q913" s="25">
        <f t="shared" si="103"/>
        <v>-5.0593276782555763E-2</v>
      </c>
      <c r="R913" s="25">
        <f t="shared" si="100"/>
        <v>2.0431557978500825E-2</v>
      </c>
      <c r="S913" s="25">
        <f t="shared" si="97"/>
        <v>7.6865594681938765E-2</v>
      </c>
      <c r="X913">
        <f t="shared" si="104"/>
        <v>1</v>
      </c>
      <c r="Y913">
        <f t="shared" si="101"/>
        <v>0</v>
      </c>
      <c r="Z913">
        <f t="shared" si="98"/>
        <v>0</v>
      </c>
    </row>
    <row r="914" spans="1:26">
      <c r="A914" s="26">
        <v>43725</v>
      </c>
      <c r="B914" s="23">
        <v>721.35</v>
      </c>
      <c r="C914" s="25">
        <f t="shared" si="106"/>
        <v>-1.8077127261342408E-2</v>
      </c>
      <c r="E914" s="25">
        <f t="shared" si="102"/>
        <v>-6.113338192419826E-2</v>
      </c>
      <c r="F914" s="25">
        <f t="shared" si="99"/>
        <v>-9.5919580369321356E-3</v>
      </c>
      <c r="G914" s="25">
        <f t="shared" si="96"/>
        <v>6.6764840336869469E-2</v>
      </c>
      <c r="K914" s="28">
        <v>43725</v>
      </c>
      <c r="L914" s="23">
        <v>13266.59</v>
      </c>
      <c r="M914" s="25">
        <f t="shared" si="107"/>
        <v>-1.7528241997378305E-2</v>
      </c>
      <c r="O914" t="b">
        <f t="shared" si="105"/>
        <v>1</v>
      </c>
      <c r="Q914" s="25">
        <f t="shared" si="103"/>
        <v>-7.2237887039880877E-2</v>
      </c>
      <c r="R914" s="25">
        <f t="shared" si="100"/>
        <v>1.0505012744918885E-2</v>
      </c>
      <c r="S914" s="25">
        <f t="shared" si="97"/>
        <v>6.9378888765071256E-2</v>
      </c>
      <c r="X914">
        <f t="shared" si="104"/>
        <v>1</v>
      </c>
      <c r="Y914">
        <f t="shared" si="101"/>
        <v>0</v>
      </c>
      <c r="Z914">
        <f t="shared" si="98"/>
        <v>0</v>
      </c>
    </row>
    <row r="915" spans="1:26">
      <c r="A915" s="27">
        <v>43726</v>
      </c>
      <c r="B915" s="24">
        <v>723.42</v>
      </c>
      <c r="C915" s="25">
        <f t="shared" si="106"/>
        <v>2.8696194635058382E-3</v>
      </c>
      <c r="E915" s="25">
        <f t="shared" si="102"/>
        <v>-7.1359802826664653E-2</v>
      </c>
      <c r="F915" s="25">
        <f t="shared" si="99"/>
        <v>-7.5982296860159781E-3</v>
      </c>
      <c r="G915" s="25">
        <f t="shared" si="96"/>
        <v>6.8335912649452268E-2</v>
      </c>
      <c r="K915" s="29">
        <v>43726</v>
      </c>
      <c r="L915" s="24">
        <v>13302.38</v>
      </c>
      <c r="M915" s="25">
        <f t="shared" si="107"/>
        <v>2.690495986432432E-3</v>
      </c>
      <c r="O915" t="b">
        <f t="shared" si="105"/>
        <v>1</v>
      </c>
      <c r="Q915" s="25">
        <f t="shared" si="103"/>
        <v>-8.2300819020707405E-2</v>
      </c>
      <c r="R915" s="25">
        <f t="shared" si="100"/>
        <v>1.1704406179298799E-2</v>
      </c>
      <c r="S915" s="25">
        <f t="shared" si="97"/>
        <v>7.1453260436820543E-2</v>
      </c>
      <c r="X915">
        <f t="shared" si="104"/>
        <v>1</v>
      </c>
      <c r="Y915">
        <f t="shared" si="101"/>
        <v>0</v>
      </c>
      <c r="Z915">
        <f t="shared" si="98"/>
        <v>0</v>
      </c>
    </row>
    <row r="916" spans="1:26">
      <c r="A916" s="26">
        <v>43727</v>
      </c>
      <c r="B916" s="23">
        <v>712.98</v>
      </c>
      <c r="C916" s="25">
        <f t="shared" si="106"/>
        <v>-1.4431450609604298E-2</v>
      </c>
      <c r="E916" s="25">
        <f t="shared" si="102"/>
        <v>-7.7060491126328401E-2</v>
      </c>
      <c r="F916" s="25">
        <f t="shared" si="99"/>
        <v>-1.8307122830658051E-2</v>
      </c>
      <c r="G916" s="25">
        <f t="shared" si="96"/>
        <v>6.2676455143080734E-2</v>
      </c>
      <c r="K916" s="28">
        <v>43727</v>
      </c>
      <c r="L916" s="23">
        <v>13136.23</v>
      </c>
      <c r="M916" s="25">
        <f t="shared" si="107"/>
        <v>-1.2648225556343002E-2</v>
      </c>
      <c r="O916" t="b">
        <f t="shared" si="105"/>
        <v>1</v>
      </c>
      <c r="Q916" s="25">
        <f t="shared" si="103"/>
        <v>-8.4814144445791495E-2</v>
      </c>
      <c r="R916" s="25">
        <f t="shared" si="100"/>
        <v>1.9928125877639591E-3</v>
      </c>
      <c r="S916" s="25">
        <f t="shared" si="97"/>
        <v>6.6905914518257781E-2</v>
      </c>
      <c r="X916">
        <f t="shared" si="104"/>
        <v>1</v>
      </c>
      <c r="Y916">
        <f t="shared" si="101"/>
        <v>0</v>
      </c>
      <c r="Z916">
        <f t="shared" si="98"/>
        <v>0</v>
      </c>
    </row>
    <row r="917" spans="1:26">
      <c r="A917" s="27">
        <v>43728</v>
      </c>
      <c r="B917" s="24">
        <v>752.85</v>
      </c>
      <c r="C917" s="25">
        <f t="shared" si="106"/>
        <v>5.5920222166119672E-2</v>
      </c>
      <c r="E917" s="25">
        <f t="shared" si="102"/>
        <v>-1.4374926357959228E-2</v>
      </c>
      <c r="F917" s="25">
        <f t="shared" si="99"/>
        <v>8.2840538015969134E-3</v>
      </c>
      <c r="G917" s="25">
        <f t="shared" si="96"/>
        <v>7.7378364053469539E-2</v>
      </c>
      <c r="K917" s="29">
        <v>43728</v>
      </c>
      <c r="L917" s="24">
        <v>13831.67</v>
      </c>
      <c r="M917" s="25">
        <f t="shared" si="107"/>
        <v>5.0278816657713818E-2</v>
      </c>
      <c r="O917" t="b">
        <f t="shared" si="105"/>
        <v>1</v>
      </c>
      <c r="Q917" s="25">
        <f t="shared" si="103"/>
        <v>-2.6132820008406776E-2</v>
      </c>
      <c r="R917" s="25">
        <f t="shared" si="100"/>
        <v>2.7883979464174313E-2</v>
      </c>
      <c r="S917" s="25">
        <f t="shared" si="97"/>
        <v>8.1501723529690207E-2</v>
      </c>
      <c r="X917">
        <f t="shared" si="104"/>
        <v>1</v>
      </c>
      <c r="Y917">
        <f t="shared" si="101"/>
        <v>0</v>
      </c>
      <c r="Z917">
        <f t="shared" si="98"/>
        <v>0</v>
      </c>
    </row>
    <row r="918" spans="1:26">
      <c r="A918" s="26">
        <v>43731</v>
      </c>
      <c r="B918" s="23">
        <v>775</v>
      </c>
      <c r="C918" s="25">
        <f t="shared" si="106"/>
        <v>2.9421531513581692E-2</v>
      </c>
      <c r="E918" s="25">
        <f t="shared" si="102"/>
        <v>1.9227228491017545E-2</v>
      </c>
      <c r="F918" s="25">
        <f t="shared" si="99"/>
        <v>2.4886186096398255E-2</v>
      </c>
      <c r="G918" s="25">
        <f t="shared" si="96"/>
        <v>8.8005122941269942E-2</v>
      </c>
      <c r="K918" s="28">
        <v>43731</v>
      </c>
      <c r="L918" s="23">
        <v>14215.41</v>
      </c>
      <c r="M918" s="25">
        <f t="shared" si="107"/>
        <v>2.6994648764967016E-2</v>
      </c>
      <c r="O918" t="b">
        <f t="shared" si="105"/>
        <v>1</v>
      </c>
      <c r="Q918" s="25">
        <f t="shared" si="103"/>
        <v>5.8708899524779756E-3</v>
      </c>
      <c r="R918" s="25">
        <f t="shared" si="100"/>
        <v>4.2809201959228993E-2</v>
      </c>
      <c r="S918" s="25">
        <f t="shared" si="97"/>
        <v>9.2283315657608833E-2</v>
      </c>
      <c r="X918">
        <f t="shared" si="104"/>
        <v>1</v>
      </c>
      <c r="Y918">
        <f t="shared" si="101"/>
        <v>0</v>
      </c>
      <c r="Z918">
        <f t="shared" si="98"/>
        <v>0</v>
      </c>
    </row>
    <row r="919" spans="1:26">
      <c r="A919" s="27">
        <v>43732</v>
      </c>
      <c r="B919" s="24">
        <v>773.13</v>
      </c>
      <c r="C919" s="25">
        <f t="shared" si="106"/>
        <v>-2.4129032258064574E-3</v>
      </c>
      <c r="E919" s="25">
        <f t="shared" si="102"/>
        <v>3.4772134109616548E-2</v>
      </c>
      <c r="F919" s="25">
        <f t="shared" si="99"/>
        <v>2.433641693997135E-2</v>
      </c>
      <c r="G919" s="25">
        <f t="shared" si="96"/>
        <v>8.9415284535097506E-2</v>
      </c>
      <c r="K919" s="29">
        <v>43732</v>
      </c>
      <c r="L919" s="24">
        <v>14197.74</v>
      </c>
      <c r="M919" s="25">
        <f t="shared" si="107"/>
        <v>-1.2445642757227611E-3</v>
      </c>
      <c r="O919" t="b">
        <f t="shared" si="105"/>
        <v>1</v>
      </c>
      <c r="Q919" s="25">
        <f t="shared" si="103"/>
        <v>1.7427290740296142E-2</v>
      </c>
      <c r="R919" s="25">
        <f t="shared" si="100"/>
        <v>4.3724582164831993E-2</v>
      </c>
      <c r="S919" s="25">
        <f t="shared" si="97"/>
        <v>9.5475434358558431E-2</v>
      </c>
      <c r="X919">
        <f t="shared" si="104"/>
        <v>1</v>
      </c>
      <c r="Y919">
        <f t="shared" si="101"/>
        <v>0</v>
      </c>
      <c r="Z919">
        <f t="shared" si="98"/>
        <v>0</v>
      </c>
    </row>
    <row r="920" spans="1:26">
      <c r="A920" s="26">
        <v>43733</v>
      </c>
      <c r="B920" s="23">
        <v>759.89</v>
      </c>
      <c r="C920" s="25">
        <f t="shared" si="106"/>
        <v>-1.7125192399725802E-2</v>
      </c>
      <c r="E920" s="25">
        <f t="shared" si="102"/>
        <v>4.1187673841853512E-2</v>
      </c>
      <c r="F920" s="25">
        <f t="shared" si="99"/>
        <v>2.6287964651594109E-2</v>
      </c>
      <c r="G920" s="25">
        <f t="shared" si="96"/>
        <v>8.2623770702439758E-2</v>
      </c>
      <c r="K920" s="28">
        <v>43733</v>
      </c>
      <c r="L920" s="23">
        <v>14002.03</v>
      </c>
      <c r="M920" s="25">
        <f t="shared" si="107"/>
        <v>-1.397725901172895E-2</v>
      </c>
      <c r="O920" t="b">
        <f t="shared" si="105"/>
        <v>1</v>
      </c>
      <c r="Q920" s="25">
        <f t="shared" si="103"/>
        <v>2.3199886002828185E-2</v>
      </c>
      <c r="R920" s="25">
        <f t="shared" si="100"/>
        <v>4.6728750059796598E-2</v>
      </c>
      <c r="S920" s="25">
        <f t="shared" si="97"/>
        <v>9.0892180325720773E-2</v>
      </c>
      <c r="X920">
        <f t="shared" si="104"/>
        <v>1</v>
      </c>
      <c r="Y920">
        <f t="shared" si="101"/>
        <v>0</v>
      </c>
      <c r="Z920">
        <f t="shared" si="98"/>
        <v>0</v>
      </c>
    </row>
    <row r="921" spans="1:26">
      <c r="A921" s="27">
        <v>43734</v>
      </c>
      <c r="B921" s="24">
        <v>773.09</v>
      </c>
      <c r="C921" s="25">
        <f t="shared" si="106"/>
        <v>1.737093526694659E-2</v>
      </c>
      <c r="E921" s="25">
        <f t="shared" si="102"/>
        <v>5.2281265312789316E-2</v>
      </c>
      <c r="F921" s="25">
        <f t="shared" si="99"/>
        <v>3.959658425181134E-2</v>
      </c>
      <c r="G921" s="25">
        <f t="shared" si="96"/>
        <v>8.4676577790761876E-2</v>
      </c>
      <c r="K921" s="29">
        <v>43734</v>
      </c>
      <c r="L921" s="24">
        <v>14151.32</v>
      </c>
      <c r="M921" s="25">
        <f t="shared" si="107"/>
        <v>1.0549545908084833E-2</v>
      </c>
      <c r="O921" t="b">
        <f t="shared" si="105"/>
        <v>1</v>
      </c>
      <c r="Q921" s="25">
        <f t="shared" si="103"/>
        <v>2.7419001195034598E-2</v>
      </c>
      <c r="R921" s="25">
        <f t="shared" si="100"/>
        <v>5.834773161125173E-2</v>
      </c>
      <c r="S921" s="25">
        <f t="shared" si="97"/>
        <v>9.2566464479994837E-2</v>
      </c>
      <c r="X921">
        <f t="shared" si="104"/>
        <v>1</v>
      </c>
      <c r="Y921">
        <f t="shared" si="101"/>
        <v>0</v>
      </c>
      <c r="Z921">
        <f t="shared" si="98"/>
        <v>0</v>
      </c>
    </row>
    <row r="922" spans="1:26">
      <c r="A922" s="26">
        <v>43735</v>
      </c>
      <c r="B922" s="23">
        <v>766.79</v>
      </c>
      <c r="C922" s="25">
        <f t="shared" si="106"/>
        <v>-8.1491158856020224E-3</v>
      </c>
      <c r="E922" s="25">
        <f t="shared" si="102"/>
        <v>4.1225914207731806E-2</v>
      </c>
      <c r="F922" s="25">
        <f t="shared" si="99"/>
        <v>3.4527991205166586E-2</v>
      </c>
      <c r="G922" s="25">
        <f t="shared" si="96"/>
        <v>9.1083721903692627E-2</v>
      </c>
      <c r="K922" s="28">
        <v>43735</v>
      </c>
      <c r="L922" s="23">
        <v>14079.08</v>
      </c>
      <c r="M922" s="25">
        <f t="shared" si="107"/>
        <v>-5.1310170835025997E-3</v>
      </c>
      <c r="O922" t="b">
        <f t="shared" si="105"/>
        <v>1</v>
      </c>
      <c r="Q922" s="25">
        <f t="shared" si="103"/>
        <v>2.2292961256340726E-2</v>
      </c>
      <c r="R922" s="25">
        <f t="shared" si="100"/>
        <v>5.4650440402285838E-2</v>
      </c>
      <c r="S922" s="25">
        <f t="shared" si="97"/>
        <v>9.945774230571125E-2</v>
      </c>
      <c r="X922">
        <f t="shared" si="104"/>
        <v>1</v>
      </c>
      <c r="Y922">
        <f t="shared" si="101"/>
        <v>0</v>
      </c>
      <c r="Z922">
        <f t="shared" si="98"/>
        <v>0</v>
      </c>
    </row>
    <row r="923" spans="1:26">
      <c r="A923" s="27">
        <v>43738</v>
      </c>
      <c r="B923" s="24">
        <v>760.32</v>
      </c>
      <c r="C923" s="25">
        <f t="shared" si="106"/>
        <v>-8.4377730538999132E-3</v>
      </c>
      <c r="E923" s="25">
        <f t="shared" si="102"/>
        <v>4.8963205165349022E-2</v>
      </c>
      <c r="F923" s="25">
        <f t="shared" si="99"/>
        <v>3.7610482801080591E-2</v>
      </c>
      <c r="G923" s="25">
        <f t="shared" si="96"/>
        <v>8.1421224145419524E-2</v>
      </c>
      <c r="K923" s="29">
        <v>43738</v>
      </c>
      <c r="L923" s="24">
        <v>13997.16</v>
      </c>
      <c r="M923" s="25">
        <f t="shared" si="107"/>
        <v>-5.8526158163513219E-3</v>
      </c>
      <c r="O923" t="b">
        <f t="shared" si="105"/>
        <v>1</v>
      </c>
      <c r="Q923" s="25">
        <f t="shared" si="103"/>
        <v>2.7382359201708617E-2</v>
      </c>
      <c r="R923" s="25">
        <f t="shared" si="100"/>
        <v>5.9791700679028503E-2</v>
      </c>
      <c r="S923" s="25">
        <f t="shared" si="97"/>
        <v>9.4446633775443933E-2</v>
      </c>
      <c r="X923">
        <f t="shared" si="104"/>
        <v>1</v>
      </c>
      <c r="Y923">
        <f t="shared" si="101"/>
        <v>0</v>
      </c>
      <c r="Z923">
        <f t="shared" si="98"/>
        <v>0</v>
      </c>
    </row>
    <row r="924" spans="1:26">
      <c r="A924" s="26">
        <v>43739</v>
      </c>
      <c r="B924" s="23">
        <v>750.81</v>
      </c>
      <c r="C924" s="25">
        <f t="shared" si="106"/>
        <v>-1.2507891414141551E-2</v>
      </c>
      <c r="E924" s="25">
        <f t="shared" si="102"/>
        <v>4.9687530582856798E-2</v>
      </c>
      <c r="F924" s="25">
        <f t="shared" si="99"/>
        <v>2.8012190918627722E-2</v>
      </c>
      <c r="G924" s="25">
        <f t="shared" si="96"/>
        <v>6.9432975112873052E-2</v>
      </c>
      <c r="K924" s="28">
        <v>43739</v>
      </c>
      <c r="L924" s="23">
        <v>13840.55</v>
      </c>
      <c r="M924" s="25">
        <f t="shared" si="107"/>
        <v>-1.1315301776302284E-2</v>
      </c>
      <c r="O924" t="b">
        <f t="shared" si="105"/>
        <v>1</v>
      </c>
      <c r="Q924" s="25">
        <f t="shared" si="103"/>
        <v>2.5510030186140398E-2</v>
      </c>
      <c r="R924" s="25">
        <f t="shared" si="100"/>
        <v>5.1619114095640573E-2</v>
      </c>
      <c r="S924" s="25">
        <f t="shared" si="97"/>
        <v>8.3679122010912987E-2</v>
      </c>
      <c r="X924">
        <f t="shared" si="104"/>
        <v>1</v>
      </c>
      <c r="Y924">
        <f t="shared" si="101"/>
        <v>0</v>
      </c>
      <c r="Z924">
        <f t="shared" si="98"/>
        <v>0</v>
      </c>
    </row>
    <row r="925" spans="1:26">
      <c r="A925" s="27">
        <v>43741</v>
      </c>
      <c r="B925" s="24">
        <v>746.53</v>
      </c>
      <c r="C925" s="25">
        <f t="shared" si="106"/>
        <v>-5.7005101157416296E-3</v>
      </c>
      <c r="E925" s="25">
        <f t="shared" si="102"/>
        <v>3.2145227297865286E-2</v>
      </c>
      <c r="F925" s="25">
        <f t="shared" si="99"/>
        <v>2.2519232383483967E-2</v>
      </c>
      <c r="G925" s="25">
        <f t="shared" si="96"/>
        <v>6.5146047681432728E-2</v>
      </c>
      <c r="K925" s="29">
        <v>43741</v>
      </c>
      <c r="L925" s="24">
        <v>13783.58</v>
      </c>
      <c r="M925" s="25">
        <f t="shared" si="107"/>
        <v>-4.133178753270148E-3</v>
      </c>
      <c r="O925" t="b">
        <f t="shared" si="105"/>
        <v>1</v>
      </c>
      <c r="Q925" s="25">
        <f t="shared" si="103"/>
        <v>1.5770569170158621E-2</v>
      </c>
      <c r="R925" s="25">
        <f t="shared" si="100"/>
        <v>4.6829815583608436E-2</v>
      </c>
      <c r="S925" s="25">
        <f t="shared" si="97"/>
        <v>8.0497601912966621E-2</v>
      </c>
      <c r="X925">
        <f t="shared" si="104"/>
        <v>1</v>
      </c>
      <c r="Y925">
        <f t="shared" si="101"/>
        <v>0</v>
      </c>
      <c r="Z925">
        <f t="shared" si="98"/>
        <v>0</v>
      </c>
    </row>
    <row r="926" spans="1:26">
      <c r="A926" s="26">
        <v>43742</v>
      </c>
      <c r="B926" s="23">
        <v>734.5</v>
      </c>
      <c r="C926" s="25">
        <f t="shared" si="106"/>
        <v>-1.6114556682249839E-2</v>
      </c>
      <c r="E926" s="25">
        <f t="shared" si="102"/>
        <v>2.5608802502234074E-2</v>
      </c>
      <c r="F926" s="25">
        <f t="shared" si="99"/>
        <v>1.069327200474457E-2</v>
      </c>
      <c r="G926" s="25">
        <f t="shared" si="96"/>
        <v>5.7604719338033128E-2</v>
      </c>
      <c r="K926" s="28">
        <v>43742</v>
      </c>
      <c r="L926" s="23">
        <v>13623.62</v>
      </c>
      <c r="M926" s="25">
        <f t="shared" si="107"/>
        <v>-1.1741372704171074E-2</v>
      </c>
      <c r="O926" t="b">
        <f t="shared" si="105"/>
        <v>1</v>
      </c>
      <c r="Q926" s="25">
        <f t="shared" si="103"/>
        <v>1.6042038942403858E-2</v>
      </c>
      <c r="R926" s="25">
        <f t="shared" si="100"/>
        <v>3.6984294448313637E-2</v>
      </c>
      <c r="S926" s="25">
        <f t="shared" si="97"/>
        <v>7.6404023659077724E-2</v>
      </c>
      <c r="X926">
        <f t="shared" si="104"/>
        <v>1</v>
      </c>
      <c r="Y926">
        <f t="shared" si="101"/>
        <v>0</v>
      </c>
      <c r="Z926">
        <f t="shared" si="98"/>
        <v>0</v>
      </c>
    </row>
    <row r="927" spans="1:26">
      <c r="A927" s="27">
        <v>43745</v>
      </c>
      <c r="B927" s="24">
        <v>731.56</v>
      </c>
      <c r="C927" s="25">
        <f t="shared" si="106"/>
        <v>-4.0027229407761126E-3</v>
      </c>
      <c r="E927" s="25">
        <f t="shared" si="102"/>
        <v>4.0374304933373129E-2</v>
      </c>
      <c r="F927" s="25">
        <f t="shared" si="99"/>
        <v>7.9538140781116873E-3</v>
      </c>
      <c r="G927" s="25">
        <f t="shared" si="96"/>
        <v>5.7533305494721354E-2</v>
      </c>
      <c r="K927" s="29">
        <v>43745</v>
      </c>
      <c r="L927" s="24">
        <v>13547.24</v>
      </c>
      <c r="M927" s="25">
        <f t="shared" si="107"/>
        <v>-5.6380487833684956E-3</v>
      </c>
      <c r="O927" t="b">
        <f t="shared" si="105"/>
        <v>1</v>
      </c>
      <c r="Q927" s="25">
        <f t="shared" si="103"/>
        <v>3.3377651763926819E-2</v>
      </c>
      <c r="R927" s="25">
        <f t="shared" si="100"/>
        <v>3.1428357679996966E-2</v>
      </c>
      <c r="S927" s="25">
        <f t="shared" si="97"/>
        <v>7.5729618069509064E-2</v>
      </c>
      <c r="X927">
        <f t="shared" si="104"/>
        <v>1</v>
      </c>
      <c r="Y927">
        <f t="shared" si="101"/>
        <v>0</v>
      </c>
      <c r="Z927">
        <f t="shared" si="98"/>
        <v>0</v>
      </c>
    </row>
    <row r="928" spans="1:26">
      <c r="A928" s="26">
        <v>43747</v>
      </c>
      <c r="B928" s="23">
        <v>747.35</v>
      </c>
      <c r="C928" s="25">
        <f t="shared" si="106"/>
        <v>2.1584012247799329E-2</v>
      </c>
      <c r="E928" s="25">
        <f t="shared" si="102"/>
        <v>8.5444141056178591E-2</v>
      </c>
      <c r="F928" s="25">
        <f t="shared" si="99"/>
        <v>1.8066899253435409E-2</v>
      </c>
      <c r="G928" s="25">
        <f t="shared" si="96"/>
        <v>6.5541645417315886E-2</v>
      </c>
      <c r="K928" s="28">
        <v>43747</v>
      </c>
      <c r="L928" s="23">
        <v>13752.94</v>
      </c>
      <c r="M928" s="25">
        <f t="shared" si="107"/>
        <v>1.4956801963798338E-2</v>
      </c>
      <c r="O928" t="b">
        <f t="shared" si="105"/>
        <v>1</v>
      </c>
      <c r="Q928" s="25">
        <f t="shared" si="103"/>
        <v>7.7033317461908668E-2</v>
      </c>
      <c r="R928" s="25">
        <f t="shared" si="100"/>
        <v>3.9253487060241232E-2</v>
      </c>
      <c r="S928" s="25">
        <f t="shared" si="97"/>
        <v>8.1629465274974944E-2</v>
      </c>
      <c r="X928">
        <f t="shared" si="104"/>
        <v>1</v>
      </c>
      <c r="Y928">
        <f t="shared" si="101"/>
        <v>0</v>
      </c>
      <c r="Z928">
        <f t="shared" si="98"/>
        <v>0</v>
      </c>
    </row>
    <row r="929" spans="1:26">
      <c r="A929" s="27">
        <v>43748</v>
      </c>
      <c r="B929" s="24">
        <v>738.11</v>
      </c>
      <c r="C929" s="25">
        <f t="shared" si="106"/>
        <v>-1.2363685020405444E-2</v>
      </c>
      <c r="E929" s="25">
        <f t="shared" si="102"/>
        <v>8.4021148479953123E-2</v>
      </c>
      <c r="F929" s="25">
        <f t="shared" si="99"/>
        <v>7.1618752447253353E-3</v>
      </c>
      <c r="G929" s="25">
        <f t="shared" si="96"/>
        <v>5.932887805169007E-2</v>
      </c>
      <c r="K929" s="29">
        <v>43748</v>
      </c>
      <c r="L929" s="24">
        <v>13655.23</v>
      </c>
      <c r="M929" s="25">
        <f t="shared" si="107"/>
        <v>-7.1555001270576148E-3</v>
      </c>
      <c r="O929" t="b">
        <f t="shared" si="105"/>
        <v>1</v>
      </c>
      <c r="Q929" s="25">
        <f t="shared" si="103"/>
        <v>7.2158043876475064E-2</v>
      </c>
      <c r="R929" s="25">
        <f t="shared" si="100"/>
        <v>3.0774047480242706E-2</v>
      </c>
      <c r="S929" s="25">
        <f t="shared" si="97"/>
        <v>7.879753626901187E-2</v>
      </c>
      <c r="X929">
        <f t="shared" si="104"/>
        <v>1</v>
      </c>
      <c r="Y929">
        <f t="shared" si="101"/>
        <v>0</v>
      </c>
      <c r="Z929">
        <f t="shared" si="98"/>
        <v>0</v>
      </c>
    </row>
    <row r="930" spans="1:26">
      <c r="A930" s="26">
        <v>43749</v>
      </c>
      <c r="B930" s="23">
        <v>743.39</v>
      </c>
      <c r="C930" s="25">
        <f t="shared" si="106"/>
        <v>7.1534053189903574E-3</v>
      </c>
      <c r="E930" s="25">
        <f t="shared" si="102"/>
        <v>9.131079434518985E-2</v>
      </c>
      <c r="F930" s="25">
        <f t="shared" si="99"/>
        <v>1.0507834424315465E-2</v>
      </c>
      <c r="G930" s="25">
        <f t="shared" si="96"/>
        <v>6.6878321772976035E-2</v>
      </c>
      <c r="K930" s="28">
        <v>43749</v>
      </c>
      <c r="L930" s="23">
        <v>13728.17</v>
      </c>
      <c r="M930" s="25">
        <f t="shared" si="107"/>
        <v>5.3131626429451639E-3</v>
      </c>
      <c r="O930" t="b">
        <f t="shared" si="105"/>
        <v>1</v>
      </c>
      <c r="Q930" s="25">
        <f t="shared" si="103"/>
        <v>8.2877604320729104E-2</v>
      </c>
      <c r="R930" s="25">
        <f t="shared" si="100"/>
        <v>3.2884619934614445E-2</v>
      </c>
      <c r="S930" s="25">
        <f t="shared" si="97"/>
        <v>8.6240662917766775E-2</v>
      </c>
      <c r="X930">
        <f t="shared" si="104"/>
        <v>1</v>
      </c>
      <c r="Y930">
        <f t="shared" si="101"/>
        <v>0</v>
      </c>
      <c r="Z930">
        <f t="shared" si="98"/>
        <v>0</v>
      </c>
    </row>
    <row r="931" spans="1:26">
      <c r="A931" s="27">
        <v>43752</v>
      </c>
      <c r="B931" s="24">
        <v>746.72</v>
      </c>
      <c r="C931" s="25">
        <f t="shared" si="106"/>
        <v>4.4794791428456682E-3</v>
      </c>
      <c r="E931" s="25">
        <f t="shared" si="102"/>
        <v>6.9952715288723377E-2</v>
      </c>
      <c r="F931" s="25">
        <f t="shared" si="99"/>
        <v>1.1955738800198512E-2</v>
      </c>
      <c r="G931" s="25">
        <f t="shared" si="96"/>
        <v>6.7568708561599244E-2</v>
      </c>
      <c r="K931" s="29">
        <v>43752</v>
      </c>
      <c r="L931" s="24">
        <v>13774.96</v>
      </c>
      <c r="M931" s="25">
        <f t="shared" si="107"/>
        <v>3.3967430758418942E-3</v>
      </c>
      <c r="O931" t="b">
        <f t="shared" si="105"/>
        <v>1</v>
      </c>
      <c r="Q931" s="25">
        <f t="shared" si="103"/>
        <v>6.3524441445378166E-2</v>
      </c>
      <c r="R931" s="25">
        <f t="shared" si="100"/>
        <v>3.2408499093396381E-2</v>
      </c>
      <c r="S931" s="25">
        <f t="shared" si="97"/>
        <v>8.6423890110900903E-2</v>
      </c>
      <c r="X931">
        <f t="shared" si="104"/>
        <v>1</v>
      </c>
      <c r="Y931">
        <f t="shared" si="101"/>
        <v>0</v>
      </c>
      <c r="Z931">
        <f t="shared" si="98"/>
        <v>0</v>
      </c>
    </row>
    <row r="932" spans="1:26">
      <c r="A932" s="26">
        <v>43753</v>
      </c>
      <c r="B932" s="23">
        <v>751.56</v>
      </c>
      <c r="C932" s="25">
        <f t="shared" si="106"/>
        <v>6.4816798800084608E-3</v>
      </c>
      <c r="E932" s="25">
        <f t="shared" si="102"/>
        <v>0.10005854800936742</v>
      </c>
      <c r="F932" s="25">
        <f t="shared" si="99"/>
        <v>1.9179210218938536E-2</v>
      </c>
      <c r="G932" s="25">
        <f t="shared" ref="G932:G995" si="108">((B932/B195)^(1/3))-1</f>
        <v>7.343268908866496E-2</v>
      </c>
      <c r="K932" s="28">
        <v>43753</v>
      </c>
      <c r="L932" s="23">
        <v>13866.69</v>
      </c>
      <c r="M932" s="25">
        <f t="shared" si="107"/>
        <v>6.615133099535749E-3</v>
      </c>
      <c r="O932" t="b">
        <f t="shared" si="105"/>
        <v>1</v>
      </c>
      <c r="Q932" s="25">
        <f t="shared" si="103"/>
        <v>9.3467671919245543E-2</v>
      </c>
      <c r="R932" s="25">
        <f t="shared" si="100"/>
        <v>3.8430015092861591E-2</v>
      </c>
      <c r="S932" s="25">
        <f t="shared" ref="S932:S995" si="109">((L932/L195)^(1/3))-1</f>
        <v>9.1543148110244443E-2</v>
      </c>
      <c r="X932">
        <f t="shared" si="104"/>
        <v>1</v>
      </c>
      <c r="Y932">
        <f t="shared" si="101"/>
        <v>0</v>
      </c>
      <c r="Z932">
        <f t="shared" ref="Z932:Z995" si="110">IF(G932&gt;S932,1,0)</f>
        <v>0</v>
      </c>
    </row>
    <row r="933" spans="1:26">
      <c r="A933" s="27">
        <v>43754</v>
      </c>
      <c r="B933" s="24">
        <v>752.76</v>
      </c>
      <c r="C933" s="25">
        <f t="shared" si="106"/>
        <v>1.5966789078716876E-3</v>
      </c>
      <c r="E933" s="25">
        <f t="shared" si="102"/>
        <v>7.2292417486930383E-2</v>
      </c>
      <c r="F933" s="25">
        <f t="shared" si="99"/>
        <v>1.496898079127007E-2</v>
      </c>
      <c r="G933" s="25">
        <f t="shared" si="108"/>
        <v>6.9088170015672912E-2</v>
      </c>
      <c r="K933" s="29">
        <v>43754</v>
      </c>
      <c r="L933" s="24">
        <v>13908.64</v>
      </c>
      <c r="M933" s="25">
        <f t="shared" si="107"/>
        <v>3.0161108490836565E-3</v>
      </c>
      <c r="O933" t="b">
        <f t="shared" si="105"/>
        <v>1</v>
      </c>
      <c r="Q933" s="25">
        <f t="shared" si="103"/>
        <v>7.1564552475972043E-2</v>
      </c>
      <c r="R933" s="25">
        <f t="shared" si="100"/>
        <v>3.4272746952579869E-2</v>
      </c>
      <c r="S933" s="25">
        <f t="shared" si="109"/>
        <v>8.6412811781134025E-2</v>
      </c>
      <c r="X933">
        <f t="shared" si="104"/>
        <v>1</v>
      </c>
      <c r="Y933">
        <f t="shared" si="101"/>
        <v>0</v>
      </c>
      <c r="Z933">
        <f t="shared" si="110"/>
        <v>0</v>
      </c>
    </row>
    <row r="934" spans="1:26">
      <c r="A934" s="26">
        <v>43755</v>
      </c>
      <c r="B934" s="23">
        <v>761.34</v>
      </c>
      <c r="C934" s="25">
        <f t="shared" si="106"/>
        <v>1.1398055157022214E-2</v>
      </c>
      <c r="E934" s="25">
        <f t="shared" si="102"/>
        <v>7.9409638041767705E-2</v>
      </c>
      <c r="F934" s="25">
        <f t="shared" si="99"/>
        <v>1.8939694845527599E-2</v>
      </c>
      <c r="G934" s="25">
        <f t="shared" si="108"/>
        <v>7.228247134931487E-2</v>
      </c>
      <c r="K934" s="28">
        <v>43755</v>
      </c>
      <c r="L934" s="23">
        <v>14082.13</v>
      </c>
      <c r="M934" s="25">
        <f t="shared" si="107"/>
        <v>1.2319869224328974E-2</v>
      </c>
      <c r="O934" t="b">
        <f t="shared" si="105"/>
        <v>1</v>
      </c>
      <c r="Q934" s="25">
        <f t="shared" si="103"/>
        <v>7.940224877225055E-2</v>
      </c>
      <c r="R934" s="25">
        <f t="shared" si="100"/>
        <v>3.7953203769482302E-2</v>
      </c>
      <c r="S934" s="25">
        <f t="shared" si="109"/>
        <v>9.1120909235350656E-2</v>
      </c>
      <c r="X934">
        <f t="shared" si="104"/>
        <v>1</v>
      </c>
      <c r="Y934">
        <f t="shared" si="101"/>
        <v>0</v>
      </c>
      <c r="Z934">
        <f t="shared" si="110"/>
        <v>0</v>
      </c>
    </row>
    <row r="935" spans="1:26">
      <c r="A935" s="27">
        <v>43756</v>
      </c>
      <c r="B935" s="24">
        <v>766.2</v>
      </c>
      <c r="C935" s="25">
        <f t="shared" si="106"/>
        <v>6.3834817558515427E-3</v>
      </c>
      <c r="E935" s="25">
        <f t="shared" si="102"/>
        <v>7.7682602641461651E-2</v>
      </c>
      <c r="F935" s="25">
        <f t="shared" si="99"/>
        <v>1.9292655185910057E-2</v>
      </c>
      <c r="G935" s="25">
        <f t="shared" si="108"/>
        <v>7.3887260203167715E-2</v>
      </c>
      <c r="K935" s="29">
        <v>43756</v>
      </c>
      <c r="L935" s="24">
        <v>14214.37</v>
      </c>
      <c r="M935" s="25">
        <f t="shared" si="107"/>
        <v>9.3032614178469811E-3</v>
      </c>
      <c r="O935" t="b">
        <f t="shared" si="105"/>
        <v>1</v>
      </c>
      <c r="Q935" s="25">
        <f t="shared" si="103"/>
        <v>7.9521298611939129E-2</v>
      </c>
      <c r="R935" s="25">
        <f t="shared" si="100"/>
        <v>4.0023903666071226E-2</v>
      </c>
      <c r="S935" s="25">
        <f t="shared" si="109"/>
        <v>9.301740143787951E-2</v>
      </c>
      <c r="X935">
        <f t="shared" si="104"/>
        <v>0</v>
      </c>
      <c r="Y935">
        <f t="shared" si="101"/>
        <v>0</v>
      </c>
      <c r="Z935">
        <f t="shared" si="110"/>
        <v>0</v>
      </c>
    </row>
    <row r="936" spans="1:26">
      <c r="A936" s="26">
        <v>43760</v>
      </c>
      <c r="B936" s="23">
        <v>764.64</v>
      </c>
      <c r="C936" s="25">
        <f t="shared" si="106"/>
        <v>-2.0360219263900535E-3</v>
      </c>
      <c r="E936" s="25">
        <f t="shared" si="102"/>
        <v>9.1859319444246079E-2</v>
      </c>
      <c r="F936" s="25">
        <f t="shared" si="99"/>
        <v>1.7578586232557036E-2</v>
      </c>
      <c r="G936" s="25">
        <f t="shared" si="108"/>
        <v>7.1676079640228929E-2</v>
      </c>
      <c r="K936" s="28">
        <v>43760</v>
      </c>
      <c r="L936" s="23">
        <v>14167.96</v>
      </c>
      <c r="M936" s="25">
        <f t="shared" si="107"/>
        <v>-3.275700947772416E-3</v>
      </c>
      <c r="O936" t="b">
        <f t="shared" si="105"/>
        <v>1</v>
      </c>
      <c r="Q936" s="25">
        <f t="shared" si="103"/>
        <v>9.260231800770713E-2</v>
      </c>
      <c r="R936" s="25">
        <f t="shared" si="100"/>
        <v>3.7338038458138101E-2</v>
      </c>
      <c r="S936" s="25">
        <f t="shared" si="109"/>
        <v>9.1521120890175389E-2</v>
      </c>
      <c r="X936">
        <f t="shared" si="104"/>
        <v>0</v>
      </c>
      <c r="Y936">
        <f t="shared" si="101"/>
        <v>0</v>
      </c>
      <c r="Z936">
        <f t="shared" si="110"/>
        <v>0</v>
      </c>
    </row>
    <row r="937" spans="1:26">
      <c r="A937" s="27">
        <v>43761</v>
      </c>
      <c r="B937" s="24">
        <v>765.83</v>
      </c>
      <c r="C937" s="25">
        <f t="shared" si="106"/>
        <v>1.556287926344495E-3</v>
      </c>
      <c r="E937" s="25">
        <f t="shared" si="102"/>
        <v>0.10768318435592583</v>
      </c>
      <c r="F937" s="25">
        <f t="shared" si="99"/>
        <v>2.0479711433221803E-2</v>
      </c>
      <c r="G937" s="25">
        <f t="shared" si="108"/>
        <v>7.3188454333056763E-2</v>
      </c>
      <c r="K937" s="29">
        <v>43761</v>
      </c>
      <c r="L937" s="24">
        <v>14191.33</v>
      </c>
      <c r="M937" s="25">
        <f t="shared" si="107"/>
        <v>1.64678011151885E-3</v>
      </c>
      <c r="O937" t="b">
        <f t="shared" si="105"/>
        <v>1</v>
      </c>
      <c r="Q937" s="25">
        <f t="shared" si="103"/>
        <v>0.10934506309541581</v>
      </c>
      <c r="R937" s="25">
        <f t="shared" si="100"/>
        <v>3.921428645357361E-2</v>
      </c>
      <c r="S937" s="25">
        <f t="shared" si="109"/>
        <v>9.1618848372982065E-2</v>
      </c>
      <c r="X937">
        <f t="shared" si="104"/>
        <v>0</v>
      </c>
      <c r="Y937">
        <f t="shared" si="101"/>
        <v>0</v>
      </c>
      <c r="Z937">
        <f t="shared" si="110"/>
        <v>0</v>
      </c>
    </row>
    <row r="938" spans="1:26">
      <c r="A938" s="26">
        <v>43762</v>
      </c>
      <c r="B938" s="23">
        <v>764.4</v>
      </c>
      <c r="C938" s="25">
        <f t="shared" si="106"/>
        <v>-1.8672551349517041E-3</v>
      </c>
      <c r="E938" s="25">
        <f t="shared" si="102"/>
        <v>0.11297156418805798</v>
      </c>
      <c r="F938" s="25">
        <f t="shared" si="99"/>
        <v>2.0505307270536566E-2</v>
      </c>
      <c r="G938" s="25">
        <f t="shared" si="108"/>
        <v>7.330594335976981E-2</v>
      </c>
      <c r="K938" s="28">
        <v>43762</v>
      </c>
      <c r="L938" s="23">
        <v>14159.98</v>
      </c>
      <c r="M938" s="25">
        <f t="shared" si="107"/>
        <v>-2.2139861779466048E-3</v>
      </c>
      <c r="O938" t="b">
        <f t="shared" si="105"/>
        <v>1</v>
      </c>
      <c r="Q938" s="25">
        <f t="shared" si="103"/>
        <v>0.11511710321147861</v>
      </c>
      <c r="R938" s="25">
        <f t="shared" si="100"/>
        <v>3.8745834191413087E-2</v>
      </c>
      <c r="S938" s="25">
        <f t="shared" si="109"/>
        <v>9.1297788002362212E-2</v>
      </c>
      <c r="X938">
        <f t="shared" si="104"/>
        <v>0</v>
      </c>
      <c r="Y938">
        <f t="shared" si="101"/>
        <v>0</v>
      </c>
      <c r="Z938">
        <f t="shared" si="110"/>
        <v>0</v>
      </c>
    </row>
    <row r="939" spans="1:26">
      <c r="A939" s="27">
        <v>43763</v>
      </c>
      <c r="B939" s="24">
        <v>767.43</v>
      </c>
      <c r="C939" s="25">
        <f t="shared" si="106"/>
        <v>3.9638932496075001E-3</v>
      </c>
      <c r="E939" s="25">
        <f t="shared" si="102"/>
        <v>0.12860672372716841</v>
      </c>
      <c r="F939" s="25">
        <f t="shared" si="99"/>
        <v>2.0768157597333747E-2</v>
      </c>
      <c r="G939" s="25">
        <f t="shared" si="108"/>
        <v>7.7764160699855811E-2</v>
      </c>
      <c r="K939" s="29">
        <v>43763</v>
      </c>
      <c r="L939" s="24">
        <v>14150.16</v>
      </c>
      <c r="M939" s="25">
        <f t="shared" si="107"/>
        <v>-6.9398508568098937E-4</v>
      </c>
      <c r="O939" t="b">
        <f t="shared" si="105"/>
        <v>1</v>
      </c>
      <c r="Q939" s="25">
        <f t="shared" si="103"/>
        <v>0.12568644219486491</v>
      </c>
      <c r="R939" s="25">
        <f t="shared" si="100"/>
        <v>3.7177871185402056E-2</v>
      </c>
      <c r="S939" s="25">
        <f t="shared" si="109"/>
        <v>9.4185831003269493E-2</v>
      </c>
      <c r="X939">
        <f t="shared" si="104"/>
        <v>1</v>
      </c>
      <c r="Y939">
        <f t="shared" si="101"/>
        <v>0</v>
      </c>
      <c r="Z939">
        <f t="shared" si="110"/>
        <v>0</v>
      </c>
    </row>
    <row r="940" spans="1:26">
      <c r="A940" s="26">
        <v>43767</v>
      </c>
      <c r="B940" s="23">
        <v>779.16</v>
      </c>
      <c r="C940" s="25">
        <f t="shared" si="106"/>
        <v>1.5284781673898622E-2</v>
      </c>
      <c r="E940" s="25">
        <f t="shared" si="102"/>
        <v>0.13039693593314761</v>
      </c>
      <c r="F940" s="25">
        <f t="shared" si="99"/>
        <v>2.8176788764820326E-2</v>
      </c>
      <c r="G940" s="25">
        <f t="shared" si="108"/>
        <v>8.5867397885951213E-2</v>
      </c>
      <c r="K940" s="28">
        <v>43767</v>
      </c>
      <c r="L940" s="23">
        <v>14401.14</v>
      </c>
      <c r="M940" s="25">
        <f t="shared" si="107"/>
        <v>1.7427786966865092E-2</v>
      </c>
      <c r="O940" t="b">
        <f t="shared" si="105"/>
        <v>1</v>
      </c>
      <c r="Q940" s="25">
        <f t="shared" si="103"/>
        <v>0.13684385028004398</v>
      </c>
      <c r="R940" s="25">
        <f t="shared" si="100"/>
        <v>4.2171719994423373E-2</v>
      </c>
      <c r="S940" s="25">
        <f t="shared" si="109"/>
        <v>0.10179923796401136</v>
      </c>
      <c r="X940">
        <f t="shared" si="104"/>
        <v>0</v>
      </c>
      <c r="Y940">
        <f t="shared" si="101"/>
        <v>0</v>
      </c>
      <c r="Z940">
        <f t="shared" si="110"/>
        <v>0</v>
      </c>
    </row>
    <row r="941" spans="1:26">
      <c r="A941" s="27">
        <v>43768</v>
      </c>
      <c r="B941" s="24">
        <v>780.5</v>
      </c>
      <c r="C941" s="25">
        <f t="shared" si="106"/>
        <v>1.7198008111299757E-3</v>
      </c>
      <c r="E941" s="25">
        <f t="shared" si="102"/>
        <v>0.14318774350411578</v>
      </c>
      <c r="F941" s="25">
        <f t="shared" si="99"/>
        <v>2.7430855687053501E-2</v>
      </c>
      <c r="G941" s="25">
        <f t="shared" si="108"/>
        <v>8.3324149775551692E-2</v>
      </c>
      <c r="K941" s="29">
        <v>43768</v>
      </c>
      <c r="L941" s="24">
        <v>14475.42</v>
      </c>
      <c r="M941" s="25">
        <f t="shared" si="107"/>
        <v>5.1314573255905977E-3</v>
      </c>
      <c r="O941" t="b">
        <f t="shared" si="105"/>
        <v>1</v>
      </c>
      <c r="Q941" s="25">
        <f t="shared" si="103"/>
        <v>0.15306435386060224</v>
      </c>
      <c r="R941" s="25">
        <f t="shared" si="100"/>
        <v>4.2463519470659516E-2</v>
      </c>
      <c r="S941" s="25">
        <f t="shared" si="109"/>
        <v>0.10162604051785507</v>
      </c>
      <c r="X941">
        <f t="shared" si="104"/>
        <v>0</v>
      </c>
      <c r="Y941">
        <f t="shared" si="101"/>
        <v>0</v>
      </c>
      <c r="Z941">
        <f t="shared" si="110"/>
        <v>0</v>
      </c>
    </row>
    <row r="942" spans="1:26">
      <c r="A942" s="26">
        <v>43769</v>
      </c>
      <c r="B942" s="23">
        <v>782.83</v>
      </c>
      <c r="C942" s="25">
        <f t="shared" si="106"/>
        <v>2.9852658552210645E-3</v>
      </c>
      <c r="E942" s="25">
        <f t="shared" si="102"/>
        <v>0.15206769683590893</v>
      </c>
      <c r="F942" s="25">
        <f t="shared" si="99"/>
        <v>2.887980073198726E-2</v>
      </c>
      <c r="G942" s="25">
        <f t="shared" si="108"/>
        <v>8.1368120729764293E-2</v>
      </c>
      <c r="K942" s="28">
        <v>43769</v>
      </c>
      <c r="L942" s="23">
        <v>14539.09</v>
      </c>
      <c r="M942" s="25">
        <f t="shared" si="107"/>
        <v>4.3792286862520333E-3</v>
      </c>
      <c r="O942" t="b">
        <f t="shared" si="105"/>
        <v>1</v>
      </c>
      <c r="Q942" s="25">
        <f t="shared" si="103"/>
        <v>0.16587212934132123</v>
      </c>
      <c r="R942" s="25">
        <f t="shared" si="100"/>
        <v>4.4884254134227808E-2</v>
      </c>
      <c r="S942" s="25">
        <f t="shared" si="109"/>
        <v>0.10279325412519502</v>
      </c>
      <c r="X942">
        <f t="shared" si="104"/>
        <v>0</v>
      </c>
      <c r="Y942">
        <f t="shared" si="101"/>
        <v>0</v>
      </c>
      <c r="Z942">
        <f t="shared" si="110"/>
        <v>0</v>
      </c>
    </row>
    <row r="943" spans="1:26">
      <c r="A943" s="27">
        <v>43770</v>
      </c>
      <c r="B943" s="24">
        <v>788.1</v>
      </c>
      <c r="C943" s="25">
        <f t="shared" si="106"/>
        <v>6.7319852330646269E-3</v>
      </c>
      <c r="E943" s="25">
        <f t="shared" si="102"/>
        <v>0.13320679837805183</v>
      </c>
      <c r="F943" s="25">
        <f t="shared" ref="F943:F1006" si="111">((B943/B451)^(1/2))-1</f>
        <v>3.0318937062192131E-2</v>
      </c>
      <c r="G943" s="25">
        <f t="shared" si="108"/>
        <v>8.9598965389115159E-2</v>
      </c>
      <c r="K943" s="29">
        <v>43770</v>
      </c>
      <c r="L943" s="24">
        <v>14560.64</v>
      </c>
      <c r="M943" s="25">
        <f t="shared" si="107"/>
        <v>1.4800173618741534E-3</v>
      </c>
      <c r="O943" t="b">
        <f t="shared" si="105"/>
        <v>1</v>
      </c>
      <c r="Q943" s="25">
        <f t="shared" si="103"/>
        <v>0.14141475903567224</v>
      </c>
      <c r="R943" s="25">
        <f t="shared" ref="R943:R1006" si="112">((L943/L451)^(1/2))-1</f>
        <v>4.2193206164298447E-2</v>
      </c>
      <c r="S943" s="25">
        <f t="shared" si="109"/>
        <v>0.10880203561814383</v>
      </c>
      <c r="X943">
        <f t="shared" si="104"/>
        <v>0</v>
      </c>
      <c r="Y943">
        <f t="shared" ref="Y943:Y1006" si="113">IF(F943&gt;R943,1,0)</f>
        <v>0</v>
      </c>
      <c r="Z943">
        <f t="shared" si="110"/>
        <v>0</v>
      </c>
    </row>
    <row r="944" spans="1:26">
      <c r="A944" s="26">
        <v>43773</v>
      </c>
      <c r="B944" s="23">
        <v>791.6</v>
      </c>
      <c r="C944" s="25">
        <f t="shared" si="106"/>
        <v>4.441060779088948E-3</v>
      </c>
      <c r="E944" s="25">
        <f t="shared" si="102"/>
        <v>0.13468264434378763</v>
      </c>
      <c r="F944" s="25">
        <f t="shared" si="111"/>
        <v>3.2340087455374977E-2</v>
      </c>
      <c r="G944" s="25">
        <f t="shared" si="108"/>
        <v>9.4144836320142922E-2</v>
      </c>
      <c r="K944" s="28">
        <v>43773</v>
      </c>
      <c r="L944" s="23">
        <v>14603.78</v>
      </c>
      <c r="M944" s="25">
        <f t="shared" si="107"/>
        <v>2.9540297101162327E-3</v>
      </c>
      <c r="O944" t="b">
        <f t="shared" si="105"/>
        <v>1</v>
      </c>
      <c r="Q944" s="25">
        <f t="shared" si="103"/>
        <v>0.14606057324295918</v>
      </c>
      <c r="R944" s="25">
        <f t="shared" si="112"/>
        <v>4.415587104786689E-2</v>
      </c>
      <c r="S944" s="25">
        <f t="shared" si="109"/>
        <v>0.11219326535435581</v>
      </c>
      <c r="X944">
        <f t="shared" si="104"/>
        <v>0</v>
      </c>
      <c r="Y944">
        <f t="shared" si="113"/>
        <v>0</v>
      </c>
      <c r="Z944">
        <f t="shared" si="110"/>
        <v>0</v>
      </c>
    </row>
    <row r="945" spans="1:26">
      <c r="A945" s="27">
        <v>43774</v>
      </c>
      <c r="B945" s="24">
        <v>789.33</v>
      </c>
      <c r="C945" s="25">
        <f t="shared" si="106"/>
        <v>-2.8676099039918919E-3</v>
      </c>
      <c r="E945" s="25">
        <f t="shared" si="102"/>
        <v>0.11421190819005678</v>
      </c>
      <c r="F945" s="25">
        <f t="shared" si="111"/>
        <v>2.6480515259749593E-2</v>
      </c>
      <c r="G945" s="25">
        <f t="shared" si="108"/>
        <v>9.8019549291524566E-2</v>
      </c>
      <c r="K945" s="29">
        <v>43774</v>
      </c>
      <c r="L945" s="24">
        <v>14546.54</v>
      </c>
      <c r="M945" s="25">
        <f t="shared" si="107"/>
        <v>-3.9349563538820763E-3</v>
      </c>
      <c r="O945" t="b">
        <f t="shared" si="105"/>
        <v>1</v>
      </c>
      <c r="Q945" s="25">
        <f t="shared" si="103"/>
        <v>0.12158481005240729</v>
      </c>
      <c r="R945" s="25">
        <f t="shared" si="112"/>
        <v>3.7424269939769994E-2</v>
      </c>
      <c r="S945" s="25">
        <f t="shared" si="109"/>
        <v>0.11428251734613037</v>
      </c>
      <c r="X945">
        <f t="shared" si="104"/>
        <v>0</v>
      </c>
      <c r="Y945">
        <f t="shared" si="113"/>
        <v>0</v>
      </c>
      <c r="Z945">
        <f t="shared" si="110"/>
        <v>0</v>
      </c>
    </row>
    <row r="946" spans="1:26">
      <c r="A946" s="26">
        <v>43775</v>
      </c>
      <c r="B946" s="23">
        <v>791.3</v>
      </c>
      <c r="C946" s="25">
        <f t="shared" si="106"/>
        <v>2.495787566670358E-3</v>
      </c>
      <c r="E946" s="25">
        <f t="shared" si="102"/>
        <v>0.11402063887598368</v>
      </c>
      <c r="F946" s="25">
        <f t="shared" si="111"/>
        <v>2.8846204935642605E-2</v>
      </c>
      <c r="G946" s="25">
        <f t="shared" si="108"/>
        <v>9.5476845020458168E-2</v>
      </c>
      <c r="K946" s="28">
        <v>43775</v>
      </c>
      <c r="L946" s="23">
        <v>14587.66</v>
      </c>
      <c r="M946" s="25">
        <f t="shared" si="107"/>
        <v>2.818820838983016E-3</v>
      </c>
      <c r="O946" t="b">
        <f t="shared" si="105"/>
        <v>1</v>
      </c>
      <c r="Q946" s="25">
        <f t="shared" si="103"/>
        <v>0.12218207497747957</v>
      </c>
      <c r="R946" s="25">
        <f t="shared" si="112"/>
        <v>3.8715087831876271E-2</v>
      </c>
      <c r="S946" s="25">
        <f t="shared" si="109"/>
        <v>0.11242421745161124</v>
      </c>
      <c r="X946">
        <f t="shared" si="104"/>
        <v>0</v>
      </c>
      <c r="Y946">
        <f t="shared" si="113"/>
        <v>0</v>
      </c>
      <c r="Z946">
        <f t="shared" si="110"/>
        <v>0</v>
      </c>
    </row>
    <row r="947" spans="1:26">
      <c r="A947" s="27">
        <v>43776</v>
      </c>
      <c r="B947" s="24">
        <v>795.24</v>
      </c>
      <c r="C947" s="25">
        <f t="shared" si="106"/>
        <v>4.9791482370782946E-3</v>
      </c>
      <c r="E947" s="25">
        <f t="shared" si="102"/>
        <v>0.10712943240195472</v>
      </c>
      <c r="F947" s="25">
        <f t="shared" si="111"/>
        <v>3.0371183303449678E-2</v>
      </c>
      <c r="G947" s="25">
        <f t="shared" si="108"/>
        <v>9.6212487196684293E-2</v>
      </c>
      <c r="K947" s="29">
        <v>43776</v>
      </c>
      <c r="L947" s="24">
        <v>14653.33</v>
      </c>
      <c r="M947" s="25">
        <f t="shared" si="107"/>
        <v>4.481575177792357E-3</v>
      </c>
      <c r="O947" t="b">
        <f t="shared" si="105"/>
        <v>1</v>
      </c>
      <c r="Q947" s="25">
        <f t="shared" si="103"/>
        <v>0.11115888387654005</v>
      </c>
      <c r="R947" s="25">
        <f t="shared" si="112"/>
        <v>3.9684151747441776E-2</v>
      </c>
      <c r="S947" s="25">
        <f t="shared" si="109"/>
        <v>0.11231325665245584</v>
      </c>
      <c r="X947">
        <f t="shared" si="104"/>
        <v>0</v>
      </c>
      <c r="Y947">
        <f t="shared" si="113"/>
        <v>0</v>
      </c>
      <c r="Z947">
        <f t="shared" si="110"/>
        <v>0</v>
      </c>
    </row>
    <row r="948" spans="1:26">
      <c r="A948" s="26">
        <v>43777</v>
      </c>
      <c r="B948" s="23">
        <v>789.88</v>
      </c>
      <c r="C948" s="25">
        <f t="shared" si="106"/>
        <v>-6.7401036165183007E-3</v>
      </c>
      <c r="E948" s="25">
        <f t="shared" si="102"/>
        <v>0.1003719543624535</v>
      </c>
      <c r="F948" s="25">
        <f t="shared" si="111"/>
        <v>2.7922650260254755E-2</v>
      </c>
      <c r="G948" s="25">
        <f t="shared" si="108"/>
        <v>9.9388097214446969E-2</v>
      </c>
      <c r="K948" s="28">
        <v>43777</v>
      </c>
      <c r="L948" s="23">
        <v>14531.75</v>
      </c>
      <c r="M948" s="25">
        <f t="shared" si="107"/>
        <v>-8.3665078190857892E-3</v>
      </c>
      <c r="O948" t="b">
        <f t="shared" si="105"/>
        <v>1</v>
      </c>
      <c r="Q948" s="25">
        <f t="shared" si="103"/>
        <v>0.1044981788995567</v>
      </c>
      <c r="R948" s="25">
        <f t="shared" si="112"/>
        <v>3.4655470277072498E-2</v>
      </c>
      <c r="S948" s="25">
        <f t="shared" si="109"/>
        <v>0.11524355146850751</v>
      </c>
      <c r="X948">
        <f t="shared" si="104"/>
        <v>0</v>
      </c>
      <c r="Y948">
        <f t="shared" si="113"/>
        <v>0</v>
      </c>
      <c r="Z948">
        <f t="shared" si="110"/>
        <v>0</v>
      </c>
    </row>
    <row r="949" spans="1:26">
      <c r="A949" s="27">
        <v>43780</v>
      </c>
      <c r="B949" s="24">
        <v>793.12</v>
      </c>
      <c r="C949" s="25">
        <f t="shared" si="106"/>
        <v>4.101888894515634E-3</v>
      </c>
      <c r="E949" s="25">
        <f t="shared" si="102"/>
        <v>0.10766308674217573</v>
      </c>
      <c r="F949" s="25">
        <f t="shared" si="111"/>
        <v>3.4487349363486075E-2</v>
      </c>
      <c r="G949" s="25">
        <f t="shared" si="108"/>
        <v>9.5897471072820872E-2</v>
      </c>
      <c r="K949" s="29">
        <v>43780</v>
      </c>
      <c r="L949" s="24">
        <v>14550.59</v>
      </c>
      <c r="M949" s="25">
        <f t="shared" si="107"/>
        <v>1.2947928571968659E-3</v>
      </c>
      <c r="O949" t="b">
        <f t="shared" si="105"/>
        <v>1</v>
      </c>
      <c r="Q949" s="25">
        <f t="shared" si="103"/>
        <v>0.10687573978900988</v>
      </c>
      <c r="R949" s="25">
        <f t="shared" si="112"/>
        <v>4.114636199558297E-2</v>
      </c>
      <c r="S949" s="25">
        <f t="shared" si="109"/>
        <v>0.11089890498519428</v>
      </c>
      <c r="X949">
        <f t="shared" si="104"/>
        <v>1</v>
      </c>
      <c r="Y949">
        <f t="shared" si="113"/>
        <v>0</v>
      </c>
      <c r="Z949">
        <f t="shared" si="110"/>
        <v>0</v>
      </c>
    </row>
    <row r="950" spans="1:26">
      <c r="A950" s="26">
        <v>43782</v>
      </c>
      <c r="B950" s="23">
        <v>782.89</v>
      </c>
      <c r="C950" s="25">
        <f t="shared" si="106"/>
        <v>-1.2898426467621567E-2</v>
      </c>
      <c r="E950" s="25">
        <f t="shared" si="102"/>
        <v>8.3554780490505465E-2</v>
      </c>
      <c r="F950" s="25">
        <f t="shared" si="111"/>
        <v>3.057197814910606E-2</v>
      </c>
      <c r="G950" s="25">
        <f t="shared" si="108"/>
        <v>0.10156715670758398</v>
      </c>
      <c r="K950" s="28">
        <v>43782</v>
      </c>
      <c r="L950" s="23">
        <v>14457.92</v>
      </c>
      <c r="M950" s="25">
        <f t="shared" si="107"/>
        <v>-6.4096356875677878E-3</v>
      </c>
      <c r="O950" t="b">
        <f t="shared" si="105"/>
        <v>1</v>
      </c>
      <c r="Q950" s="25">
        <f t="shared" si="103"/>
        <v>9.0448603896765123E-2</v>
      </c>
      <c r="R950" s="25">
        <f t="shared" si="112"/>
        <v>4.0773042820540617E-2</v>
      </c>
      <c r="S950" s="25">
        <f t="shared" si="109"/>
        <v>0.11961397227877169</v>
      </c>
      <c r="X950">
        <f t="shared" si="104"/>
        <v>0</v>
      </c>
      <c r="Y950">
        <f t="shared" si="113"/>
        <v>0</v>
      </c>
      <c r="Z950">
        <f t="shared" si="110"/>
        <v>0</v>
      </c>
    </row>
    <row r="951" spans="1:26">
      <c r="A951" s="27">
        <v>43783</v>
      </c>
      <c r="B951" s="24">
        <v>786.39</v>
      </c>
      <c r="C951" s="25">
        <f t="shared" si="106"/>
        <v>4.4706152843949978E-3</v>
      </c>
      <c r="E951" s="25">
        <f t="shared" si="102"/>
        <v>9.75436147941382E-2</v>
      </c>
      <c r="F951" s="25">
        <f t="shared" si="111"/>
        <v>3.1467713171480893E-2</v>
      </c>
      <c r="G951" s="25">
        <f t="shared" si="108"/>
        <v>0.11788492878482915</v>
      </c>
      <c r="K951" s="29">
        <v>43783</v>
      </c>
      <c r="L951" s="24">
        <v>14482.84</v>
      </c>
      <c r="M951" s="25">
        <f t="shared" si="107"/>
        <v>1.7206569982130627E-3</v>
      </c>
      <c r="O951" t="b">
        <f t="shared" si="105"/>
        <v>1</v>
      </c>
      <c r="Q951" s="25">
        <f t="shared" si="103"/>
        <v>0.10303847310918934</v>
      </c>
      <c r="R951" s="25">
        <f t="shared" si="112"/>
        <v>3.9973193830114218E-2</v>
      </c>
      <c r="S951" s="25">
        <f t="shared" si="109"/>
        <v>0.13148071542866635</v>
      </c>
      <c r="X951">
        <f t="shared" si="104"/>
        <v>0</v>
      </c>
      <c r="Y951">
        <f t="shared" si="113"/>
        <v>0</v>
      </c>
      <c r="Z951">
        <f t="shared" si="110"/>
        <v>0</v>
      </c>
    </row>
    <row r="952" spans="1:26">
      <c r="A952" s="26">
        <v>43784</v>
      </c>
      <c r="B952" s="23">
        <v>789.89</v>
      </c>
      <c r="C952" s="25">
        <f t="shared" si="106"/>
        <v>4.4507178372054576E-3</v>
      </c>
      <c r="E952" s="25">
        <f t="shared" ref="E952:E1015" si="114">(B952/B707)-1</f>
        <v>9.5152926822505091E-2</v>
      </c>
      <c r="F952" s="25">
        <f t="shared" si="111"/>
        <v>3.3543835988651072E-2</v>
      </c>
      <c r="G952" s="25">
        <f t="shared" si="108"/>
        <v>0.11836999364235479</v>
      </c>
      <c r="K952" s="28">
        <v>43784</v>
      </c>
      <c r="L952" s="23">
        <v>14508.27</v>
      </c>
      <c r="M952" s="25">
        <f t="shared" si="107"/>
        <v>1.7527934067949032E-3</v>
      </c>
      <c r="O952" t="b">
        <f t="shared" si="105"/>
        <v>1</v>
      </c>
      <c r="Q952" s="25">
        <f t="shared" ref="Q952:Q1015" si="115">(L952/L707)-1</f>
        <v>9.6968950035461132E-2</v>
      </c>
      <c r="R952" s="25">
        <f t="shared" si="112"/>
        <v>4.0398792165618591E-2</v>
      </c>
      <c r="S952" s="25">
        <f t="shared" si="109"/>
        <v>0.13149559671726352</v>
      </c>
      <c r="X952">
        <f t="shared" ref="X952:X1015" si="116">IF(E952&gt;Q952,1,0)</f>
        <v>0</v>
      </c>
      <c r="Y952">
        <f t="shared" si="113"/>
        <v>0</v>
      </c>
      <c r="Z952">
        <f t="shared" si="110"/>
        <v>0</v>
      </c>
    </row>
    <row r="953" spans="1:26">
      <c r="A953" s="27">
        <v>43787</v>
      </c>
      <c r="B953" s="24">
        <v>791.95</v>
      </c>
      <c r="C953" s="25">
        <f t="shared" si="106"/>
        <v>2.6079580701111032E-3</v>
      </c>
      <c r="E953" s="25">
        <f t="shared" si="114"/>
        <v>9.3445814406229788E-2</v>
      </c>
      <c r="F953" s="25">
        <f t="shared" si="111"/>
        <v>3.8860105343741624E-2</v>
      </c>
      <c r="G953" s="25">
        <f t="shared" si="108"/>
        <v>0.11965870586504002</v>
      </c>
      <c r="K953" s="29">
        <v>43787</v>
      </c>
      <c r="L953" s="24">
        <v>14510.92</v>
      </c>
      <c r="M953" s="25">
        <f t="shared" si="107"/>
        <v>1.826210881184402E-4</v>
      </c>
      <c r="O953" t="b">
        <f t="shared" si="105"/>
        <v>1</v>
      </c>
      <c r="Q953" s="25">
        <f t="shared" si="115"/>
        <v>9.742073320602751E-2</v>
      </c>
      <c r="R953" s="25">
        <f t="shared" si="112"/>
        <v>4.4631131542184566E-2</v>
      </c>
      <c r="S953" s="25">
        <f t="shared" si="109"/>
        <v>0.13290237493529955</v>
      </c>
      <c r="X953">
        <f t="shared" si="116"/>
        <v>0</v>
      </c>
      <c r="Y953">
        <f t="shared" si="113"/>
        <v>0</v>
      </c>
      <c r="Z953">
        <f t="shared" si="110"/>
        <v>0</v>
      </c>
    </row>
    <row r="954" spans="1:26">
      <c r="A954" s="26">
        <v>43788</v>
      </c>
      <c r="B954" s="23">
        <v>795.57</v>
      </c>
      <c r="C954" s="25">
        <f t="shared" si="106"/>
        <v>4.5709956436643783E-3</v>
      </c>
      <c r="E954" s="25">
        <f t="shared" si="114"/>
        <v>9.0733352527454514E-2</v>
      </c>
      <c r="F954" s="25">
        <f t="shared" si="111"/>
        <v>4.263218625738352E-2</v>
      </c>
      <c r="G954" s="25">
        <f t="shared" si="108"/>
        <v>0.12221137893744793</v>
      </c>
      <c r="K954" s="28">
        <v>43788</v>
      </c>
      <c r="L954" s="23">
        <v>14561.55</v>
      </c>
      <c r="M954" s="25">
        <f t="shared" si="107"/>
        <v>3.476965020894012E-3</v>
      </c>
      <c r="O954" t="b">
        <f t="shared" si="105"/>
        <v>1</v>
      </c>
      <c r="Q954" s="25">
        <f t="shared" si="115"/>
        <v>9.7036734011223702E-2</v>
      </c>
      <c r="R954" s="25">
        <f t="shared" si="112"/>
        <v>4.8236207354266147E-2</v>
      </c>
      <c r="S954" s="25">
        <f t="shared" si="109"/>
        <v>0.13394164913764306</v>
      </c>
      <c r="X954">
        <f t="shared" si="116"/>
        <v>0</v>
      </c>
      <c r="Y954">
        <f t="shared" si="113"/>
        <v>0</v>
      </c>
      <c r="Z954">
        <f t="shared" si="110"/>
        <v>0</v>
      </c>
    </row>
    <row r="955" spans="1:26">
      <c r="A955" s="27">
        <v>43789</v>
      </c>
      <c r="B955" s="24">
        <v>801.75</v>
      </c>
      <c r="C955" s="25">
        <f t="shared" si="106"/>
        <v>7.7680153851954568E-3</v>
      </c>
      <c r="E955" s="25">
        <f t="shared" si="114"/>
        <v>9.5750932772075581E-2</v>
      </c>
      <c r="F955" s="25">
        <f t="shared" si="111"/>
        <v>5.136051859895252E-2</v>
      </c>
      <c r="G955" s="25">
        <f t="shared" si="108"/>
        <v>0.13400945928208374</v>
      </c>
      <c r="K955" s="29">
        <v>43789</v>
      </c>
      <c r="L955" s="24">
        <v>14625.8</v>
      </c>
      <c r="M955" s="25">
        <f t="shared" si="107"/>
        <v>4.392922096569077E-3</v>
      </c>
      <c r="O955" t="b">
        <f t="shared" si="105"/>
        <v>1</v>
      </c>
      <c r="Q955" s="25">
        <f t="shared" si="115"/>
        <v>9.7152510485203569E-2</v>
      </c>
      <c r="R955" s="25">
        <f t="shared" si="112"/>
        <v>5.5089744345547587E-2</v>
      </c>
      <c r="S955" s="25">
        <f t="shared" si="109"/>
        <v>0.14377397909811984</v>
      </c>
      <c r="X955">
        <f t="shared" si="116"/>
        <v>0</v>
      </c>
      <c r="Y955">
        <f t="shared" si="113"/>
        <v>0</v>
      </c>
      <c r="Z955">
        <f t="shared" si="110"/>
        <v>0</v>
      </c>
    </row>
    <row r="956" spans="1:26">
      <c r="A956" s="26">
        <v>43790</v>
      </c>
      <c r="B956" s="23">
        <v>799.82</v>
      </c>
      <c r="C956" s="25">
        <f t="shared" si="106"/>
        <v>-2.4072341752415967E-3</v>
      </c>
      <c r="E956" s="25">
        <f t="shared" si="114"/>
        <v>8.6446249558532084E-2</v>
      </c>
      <c r="F956" s="25">
        <f t="shared" si="111"/>
        <v>4.4222652915708149E-2</v>
      </c>
      <c r="G956" s="25">
        <f t="shared" si="108"/>
        <v>0.12762854062470042</v>
      </c>
      <c r="K956" s="28">
        <v>43790</v>
      </c>
      <c r="L956" s="23">
        <v>14577.67</v>
      </c>
      <c r="M956" s="25">
        <f t="shared" si="107"/>
        <v>-3.301625019636142E-3</v>
      </c>
      <c r="O956" t="b">
        <f t="shared" si="105"/>
        <v>1</v>
      </c>
      <c r="Q956" s="25">
        <f t="shared" si="115"/>
        <v>8.6347908967677967E-2</v>
      </c>
      <c r="R956" s="25">
        <f t="shared" si="112"/>
        <v>4.8020595140261468E-2</v>
      </c>
      <c r="S956" s="25">
        <f t="shared" si="109"/>
        <v>0.13839109487614443</v>
      </c>
      <c r="X956">
        <f t="shared" si="116"/>
        <v>1</v>
      </c>
      <c r="Y956">
        <f t="shared" si="113"/>
        <v>0</v>
      </c>
      <c r="Z956">
        <f t="shared" si="110"/>
        <v>0</v>
      </c>
    </row>
    <row r="957" spans="1:26">
      <c r="A957" s="27">
        <v>43791</v>
      </c>
      <c r="B957" s="24">
        <v>796.42</v>
      </c>
      <c r="C957" s="25">
        <f t="shared" si="106"/>
        <v>-4.2509564652047846E-3</v>
      </c>
      <c r="E957" s="25">
        <f t="shared" si="114"/>
        <v>9.6362985600616735E-2</v>
      </c>
      <c r="F957" s="25">
        <f t="shared" si="111"/>
        <v>3.8376061772563252E-2</v>
      </c>
      <c r="G957" s="25">
        <f t="shared" si="108"/>
        <v>0.12237833611344984</v>
      </c>
      <c r="K957" s="29">
        <v>43791</v>
      </c>
      <c r="L957" s="24">
        <v>14528.11</v>
      </c>
      <c r="M957" s="25">
        <f t="shared" si="107"/>
        <v>-3.411317783249128E-3</v>
      </c>
      <c r="O957" t="b">
        <f t="shared" si="105"/>
        <v>1</v>
      </c>
      <c r="Q957" s="25">
        <f t="shared" si="115"/>
        <v>9.3806278496870954E-2</v>
      </c>
      <c r="R957" s="25">
        <f t="shared" si="112"/>
        <v>4.2101300371155448E-2</v>
      </c>
      <c r="S957" s="25">
        <f t="shared" si="109"/>
        <v>0.13448482895384561</v>
      </c>
      <c r="X957">
        <f t="shared" si="116"/>
        <v>1</v>
      </c>
      <c r="Y957">
        <f t="shared" si="113"/>
        <v>0</v>
      </c>
      <c r="Z957">
        <f t="shared" si="110"/>
        <v>0</v>
      </c>
    </row>
    <row r="958" spans="1:26">
      <c r="A958" s="26">
        <v>43794</v>
      </c>
      <c r="B958" s="23">
        <v>806.77</v>
      </c>
      <c r="C958" s="25">
        <f t="shared" si="106"/>
        <v>1.2995655558624876E-2</v>
      </c>
      <c r="E958" s="25">
        <f t="shared" si="114"/>
        <v>0.10748555191016784</v>
      </c>
      <c r="F958" s="25">
        <f t="shared" si="111"/>
        <v>4.3323246054644882E-2</v>
      </c>
      <c r="G958" s="25">
        <f t="shared" si="108"/>
        <v>0.12985996628596852</v>
      </c>
      <c r="K958" s="28">
        <v>43794</v>
      </c>
      <c r="L958" s="23">
        <v>14712.37</v>
      </c>
      <c r="M958" s="25">
        <f t="shared" si="107"/>
        <v>1.2524154843849101E-2</v>
      </c>
      <c r="O958" t="b">
        <f t="shared" si="105"/>
        <v>1</v>
      </c>
      <c r="Q958" s="25">
        <f t="shared" si="115"/>
        <v>0.11013714134802211</v>
      </c>
      <c r="R958" s="25">
        <f t="shared" si="112"/>
        <v>4.7262057621627163E-2</v>
      </c>
      <c r="S958" s="25">
        <f t="shared" si="109"/>
        <v>0.14175918230340012</v>
      </c>
      <c r="X958">
        <f t="shared" si="116"/>
        <v>0</v>
      </c>
      <c r="Y958">
        <f t="shared" si="113"/>
        <v>0</v>
      </c>
      <c r="Z958">
        <f t="shared" si="110"/>
        <v>0</v>
      </c>
    </row>
    <row r="959" spans="1:26">
      <c r="A959" s="27">
        <v>43795</v>
      </c>
      <c r="B959" s="24">
        <v>804.06</v>
      </c>
      <c r="C959" s="25">
        <f t="shared" si="106"/>
        <v>-3.3590738376489413E-3</v>
      </c>
      <c r="E959" s="25">
        <f t="shared" si="114"/>
        <v>0.11251625757533823</v>
      </c>
      <c r="F959" s="25">
        <f t="shared" si="111"/>
        <v>3.9999068727465392E-2</v>
      </c>
      <c r="G959" s="25">
        <f t="shared" si="108"/>
        <v>0.12152669045949849</v>
      </c>
      <c r="K959" s="29">
        <v>43795</v>
      </c>
      <c r="L959" s="24">
        <v>14653.52</v>
      </c>
      <c r="M959" s="25">
        <f t="shared" si="107"/>
        <v>-4.0160998858977479E-3</v>
      </c>
      <c r="O959" t="b">
        <f t="shared" si="105"/>
        <v>1</v>
      </c>
      <c r="Q959" s="25">
        <f t="shared" si="115"/>
        <v>0.11333285214464528</v>
      </c>
      <c r="R959" s="25">
        <f t="shared" si="112"/>
        <v>4.3823993980727005E-2</v>
      </c>
      <c r="S959" s="25">
        <f t="shared" si="109"/>
        <v>0.13346356121301994</v>
      </c>
      <c r="X959">
        <f t="shared" si="116"/>
        <v>0</v>
      </c>
      <c r="Y959">
        <f t="shared" si="113"/>
        <v>0</v>
      </c>
      <c r="Z959">
        <f t="shared" si="110"/>
        <v>0</v>
      </c>
    </row>
    <row r="960" spans="1:26">
      <c r="A960" s="26">
        <v>43796</v>
      </c>
      <c r="B960" s="23">
        <v>807.61</v>
      </c>
      <c r="C960" s="25">
        <f t="shared" si="106"/>
        <v>4.4150934009900607E-3</v>
      </c>
      <c r="E960" s="25">
        <f t="shared" si="114"/>
        <v>0.110177879196107</v>
      </c>
      <c r="F960" s="25">
        <f t="shared" si="111"/>
        <v>4.3057351462260751E-2</v>
      </c>
      <c r="G960" s="25">
        <f t="shared" si="108"/>
        <v>0.12144606587380613</v>
      </c>
      <c r="K960" s="28">
        <v>43796</v>
      </c>
      <c r="L960" s="23">
        <v>14733.2</v>
      </c>
      <c r="M960" s="25">
        <f t="shared" si="107"/>
        <v>5.4081937393098776E-3</v>
      </c>
      <c r="O960" t="b">
        <f t="shared" si="105"/>
        <v>1</v>
      </c>
      <c r="Q960" s="25">
        <f t="shared" si="115"/>
        <v>0.11137093623036676</v>
      </c>
      <c r="R960" s="25">
        <f t="shared" si="112"/>
        <v>4.6072179182899742E-2</v>
      </c>
      <c r="S960" s="25">
        <f t="shared" si="109"/>
        <v>0.13428546447516254</v>
      </c>
      <c r="X960">
        <f t="shared" si="116"/>
        <v>0</v>
      </c>
      <c r="Y960">
        <f t="shared" si="113"/>
        <v>0</v>
      </c>
      <c r="Z960">
        <f t="shared" si="110"/>
        <v>0</v>
      </c>
    </row>
    <row r="961" spans="1:26">
      <c r="A961" s="27">
        <v>43797</v>
      </c>
      <c r="B961" s="24">
        <v>812.63</v>
      </c>
      <c r="C961" s="25">
        <f t="shared" si="106"/>
        <v>6.2158715221455677E-3</v>
      </c>
      <c r="E961" s="25">
        <f t="shared" si="114"/>
        <v>0.11016543941857138</v>
      </c>
      <c r="F961" s="25">
        <f t="shared" si="111"/>
        <v>4.6392764444197709E-2</v>
      </c>
      <c r="G961" s="25">
        <f t="shared" si="108"/>
        <v>0.12275272556502381</v>
      </c>
      <c r="K961" s="29">
        <v>43797</v>
      </c>
      <c r="L961" s="24">
        <v>14814.01</v>
      </c>
      <c r="M961" s="25">
        <f t="shared" si="107"/>
        <v>5.4549713413180826E-3</v>
      </c>
      <c r="O961" t="b">
        <f t="shared" si="105"/>
        <v>1</v>
      </c>
      <c r="Q961" s="25">
        <f t="shared" si="115"/>
        <v>0.11237670303001179</v>
      </c>
      <c r="R961" s="25">
        <f t="shared" si="112"/>
        <v>4.8271582505826194E-2</v>
      </c>
      <c r="S961" s="25">
        <f t="shared" si="109"/>
        <v>0.13525977615505713</v>
      </c>
      <c r="X961">
        <f t="shared" si="116"/>
        <v>0</v>
      </c>
      <c r="Y961">
        <f t="shared" si="113"/>
        <v>0</v>
      </c>
      <c r="Z961">
        <f t="shared" si="110"/>
        <v>0</v>
      </c>
    </row>
    <row r="962" spans="1:26">
      <c r="A962" s="26">
        <v>43798</v>
      </c>
      <c r="B962" s="23">
        <v>807.83</v>
      </c>
      <c r="C962" s="25">
        <f t="shared" si="106"/>
        <v>-5.9067472281357503E-3</v>
      </c>
      <c r="E962" s="25">
        <f t="shared" si="114"/>
        <v>0.10596497953260431</v>
      </c>
      <c r="F962" s="25">
        <f t="shared" si="111"/>
        <v>4.1915895503506162E-2</v>
      </c>
      <c r="G962" s="25">
        <f t="shared" si="108"/>
        <v>0.11673856821390416</v>
      </c>
      <c r="K962" s="28">
        <v>43798</v>
      </c>
      <c r="L962" s="23">
        <v>14729.77</v>
      </c>
      <c r="M962" s="25">
        <f t="shared" si="107"/>
        <v>-5.7190302360457619E-3</v>
      </c>
      <c r="O962" t="b">
        <f t="shared" si="105"/>
        <v>1</v>
      </c>
      <c r="Q962" s="25">
        <f t="shared" si="115"/>
        <v>0.10489958983806558</v>
      </c>
      <c r="R962" s="25">
        <f t="shared" si="112"/>
        <v>4.3100181813562788E-2</v>
      </c>
      <c r="S962" s="25">
        <f t="shared" si="109"/>
        <v>0.12904631773552366</v>
      </c>
      <c r="X962">
        <f t="shared" si="116"/>
        <v>1</v>
      </c>
      <c r="Y962">
        <f t="shared" si="113"/>
        <v>0</v>
      </c>
      <c r="Z962">
        <f t="shared" si="110"/>
        <v>0</v>
      </c>
    </row>
    <row r="963" spans="1:26">
      <c r="A963" s="27">
        <v>43801</v>
      </c>
      <c r="B963" s="24">
        <v>804.24</v>
      </c>
      <c r="C963" s="25">
        <f t="shared" si="106"/>
        <v>-4.4440043078370845E-3</v>
      </c>
      <c r="E963" s="25">
        <f t="shared" si="114"/>
        <v>9.0066279022486206E-2</v>
      </c>
      <c r="F963" s="25">
        <f t="shared" si="111"/>
        <v>3.8412719529504313E-2</v>
      </c>
      <c r="G963" s="25">
        <f t="shared" si="108"/>
        <v>0.11693992466674241</v>
      </c>
      <c r="K963" s="29">
        <v>43801</v>
      </c>
      <c r="L963" s="24">
        <v>14706.31</v>
      </c>
      <c r="M963" s="25">
        <f t="shared" si="107"/>
        <v>-1.595233610606668E-3</v>
      </c>
      <c r="O963" t="b">
        <f t="shared" ref="O963:O1026" si="117">K963=A963</f>
        <v>1</v>
      </c>
      <c r="Q963" s="25">
        <f t="shared" si="115"/>
        <v>9.2380166431076383E-2</v>
      </c>
      <c r="R963" s="25">
        <f t="shared" si="112"/>
        <v>4.1060614668911644E-2</v>
      </c>
      <c r="S963" s="25">
        <f t="shared" si="109"/>
        <v>0.13053195208975588</v>
      </c>
      <c r="X963">
        <f t="shared" si="116"/>
        <v>0</v>
      </c>
      <c r="Y963">
        <f t="shared" si="113"/>
        <v>0</v>
      </c>
      <c r="Z963">
        <f t="shared" si="110"/>
        <v>0</v>
      </c>
    </row>
    <row r="964" spans="1:26">
      <c r="A964" s="26">
        <v>43802</v>
      </c>
      <c r="B964" s="23">
        <v>799.25</v>
      </c>
      <c r="C964" s="25">
        <f t="shared" ref="C964:C1027" si="118">(B964-B963)/B963</f>
        <v>-6.2046155376504642E-3</v>
      </c>
      <c r="E964" s="25">
        <f t="shared" si="114"/>
        <v>8.0198943114703214E-2</v>
      </c>
      <c r="F964" s="25">
        <f t="shared" si="111"/>
        <v>3.5727955300432379E-2</v>
      </c>
      <c r="G964" s="25">
        <f t="shared" si="108"/>
        <v>0.1206835700513007</v>
      </c>
      <c r="K964" s="28">
        <v>43802</v>
      </c>
      <c r="L964" s="23">
        <v>14624.06</v>
      </c>
      <c r="M964" s="25">
        <f t="shared" ref="M964:M1027" si="119">(L964-L963)/L964</f>
        <v>-5.6242931169593127E-3</v>
      </c>
      <c r="O964" t="b">
        <f t="shared" si="117"/>
        <v>1</v>
      </c>
      <c r="Q964" s="25">
        <f t="shared" si="115"/>
        <v>8.3018219573933516E-2</v>
      </c>
      <c r="R964" s="25">
        <f t="shared" si="112"/>
        <v>3.8884764784575143E-2</v>
      </c>
      <c r="S964" s="25">
        <f t="shared" si="109"/>
        <v>0.13343080719482647</v>
      </c>
      <c r="X964">
        <f t="shared" si="116"/>
        <v>0</v>
      </c>
      <c r="Y964">
        <f t="shared" si="113"/>
        <v>0</v>
      </c>
      <c r="Z964">
        <f t="shared" si="110"/>
        <v>0</v>
      </c>
    </row>
    <row r="965" spans="1:26">
      <c r="A965" s="27">
        <v>43803</v>
      </c>
      <c r="B965" s="24">
        <v>805.88</v>
      </c>
      <c r="C965" s="25">
        <f t="shared" si="118"/>
        <v>8.2952768220206381E-3</v>
      </c>
      <c r="E965" s="25">
        <f t="shared" si="114"/>
        <v>8.4206702632888986E-2</v>
      </c>
      <c r="F965" s="25">
        <f t="shared" si="111"/>
        <v>4.122445198414515E-2</v>
      </c>
      <c r="G965" s="25">
        <f t="shared" si="108"/>
        <v>0.1210233532040581</v>
      </c>
      <c r="K965" s="29">
        <v>43803</v>
      </c>
      <c r="L965" s="24">
        <v>14682.49</v>
      </c>
      <c r="M965" s="25">
        <f t="shared" si="119"/>
        <v>3.9795702227619625E-3</v>
      </c>
      <c r="O965" t="b">
        <f t="shared" si="117"/>
        <v>1</v>
      </c>
      <c r="Q965" s="25">
        <f t="shared" si="115"/>
        <v>8.5226861166258328E-2</v>
      </c>
      <c r="R965" s="25">
        <f t="shared" si="112"/>
        <v>4.1497840399844277E-2</v>
      </c>
      <c r="S965" s="25">
        <f t="shared" si="109"/>
        <v>0.13293547704136444</v>
      </c>
      <c r="X965">
        <f t="shared" si="116"/>
        <v>0</v>
      </c>
      <c r="Y965">
        <f t="shared" si="113"/>
        <v>0</v>
      </c>
      <c r="Z965">
        <f t="shared" si="110"/>
        <v>0</v>
      </c>
    </row>
    <row r="966" spans="1:26">
      <c r="A966" s="26">
        <v>43804</v>
      </c>
      <c r="B966" s="23">
        <v>803.62</v>
      </c>
      <c r="C966" s="25">
        <f t="shared" si="118"/>
        <v>-2.8043877500372153E-3</v>
      </c>
      <c r="E966" s="25">
        <f t="shared" si="114"/>
        <v>8.1923071744954834E-2</v>
      </c>
      <c r="F966" s="25">
        <f t="shared" si="111"/>
        <v>4.3553796463428274E-2</v>
      </c>
      <c r="G966" s="25">
        <f t="shared" si="108"/>
        <v>0.1194854063198254</v>
      </c>
      <c r="K966" s="28">
        <v>43804</v>
      </c>
      <c r="L966" s="23">
        <v>14645.76</v>
      </c>
      <c r="M966" s="25">
        <f t="shared" si="119"/>
        <v>-2.507893069393433E-3</v>
      </c>
      <c r="O966" t="b">
        <f t="shared" si="117"/>
        <v>1</v>
      </c>
      <c r="Q966" s="25">
        <f t="shared" si="115"/>
        <v>8.3751234835114818E-2</v>
      </c>
      <c r="R966" s="25">
        <f t="shared" si="112"/>
        <v>4.5305614475410483E-2</v>
      </c>
      <c r="S966" s="25">
        <f t="shared" si="109"/>
        <v>0.13105349799763588</v>
      </c>
      <c r="X966">
        <f t="shared" si="116"/>
        <v>0</v>
      </c>
      <c r="Y966">
        <f t="shared" si="113"/>
        <v>0</v>
      </c>
      <c r="Z966">
        <f t="shared" si="110"/>
        <v>0</v>
      </c>
    </row>
    <row r="967" spans="1:26">
      <c r="A967" s="27">
        <v>43805</v>
      </c>
      <c r="B967" s="24">
        <v>797.05</v>
      </c>
      <c r="C967" s="25">
        <f t="shared" si="118"/>
        <v>-8.1755058360917475E-3</v>
      </c>
      <c r="E967" s="25">
        <f t="shared" si="114"/>
        <v>8.7603193013576997E-2</v>
      </c>
      <c r="F967" s="25">
        <f t="shared" si="111"/>
        <v>4.4794289795149433E-2</v>
      </c>
      <c r="G967" s="25">
        <f t="shared" si="108"/>
        <v>0.11853927155608379</v>
      </c>
      <c r="K967" s="29">
        <v>43805</v>
      </c>
      <c r="L967" s="24">
        <v>14513.39</v>
      </c>
      <c r="M967" s="25">
        <f t="shared" si="119"/>
        <v>-9.1205431673785937E-3</v>
      </c>
      <c r="O967" t="b">
        <f t="shared" si="117"/>
        <v>1</v>
      </c>
      <c r="Q967" s="25">
        <f t="shared" si="115"/>
        <v>8.4304197690246774E-2</v>
      </c>
      <c r="R967" s="25">
        <f t="shared" si="112"/>
        <v>4.5960823874805268E-2</v>
      </c>
      <c r="S967" s="25">
        <f t="shared" si="109"/>
        <v>0.12927173420368443</v>
      </c>
      <c r="X967">
        <f t="shared" si="116"/>
        <v>1</v>
      </c>
      <c r="Y967">
        <f t="shared" si="113"/>
        <v>0</v>
      </c>
      <c r="Z967">
        <f t="shared" si="110"/>
        <v>0</v>
      </c>
    </row>
    <row r="968" spans="1:26">
      <c r="A968" s="26">
        <v>43808</v>
      </c>
      <c r="B968" s="23">
        <v>796.65</v>
      </c>
      <c r="C968" s="25">
        <f t="shared" si="118"/>
        <v>-5.0185057399156551E-4</v>
      </c>
      <c r="E968" s="25">
        <f t="shared" si="114"/>
        <v>0.10480113163587945</v>
      </c>
      <c r="F968" s="25">
        <f t="shared" si="111"/>
        <v>4.4710954111894852E-2</v>
      </c>
      <c r="G968" s="25">
        <f t="shared" si="108"/>
        <v>0.11221521445149318</v>
      </c>
      <c r="K968" s="28">
        <v>43808</v>
      </c>
      <c r="L968" s="23">
        <v>14516.42</v>
      </c>
      <c r="M968" s="25">
        <f t="shared" si="119"/>
        <v>2.0872914947353788E-4</v>
      </c>
      <c r="O968" t="b">
        <f t="shared" si="117"/>
        <v>1</v>
      </c>
      <c r="Q968" s="25">
        <f t="shared" si="115"/>
        <v>0.10238453243419743</v>
      </c>
      <c r="R968" s="25">
        <f t="shared" si="112"/>
        <v>4.6131513625396137E-2</v>
      </c>
      <c r="S968" s="25">
        <f t="shared" si="109"/>
        <v>0.12304510000543534</v>
      </c>
      <c r="X968">
        <f t="shared" si="116"/>
        <v>1</v>
      </c>
      <c r="Y968">
        <f t="shared" si="113"/>
        <v>0</v>
      </c>
      <c r="Z968">
        <f t="shared" si="110"/>
        <v>0</v>
      </c>
    </row>
    <row r="969" spans="1:26">
      <c r="A969" s="27">
        <v>43809</v>
      </c>
      <c r="B969" s="24">
        <v>791.78</v>
      </c>
      <c r="C969" s="25">
        <f t="shared" si="118"/>
        <v>-6.1130986003891351E-3</v>
      </c>
      <c r="E969" s="25">
        <f t="shared" si="114"/>
        <v>9.4480461136530192E-2</v>
      </c>
      <c r="F969" s="25">
        <f t="shared" si="111"/>
        <v>4.1149183053855953E-2</v>
      </c>
      <c r="G969" s="25">
        <f t="shared" si="108"/>
        <v>0.10892375125747389</v>
      </c>
      <c r="K969" s="29">
        <v>43809</v>
      </c>
      <c r="L969" s="24">
        <v>14402.73</v>
      </c>
      <c r="M969" s="25">
        <f t="shared" si="119"/>
        <v>-7.893642385853274E-3</v>
      </c>
      <c r="O969" t="b">
        <f t="shared" si="117"/>
        <v>1</v>
      </c>
      <c r="Q969" s="25">
        <f t="shared" si="115"/>
        <v>8.6728653790870025E-2</v>
      </c>
      <c r="R969" s="25">
        <f t="shared" si="112"/>
        <v>4.2185627903701617E-2</v>
      </c>
      <c r="S969" s="25">
        <f t="shared" si="109"/>
        <v>0.11948003571605947</v>
      </c>
      <c r="X969">
        <f t="shared" si="116"/>
        <v>1</v>
      </c>
      <c r="Y969">
        <f t="shared" si="113"/>
        <v>0</v>
      </c>
      <c r="Z969">
        <f t="shared" si="110"/>
        <v>0</v>
      </c>
    </row>
    <row r="970" spans="1:26">
      <c r="A970" s="26">
        <v>43810</v>
      </c>
      <c r="B970" s="23">
        <v>792.89</v>
      </c>
      <c r="C970" s="25">
        <f t="shared" si="118"/>
        <v>1.4019045694511274E-3</v>
      </c>
      <c r="E970" s="25">
        <f t="shared" si="114"/>
        <v>0.11172025069755054</v>
      </c>
      <c r="F970" s="25">
        <f t="shared" si="111"/>
        <v>4.6126679679605154E-2</v>
      </c>
      <c r="G970" s="25">
        <f t="shared" si="108"/>
        <v>0.11475310989088072</v>
      </c>
      <c r="K970" s="28">
        <v>43810</v>
      </c>
      <c r="L970" s="23">
        <v>14464.04</v>
      </c>
      <c r="M970" s="25">
        <f t="shared" si="119"/>
        <v>4.2387880564490488E-3</v>
      </c>
      <c r="O970" t="b">
        <f t="shared" si="117"/>
        <v>1</v>
      </c>
      <c r="Q970" s="25">
        <f t="shared" si="115"/>
        <v>0.11264157024799748</v>
      </c>
      <c r="R970" s="25">
        <f t="shared" si="112"/>
        <v>4.8347617073062787E-2</v>
      </c>
      <c r="S970" s="25">
        <f t="shared" si="109"/>
        <v>0.12519858199383771</v>
      </c>
      <c r="X970">
        <f t="shared" si="116"/>
        <v>0</v>
      </c>
      <c r="Y970">
        <f t="shared" si="113"/>
        <v>0</v>
      </c>
      <c r="Z970">
        <f t="shared" si="110"/>
        <v>0</v>
      </c>
    </row>
    <row r="971" spans="1:26">
      <c r="A971" s="27">
        <v>43811</v>
      </c>
      <c r="B971" s="24">
        <v>797.61</v>
      </c>
      <c r="C971" s="25">
        <f t="shared" si="118"/>
        <v>5.9529064561288795E-3</v>
      </c>
      <c r="E971" s="25">
        <f t="shared" si="114"/>
        <v>0.11166706156183359</v>
      </c>
      <c r="F971" s="25">
        <f t="shared" si="111"/>
        <v>4.2246295484714702E-2</v>
      </c>
      <c r="G971" s="25">
        <f t="shared" si="108"/>
        <v>0.11724710387535442</v>
      </c>
      <c r="K971" s="29">
        <v>43811</v>
      </c>
      <c r="L971" s="24">
        <v>14546.39</v>
      </c>
      <c r="M971" s="25">
        <f t="shared" si="119"/>
        <v>5.6611984141768882E-3</v>
      </c>
      <c r="O971" t="b">
        <f t="shared" si="117"/>
        <v>1</v>
      </c>
      <c r="Q971" s="25">
        <f t="shared" si="115"/>
        <v>0.10941297870084843</v>
      </c>
      <c r="R971" s="25">
        <f t="shared" si="112"/>
        <v>4.4693591162419777E-2</v>
      </c>
      <c r="S971" s="25">
        <f t="shared" si="109"/>
        <v>0.12614735706610625</v>
      </c>
      <c r="X971">
        <f t="shared" si="116"/>
        <v>1</v>
      </c>
      <c r="Y971">
        <f t="shared" si="113"/>
        <v>0</v>
      </c>
      <c r="Z971">
        <f t="shared" si="110"/>
        <v>0</v>
      </c>
    </row>
    <row r="972" spans="1:26">
      <c r="A972" s="26">
        <v>43812</v>
      </c>
      <c r="B972" s="23">
        <v>803.52</v>
      </c>
      <c r="C972" s="25">
        <f t="shared" si="118"/>
        <v>7.4096362884115896E-3</v>
      </c>
      <c r="E972" s="25">
        <f t="shared" si="114"/>
        <v>9.9522434625542333E-2</v>
      </c>
      <c r="F972" s="25">
        <f t="shared" si="111"/>
        <v>4.0090592480802378E-2</v>
      </c>
      <c r="G972" s="25">
        <f t="shared" si="108"/>
        <v>0.1223596282305015</v>
      </c>
      <c r="K972" s="28">
        <v>43812</v>
      </c>
      <c r="L972" s="23">
        <v>14685.18</v>
      </c>
      <c r="M972" s="25">
        <f t="shared" si="119"/>
        <v>9.4510247746368015E-3</v>
      </c>
      <c r="O972" t="b">
        <f t="shared" si="117"/>
        <v>1</v>
      </c>
      <c r="Q972" s="25">
        <f t="shared" si="115"/>
        <v>9.8092027732746168E-2</v>
      </c>
      <c r="R972" s="25">
        <f t="shared" si="112"/>
        <v>4.4655888110033404E-2</v>
      </c>
      <c r="S972" s="25">
        <f t="shared" si="109"/>
        <v>0.13190113172364071</v>
      </c>
      <c r="X972">
        <f t="shared" si="116"/>
        <v>1</v>
      </c>
      <c r="Y972">
        <f t="shared" si="113"/>
        <v>0</v>
      </c>
      <c r="Z972">
        <f t="shared" si="110"/>
        <v>0</v>
      </c>
    </row>
    <row r="973" spans="1:26">
      <c r="A973" s="27">
        <v>43815</v>
      </c>
      <c r="B973" s="24">
        <v>801.12</v>
      </c>
      <c r="C973" s="25">
        <f t="shared" si="118"/>
        <v>-2.9868578255674749E-3</v>
      </c>
      <c r="E973" s="25">
        <f t="shared" si="114"/>
        <v>9.0805114170172896E-2</v>
      </c>
      <c r="F973" s="25">
        <f t="shared" si="111"/>
        <v>3.5945217698435172E-2</v>
      </c>
      <c r="G973" s="25">
        <f t="shared" si="108"/>
        <v>0.12130026329546895</v>
      </c>
      <c r="K973" s="29">
        <v>43815</v>
      </c>
      <c r="L973" s="24">
        <v>14639.27</v>
      </c>
      <c r="M973" s="25">
        <f t="shared" si="119"/>
        <v>-3.1360853375885446E-3</v>
      </c>
      <c r="O973" t="b">
        <f t="shared" si="117"/>
        <v>1</v>
      </c>
      <c r="Q973" s="25">
        <f t="shared" si="115"/>
        <v>8.7943513296387943E-2</v>
      </c>
      <c r="R973" s="25">
        <f t="shared" si="112"/>
        <v>4.0684464885619276E-2</v>
      </c>
      <c r="S973" s="25">
        <f t="shared" si="109"/>
        <v>0.13154748100343583</v>
      </c>
      <c r="X973">
        <f t="shared" si="116"/>
        <v>1</v>
      </c>
      <c r="Y973">
        <f t="shared" si="113"/>
        <v>0</v>
      </c>
      <c r="Z973">
        <f t="shared" si="110"/>
        <v>0</v>
      </c>
    </row>
    <row r="974" spans="1:26">
      <c r="A974" s="26">
        <v>43816</v>
      </c>
      <c r="B974" s="23">
        <v>807.84</v>
      </c>
      <c r="C974" s="25">
        <f t="shared" si="118"/>
        <v>8.3882564409826586E-3</v>
      </c>
      <c r="E974" s="25">
        <f t="shared" si="114"/>
        <v>9.8459404702011089E-2</v>
      </c>
      <c r="F974" s="25">
        <f t="shared" si="111"/>
        <v>4.4339018431849064E-2</v>
      </c>
      <c r="G974" s="25">
        <f t="shared" si="108"/>
        <v>0.12531203982124306</v>
      </c>
      <c r="K974" s="28">
        <v>43816</v>
      </c>
      <c r="L974" s="23">
        <v>14756.84</v>
      </c>
      <c r="M974" s="25">
        <f t="shared" si="119"/>
        <v>7.9671528592842166E-3</v>
      </c>
      <c r="O974" t="b">
        <f t="shared" si="117"/>
        <v>1</v>
      </c>
      <c r="Q974" s="25">
        <f t="shared" si="115"/>
        <v>9.4992379417452089E-2</v>
      </c>
      <c r="R974" s="25">
        <f t="shared" si="112"/>
        <v>4.9148669814106816E-2</v>
      </c>
      <c r="S974" s="25">
        <f t="shared" si="109"/>
        <v>0.13526001961173972</v>
      </c>
      <c r="X974">
        <f t="shared" si="116"/>
        <v>1</v>
      </c>
      <c r="Y974">
        <f t="shared" si="113"/>
        <v>0</v>
      </c>
      <c r="Z974">
        <f t="shared" si="110"/>
        <v>0</v>
      </c>
    </row>
    <row r="975" spans="1:26">
      <c r="A975" s="27">
        <v>43817</v>
      </c>
      <c r="B975" s="24">
        <v>811.09</v>
      </c>
      <c r="C975" s="25">
        <f t="shared" si="118"/>
        <v>4.0230738760150524E-3</v>
      </c>
      <c r="E975" s="25">
        <f t="shared" si="114"/>
        <v>9.3216341164260808E-2</v>
      </c>
      <c r="F975" s="25">
        <f t="shared" si="111"/>
        <v>5.0294521688797111E-2</v>
      </c>
      <c r="G975" s="25">
        <f t="shared" si="108"/>
        <v>0.12837376686100632</v>
      </c>
      <c r="K975" s="29">
        <v>43817</v>
      </c>
      <c r="L975" s="24">
        <v>14806.69</v>
      </c>
      <c r="M975" s="25">
        <f t="shared" si="119"/>
        <v>3.3667213941806278E-3</v>
      </c>
      <c r="O975" t="b">
        <f t="shared" si="117"/>
        <v>1</v>
      </c>
      <c r="Q975" s="25">
        <f t="shared" si="115"/>
        <v>9.116949996904844E-2</v>
      </c>
      <c r="R975" s="25">
        <f t="shared" si="112"/>
        <v>5.4072818413334556E-2</v>
      </c>
      <c r="S975" s="25">
        <f t="shared" si="109"/>
        <v>0.13834150694668734</v>
      </c>
      <c r="X975">
        <f t="shared" si="116"/>
        <v>1</v>
      </c>
      <c r="Y975">
        <f t="shared" si="113"/>
        <v>0</v>
      </c>
      <c r="Z975">
        <f t="shared" si="110"/>
        <v>0</v>
      </c>
    </row>
    <row r="976" spans="1:26">
      <c r="A976" s="26">
        <v>43818</v>
      </c>
      <c r="B976" s="23">
        <v>811.38</v>
      </c>
      <c r="C976" s="25">
        <f t="shared" si="118"/>
        <v>3.5754355250337648E-4</v>
      </c>
      <c r="E976" s="25">
        <f t="shared" si="114"/>
        <v>9.0593833167558202E-2</v>
      </c>
      <c r="F976" s="25">
        <f t="shared" si="111"/>
        <v>4.8551710690321048E-2</v>
      </c>
      <c r="G976" s="25">
        <f t="shared" si="108"/>
        <v>0.13062836137319001</v>
      </c>
      <c r="K976" s="28">
        <v>43818</v>
      </c>
      <c r="L976" s="23">
        <v>14848.8</v>
      </c>
      <c r="M976" s="25">
        <f t="shared" si="119"/>
        <v>2.8359194008942654E-3</v>
      </c>
      <c r="O976" t="b">
        <f t="shared" si="117"/>
        <v>1</v>
      </c>
      <c r="Q976" s="25">
        <f t="shared" si="115"/>
        <v>9.14816388395987E-2</v>
      </c>
      <c r="R976" s="25">
        <f t="shared" si="112"/>
        <v>5.3727153215928913E-2</v>
      </c>
      <c r="S976" s="25">
        <f t="shared" si="109"/>
        <v>0.14135552009723718</v>
      </c>
      <c r="X976">
        <f t="shared" si="116"/>
        <v>0</v>
      </c>
      <c r="Y976">
        <f t="shared" si="113"/>
        <v>0</v>
      </c>
      <c r="Z976">
        <f t="shared" si="110"/>
        <v>0</v>
      </c>
    </row>
    <row r="977" spans="1:27">
      <c r="A977" s="27">
        <v>43819</v>
      </c>
      <c r="B977" s="24">
        <v>814.02</v>
      </c>
      <c r="C977" s="25">
        <f t="shared" si="118"/>
        <v>3.2537158914441892E-3</v>
      </c>
      <c r="E977" s="25">
        <f t="shared" si="114"/>
        <v>8.734621909354412E-2</v>
      </c>
      <c r="F977" s="25">
        <f t="shared" si="111"/>
        <v>4.5492758444571235E-2</v>
      </c>
      <c r="G977" s="25">
        <f t="shared" si="108"/>
        <v>0.13222315297610998</v>
      </c>
      <c r="K977" s="29">
        <v>43819</v>
      </c>
      <c r="L977" s="24">
        <v>14868.41</v>
      </c>
      <c r="M977" s="25">
        <f t="shared" si="119"/>
        <v>1.3189036352912371E-3</v>
      </c>
      <c r="O977" t="b">
        <f t="shared" si="117"/>
        <v>1</v>
      </c>
      <c r="Q977" s="25">
        <f t="shared" si="115"/>
        <v>8.4714540741697375E-2</v>
      </c>
      <c r="R977" s="25">
        <f t="shared" si="112"/>
        <v>4.9658998866584092E-2</v>
      </c>
      <c r="S977" s="25">
        <f t="shared" si="109"/>
        <v>0.14252318994179825</v>
      </c>
      <c r="X977">
        <f t="shared" si="116"/>
        <v>1</v>
      </c>
      <c r="Y977">
        <f t="shared" si="113"/>
        <v>0</v>
      </c>
      <c r="Z977">
        <f t="shared" si="110"/>
        <v>0</v>
      </c>
    </row>
    <row r="978" spans="1:27">
      <c r="A978" s="26">
        <v>43822</v>
      </c>
      <c r="B978" s="23">
        <v>814.17</v>
      </c>
      <c r="C978" s="25">
        <f t="shared" si="118"/>
        <v>1.842706567405927E-4</v>
      </c>
      <c r="E978" s="25">
        <f t="shared" si="114"/>
        <v>8.8957547548350835E-2</v>
      </c>
      <c r="F978" s="25">
        <f t="shared" si="111"/>
        <v>4.2291301475099852E-2</v>
      </c>
      <c r="G978" s="25">
        <f t="shared" si="108"/>
        <v>0.13626401869073579</v>
      </c>
      <c r="K978" s="28">
        <v>43822</v>
      </c>
      <c r="L978" s="23">
        <v>14856.94</v>
      </c>
      <c r="M978" s="25">
        <f t="shared" si="119"/>
        <v>-7.7202977194491904E-4</v>
      </c>
      <c r="O978" t="b">
        <f t="shared" si="117"/>
        <v>1</v>
      </c>
      <c r="Q978" s="25">
        <f t="shared" si="115"/>
        <v>8.5329113850074023E-2</v>
      </c>
      <c r="R978" s="25">
        <f t="shared" si="112"/>
        <v>4.6182769235497245E-2</v>
      </c>
      <c r="S978" s="25">
        <f t="shared" si="109"/>
        <v>0.14666236414075806</v>
      </c>
      <c r="X978">
        <f t="shared" si="116"/>
        <v>1</v>
      </c>
      <c r="Y978">
        <f t="shared" si="113"/>
        <v>0</v>
      </c>
      <c r="Z978">
        <f t="shared" si="110"/>
        <v>0</v>
      </c>
    </row>
    <row r="979" spans="1:27">
      <c r="A979" s="27">
        <v>43823</v>
      </c>
      <c r="B979" s="24">
        <v>812.65</v>
      </c>
      <c r="C979" s="25">
        <f t="shared" si="118"/>
        <v>-1.8669319675251874E-3</v>
      </c>
      <c r="E979" s="25">
        <f t="shared" si="114"/>
        <v>0.10471439058209397</v>
      </c>
      <c r="F979" s="25">
        <f t="shared" si="111"/>
        <v>3.5831513174944485E-2</v>
      </c>
      <c r="G979" s="25">
        <f t="shared" si="108"/>
        <v>0.13574750457670759</v>
      </c>
      <c r="K979" s="29">
        <v>43823</v>
      </c>
      <c r="L979" s="24">
        <v>14813</v>
      </c>
      <c r="M979" s="25">
        <f t="shared" si="119"/>
        <v>-2.9663133733882742E-3</v>
      </c>
      <c r="O979" t="b">
        <f t="shared" si="117"/>
        <v>1</v>
      </c>
      <c r="Q979" s="25">
        <f t="shared" si="115"/>
        <v>9.995945602761136E-2</v>
      </c>
      <c r="R979" s="25">
        <f t="shared" si="112"/>
        <v>3.9624736598250943E-2</v>
      </c>
      <c r="S979" s="25">
        <f t="shared" si="109"/>
        <v>0.14561142415193973</v>
      </c>
      <c r="X979">
        <f t="shared" si="116"/>
        <v>1</v>
      </c>
      <c r="Y979">
        <f t="shared" si="113"/>
        <v>0</v>
      </c>
      <c r="Z979">
        <f t="shared" si="110"/>
        <v>0</v>
      </c>
    </row>
    <row r="980" spans="1:27">
      <c r="A980" s="26">
        <v>43825</v>
      </c>
      <c r="B980" s="23">
        <v>808.78</v>
      </c>
      <c r="C980" s="25">
        <f t="shared" si="118"/>
        <v>-4.762197748108047E-3</v>
      </c>
      <c r="E980" s="25">
        <f t="shared" si="114"/>
        <v>0.10905725059993143</v>
      </c>
      <c r="F980" s="25">
        <f t="shared" si="111"/>
        <v>3.3096206080709623E-2</v>
      </c>
      <c r="G980" s="25">
        <f t="shared" si="108"/>
        <v>0.13944607420937105</v>
      </c>
      <c r="K980" s="28">
        <v>43825</v>
      </c>
      <c r="L980" s="23">
        <v>14736.19</v>
      </c>
      <c r="M980" s="25">
        <f t="shared" si="119"/>
        <v>-5.2123377888042624E-3</v>
      </c>
      <c r="O980" t="b">
        <f t="shared" si="117"/>
        <v>1</v>
      </c>
      <c r="Q980" s="25">
        <f t="shared" si="115"/>
        <v>0.10399240640421215</v>
      </c>
      <c r="R980" s="25">
        <f t="shared" si="112"/>
        <v>3.675792389540633E-2</v>
      </c>
      <c r="S980" s="25">
        <f t="shared" si="109"/>
        <v>0.14873260675361544</v>
      </c>
      <c r="X980">
        <f t="shared" si="116"/>
        <v>1</v>
      </c>
      <c r="Y980">
        <f t="shared" si="113"/>
        <v>0</v>
      </c>
      <c r="Z980">
        <f t="shared" si="110"/>
        <v>0</v>
      </c>
    </row>
    <row r="981" spans="1:27">
      <c r="A981" s="27">
        <v>43826</v>
      </c>
      <c r="B981" s="24">
        <v>816.49</v>
      </c>
      <c r="C981" s="25">
        <f t="shared" si="118"/>
        <v>9.5328766784540126E-3</v>
      </c>
      <c r="E981" s="25">
        <f t="shared" si="114"/>
        <v>0.11492086900714149</v>
      </c>
      <c r="F981" s="25">
        <f t="shared" si="111"/>
        <v>3.6409770314430157E-2</v>
      </c>
      <c r="G981" s="25">
        <f t="shared" si="108"/>
        <v>0.13694633736205764</v>
      </c>
      <c r="K981" s="29">
        <v>43826</v>
      </c>
      <c r="L981" s="24">
        <v>14873.5</v>
      </c>
      <c r="M981" s="25">
        <f t="shared" si="119"/>
        <v>9.2318553131407865E-3</v>
      </c>
      <c r="O981" t="b">
        <f t="shared" si="117"/>
        <v>1</v>
      </c>
      <c r="Q981" s="25">
        <f t="shared" si="115"/>
        <v>0.10944604900404586</v>
      </c>
      <c r="R981" s="25">
        <f t="shared" si="112"/>
        <v>4.0228732654634669E-2</v>
      </c>
      <c r="S981" s="25">
        <f t="shared" si="109"/>
        <v>0.14621033560910135</v>
      </c>
      <c r="X981">
        <f t="shared" si="116"/>
        <v>1</v>
      </c>
      <c r="Y981">
        <f t="shared" si="113"/>
        <v>0</v>
      </c>
      <c r="Z981">
        <f t="shared" si="110"/>
        <v>0</v>
      </c>
    </row>
    <row r="982" spans="1:27">
      <c r="A982" s="26">
        <v>43829</v>
      </c>
      <c r="B982" s="23">
        <v>817.12</v>
      </c>
      <c r="C982" s="25">
        <f t="shared" si="118"/>
        <v>7.7159548800352174E-4</v>
      </c>
      <c r="E982" s="25">
        <f t="shared" si="114"/>
        <v>0.11357627626809119</v>
      </c>
      <c r="F982" s="25">
        <f t="shared" si="111"/>
        <v>3.5665682084958794E-2</v>
      </c>
      <c r="G982" s="25">
        <f t="shared" si="108"/>
        <v>0.13616262896375941</v>
      </c>
      <c r="K982" s="28">
        <v>43829</v>
      </c>
      <c r="L982" s="23">
        <v>14897.54</v>
      </c>
      <c r="M982" s="25">
        <f t="shared" si="119"/>
        <v>1.6136892399685365E-3</v>
      </c>
      <c r="O982" t="b">
        <f t="shared" si="117"/>
        <v>1</v>
      </c>
      <c r="Q982" s="25">
        <f t="shared" si="115"/>
        <v>0.10669893709643397</v>
      </c>
      <c r="R982" s="25">
        <f t="shared" si="112"/>
        <v>3.8650802183502808E-2</v>
      </c>
      <c r="S982" s="25">
        <f t="shared" si="109"/>
        <v>0.14596959704171519</v>
      </c>
      <c r="X982">
        <f t="shared" si="116"/>
        <v>1</v>
      </c>
      <c r="Y982">
        <f t="shared" si="113"/>
        <v>0</v>
      </c>
      <c r="Z982">
        <f t="shared" si="110"/>
        <v>0</v>
      </c>
    </row>
    <row r="983" spans="1:27">
      <c r="A983" s="27">
        <v>43830</v>
      </c>
      <c r="B983" s="24">
        <v>813.69</v>
      </c>
      <c r="C983" s="25">
        <f t="shared" si="118"/>
        <v>-4.1976698648912647E-3</v>
      </c>
      <c r="E983" s="25">
        <f t="shared" si="114"/>
        <v>9.8186087942343514E-2</v>
      </c>
      <c r="F983" s="25">
        <f t="shared" si="111"/>
        <v>3.1973628565340917E-2</v>
      </c>
      <c r="G983" s="25">
        <f t="shared" si="108"/>
        <v>0.13046659399518634</v>
      </c>
      <c r="H983" s="25">
        <f>((B983/B2)^(1/4))-1</f>
        <v>0.13569284405666049</v>
      </c>
      <c r="K983" s="29">
        <v>43830</v>
      </c>
      <c r="L983" s="24">
        <v>14819.29</v>
      </c>
      <c r="M983" s="25">
        <f t="shared" si="119"/>
        <v>-5.2802799594312546E-3</v>
      </c>
      <c r="O983" t="b">
        <f t="shared" si="117"/>
        <v>1</v>
      </c>
      <c r="Q983" s="25">
        <f t="shared" si="115"/>
        <v>9.1802761759728568E-2</v>
      </c>
      <c r="R983" s="25">
        <f t="shared" si="112"/>
        <v>3.3793678594838727E-2</v>
      </c>
      <c r="S983" s="25">
        <f t="shared" si="109"/>
        <v>0.14019490432760606</v>
      </c>
      <c r="T983" s="25">
        <f>((L983/L2)^(1/4))-1</f>
        <v>0.11337806624018487</v>
      </c>
      <c r="X983">
        <f t="shared" si="116"/>
        <v>1</v>
      </c>
      <c r="Y983">
        <f t="shared" si="113"/>
        <v>0</v>
      </c>
      <c r="Z983">
        <f t="shared" si="110"/>
        <v>0</v>
      </c>
      <c r="AA983">
        <f>IF(H983&gt;T983,1,0)</f>
        <v>1</v>
      </c>
    </row>
    <row r="984" spans="1:27">
      <c r="A984" s="26">
        <v>43831</v>
      </c>
      <c r="B984" s="23">
        <v>813.47</v>
      </c>
      <c r="C984" s="25">
        <f t="shared" si="118"/>
        <v>-2.7037323796535198E-4</v>
      </c>
      <c r="E984" s="25">
        <f t="shared" si="114"/>
        <v>9.4977857344765937E-2</v>
      </c>
      <c r="F984" s="25">
        <f t="shared" si="111"/>
        <v>3.2828147374210914E-2</v>
      </c>
      <c r="G984" s="25">
        <f t="shared" si="108"/>
        <v>0.12773452839322474</v>
      </c>
      <c r="H984" s="25">
        <f t="shared" ref="H984:H1047" si="120">((B984/B3)^(1/4))-1</f>
        <v>0.14014178871174954</v>
      </c>
      <c r="K984" s="28">
        <v>43831</v>
      </c>
      <c r="L984" s="23">
        <v>14843.29</v>
      </c>
      <c r="M984" s="25">
        <f t="shared" si="119"/>
        <v>1.6168922119018088E-3</v>
      </c>
      <c r="O984" t="b">
        <f t="shared" si="117"/>
        <v>1</v>
      </c>
      <c r="Q984" s="25">
        <f t="shared" si="115"/>
        <v>9.1488205495498631E-2</v>
      </c>
      <c r="R984" s="25">
        <f t="shared" si="112"/>
        <v>3.6388755405808659E-2</v>
      </c>
      <c r="S984" s="25">
        <f t="shared" si="109"/>
        <v>0.13712995673389594</v>
      </c>
      <c r="T984" s="25">
        <f t="shared" ref="T984:T1047" si="121">((L984/L3)^(1/4))-1</f>
        <v>0.11895167289076247</v>
      </c>
      <c r="X984">
        <f t="shared" si="116"/>
        <v>1</v>
      </c>
      <c r="Y984">
        <f t="shared" si="113"/>
        <v>0</v>
      </c>
      <c r="Z984">
        <f t="shared" si="110"/>
        <v>0</v>
      </c>
      <c r="AA984">
        <f t="shared" ref="AA984:AA1047" si="122">IF(H984&gt;T984,1,0)</f>
        <v>1</v>
      </c>
    </row>
    <row r="985" spans="1:27">
      <c r="A985" s="27">
        <v>43832</v>
      </c>
      <c r="B985" s="24">
        <v>820.91</v>
      </c>
      <c r="C985" s="25">
        <f t="shared" si="118"/>
        <v>9.1460041550394493E-3</v>
      </c>
      <c r="E985" s="25">
        <f t="shared" si="114"/>
        <v>0.10387811634349031</v>
      </c>
      <c r="F985" s="25">
        <f t="shared" si="111"/>
        <v>3.7166568894863028E-2</v>
      </c>
      <c r="G985" s="25">
        <f t="shared" si="108"/>
        <v>0.12894387961708942</v>
      </c>
      <c r="H985" s="25">
        <f t="shared" si="120"/>
        <v>0.14197556444375103</v>
      </c>
      <c r="K985" s="29">
        <v>43832</v>
      </c>
      <c r="L985" s="24">
        <v>14980.54</v>
      </c>
      <c r="M985" s="25">
        <f t="shared" si="119"/>
        <v>9.1618860201301156E-3</v>
      </c>
      <c r="O985" t="b">
        <f t="shared" si="117"/>
        <v>1</v>
      </c>
      <c r="Q985" s="25">
        <f t="shared" si="115"/>
        <v>9.8243021129786001E-2</v>
      </c>
      <c r="R985" s="25">
        <f t="shared" si="112"/>
        <v>4.1299633267901203E-2</v>
      </c>
      <c r="S985" s="25">
        <f t="shared" si="109"/>
        <v>0.13955267636854374</v>
      </c>
      <c r="T985" s="25">
        <f t="shared" si="121"/>
        <v>0.12116101210144925</v>
      </c>
      <c r="X985">
        <f t="shared" si="116"/>
        <v>1</v>
      </c>
      <c r="Y985">
        <f t="shared" si="113"/>
        <v>0</v>
      </c>
      <c r="Z985">
        <f t="shared" si="110"/>
        <v>0</v>
      </c>
      <c r="AA985">
        <f t="shared" si="122"/>
        <v>1</v>
      </c>
    </row>
    <row r="986" spans="1:27">
      <c r="A986" s="26">
        <v>43833</v>
      </c>
      <c r="B986" s="23">
        <v>817.41</v>
      </c>
      <c r="C986" s="25">
        <f t="shared" si="118"/>
        <v>-4.2635611699211855E-3</v>
      </c>
      <c r="E986" s="25">
        <f t="shared" si="114"/>
        <v>0.11210731826777853</v>
      </c>
      <c r="F986" s="25">
        <f t="shared" si="111"/>
        <v>3.2951846991340572E-2</v>
      </c>
      <c r="G986" s="25">
        <f t="shared" si="108"/>
        <v>0.12525039879849964</v>
      </c>
      <c r="H986" s="25">
        <f t="shared" si="120"/>
        <v>0.14154948532387124</v>
      </c>
      <c r="K986" s="28">
        <v>43833</v>
      </c>
      <c r="L986" s="23">
        <v>14922.99</v>
      </c>
      <c r="M986" s="25">
        <f t="shared" si="119"/>
        <v>-3.8564657618882737E-3</v>
      </c>
      <c r="O986" t="b">
        <f t="shared" si="117"/>
        <v>1</v>
      </c>
      <c r="Q986" s="25">
        <f t="shared" si="115"/>
        <v>0.10538210261994174</v>
      </c>
      <c r="R986" s="25">
        <f t="shared" si="112"/>
        <v>3.6293343983382798E-2</v>
      </c>
      <c r="S986" s="25">
        <f t="shared" si="109"/>
        <v>0.13667257663413723</v>
      </c>
      <c r="T986" s="25">
        <f t="shared" si="121"/>
        <v>0.12143085764451467</v>
      </c>
      <c r="X986">
        <f t="shared" si="116"/>
        <v>1</v>
      </c>
      <c r="Y986">
        <f t="shared" si="113"/>
        <v>0</v>
      </c>
      <c r="Z986">
        <f t="shared" si="110"/>
        <v>0</v>
      </c>
      <c r="AA986">
        <f t="shared" si="122"/>
        <v>1</v>
      </c>
    </row>
    <row r="987" spans="1:27">
      <c r="A987" s="27">
        <v>43836</v>
      </c>
      <c r="B987" s="24">
        <v>801.88</v>
      </c>
      <c r="C987" s="25">
        <f t="shared" si="118"/>
        <v>-1.8999033532743632E-2</v>
      </c>
      <c r="E987" s="25">
        <f t="shared" si="114"/>
        <v>0.10148351648351639</v>
      </c>
      <c r="F987" s="25">
        <f t="shared" si="111"/>
        <v>2.6602492574110848E-2</v>
      </c>
      <c r="G987" s="25">
        <f t="shared" si="108"/>
        <v>0.1181045484851202</v>
      </c>
      <c r="H987" s="25">
        <f t="shared" si="120"/>
        <v>0.14346416905792769</v>
      </c>
      <c r="K987" s="29">
        <v>43836</v>
      </c>
      <c r="L987" s="24">
        <v>14631.41</v>
      </c>
      <c r="M987" s="25">
        <f t="shared" si="119"/>
        <v>-1.9928359604440032E-2</v>
      </c>
      <c r="O987" t="b">
        <f t="shared" si="117"/>
        <v>1</v>
      </c>
      <c r="Q987" s="25">
        <f t="shared" si="115"/>
        <v>9.4435522417309903E-2</v>
      </c>
      <c r="R987" s="25">
        <f t="shared" si="112"/>
        <v>2.9168181968127982E-2</v>
      </c>
      <c r="S987" s="25">
        <f t="shared" si="109"/>
        <v>0.12911402477781175</v>
      </c>
      <c r="T987" s="25">
        <f t="shared" si="121"/>
        <v>0.12280666462865719</v>
      </c>
      <c r="X987">
        <f t="shared" si="116"/>
        <v>1</v>
      </c>
      <c r="Y987">
        <f t="shared" si="113"/>
        <v>0</v>
      </c>
      <c r="Z987">
        <f t="shared" si="110"/>
        <v>0</v>
      </c>
      <c r="AA987">
        <f t="shared" si="122"/>
        <v>1</v>
      </c>
    </row>
    <row r="988" spans="1:27">
      <c r="A988" s="26">
        <v>43837</v>
      </c>
      <c r="B988" s="23">
        <v>806.02</v>
      </c>
      <c r="C988" s="25">
        <f t="shared" si="118"/>
        <v>5.1628672619344366E-3</v>
      </c>
      <c r="E988" s="25">
        <f t="shared" si="114"/>
        <v>0.1027924858733873</v>
      </c>
      <c r="F988" s="25">
        <f t="shared" si="111"/>
        <v>3.0367019685507257E-2</v>
      </c>
      <c r="G988" s="25">
        <f t="shared" si="108"/>
        <v>0.11572440322373323</v>
      </c>
      <c r="H988" s="25">
        <f t="shared" si="120"/>
        <v>0.14223158665643121</v>
      </c>
      <c r="K988" s="28">
        <v>43837</v>
      </c>
      <c r="L988" s="23">
        <v>14718.47</v>
      </c>
      <c r="M988" s="25">
        <f t="shared" si="119"/>
        <v>5.9150169820639982E-3</v>
      </c>
      <c r="O988" t="b">
        <f t="shared" si="117"/>
        <v>1</v>
      </c>
      <c r="Q988" s="25">
        <f t="shared" si="115"/>
        <v>9.6067820288745498E-2</v>
      </c>
      <c r="R988" s="25">
        <f t="shared" si="112"/>
        <v>3.3137995263950115E-2</v>
      </c>
      <c r="S988" s="25">
        <f t="shared" si="109"/>
        <v>0.12729372604500222</v>
      </c>
      <c r="T988" s="25">
        <f t="shared" si="121"/>
        <v>0.12256300626977912</v>
      </c>
      <c r="X988">
        <f t="shared" si="116"/>
        <v>1</v>
      </c>
      <c r="Y988">
        <f t="shared" si="113"/>
        <v>0</v>
      </c>
      <c r="Z988">
        <f t="shared" si="110"/>
        <v>0</v>
      </c>
      <c r="AA988">
        <f t="shared" si="122"/>
        <v>1</v>
      </c>
    </row>
    <row r="989" spans="1:27">
      <c r="A989" s="27">
        <v>43838</v>
      </c>
      <c r="B989" s="24">
        <v>806.11</v>
      </c>
      <c r="C989" s="25">
        <f t="shared" si="118"/>
        <v>1.1165976030375405E-4</v>
      </c>
      <c r="E989" s="25">
        <f t="shared" si="114"/>
        <v>0.10130334990983103</v>
      </c>
      <c r="F989" s="25">
        <f t="shared" si="111"/>
        <v>2.8826733033180174E-2</v>
      </c>
      <c r="G989" s="25">
        <f t="shared" si="108"/>
        <v>0.11618923073254694</v>
      </c>
      <c r="H989" s="25">
        <f t="shared" si="120"/>
        <v>0.14392192059213627</v>
      </c>
      <c r="K989" s="29">
        <v>43838</v>
      </c>
      <c r="L989" s="24">
        <v>14698.65</v>
      </c>
      <c r="M989" s="25">
        <f t="shared" si="119"/>
        <v>-1.348423154507367E-3</v>
      </c>
      <c r="O989" t="b">
        <f t="shared" si="117"/>
        <v>1</v>
      </c>
      <c r="Q989" s="25">
        <f t="shared" si="115"/>
        <v>9.1427718572905103E-2</v>
      </c>
      <c r="R989" s="25">
        <f t="shared" si="112"/>
        <v>3.126641936053387E-2</v>
      </c>
      <c r="S989" s="25">
        <f t="shared" si="109"/>
        <v>0.12804823032053414</v>
      </c>
      <c r="T989" s="25">
        <f t="shared" si="121"/>
        <v>0.12387505975011792</v>
      </c>
      <c r="X989">
        <f t="shared" si="116"/>
        <v>1</v>
      </c>
      <c r="Y989">
        <f t="shared" si="113"/>
        <v>0</v>
      </c>
      <c r="Z989">
        <f t="shared" si="110"/>
        <v>0</v>
      </c>
      <c r="AA989">
        <f t="shared" si="122"/>
        <v>1</v>
      </c>
    </row>
    <row r="990" spans="1:27">
      <c r="A990" s="26">
        <v>43839</v>
      </c>
      <c r="B990" s="23">
        <v>819.09</v>
      </c>
      <c r="C990" s="25">
        <f t="shared" si="118"/>
        <v>1.6102020816017689E-2</v>
      </c>
      <c r="E990" s="25">
        <f t="shared" si="114"/>
        <v>0.11460530433954319</v>
      </c>
      <c r="F990" s="25">
        <f t="shared" si="111"/>
        <v>3.3190448955089158E-2</v>
      </c>
      <c r="G990" s="25">
        <f t="shared" si="108"/>
        <v>0.12121422850215158</v>
      </c>
      <c r="H990" s="25">
        <f t="shared" si="120"/>
        <v>0.15111222586495887</v>
      </c>
      <c r="K990" s="28">
        <v>43839</v>
      </c>
      <c r="L990" s="23">
        <v>14926.45</v>
      </c>
      <c r="M990" s="25">
        <f t="shared" si="119"/>
        <v>1.5261498882855674E-2</v>
      </c>
      <c r="O990" t="b">
        <f t="shared" si="117"/>
        <v>1</v>
      </c>
      <c r="Q990" s="25">
        <f t="shared" si="115"/>
        <v>0.10621279169127762</v>
      </c>
      <c r="R990" s="25">
        <f t="shared" si="112"/>
        <v>3.5591051346975933E-2</v>
      </c>
      <c r="S990" s="25">
        <f t="shared" si="109"/>
        <v>0.13373776309138585</v>
      </c>
      <c r="T990" s="25">
        <f t="shared" si="121"/>
        <v>0.13024395507644582</v>
      </c>
      <c r="X990">
        <f t="shared" si="116"/>
        <v>1</v>
      </c>
      <c r="Y990">
        <f t="shared" si="113"/>
        <v>0</v>
      </c>
      <c r="Z990">
        <f t="shared" si="110"/>
        <v>0</v>
      </c>
      <c r="AA990">
        <f t="shared" si="122"/>
        <v>1</v>
      </c>
    </row>
    <row r="991" spans="1:27">
      <c r="A991" s="27">
        <v>43840</v>
      </c>
      <c r="B991" s="24">
        <v>822.23</v>
      </c>
      <c r="C991" s="25">
        <f t="shared" si="118"/>
        <v>3.8335225677275835E-3</v>
      </c>
      <c r="E991" s="25">
        <f t="shared" si="114"/>
        <v>0.11620487897587672</v>
      </c>
      <c r="F991" s="25">
        <f t="shared" si="111"/>
        <v>3.0519115808385511E-2</v>
      </c>
      <c r="G991" s="25">
        <f t="shared" si="108"/>
        <v>0.12089902349023696</v>
      </c>
      <c r="H991" s="25">
        <f t="shared" si="120"/>
        <v>0.15253515266434259</v>
      </c>
      <c r="K991" s="29">
        <v>43840</v>
      </c>
      <c r="L991" s="24">
        <v>14977.61</v>
      </c>
      <c r="M991" s="25">
        <f t="shared" si="119"/>
        <v>3.4157652656198055E-3</v>
      </c>
      <c r="O991" t="b">
        <f t="shared" si="117"/>
        <v>1</v>
      </c>
      <c r="Q991" s="25">
        <f t="shared" si="115"/>
        <v>0.10650110335320373</v>
      </c>
      <c r="R991" s="25">
        <f t="shared" si="112"/>
        <v>3.368962941608733E-2</v>
      </c>
      <c r="S991" s="25">
        <f t="shared" si="109"/>
        <v>0.13253014561649001</v>
      </c>
      <c r="T991" s="25">
        <f t="shared" si="121"/>
        <v>0.13074726566700989</v>
      </c>
      <c r="X991">
        <f t="shared" si="116"/>
        <v>1</v>
      </c>
      <c r="Y991">
        <f t="shared" si="113"/>
        <v>0</v>
      </c>
      <c r="Z991">
        <f t="shared" si="110"/>
        <v>0</v>
      </c>
      <c r="AA991">
        <f t="shared" si="122"/>
        <v>1</v>
      </c>
    </row>
    <row r="992" spans="1:27">
      <c r="A992" s="26">
        <v>43843</v>
      </c>
      <c r="B992" s="23">
        <v>828.26</v>
      </c>
      <c r="C992" s="25">
        <f t="shared" si="118"/>
        <v>7.3337144108095945E-3</v>
      </c>
      <c r="E992" s="25">
        <f t="shared" si="114"/>
        <v>0.12567444515418802</v>
      </c>
      <c r="F992" s="25">
        <f t="shared" si="111"/>
        <v>3.2233230250940492E-2</v>
      </c>
      <c r="G992" s="25">
        <f t="shared" si="108"/>
        <v>0.11833259775608052</v>
      </c>
      <c r="H992" s="25">
        <f t="shared" si="120"/>
        <v>0.1567832744846176</v>
      </c>
      <c r="K992" s="28">
        <v>43843</v>
      </c>
      <c r="L992" s="23">
        <v>15074.41</v>
      </c>
      <c r="M992" s="25">
        <f t="shared" si="119"/>
        <v>6.4214785188938918E-3</v>
      </c>
      <c r="O992" t="b">
        <f t="shared" si="117"/>
        <v>1</v>
      </c>
      <c r="Q992" s="25">
        <f t="shared" si="115"/>
        <v>0.11463890571079771</v>
      </c>
      <c r="R992" s="25">
        <f t="shared" si="112"/>
        <v>3.3478055100949256E-2</v>
      </c>
      <c r="S992" s="25">
        <f t="shared" si="109"/>
        <v>0.13065016090602155</v>
      </c>
      <c r="T992" s="25">
        <f t="shared" si="121"/>
        <v>0.13424270366925728</v>
      </c>
      <c r="X992">
        <f t="shared" si="116"/>
        <v>1</v>
      </c>
      <c r="Y992">
        <f t="shared" si="113"/>
        <v>0</v>
      </c>
      <c r="Z992">
        <f t="shared" si="110"/>
        <v>0</v>
      </c>
      <c r="AA992">
        <f t="shared" si="122"/>
        <v>1</v>
      </c>
    </row>
    <row r="993" spans="1:27">
      <c r="A993" s="27">
        <v>43844</v>
      </c>
      <c r="B993" s="24">
        <v>831.43</v>
      </c>
      <c r="C993" s="25">
        <f t="shared" si="118"/>
        <v>3.827300606089826E-3</v>
      </c>
      <c r="E993" s="25">
        <f t="shared" si="114"/>
        <v>0.13041291076939809</v>
      </c>
      <c r="F993" s="25">
        <f t="shared" si="111"/>
        <v>3.487254133249551E-2</v>
      </c>
      <c r="G993" s="25">
        <f t="shared" si="108"/>
        <v>0.11887019477963556</v>
      </c>
      <c r="H993" s="25">
        <f t="shared" si="120"/>
        <v>0.16287955690445655</v>
      </c>
      <c r="K993" s="29">
        <v>43844</v>
      </c>
      <c r="L993" s="24">
        <v>15124.47</v>
      </c>
      <c r="M993" s="25">
        <f t="shared" si="119"/>
        <v>3.3098680482687654E-3</v>
      </c>
      <c r="O993" t="b">
        <f t="shared" si="117"/>
        <v>1</v>
      </c>
      <c r="Q993" s="25">
        <f t="shared" si="115"/>
        <v>0.12094389377304027</v>
      </c>
      <c r="R993" s="25">
        <f t="shared" si="112"/>
        <v>3.5111611478817473E-2</v>
      </c>
      <c r="S993" s="25">
        <f t="shared" si="109"/>
        <v>0.13097501764766939</v>
      </c>
      <c r="T993" s="25">
        <f t="shared" si="121"/>
        <v>0.14039467986086041</v>
      </c>
      <c r="X993">
        <f t="shared" si="116"/>
        <v>1</v>
      </c>
      <c r="Y993">
        <f t="shared" si="113"/>
        <v>0</v>
      </c>
      <c r="Z993">
        <f t="shared" si="110"/>
        <v>0</v>
      </c>
      <c r="AA993">
        <f t="shared" si="122"/>
        <v>1</v>
      </c>
    </row>
    <row r="994" spans="1:27">
      <c r="A994" s="26">
        <v>43845</v>
      </c>
      <c r="B994" s="23">
        <v>831.62</v>
      </c>
      <c r="C994" s="25">
        <f t="shared" si="118"/>
        <v>2.2852194412043656E-4</v>
      </c>
      <c r="E994" s="25">
        <f t="shared" si="114"/>
        <v>0.1338314291167888</v>
      </c>
      <c r="F994" s="25">
        <f t="shared" si="111"/>
        <v>3.6775161888421337E-2</v>
      </c>
      <c r="G994" s="25">
        <f t="shared" si="108"/>
        <v>0.11957188344828551</v>
      </c>
      <c r="H994" s="25">
        <f t="shared" si="120"/>
        <v>0.16853748364710386</v>
      </c>
      <c r="K994" s="28">
        <v>43845</v>
      </c>
      <c r="L994" s="23">
        <v>15141.31</v>
      </c>
      <c r="M994" s="25">
        <f t="shared" si="119"/>
        <v>1.1121891038490162E-3</v>
      </c>
      <c r="O994" t="b">
        <f t="shared" si="117"/>
        <v>1</v>
      </c>
      <c r="Q994" s="25">
        <f t="shared" si="115"/>
        <v>0.12798547602232535</v>
      </c>
      <c r="R994" s="25">
        <f t="shared" si="112"/>
        <v>3.6235492151581061E-2</v>
      </c>
      <c r="S994" s="25">
        <f t="shared" si="109"/>
        <v>0.1315804473024238</v>
      </c>
      <c r="T994" s="25">
        <f t="shared" si="121"/>
        <v>0.14592770066469707</v>
      </c>
      <c r="X994">
        <f t="shared" si="116"/>
        <v>1</v>
      </c>
      <c r="Y994">
        <f t="shared" si="113"/>
        <v>1</v>
      </c>
      <c r="Z994">
        <f t="shared" si="110"/>
        <v>0</v>
      </c>
      <c r="AA994">
        <f t="shared" si="122"/>
        <v>1</v>
      </c>
    </row>
    <row r="995" spans="1:27">
      <c r="A995" s="27">
        <v>43846</v>
      </c>
      <c r="B995" s="24">
        <v>833.65</v>
      </c>
      <c r="C995" s="25">
        <f t="shared" si="118"/>
        <v>2.4410187345181365E-3</v>
      </c>
      <c r="E995" s="25">
        <f t="shared" si="114"/>
        <v>0.1245632731246038</v>
      </c>
      <c r="F995" s="25">
        <f t="shared" si="111"/>
        <v>3.7429844957703517E-2</v>
      </c>
      <c r="G995" s="25">
        <f t="shared" si="108"/>
        <v>0.11884196244921519</v>
      </c>
      <c r="H995" s="25">
        <f t="shared" si="120"/>
        <v>0.16616390774685375</v>
      </c>
      <c r="K995" s="29">
        <v>43846</v>
      </c>
      <c r="L995" s="24">
        <v>15175.81</v>
      </c>
      <c r="M995" s="25">
        <f t="shared" si="119"/>
        <v>2.2733547665660021E-3</v>
      </c>
      <c r="O995" t="b">
        <f t="shared" si="117"/>
        <v>1</v>
      </c>
      <c r="Q995" s="25">
        <f t="shared" si="115"/>
        <v>0.11751095912300502</v>
      </c>
      <c r="R995" s="25">
        <f t="shared" si="112"/>
        <v>3.6354268050106997E-2</v>
      </c>
      <c r="S995" s="25">
        <f t="shared" si="109"/>
        <v>0.13141483914461793</v>
      </c>
      <c r="T995" s="25">
        <f t="shared" si="121"/>
        <v>0.14305414943987649</v>
      </c>
      <c r="X995">
        <f t="shared" si="116"/>
        <v>1</v>
      </c>
      <c r="Y995">
        <f t="shared" si="113"/>
        <v>1</v>
      </c>
      <c r="Z995">
        <f t="shared" si="110"/>
        <v>0</v>
      </c>
      <c r="AA995">
        <f t="shared" si="122"/>
        <v>1</v>
      </c>
    </row>
    <row r="996" spans="1:27">
      <c r="A996" s="26">
        <v>43847</v>
      </c>
      <c r="B996" s="23">
        <v>836.61</v>
      </c>
      <c r="C996" s="25">
        <f t="shared" si="118"/>
        <v>3.5506507527140125E-3</v>
      </c>
      <c r="E996" s="25">
        <f t="shared" si="114"/>
        <v>0.12831267617031039</v>
      </c>
      <c r="F996" s="25">
        <f t="shared" si="111"/>
        <v>3.8613168576681511E-2</v>
      </c>
      <c r="G996" s="25">
        <f t="shared" ref="G996:G1059" si="123">((B996/B259)^(1/3))-1</f>
        <v>0.12062919940039341</v>
      </c>
      <c r="H996" s="25">
        <f t="shared" si="120"/>
        <v>0.17235528542077838</v>
      </c>
      <c r="K996" s="28">
        <v>43847</v>
      </c>
      <c r="L996" s="23">
        <v>15188.79</v>
      </c>
      <c r="M996" s="25">
        <f t="shared" si="119"/>
        <v>8.5457761941546242E-4</v>
      </c>
      <c r="O996" t="b">
        <f t="shared" si="117"/>
        <v>1</v>
      </c>
      <c r="Q996" s="25">
        <f t="shared" si="115"/>
        <v>0.11826667373461608</v>
      </c>
      <c r="R996" s="25">
        <f t="shared" si="112"/>
        <v>3.599739423293391E-2</v>
      </c>
      <c r="S996" s="25">
        <f t="shared" ref="S996:S1059" si="124">((L996/L259)^(1/3))-1</f>
        <v>0.13196242478762654</v>
      </c>
      <c r="T996" s="25">
        <f t="shared" si="121"/>
        <v>0.14837857337529137</v>
      </c>
      <c r="X996">
        <f t="shared" si="116"/>
        <v>1</v>
      </c>
      <c r="Y996">
        <f t="shared" si="113"/>
        <v>1</v>
      </c>
      <c r="Z996">
        <f t="shared" ref="Z996:Z1059" si="125">IF(G996&gt;S996,1,0)</f>
        <v>0</v>
      </c>
      <c r="AA996">
        <f t="shared" si="122"/>
        <v>1</v>
      </c>
    </row>
    <row r="997" spans="1:27">
      <c r="A997" s="27">
        <v>43850</v>
      </c>
      <c r="B997" s="24">
        <v>831.49</v>
      </c>
      <c r="C997" s="25">
        <f t="shared" si="118"/>
        <v>-6.1199364100357452E-3</v>
      </c>
      <c r="E997" s="25">
        <f t="shared" si="114"/>
        <v>0.12396928816675223</v>
      </c>
      <c r="F997" s="25">
        <f t="shared" si="111"/>
        <v>3.4423656352811527E-2</v>
      </c>
      <c r="G997" s="25">
        <f t="shared" si="123"/>
        <v>0.11575438578654262</v>
      </c>
      <c r="H997" s="25">
        <f t="shared" si="120"/>
        <v>0.17091455422281054</v>
      </c>
      <c r="K997" s="29">
        <v>43850</v>
      </c>
      <c r="L997" s="24">
        <v>15049.24</v>
      </c>
      <c r="M997" s="25">
        <f t="shared" si="119"/>
        <v>-9.2728935148885319E-3</v>
      </c>
      <c r="O997" t="b">
        <f t="shared" si="117"/>
        <v>1</v>
      </c>
      <c r="Q997" s="25">
        <f t="shared" si="115"/>
        <v>0.10757894566406945</v>
      </c>
      <c r="R997" s="25">
        <f t="shared" si="112"/>
        <v>2.9385254869713551E-2</v>
      </c>
      <c r="S997" s="25">
        <f t="shared" si="124"/>
        <v>0.12717017559458688</v>
      </c>
      <c r="T997" s="25">
        <f t="shared" si="121"/>
        <v>0.14682382667266491</v>
      </c>
      <c r="X997">
        <f t="shared" si="116"/>
        <v>1</v>
      </c>
      <c r="Y997">
        <f t="shared" si="113"/>
        <v>1</v>
      </c>
      <c r="Z997">
        <f t="shared" si="125"/>
        <v>0</v>
      </c>
      <c r="AA997">
        <f t="shared" si="122"/>
        <v>1</v>
      </c>
    </row>
    <row r="998" spans="1:27">
      <c r="A998" s="26">
        <v>43851</v>
      </c>
      <c r="B998" s="23">
        <v>829.08</v>
      </c>
      <c r="C998" s="25">
        <f t="shared" si="118"/>
        <v>-2.8984112857640717E-3</v>
      </c>
      <c r="E998" s="25">
        <f t="shared" si="114"/>
        <v>0.12639087018544948</v>
      </c>
      <c r="F998" s="25">
        <f t="shared" si="111"/>
        <v>3.7587324601897176E-2</v>
      </c>
      <c r="G998" s="25">
        <f t="shared" si="123"/>
        <v>0.11386344906218127</v>
      </c>
      <c r="H998" s="25">
        <f t="shared" si="120"/>
        <v>0.16343483852510698</v>
      </c>
      <c r="K998" s="28">
        <v>43851</v>
      </c>
      <c r="L998" s="23">
        <v>14991.99</v>
      </c>
      <c r="M998" s="25">
        <f t="shared" si="119"/>
        <v>-3.8187058555935538E-3</v>
      </c>
      <c r="O998" t="b">
        <f t="shared" si="117"/>
        <v>1</v>
      </c>
      <c r="Q998" s="25">
        <f t="shared" si="115"/>
        <v>0.1059424528893429</v>
      </c>
      <c r="R998" s="25">
        <f t="shared" si="112"/>
        <v>3.2078405786318154E-2</v>
      </c>
      <c r="S998" s="25">
        <f t="shared" si="124"/>
        <v>0.12474240080281707</v>
      </c>
      <c r="T998" s="25">
        <f t="shared" si="121"/>
        <v>0.1399457962498778</v>
      </c>
      <c r="X998">
        <f t="shared" si="116"/>
        <v>1</v>
      </c>
      <c r="Y998">
        <f t="shared" si="113"/>
        <v>1</v>
      </c>
      <c r="Z998">
        <f t="shared" si="125"/>
        <v>0</v>
      </c>
      <c r="AA998">
        <f t="shared" si="122"/>
        <v>1</v>
      </c>
    </row>
    <row r="999" spans="1:27">
      <c r="A999" s="27">
        <v>43852</v>
      </c>
      <c r="B999" s="24">
        <v>827.05</v>
      </c>
      <c r="C999" s="25">
        <f t="shared" si="118"/>
        <v>-2.4484971293482973E-3</v>
      </c>
      <c r="E999" s="25">
        <f t="shared" si="114"/>
        <v>0.12409106354060473</v>
      </c>
      <c r="F999" s="25">
        <f t="shared" si="111"/>
        <v>3.3014996237853422E-2</v>
      </c>
      <c r="G999" s="25">
        <f t="shared" si="123"/>
        <v>0.11692707565757354</v>
      </c>
      <c r="H999" s="25">
        <f t="shared" si="120"/>
        <v>0.16190122926117523</v>
      </c>
      <c r="K999" s="29">
        <v>43852</v>
      </c>
      <c r="L999" s="24">
        <v>14931.11</v>
      </c>
      <c r="M999" s="25">
        <f t="shared" si="119"/>
        <v>-4.0773927725399652E-3</v>
      </c>
      <c r="O999" t="b">
        <f t="shared" si="117"/>
        <v>1</v>
      </c>
      <c r="Q999" s="25">
        <f t="shared" si="115"/>
        <v>9.9624623574110949E-2</v>
      </c>
      <c r="R999" s="25">
        <f t="shared" si="112"/>
        <v>2.6038916302177473E-2</v>
      </c>
      <c r="S999" s="25">
        <f t="shared" si="124"/>
        <v>0.12761853328907491</v>
      </c>
      <c r="T999" s="25">
        <f t="shared" si="121"/>
        <v>0.13795739988924294</v>
      </c>
      <c r="X999">
        <f t="shared" si="116"/>
        <v>1</v>
      </c>
      <c r="Y999">
        <f t="shared" si="113"/>
        <v>1</v>
      </c>
      <c r="Z999">
        <f t="shared" si="125"/>
        <v>0</v>
      </c>
      <c r="AA999">
        <f t="shared" si="122"/>
        <v>1</v>
      </c>
    </row>
    <row r="1000" spans="1:27">
      <c r="A1000" s="26">
        <v>43853</v>
      </c>
      <c r="B1000" s="23">
        <v>833.86</v>
      </c>
      <c r="C1000" s="25">
        <f t="shared" si="118"/>
        <v>8.2340850009069103E-3</v>
      </c>
      <c r="E1000" s="25">
        <f t="shared" si="114"/>
        <v>0.13601809215007776</v>
      </c>
      <c r="F1000" s="25">
        <f t="shared" si="111"/>
        <v>3.9541947479985406E-2</v>
      </c>
      <c r="G1000" s="25">
        <f t="shared" si="123"/>
        <v>0.11741733849791514</v>
      </c>
      <c r="H1000" s="25">
        <f t="shared" si="120"/>
        <v>0.16376670362881884</v>
      </c>
      <c r="K1000" s="28">
        <v>43853</v>
      </c>
      <c r="L1000" s="23">
        <v>15043.86</v>
      </c>
      <c r="M1000" s="25">
        <f t="shared" si="119"/>
        <v>7.4947520117842094E-3</v>
      </c>
      <c r="O1000" t="b">
        <f t="shared" si="117"/>
        <v>1</v>
      </c>
      <c r="Q1000" s="25">
        <f t="shared" si="115"/>
        <v>0.11085873783002476</v>
      </c>
      <c r="R1000" s="25">
        <f t="shared" si="112"/>
        <v>3.1986185452738569E-2</v>
      </c>
      <c r="S1000" s="25">
        <f t="shared" si="124"/>
        <v>0.12834336950375635</v>
      </c>
      <c r="T1000" s="25">
        <f t="shared" si="121"/>
        <v>0.13971933158410055</v>
      </c>
      <c r="X1000">
        <f t="shared" si="116"/>
        <v>1</v>
      </c>
      <c r="Y1000">
        <f t="shared" si="113"/>
        <v>1</v>
      </c>
      <c r="Z1000">
        <f t="shared" si="125"/>
        <v>0</v>
      </c>
      <c r="AA1000">
        <f t="shared" si="122"/>
        <v>1</v>
      </c>
    </row>
    <row r="1001" spans="1:27">
      <c r="A1001" s="27">
        <v>43854</v>
      </c>
      <c r="B1001" s="24">
        <v>840.66</v>
      </c>
      <c r="C1001" s="25">
        <f t="shared" si="118"/>
        <v>8.1548461372412083E-3</v>
      </c>
      <c r="E1001" s="25">
        <f t="shared" si="114"/>
        <v>0.1512893904326269</v>
      </c>
      <c r="F1001" s="25">
        <f t="shared" si="111"/>
        <v>3.995813827812289E-2</v>
      </c>
      <c r="G1001" s="25">
        <f t="shared" si="123"/>
        <v>0.11665414448451772</v>
      </c>
      <c r="H1001" s="25">
        <f t="shared" si="120"/>
        <v>0.16675495473904967</v>
      </c>
      <c r="K1001" s="29">
        <v>43854</v>
      </c>
      <c r="L1001" s="24">
        <v>15138.19</v>
      </c>
      <c r="M1001" s="25">
        <f t="shared" si="119"/>
        <v>6.2312601440462781E-3</v>
      </c>
      <c r="O1001" t="b">
        <f t="shared" si="117"/>
        <v>1</v>
      </c>
      <c r="Q1001" s="25">
        <f t="shared" si="115"/>
        <v>0.12549757550434126</v>
      </c>
      <c r="R1001" s="25">
        <f t="shared" si="112"/>
        <v>3.1144423152022149E-2</v>
      </c>
      <c r="S1001" s="25">
        <f t="shared" si="124"/>
        <v>0.12693825175521845</v>
      </c>
      <c r="T1001" s="25">
        <f t="shared" si="121"/>
        <v>0.14206898370211563</v>
      </c>
      <c r="X1001">
        <f t="shared" si="116"/>
        <v>1</v>
      </c>
      <c r="Y1001">
        <f t="shared" si="113"/>
        <v>1</v>
      </c>
      <c r="Z1001">
        <f t="shared" si="125"/>
        <v>0</v>
      </c>
      <c r="AA1001">
        <f t="shared" si="122"/>
        <v>1</v>
      </c>
    </row>
    <row r="1002" spans="1:27">
      <c r="A1002" s="26">
        <v>43857</v>
      </c>
      <c r="B1002" s="23">
        <v>836.85</v>
      </c>
      <c r="C1002" s="25">
        <f t="shared" si="118"/>
        <v>-4.5321533081149881E-3</v>
      </c>
      <c r="E1002" s="25">
        <f t="shared" si="114"/>
        <v>0.14658975693968701</v>
      </c>
      <c r="F1002" s="25">
        <f t="shared" si="111"/>
        <v>3.6745570471891309E-2</v>
      </c>
      <c r="G1002" s="25">
        <f t="shared" si="123"/>
        <v>0.10970236104939213</v>
      </c>
      <c r="H1002" s="25">
        <f t="shared" si="120"/>
        <v>0.16099652998227598</v>
      </c>
      <c r="K1002" s="28">
        <v>43857</v>
      </c>
      <c r="L1002" s="23">
        <v>15011.93</v>
      </c>
      <c r="M1002" s="25">
        <f t="shared" si="119"/>
        <v>-8.4106440677514625E-3</v>
      </c>
      <c r="O1002" t="b">
        <f t="shared" si="117"/>
        <v>1</v>
      </c>
      <c r="Q1002" s="25">
        <f t="shared" si="115"/>
        <v>0.11542536750063914</v>
      </c>
      <c r="R1002" s="25">
        <f t="shared" si="112"/>
        <v>2.3431916578458889E-2</v>
      </c>
      <c r="S1002" s="25">
        <f t="shared" si="124"/>
        <v>0.11859670154143975</v>
      </c>
      <c r="T1002" s="25">
        <f t="shared" si="121"/>
        <v>0.13472936779179223</v>
      </c>
      <c r="X1002">
        <f t="shared" si="116"/>
        <v>1</v>
      </c>
      <c r="Y1002">
        <f t="shared" si="113"/>
        <v>1</v>
      </c>
      <c r="Z1002">
        <f t="shared" si="125"/>
        <v>0</v>
      </c>
      <c r="AA1002">
        <f t="shared" si="122"/>
        <v>1</v>
      </c>
    </row>
    <row r="1003" spans="1:27">
      <c r="A1003" s="27">
        <v>43858</v>
      </c>
      <c r="B1003" s="24">
        <v>834.23</v>
      </c>
      <c r="C1003" s="25">
        <f t="shared" si="118"/>
        <v>-3.1307880743263483E-3</v>
      </c>
      <c r="E1003" s="25">
        <f t="shared" si="114"/>
        <v>0.15598758418091641</v>
      </c>
      <c r="F1003" s="25">
        <f t="shared" si="111"/>
        <v>3.025013428924761E-2</v>
      </c>
      <c r="G1003" s="25">
        <f t="shared" si="123"/>
        <v>0.10702666680782436</v>
      </c>
      <c r="H1003" s="25">
        <f t="shared" si="120"/>
        <v>0.15925708612355827</v>
      </c>
      <c r="K1003" s="29">
        <v>43858</v>
      </c>
      <c r="L1003" s="24">
        <v>14947.9</v>
      </c>
      <c r="M1003" s="25">
        <f t="shared" si="119"/>
        <v>-4.2835448457643321E-3</v>
      </c>
      <c r="O1003" t="b">
        <f t="shared" si="117"/>
        <v>1</v>
      </c>
      <c r="Q1003" s="25">
        <f t="shared" si="115"/>
        <v>0.12028029678483088</v>
      </c>
      <c r="R1003" s="25">
        <f t="shared" si="112"/>
        <v>1.6588364662323496E-2</v>
      </c>
      <c r="S1003" s="25">
        <f t="shared" si="124"/>
        <v>0.11512847556005856</v>
      </c>
      <c r="T1003" s="25">
        <f t="shared" si="121"/>
        <v>0.13340761920785948</v>
      </c>
      <c r="X1003">
        <f t="shared" si="116"/>
        <v>1</v>
      </c>
      <c r="Y1003">
        <f t="shared" si="113"/>
        <v>1</v>
      </c>
      <c r="Z1003">
        <f t="shared" si="125"/>
        <v>0</v>
      </c>
      <c r="AA1003">
        <f t="shared" si="122"/>
        <v>1</v>
      </c>
    </row>
    <row r="1004" spans="1:27">
      <c r="A1004" s="26">
        <v>43859</v>
      </c>
      <c r="B1004" s="23">
        <v>838.32</v>
      </c>
      <c r="C1004" s="25">
        <f t="shared" si="118"/>
        <v>4.9027246682569938E-3</v>
      </c>
      <c r="E1004" s="25">
        <f t="shared" si="114"/>
        <v>0.17822658852300055</v>
      </c>
      <c r="F1004" s="25">
        <f t="shared" si="111"/>
        <v>3.5053362517501352E-2</v>
      </c>
      <c r="G1004" s="25">
        <f t="shared" si="123"/>
        <v>0.10932017115617421</v>
      </c>
      <c r="H1004" s="25">
        <f t="shared" si="120"/>
        <v>0.1652364330329319</v>
      </c>
      <c r="K1004" s="28">
        <v>43859</v>
      </c>
      <c r="L1004" s="23">
        <v>15026.51</v>
      </c>
      <c r="M1004" s="25">
        <f t="shared" si="119"/>
        <v>5.2314210019492602E-3</v>
      </c>
      <c r="O1004" t="b">
        <f t="shared" si="117"/>
        <v>1</v>
      </c>
      <c r="Q1004" s="25">
        <f t="shared" si="115"/>
        <v>0.14108897169548396</v>
      </c>
      <c r="R1004" s="25">
        <f t="shared" si="112"/>
        <v>2.0460497832401003E-2</v>
      </c>
      <c r="S1004" s="25">
        <f t="shared" si="124"/>
        <v>0.11723119247033864</v>
      </c>
      <c r="T1004" s="25">
        <f t="shared" si="121"/>
        <v>0.13890867508663085</v>
      </c>
      <c r="X1004">
        <f t="shared" si="116"/>
        <v>1</v>
      </c>
      <c r="Y1004">
        <f t="shared" si="113"/>
        <v>1</v>
      </c>
      <c r="Z1004">
        <f t="shared" si="125"/>
        <v>0</v>
      </c>
      <c r="AA1004">
        <f t="shared" si="122"/>
        <v>1</v>
      </c>
    </row>
    <row r="1005" spans="1:27">
      <c r="A1005" s="27">
        <v>43860</v>
      </c>
      <c r="B1005" s="24">
        <v>832.69</v>
      </c>
      <c r="C1005" s="25">
        <f t="shared" si="118"/>
        <v>-6.7158125775360188E-3</v>
      </c>
      <c r="E1005" s="25">
        <f t="shared" si="114"/>
        <v>0.16664098073555178</v>
      </c>
      <c r="F1005" s="25">
        <f t="shared" si="111"/>
        <v>3.4231937400466483E-2</v>
      </c>
      <c r="G1005" s="25">
        <f t="shared" si="123"/>
        <v>0.1111483378920799</v>
      </c>
      <c r="H1005" s="25">
        <f t="shared" si="120"/>
        <v>0.16671555018450879</v>
      </c>
      <c r="K1005" s="29">
        <v>43860</v>
      </c>
      <c r="L1005" s="24">
        <v>14891.25</v>
      </c>
      <c r="M1005" s="25">
        <f t="shared" si="119"/>
        <v>-9.0831864349870031E-3</v>
      </c>
      <c r="O1005" t="b">
        <f t="shared" si="117"/>
        <v>1</v>
      </c>
      <c r="Q1005" s="25">
        <f t="shared" si="115"/>
        <v>0.13091287157887699</v>
      </c>
      <c r="R1005" s="25">
        <f t="shared" si="112"/>
        <v>1.8122569331413318E-2</v>
      </c>
      <c r="S1005" s="25">
        <f t="shared" si="124"/>
        <v>0.11751372310875929</v>
      </c>
      <c r="T1005" s="25">
        <f t="shared" si="121"/>
        <v>0.14026765697914212</v>
      </c>
      <c r="X1005">
        <f t="shared" si="116"/>
        <v>1</v>
      </c>
      <c r="Y1005">
        <f t="shared" si="113"/>
        <v>1</v>
      </c>
      <c r="Z1005">
        <f t="shared" si="125"/>
        <v>0</v>
      </c>
      <c r="AA1005">
        <f t="shared" si="122"/>
        <v>1</v>
      </c>
    </row>
    <row r="1006" spans="1:27">
      <c r="A1006" s="26">
        <v>43861</v>
      </c>
      <c r="B1006" s="23">
        <v>829.74</v>
      </c>
      <c r="C1006" s="25">
        <f t="shared" si="118"/>
        <v>-3.5427349914134254E-3</v>
      </c>
      <c r="E1006" s="25">
        <f t="shared" si="114"/>
        <v>0.15320148434351166</v>
      </c>
      <c r="F1006" s="25">
        <f t="shared" si="111"/>
        <v>3.2172931703263963E-2</v>
      </c>
      <c r="G1006" s="25">
        <f t="shared" si="123"/>
        <v>0.10367460237468418</v>
      </c>
      <c r="H1006" s="25">
        <f t="shared" si="120"/>
        <v>0.16483286971236555</v>
      </c>
      <c r="K1006" s="28">
        <v>43861</v>
      </c>
      <c r="L1006" s="23">
        <v>14804.57</v>
      </c>
      <c r="M1006" s="25">
        <f t="shared" si="119"/>
        <v>-5.8549488434990202E-3</v>
      </c>
      <c r="O1006" t="b">
        <f t="shared" si="117"/>
        <v>1</v>
      </c>
      <c r="Q1006" s="25">
        <f t="shared" si="115"/>
        <v>0.12315968676552469</v>
      </c>
      <c r="R1006" s="25">
        <f t="shared" si="112"/>
        <v>1.4656542159809494E-2</v>
      </c>
      <c r="S1006" s="25">
        <f t="shared" si="124"/>
        <v>0.10850842747220146</v>
      </c>
      <c r="T1006" s="25">
        <f t="shared" si="121"/>
        <v>0.13767911882613681</v>
      </c>
      <c r="X1006">
        <f t="shared" si="116"/>
        <v>1</v>
      </c>
      <c r="Y1006">
        <f t="shared" si="113"/>
        <v>1</v>
      </c>
      <c r="Z1006">
        <f t="shared" si="125"/>
        <v>0</v>
      </c>
      <c r="AA1006">
        <f t="shared" si="122"/>
        <v>1</v>
      </c>
    </row>
    <row r="1007" spans="1:27">
      <c r="A1007" s="27">
        <v>43864</v>
      </c>
      <c r="B1007" s="24">
        <v>814.3</v>
      </c>
      <c r="C1007" s="25">
        <f t="shared" si="118"/>
        <v>-1.8608238725383922E-2</v>
      </c>
      <c r="E1007" s="25">
        <f t="shared" si="114"/>
        <v>0.12321889181621293</v>
      </c>
      <c r="F1007" s="25">
        <f t="shared" ref="F1007:F1070" si="126">((B1007/B515)^(1/2))-1</f>
        <v>2.5802667169765314E-2</v>
      </c>
      <c r="G1007" s="25">
        <f t="shared" si="123"/>
        <v>9.3945508011341383E-2</v>
      </c>
      <c r="H1007" s="25">
        <f t="shared" si="120"/>
        <v>0.15401067503463972</v>
      </c>
      <c r="K1007" s="29">
        <v>43864</v>
      </c>
      <c r="L1007" s="24">
        <v>14488.18</v>
      </c>
      <c r="M1007" s="25">
        <f t="shared" si="119"/>
        <v>-2.1837801573420499E-2</v>
      </c>
      <c r="O1007" t="b">
        <f t="shared" si="117"/>
        <v>1</v>
      </c>
      <c r="Q1007" s="25">
        <f t="shared" si="115"/>
        <v>8.4623216397909928E-2</v>
      </c>
      <c r="R1007" s="25">
        <f t="shared" ref="R1007:R1070" si="127">((L1007/L515)^(1/2))-1</f>
        <v>7.6531354572206833E-3</v>
      </c>
      <c r="S1007" s="25">
        <f t="shared" si="124"/>
        <v>9.8990770296941921E-2</v>
      </c>
      <c r="T1007" s="25">
        <f t="shared" si="121"/>
        <v>0.12770116153747924</v>
      </c>
      <c r="X1007">
        <f t="shared" si="116"/>
        <v>1</v>
      </c>
      <c r="Y1007">
        <f t="shared" ref="Y1007:Y1070" si="128">IF(F1007&gt;R1007,1,0)</f>
        <v>1</v>
      </c>
      <c r="Z1007">
        <f t="shared" si="125"/>
        <v>0</v>
      </c>
      <c r="AA1007">
        <f t="shared" si="122"/>
        <v>1</v>
      </c>
    </row>
    <row r="1008" spans="1:27">
      <c r="A1008" s="26">
        <v>43865</v>
      </c>
      <c r="B1008" s="23">
        <v>832.36</v>
      </c>
      <c r="C1008" s="25">
        <f t="shared" si="118"/>
        <v>2.2178558270907603E-2</v>
      </c>
      <c r="E1008" s="25">
        <f t="shared" si="114"/>
        <v>0.14830450017934504</v>
      </c>
      <c r="F1008" s="25">
        <f t="shared" si="126"/>
        <v>3.8008081719257625E-2</v>
      </c>
      <c r="G1008" s="25">
        <f t="shared" si="123"/>
        <v>0.10096583892447364</v>
      </c>
      <c r="H1008" s="25">
        <f t="shared" si="120"/>
        <v>0.16271263430465011</v>
      </c>
      <c r="K1008" s="28">
        <v>43865</v>
      </c>
      <c r="L1008" s="23">
        <v>14792.21</v>
      </c>
      <c r="M1008" s="25">
        <f t="shared" si="119"/>
        <v>2.0553385869995007E-2</v>
      </c>
      <c r="O1008" t="b">
        <f t="shared" si="117"/>
        <v>1</v>
      </c>
      <c r="Q1008" s="25">
        <f t="shared" si="115"/>
        <v>0.10096720292654249</v>
      </c>
      <c r="R1008" s="25">
        <f t="shared" si="127"/>
        <v>2.0528440579844709E-2</v>
      </c>
      <c r="S1008" s="25">
        <f t="shared" si="124"/>
        <v>0.10551331077476767</v>
      </c>
      <c r="T1008" s="25">
        <f t="shared" si="121"/>
        <v>0.13633192393078586</v>
      </c>
      <c r="X1008">
        <f t="shared" si="116"/>
        <v>1</v>
      </c>
      <c r="Y1008">
        <f t="shared" si="128"/>
        <v>1</v>
      </c>
      <c r="Z1008">
        <f t="shared" si="125"/>
        <v>0</v>
      </c>
      <c r="AA1008">
        <f t="shared" si="122"/>
        <v>1</v>
      </c>
    </row>
    <row r="1009" spans="1:27">
      <c r="A1009" s="27">
        <v>43866</v>
      </c>
      <c r="B1009" s="24">
        <v>840.22</v>
      </c>
      <c r="C1009" s="25">
        <f t="shared" si="118"/>
        <v>9.4430294584074356E-3</v>
      </c>
      <c r="E1009" s="25">
        <f t="shared" si="114"/>
        <v>0.16548299395217225</v>
      </c>
      <c r="F1009" s="25">
        <f t="shared" si="126"/>
        <v>4.1859592500340437E-2</v>
      </c>
      <c r="G1009" s="25">
        <f t="shared" si="123"/>
        <v>0.10238578563718148</v>
      </c>
      <c r="H1009" s="25">
        <f t="shared" si="120"/>
        <v>0.17033518143795834</v>
      </c>
      <c r="K1009" s="29">
        <v>43866</v>
      </c>
      <c r="L1009" s="24">
        <v>14939.95</v>
      </c>
      <c r="M1009" s="25">
        <f t="shared" si="119"/>
        <v>9.8889219843440977E-3</v>
      </c>
      <c r="O1009" t="b">
        <f t="shared" si="117"/>
        <v>1</v>
      </c>
      <c r="Q1009" s="25">
        <f t="shared" si="115"/>
        <v>0.11370487765605342</v>
      </c>
      <c r="R1009" s="25">
        <f t="shared" si="127"/>
        <v>2.6148361194800351E-2</v>
      </c>
      <c r="S1009" s="25">
        <f t="shared" si="124"/>
        <v>0.10634293727305066</v>
      </c>
      <c r="T1009" s="25">
        <f t="shared" si="121"/>
        <v>0.14305116131951467</v>
      </c>
      <c r="X1009">
        <f t="shared" si="116"/>
        <v>1</v>
      </c>
      <c r="Y1009">
        <f t="shared" si="128"/>
        <v>1</v>
      </c>
      <c r="Z1009">
        <f t="shared" si="125"/>
        <v>0</v>
      </c>
      <c r="AA1009">
        <f t="shared" si="122"/>
        <v>1</v>
      </c>
    </row>
    <row r="1010" spans="1:27">
      <c r="A1010" s="26">
        <v>43867</v>
      </c>
      <c r="B1010" s="23">
        <v>845.12</v>
      </c>
      <c r="C1010" s="25">
        <f t="shared" si="118"/>
        <v>5.8318059555830344E-3</v>
      </c>
      <c r="E1010" s="25">
        <f t="shared" si="114"/>
        <v>0.17229612572998021</v>
      </c>
      <c r="F1010" s="25">
        <f t="shared" si="126"/>
        <v>5.7867011949548797E-2</v>
      </c>
      <c r="G1010" s="25">
        <f t="shared" si="123"/>
        <v>0.10554203725318412</v>
      </c>
      <c r="H1010" s="25">
        <f t="shared" si="120"/>
        <v>0.1761294360096286</v>
      </c>
      <c r="K1010" s="28">
        <v>43867</v>
      </c>
      <c r="L1010" s="23">
        <v>15019.88</v>
      </c>
      <c r="M1010" s="25">
        <f t="shared" si="119"/>
        <v>5.3216137545705079E-3</v>
      </c>
      <c r="O1010" t="b">
        <f t="shared" si="117"/>
        <v>1</v>
      </c>
      <c r="Q1010" s="25">
        <f t="shared" si="115"/>
        <v>0.12066745158782366</v>
      </c>
      <c r="R1010" s="25">
        <f t="shared" si="127"/>
        <v>4.3929761442294213E-2</v>
      </c>
      <c r="S1010" s="25">
        <f t="shared" si="124"/>
        <v>0.10947549435803516</v>
      </c>
      <c r="T1010" s="25">
        <f t="shared" si="121"/>
        <v>0.14803538341972189</v>
      </c>
      <c r="X1010">
        <f t="shared" si="116"/>
        <v>1</v>
      </c>
      <c r="Y1010">
        <f t="shared" si="128"/>
        <v>1</v>
      </c>
      <c r="Z1010">
        <f t="shared" si="125"/>
        <v>0</v>
      </c>
      <c r="AA1010">
        <f t="shared" si="122"/>
        <v>1</v>
      </c>
    </row>
    <row r="1011" spans="1:27">
      <c r="A1011" s="27">
        <v>43868</v>
      </c>
      <c r="B1011" s="24">
        <v>845.72</v>
      </c>
      <c r="C1011" s="25">
        <f t="shared" si="118"/>
        <v>7.0995834911021243E-4</v>
      </c>
      <c r="E1011" s="25">
        <f t="shared" si="114"/>
        <v>0.16116099623802072</v>
      </c>
      <c r="F1011" s="25">
        <f t="shared" si="126"/>
        <v>6.123284140973495E-2</v>
      </c>
      <c r="G1011" s="25">
        <f t="shared" si="123"/>
        <v>0.10458636088615614</v>
      </c>
      <c r="H1011" s="25">
        <f t="shared" si="120"/>
        <v>0.18584223716996373</v>
      </c>
      <c r="K1011" s="29">
        <v>43868</v>
      </c>
      <c r="L1011" s="24">
        <v>15014.96</v>
      </c>
      <c r="M1011" s="25">
        <f t="shared" si="119"/>
        <v>-3.2767320059461184E-4</v>
      </c>
      <c r="O1011" t="b">
        <f t="shared" si="117"/>
        <v>1</v>
      </c>
      <c r="Q1011" s="25">
        <f t="shared" si="115"/>
        <v>0.10962520212008076</v>
      </c>
      <c r="R1011" s="25">
        <f t="shared" si="127"/>
        <v>4.74026484328256E-2</v>
      </c>
      <c r="S1011" s="25">
        <f t="shared" si="124"/>
        <v>0.10879172589508523</v>
      </c>
      <c r="T1011" s="25">
        <f t="shared" si="121"/>
        <v>0.15803455680224276</v>
      </c>
      <c r="X1011">
        <f t="shared" si="116"/>
        <v>1</v>
      </c>
      <c r="Y1011">
        <f t="shared" si="128"/>
        <v>1</v>
      </c>
      <c r="Z1011">
        <f t="shared" si="125"/>
        <v>0</v>
      </c>
      <c r="AA1011">
        <f t="shared" si="122"/>
        <v>1</v>
      </c>
    </row>
    <row r="1012" spans="1:27">
      <c r="A1012" s="26">
        <v>43871</v>
      </c>
      <c r="B1012" s="23">
        <v>838.89</v>
      </c>
      <c r="C1012" s="25">
        <f t="shared" si="118"/>
        <v>-8.0759589462233838E-3</v>
      </c>
      <c r="E1012" s="25">
        <f t="shared" si="114"/>
        <v>0.14704313939974023</v>
      </c>
      <c r="F1012" s="25">
        <f t="shared" si="126"/>
        <v>6.3509312036911458E-2</v>
      </c>
      <c r="G1012" s="25">
        <f t="shared" si="123"/>
        <v>0.10169257717046354</v>
      </c>
      <c r="H1012" s="25">
        <f t="shared" si="120"/>
        <v>0.1833024332630715</v>
      </c>
      <c r="K1012" s="28">
        <v>43871</v>
      </c>
      <c r="L1012" s="23">
        <v>14932.29</v>
      </c>
      <c r="M1012" s="25">
        <f t="shared" si="119"/>
        <v>-5.5363243012289641E-3</v>
      </c>
      <c r="O1012" t="b">
        <f t="shared" si="117"/>
        <v>1</v>
      </c>
      <c r="Q1012" s="25">
        <f t="shared" si="115"/>
        <v>0.10023091727355538</v>
      </c>
      <c r="R1012" s="25">
        <f t="shared" si="127"/>
        <v>5.3208567038403043E-2</v>
      </c>
      <c r="S1012" s="25">
        <f t="shared" si="124"/>
        <v>0.10618691222833054</v>
      </c>
      <c r="T1012" s="25">
        <f t="shared" si="121"/>
        <v>0.1569208280924963</v>
      </c>
      <c r="X1012">
        <f t="shared" si="116"/>
        <v>1</v>
      </c>
      <c r="Y1012">
        <f t="shared" si="128"/>
        <v>1</v>
      </c>
      <c r="Z1012">
        <f t="shared" si="125"/>
        <v>0</v>
      </c>
      <c r="AA1012">
        <f t="shared" si="122"/>
        <v>1</v>
      </c>
    </row>
    <row r="1013" spans="1:27">
      <c r="A1013" s="27">
        <v>43872</v>
      </c>
      <c r="B1013" s="24">
        <v>842.11</v>
      </c>
      <c r="C1013" s="25">
        <f t="shared" si="118"/>
        <v>3.8384055120457118E-3</v>
      </c>
      <c r="E1013" s="25">
        <f t="shared" si="114"/>
        <v>0.16545338795394171</v>
      </c>
      <c r="F1013" s="25">
        <f t="shared" si="126"/>
        <v>6.6447489546799909E-2</v>
      </c>
      <c r="G1013" s="25">
        <f t="shared" si="123"/>
        <v>0.10332903132719395</v>
      </c>
      <c r="H1013" s="25">
        <f t="shared" si="120"/>
        <v>0.1759270444829697</v>
      </c>
      <c r="K1013" s="29">
        <v>43872</v>
      </c>
      <c r="L1013" s="24">
        <v>14994.85</v>
      </c>
      <c r="M1013" s="25">
        <f t="shared" si="119"/>
        <v>4.1720990873532907E-3</v>
      </c>
      <c r="O1013" t="b">
        <f t="shared" si="117"/>
        <v>1</v>
      </c>
      <c r="Q1013" s="25">
        <f t="shared" si="115"/>
        <v>0.11813583006849826</v>
      </c>
      <c r="R1013" s="25">
        <f t="shared" si="127"/>
        <v>5.4434636502971756E-2</v>
      </c>
      <c r="S1013" s="25">
        <f t="shared" si="124"/>
        <v>0.10735562310869629</v>
      </c>
      <c r="T1013" s="25">
        <f t="shared" si="121"/>
        <v>0.15004876898674979</v>
      </c>
      <c r="X1013">
        <f t="shared" si="116"/>
        <v>1</v>
      </c>
      <c r="Y1013">
        <f t="shared" si="128"/>
        <v>1</v>
      </c>
      <c r="Z1013">
        <f t="shared" si="125"/>
        <v>0</v>
      </c>
      <c r="AA1013">
        <f t="shared" si="122"/>
        <v>1</v>
      </c>
    </row>
    <row r="1014" spans="1:27">
      <c r="A1014" s="26">
        <v>43873</v>
      </c>
      <c r="B1014" s="23">
        <v>847.09</v>
      </c>
      <c r="C1014" s="25">
        <f t="shared" si="118"/>
        <v>5.9137167353433854E-3</v>
      </c>
      <c r="E1014" s="25">
        <f t="shared" si="114"/>
        <v>0.18460871510879895</v>
      </c>
      <c r="F1014" s="25">
        <f t="shared" si="126"/>
        <v>6.3211153372812801E-2</v>
      </c>
      <c r="G1014" s="25">
        <f t="shared" si="123"/>
        <v>0.10546442115637777</v>
      </c>
      <c r="H1014" s="25">
        <f t="shared" si="120"/>
        <v>0.18368098911666397</v>
      </c>
      <c r="K1014" s="28">
        <v>43873</v>
      </c>
      <c r="L1014" s="23">
        <v>15070.16</v>
      </c>
      <c r="M1014" s="25">
        <f t="shared" si="119"/>
        <v>4.9972926631170131E-3</v>
      </c>
      <c r="O1014" t="b">
        <f t="shared" si="117"/>
        <v>1</v>
      </c>
      <c r="Q1014" s="25">
        <f t="shared" si="115"/>
        <v>0.13229531931966831</v>
      </c>
      <c r="R1014" s="25">
        <f t="shared" si="127"/>
        <v>5.0247025259336331E-2</v>
      </c>
      <c r="S1014" s="25">
        <f t="shared" si="124"/>
        <v>0.109402324209535</v>
      </c>
      <c r="T1014" s="25">
        <f t="shared" si="121"/>
        <v>0.15680870759772136</v>
      </c>
      <c r="X1014">
        <f t="shared" si="116"/>
        <v>1</v>
      </c>
      <c r="Y1014">
        <f t="shared" si="128"/>
        <v>1</v>
      </c>
      <c r="Z1014">
        <f t="shared" si="125"/>
        <v>0</v>
      </c>
      <c r="AA1014">
        <f t="shared" si="122"/>
        <v>1</v>
      </c>
    </row>
    <row r="1015" spans="1:27">
      <c r="A1015" s="27">
        <v>43874</v>
      </c>
      <c r="B1015" s="24">
        <v>847.26</v>
      </c>
      <c r="C1015" s="25">
        <f t="shared" si="118"/>
        <v>2.0068705804573194E-4</v>
      </c>
      <c r="E1015" s="25">
        <f t="shared" si="114"/>
        <v>0.18990506151339814</v>
      </c>
      <c r="F1015" s="25">
        <f t="shared" si="126"/>
        <v>6.5795471527861693E-2</v>
      </c>
      <c r="G1015" s="25">
        <f t="shared" si="123"/>
        <v>0.10756156819825002</v>
      </c>
      <c r="H1015" s="25">
        <f t="shared" si="120"/>
        <v>0.18142002389972967</v>
      </c>
      <c r="K1015" s="29">
        <v>43874</v>
      </c>
      <c r="L1015" s="24">
        <v>15041.87</v>
      </c>
      <c r="M1015" s="25">
        <f t="shared" si="119"/>
        <v>-1.8807501992770216E-3</v>
      </c>
      <c r="O1015" t="b">
        <f t="shared" si="117"/>
        <v>1</v>
      </c>
      <c r="Q1015" s="25">
        <f t="shared" si="115"/>
        <v>0.13531087347687998</v>
      </c>
      <c r="R1015" s="25">
        <f t="shared" si="127"/>
        <v>5.3301300013325337E-2</v>
      </c>
      <c r="S1015" s="25">
        <f t="shared" si="124"/>
        <v>0.10975572936043543</v>
      </c>
      <c r="T1015" s="25">
        <f t="shared" si="121"/>
        <v>0.15422310149591856</v>
      </c>
      <c r="X1015">
        <f t="shared" si="116"/>
        <v>1</v>
      </c>
      <c r="Y1015">
        <f t="shared" si="128"/>
        <v>1</v>
      </c>
      <c r="Z1015">
        <f t="shared" si="125"/>
        <v>0</v>
      </c>
      <c r="AA1015">
        <f t="shared" si="122"/>
        <v>1</v>
      </c>
    </row>
    <row r="1016" spans="1:27">
      <c r="A1016" s="26">
        <v>43875</v>
      </c>
      <c r="B1016" s="23">
        <v>844.77</v>
      </c>
      <c r="C1016" s="25">
        <f t="shared" si="118"/>
        <v>-2.938885348063179E-3</v>
      </c>
      <c r="E1016" s="25">
        <f t="shared" ref="E1016:E1079" si="129">(B1016/B771)-1</f>
        <v>0.19142784610177155</v>
      </c>
      <c r="F1016" s="25">
        <f t="shared" si="126"/>
        <v>5.8812275132271719E-2</v>
      </c>
      <c r="G1016" s="25">
        <f t="shared" si="123"/>
        <v>0.11089308355021799</v>
      </c>
      <c r="H1016" s="25">
        <f t="shared" si="120"/>
        <v>0.17844320538776182</v>
      </c>
      <c r="K1016" s="28">
        <v>43875</v>
      </c>
      <c r="L1016" s="23">
        <v>14956.99</v>
      </c>
      <c r="M1016" s="25">
        <f t="shared" si="119"/>
        <v>-5.6749386073000662E-3</v>
      </c>
      <c r="O1016" t="b">
        <f t="shared" si="117"/>
        <v>1</v>
      </c>
      <c r="Q1016" s="25">
        <f t="shared" ref="Q1016:Q1079" si="130">(L1016/L771)-1</f>
        <v>0.13364120614593555</v>
      </c>
      <c r="R1016" s="25">
        <f t="shared" si="127"/>
        <v>4.484376923823219E-2</v>
      </c>
      <c r="S1016" s="25">
        <f t="shared" si="124"/>
        <v>0.11120473166329847</v>
      </c>
      <c r="T1016" s="25">
        <f t="shared" si="121"/>
        <v>0.14975160818605326</v>
      </c>
      <c r="X1016">
        <f t="shared" ref="X1016:X1079" si="131">IF(E1016&gt;Q1016,1,0)</f>
        <v>1</v>
      </c>
      <c r="Y1016">
        <f t="shared" si="128"/>
        <v>1</v>
      </c>
      <c r="Z1016">
        <f t="shared" si="125"/>
        <v>0</v>
      </c>
      <c r="AA1016">
        <f t="shared" si="122"/>
        <v>1</v>
      </c>
    </row>
    <row r="1017" spans="1:27">
      <c r="A1017" s="27">
        <v>43878</v>
      </c>
      <c r="B1017" s="24">
        <v>839.77</v>
      </c>
      <c r="C1017" s="25">
        <f t="shared" si="118"/>
        <v>-5.9187707896823987E-3</v>
      </c>
      <c r="E1017" s="25">
        <f t="shared" si="129"/>
        <v>0.18554648897422132</v>
      </c>
      <c r="F1017" s="25">
        <f t="shared" si="126"/>
        <v>5.7415696023780827E-2</v>
      </c>
      <c r="G1017" s="25">
        <f t="shared" si="123"/>
        <v>0.10381048978254648</v>
      </c>
      <c r="H1017" s="25">
        <f t="shared" si="120"/>
        <v>0.17698454626816407</v>
      </c>
      <c r="K1017" s="29">
        <v>43878</v>
      </c>
      <c r="L1017" s="24">
        <v>14855.22</v>
      </c>
      <c r="M1017" s="25">
        <f t="shared" si="119"/>
        <v>-6.850790496539293E-3</v>
      </c>
      <c r="O1017" t="b">
        <f t="shared" si="117"/>
        <v>1</v>
      </c>
      <c r="Q1017" s="25">
        <f t="shared" si="130"/>
        <v>0.12818514873140852</v>
      </c>
      <c r="R1017" s="25">
        <f t="shared" si="127"/>
        <v>4.2490546436650511E-2</v>
      </c>
      <c r="S1017" s="25">
        <f t="shared" si="124"/>
        <v>0.10534161333299585</v>
      </c>
      <c r="T1017" s="25">
        <f t="shared" si="121"/>
        <v>0.14723530530585616</v>
      </c>
      <c r="X1017">
        <f t="shared" si="131"/>
        <v>1</v>
      </c>
      <c r="Y1017">
        <f t="shared" si="128"/>
        <v>1</v>
      </c>
      <c r="Z1017">
        <f t="shared" si="125"/>
        <v>0</v>
      </c>
      <c r="AA1017">
        <f t="shared" si="122"/>
        <v>1</v>
      </c>
    </row>
    <row r="1018" spans="1:27">
      <c r="A1018" s="26">
        <v>43879</v>
      </c>
      <c r="B1018" s="23">
        <v>837.88</v>
      </c>
      <c r="C1018" s="25">
        <f t="shared" si="118"/>
        <v>-2.2506162401609801E-3</v>
      </c>
      <c r="E1018" s="25">
        <f t="shared" si="129"/>
        <v>0.19470149572954232</v>
      </c>
      <c r="F1018" s="25">
        <f t="shared" si="126"/>
        <v>5.6436120197182582E-2</v>
      </c>
      <c r="G1018" s="25">
        <f t="shared" si="123"/>
        <v>0.10082930340892515</v>
      </c>
      <c r="H1018" s="25">
        <f t="shared" si="120"/>
        <v>0.1753894795058093</v>
      </c>
      <c r="K1018" s="28">
        <v>43879</v>
      </c>
      <c r="L1018" s="23">
        <v>14789.34</v>
      </c>
      <c r="M1018" s="25">
        <f t="shared" si="119"/>
        <v>-4.4545598383700152E-3</v>
      </c>
      <c r="O1018" t="b">
        <f t="shared" si="117"/>
        <v>1</v>
      </c>
      <c r="Q1018" s="25">
        <f t="shared" si="130"/>
        <v>0.12848001684783683</v>
      </c>
      <c r="R1018" s="25">
        <f t="shared" si="127"/>
        <v>4.0197664875667449E-2</v>
      </c>
      <c r="S1018" s="25">
        <f t="shared" si="124"/>
        <v>0.10183557450105751</v>
      </c>
      <c r="T1018" s="25">
        <f t="shared" si="121"/>
        <v>0.14482155433250044</v>
      </c>
      <c r="X1018">
        <f t="shared" si="131"/>
        <v>1</v>
      </c>
      <c r="Y1018">
        <f t="shared" si="128"/>
        <v>1</v>
      </c>
      <c r="Z1018">
        <f t="shared" si="125"/>
        <v>0</v>
      </c>
      <c r="AA1018">
        <f t="shared" si="122"/>
        <v>1</v>
      </c>
    </row>
    <row r="1019" spans="1:27">
      <c r="A1019" s="27">
        <v>43880</v>
      </c>
      <c r="B1019" s="24">
        <v>845.19</v>
      </c>
      <c r="C1019" s="25">
        <f t="shared" si="118"/>
        <v>8.7243996753712458E-3</v>
      </c>
      <c r="E1019" s="25">
        <f t="shared" si="129"/>
        <v>0.2142487716576158</v>
      </c>
      <c r="F1019" s="25">
        <f t="shared" si="126"/>
        <v>6.6747642997803558E-2</v>
      </c>
      <c r="G1019" s="25">
        <f t="shared" si="123"/>
        <v>0.10141471584912987</v>
      </c>
      <c r="H1019" s="25">
        <f t="shared" si="120"/>
        <v>0.18250320149335342</v>
      </c>
      <c r="K1019" s="29">
        <v>43880</v>
      </c>
      <c r="L1019" s="24">
        <v>14977.03</v>
      </c>
      <c r="M1019" s="25">
        <f t="shared" si="119"/>
        <v>1.2531857117198838E-2</v>
      </c>
      <c r="O1019" t="b">
        <f t="shared" si="117"/>
        <v>1</v>
      </c>
      <c r="Q1019" s="25">
        <f t="shared" si="130"/>
        <v>0.1522556145132985</v>
      </c>
      <c r="R1019" s="25">
        <f t="shared" si="127"/>
        <v>5.171033230533495E-2</v>
      </c>
      <c r="S1019" s="25">
        <f t="shared" si="124"/>
        <v>0.10388918291884819</v>
      </c>
      <c r="T1019" s="25">
        <f t="shared" si="121"/>
        <v>0.15291023561980688</v>
      </c>
      <c r="X1019">
        <f t="shared" si="131"/>
        <v>1</v>
      </c>
      <c r="Y1019">
        <f t="shared" si="128"/>
        <v>1</v>
      </c>
      <c r="Z1019">
        <f t="shared" si="125"/>
        <v>0</v>
      </c>
      <c r="AA1019">
        <f t="shared" si="122"/>
        <v>1</v>
      </c>
    </row>
    <row r="1020" spans="1:27">
      <c r="A1020" s="26">
        <v>43881</v>
      </c>
      <c r="B1020" s="23">
        <v>845.86</v>
      </c>
      <c r="C1020" s="25">
        <f t="shared" si="118"/>
        <v>7.9272116328867948E-4</v>
      </c>
      <c r="E1020" s="25">
        <f t="shared" si="129"/>
        <v>0.21358986499088939</v>
      </c>
      <c r="F1020" s="25">
        <f t="shared" si="126"/>
        <v>7.2235079129161051E-2</v>
      </c>
      <c r="G1020" s="25">
        <f t="shared" si="123"/>
        <v>0.10046608641882826</v>
      </c>
      <c r="H1020" s="25">
        <f t="shared" si="120"/>
        <v>0.18619651950662242</v>
      </c>
      <c r="K1020" s="28">
        <v>43881</v>
      </c>
      <c r="L1020" s="23">
        <v>14959.29</v>
      </c>
      <c r="M1020" s="25">
        <f t="shared" si="119"/>
        <v>-1.1858851589881458E-3</v>
      </c>
      <c r="O1020" t="b">
        <f t="shared" si="117"/>
        <v>1</v>
      </c>
      <c r="Q1020" s="25">
        <f t="shared" si="130"/>
        <v>0.15247879446229229</v>
      </c>
      <c r="R1020" s="25">
        <f t="shared" si="127"/>
        <v>5.5418248035257189E-2</v>
      </c>
      <c r="S1020" s="25">
        <f t="shared" si="124"/>
        <v>0.10186017021040517</v>
      </c>
      <c r="T1020" s="25">
        <f t="shared" si="121"/>
        <v>0.15604999250619445</v>
      </c>
      <c r="X1020">
        <f t="shared" si="131"/>
        <v>1</v>
      </c>
      <c r="Y1020">
        <f t="shared" si="128"/>
        <v>1</v>
      </c>
      <c r="Z1020">
        <f t="shared" si="125"/>
        <v>0</v>
      </c>
      <c r="AA1020">
        <f t="shared" si="122"/>
        <v>1</v>
      </c>
    </row>
    <row r="1021" spans="1:27">
      <c r="A1021" s="27">
        <v>43885</v>
      </c>
      <c r="B1021" s="24">
        <v>828.98</v>
      </c>
      <c r="C1021" s="25">
        <f t="shared" si="118"/>
        <v>-1.9956021090960674E-2</v>
      </c>
      <c r="E1021" s="25">
        <f t="shared" si="129"/>
        <v>0.1744421619324219</v>
      </c>
      <c r="F1021" s="25">
        <f t="shared" si="126"/>
        <v>6.1828822752014734E-2</v>
      </c>
      <c r="G1021" s="25">
        <f t="shared" si="123"/>
        <v>9.4818431755513188E-2</v>
      </c>
      <c r="H1021" s="25">
        <f t="shared" si="120"/>
        <v>0.18355818872429119</v>
      </c>
      <c r="K1021" s="29">
        <v>43885</v>
      </c>
      <c r="L1021" s="24">
        <v>14659.13</v>
      </c>
      <c r="M1021" s="25">
        <f t="shared" si="119"/>
        <v>-2.0475976405148307E-2</v>
      </c>
      <c r="O1021" t="b">
        <f t="shared" si="117"/>
        <v>1</v>
      </c>
      <c r="Q1021" s="25">
        <f t="shared" si="130"/>
        <v>0.11616409651966086</v>
      </c>
      <c r="R1021" s="25">
        <f t="shared" si="127"/>
        <v>4.5255602465569922E-2</v>
      </c>
      <c r="S1021" s="25">
        <f t="shared" si="124"/>
        <v>9.4592413303704159E-2</v>
      </c>
      <c r="T1021" s="25">
        <f t="shared" si="121"/>
        <v>0.15233907882576192</v>
      </c>
      <c r="X1021">
        <f t="shared" si="131"/>
        <v>1</v>
      </c>
      <c r="Y1021">
        <f t="shared" si="128"/>
        <v>1</v>
      </c>
      <c r="Z1021">
        <f t="shared" si="125"/>
        <v>1</v>
      </c>
      <c r="AA1021">
        <f t="shared" si="122"/>
        <v>1</v>
      </c>
    </row>
    <row r="1022" spans="1:27">
      <c r="A1022" s="26">
        <v>43886</v>
      </c>
      <c r="B1022" s="23">
        <v>826.97</v>
      </c>
      <c r="C1022" s="25">
        <f t="shared" si="118"/>
        <v>-2.4246664575743575E-3</v>
      </c>
      <c r="E1022" s="25">
        <f t="shared" si="129"/>
        <v>0.16028510094986892</v>
      </c>
      <c r="F1022" s="25">
        <f t="shared" si="126"/>
        <v>6.0274003735449444E-2</v>
      </c>
      <c r="G1022" s="25">
        <f t="shared" si="123"/>
        <v>9.4666929969378977E-2</v>
      </c>
      <c r="H1022" s="25">
        <f t="shared" si="120"/>
        <v>0.18103409027731221</v>
      </c>
      <c r="K1022" s="28">
        <v>43886</v>
      </c>
      <c r="L1022" s="23">
        <v>14609.32</v>
      </c>
      <c r="M1022" s="25">
        <f t="shared" si="119"/>
        <v>-3.4094673810964159E-3</v>
      </c>
      <c r="O1022" t="b">
        <f t="shared" si="117"/>
        <v>1</v>
      </c>
      <c r="Q1022" s="25">
        <f t="shared" si="130"/>
        <v>0.1051825716473056</v>
      </c>
      <c r="R1022" s="25">
        <f t="shared" si="127"/>
        <v>4.250631349902978E-2</v>
      </c>
      <c r="S1022" s="25">
        <f t="shared" si="124"/>
        <v>9.2963188093723836E-2</v>
      </c>
      <c r="T1022" s="25">
        <f t="shared" si="121"/>
        <v>0.14956556432840862</v>
      </c>
      <c r="X1022">
        <f t="shared" si="131"/>
        <v>1</v>
      </c>
      <c r="Y1022">
        <f t="shared" si="128"/>
        <v>1</v>
      </c>
      <c r="Z1022">
        <f t="shared" si="125"/>
        <v>1</v>
      </c>
      <c r="AA1022">
        <f t="shared" si="122"/>
        <v>1</v>
      </c>
    </row>
    <row r="1023" spans="1:27">
      <c r="A1023" s="27">
        <v>43887</v>
      </c>
      <c r="B1023" s="24">
        <v>819.93</v>
      </c>
      <c r="C1023" s="25">
        <f t="shared" si="118"/>
        <v>-8.513005308536074E-3</v>
      </c>
      <c r="E1023" s="25">
        <f t="shared" si="129"/>
        <v>0.14438644484144691</v>
      </c>
      <c r="F1023" s="25">
        <f t="shared" si="126"/>
        <v>5.8192378620400831E-2</v>
      </c>
      <c r="G1023" s="25">
        <f t="shared" si="123"/>
        <v>9.4219591987310336E-2</v>
      </c>
      <c r="H1023" s="25">
        <f t="shared" si="120"/>
        <v>0.17948491684326662</v>
      </c>
      <c r="K1023" s="29">
        <v>43887</v>
      </c>
      <c r="L1023" s="24">
        <v>14456.09</v>
      </c>
      <c r="M1023" s="25">
        <f t="shared" si="119"/>
        <v>-1.0599684977058082E-2</v>
      </c>
      <c r="O1023" t="b">
        <f t="shared" si="117"/>
        <v>1</v>
      </c>
      <c r="Q1023" s="25">
        <f t="shared" si="130"/>
        <v>9.1376548233620847E-2</v>
      </c>
      <c r="R1023" s="25">
        <f t="shared" si="127"/>
        <v>3.8579252987329671E-2</v>
      </c>
      <c r="S1023" s="25">
        <f t="shared" si="124"/>
        <v>9.0177574786421744E-2</v>
      </c>
      <c r="T1023" s="25">
        <f t="shared" si="121"/>
        <v>0.14766662725602009</v>
      </c>
      <c r="X1023">
        <f t="shared" si="131"/>
        <v>1</v>
      </c>
      <c r="Y1023">
        <f t="shared" si="128"/>
        <v>1</v>
      </c>
      <c r="Z1023">
        <f t="shared" si="125"/>
        <v>1</v>
      </c>
      <c r="AA1023">
        <f t="shared" si="122"/>
        <v>1</v>
      </c>
    </row>
    <row r="1024" spans="1:27">
      <c r="A1024" s="26">
        <v>43888</v>
      </c>
      <c r="B1024" s="23">
        <v>816.35</v>
      </c>
      <c r="C1024" s="25">
        <f t="shared" si="118"/>
        <v>-4.3662263851791342E-3</v>
      </c>
      <c r="E1024" s="25">
        <f t="shared" si="129"/>
        <v>0.13147791376179851</v>
      </c>
      <c r="F1024" s="25">
        <f t="shared" si="126"/>
        <v>4.8686175698158918E-2</v>
      </c>
      <c r="G1024" s="25">
        <f t="shared" si="123"/>
        <v>9.1817015453699025E-2</v>
      </c>
      <c r="H1024" s="25">
        <f t="shared" si="120"/>
        <v>0.1683442607602017</v>
      </c>
      <c r="K1024" s="28">
        <v>43888</v>
      </c>
      <c r="L1024" s="23">
        <v>14391.08</v>
      </c>
      <c r="M1024" s="25">
        <f t="shared" si="119"/>
        <v>-4.5173816002690706E-3</v>
      </c>
      <c r="O1024" t="b">
        <f t="shared" si="117"/>
        <v>1</v>
      </c>
      <c r="Q1024" s="25">
        <f t="shared" si="130"/>
        <v>7.8718827065640262E-2</v>
      </c>
      <c r="R1024" s="25">
        <f t="shared" si="127"/>
        <v>2.9900664013153389E-2</v>
      </c>
      <c r="S1024" s="25">
        <f t="shared" si="124"/>
        <v>8.8343587413980407E-2</v>
      </c>
      <c r="T1024" s="25">
        <f t="shared" si="121"/>
        <v>0.1372133180548738</v>
      </c>
      <c r="X1024">
        <f t="shared" si="131"/>
        <v>1</v>
      </c>
      <c r="Y1024">
        <f t="shared" si="128"/>
        <v>1</v>
      </c>
      <c r="Z1024">
        <f t="shared" si="125"/>
        <v>1</v>
      </c>
      <c r="AA1024">
        <f t="shared" si="122"/>
        <v>1</v>
      </c>
    </row>
    <row r="1025" spans="1:27">
      <c r="A1025" s="27">
        <v>43889</v>
      </c>
      <c r="B1025" s="24">
        <v>787.26</v>
      </c>
      <c r="C1025" s="25">
        <f t="shared" si="118"/>
        <v>-3.563422551601645E-2</v>
      </c>
      <c r="E1025" s="25">
        <f t="shared" si="129"/>
        <v>9.7195896978481411E-2</v>
      </c>
      <c r="F1025" s="25">
        <f t="shared" si="126"/>
        <v>2.4955820839871468E-2</v>
      </c>
      <c r="G1025" s="25">
        <f t="shared" si="123"/>
        <v>7.6823103787151625E-2</v>
      </c>
      <c r="H1025" s="25">
        <f t="shared" si="120"/>
        <v>0.15162710628686349</v>
      </c>
      <c r="K1025" s="29">
        <v>43889</v>
      </c>
      <c r="L1025" s="24">
        <v>13875.34</v>
      </c>
      <c r="M1025" s="25">
        <f t="shared" si="119"/>
        <v>-3.7169539629299156E-2</v>
      </c>
      <c r="O1025" t="b">
        <f t="shared" si="117"/>
        <v>1</v>
      </c>
      <c r="Q1025" s="25">
        <f t="shared" si="130"/>
        <v>4.3625877376400224E-2</v>
      </c>
      <c r="R1025" s="25">
        <f t="shared" si="127"/>
        <v>6.8641002455154254E-3</v>
      </c>
      <c r="S1025" s="25">
        <f t="shared" si="124"/>
        <v>7.2990556408097484E-2</v>
      </c>
      <c r="T1025" s="25">
        <f t="shared" si="121"/>
        <v>0.12147147876412911</v>
      </c>
      <c r="X1025">
        <f t="shared" si="131"/>
        <v>1</v>
      </c>
      <c r="Y1025">
        <f t="shared" si="128"/>
        <v>1</v>
      </c>
      <c r="Z1025">
        <f t="shared" si="125"/>
        <v>1</v>
      </c>
      <c r="AA1025">
        <f t="shared" si="122"/>
        <v>1</v>
      </c>
    </row>
    <row r="1026" spans="1:27">
      <c r="A1026" s="26">
        <v>43892</v>
      </c>
      <c r="B1026" s="23">
        <v>779.87</v>
      </c>
      <c r="C1026" s="25">
        <f t="shared" si="118"/>
        <v>-9.3869877804028997E-3</v>
      </c>
      <c r="E1026" s="25">
        <f t="shared" si="129"/>
        <v>8.7882042769260815E-2</v>
      </c>
      <c r="F1026" s="25">
        <f t="shared" si="126"/>
        <v>2.1873935627020336E-2</v>
      </c>
      <c r="G1026" s="25">
        <f t="shared" si="123"/>
        <v>7.6381818508851396E-2</v>
      </c>
      <c r="H1026" s="25">
        <f t="shared" si="120"/>
        <v>0.14444732243750802</v>
      </c>
      <c r="K1026" s="28">
        <v>43892</v>
      </c>
      <c r="L1026" s="23">
        <v>13790.7</v>
      </c>
      <c r="M1026" s="25">
        <f t="shared" si="119"/>
        <v>-6.1374694540523257E-3</v>
      </c>
      <c r="O1026" t="b">
        <f t="shared" si="117"/>
        <v>1</v>
      </c>
      <c r="Q1026" s="25">
        <f t="shared" si="130"/>
        <v>3.8050641353266412E-2</v>
      </c>
      <c r="R1026" s="25">
        <f t="shared" si="127"/>
        <v>5.4275707756348268E-3</v>
      </c>
      <c r="S1026" s="25">
        <f t="shared" si="124"/>
        <v>7.3719937075055197E-2</v>
      </c>
      <c r="T1026" s="25">
        <f t="shared" si="121"/>
        <v>0.11607653718143984</v>
      </c>
      <c r="X1026">
        <f t="shared" si="131"/>
        <v>1</v>
      </c>
      <c r="Y1026">
        <f t="shared" si="128"/>
        <v>1</v>
      </c>
      <c r="Z1026">
        <f t="shared" si="125"/>
        <v>1</v>
      </c>
      <c r="AA1026">
        <f t="shared" si="122"/>
        <v>1</v>
      </c>
    </row>
    <row r="1027" spans="1:27">
      <c r="A1027" s="27">
        <v>43893</v>
      </c>
      <c r="B1027" s="24">
        <v>793.15</v>
      </c>
      <c r="C1027" s="25">
        <f t="shared" si="118"/>
        <v>1.7028479105491906E-2</v>
      </c>
      <c r="E1027" s="25">
        <f t="shared" si="129"/>
        <v>0.10566668990032757</v>
      </c>
      <c r="F1027" s="25">
        <f t="shared" si="126"/>
        <v>3.2745647084822416E-2</v>
      </c>
      <c r="G1027" s="25">
        <f t="shared" si="123"/>
        <v>8.2301436526204697E-2</v>
      </c>
      <c r="H1027" s="25">
        <f t="shared" si="120"/>
        <v>0.14819147604916072</v>
      </c>
      <c r="K1027" s="29">
        <v>43893</v>
      </c>
      <c r="L1027" s="24">
        <v>14014.65</v>
      </c>
      <c r="M1027" s="25">
        <f t="shared" si="119"/>
        <v>1.5979706949513468E-2</v>
      </c>
      <c r="O1027" t="b">
        <f t="shared" ref="O1027:O1090" si="132">K1027=A1027</f>
        <v>1</v>
      </c>
      <c r="Q1027" s="25">
        <f t="shared" si="130"/>
        <v>5.3479613927476022E-2</v>
      </c>
      <c r="R1027" s="25">
        <f t="shared" si="127"/>
        <v>1.5671987234814555E-2</v>
      </c>
      <c r="S1027" s="25">
        <f t="shared" si="124"/>
        <v>7.9285850397213142E-2</v>
      </c>
      <c r="T1027" s="25">
        <f t="shared" si="121"/>
        <v>0.11963886822592507</v>
      </c>
      <c r="X1027">
        <f t="shared" si="131"/>
        <v>1</v>
      </c>
      <c r="Y1027">
        <f t="shared" si="128"/>
        <v>1</v>
      </c>
      <c r="Z1027">
        <f t="shared" si="125"/>
        <v>1</v>
      </c>
      <c r="AA1027">
        <f t="shared" si="122"/>
        <v>1</v>
      </c>
    </row>
    <row r="1028" spans="1:27">
      <c r="A1028" s="26">
        <v>43894</v>
      </c>
      <c r="B1028" s="23">
        <v>785.53</v>
      </c>
      <c r="C1028" s="25">
        <f t="shared" ref="C1028:C1091" si="133">(B1028-B1027)/B1027</f>
        <v>-9.6072621824371245E-3</v>
      </c>
      <c r="E1028" s="25">
        <f t="shared" si="129"/>
        <v>8.0821145035016917E-2</v>
      </c>
      <c r="F1028" s="25">
        <f t="shared" si="126"/>
        <v>2.8845522949378033E-2</v>
      </c>
      <c r="G1028" s="25">
        <f t="shared" si="123"/>
        <v>7.731106856713188E-2</v>
      </c>
      <c r="H1028" s="25">
        <f t="shared" si="120"/>
        <v>0.14636061604062522</v>
      </c>
      <c r="K1028" s="28">
        <v>43894</v>
      </c>
      <c r="L1028" s="23">
        <v>13915.97</v>
      </c>
      <c r="M1028" s="25">
        <f t="shared" ref="M1028:M1091" si="134">(L1028-L1027)/L1028</f>
        <v>-7.0911334244037815E-3</v>
      </c>
      <c r="O1028" t="b">
        <f t="shared" si="132"/>
        <v>1</v>
      </c>
      <c r="Q1028" s="25">
        <f t="shared" si="130"/>
        <v>3.6622284596486532E-2</v>
      </c>
      <c r="R1028" s="25">
        <f t="shared" si="127"/>
        <v>1.4094612201596801E-2</v>
      </c>
      <c r="S1028" s="25">
        <f t="shared" si="124"/>
        <v>7.446111650067655E-2</v>
      </c>
      <c r="T1028" s="25">
        <f t="shared" si="121"/>
        <v>0.11746637958327688</v>
      </c>
      <c r="X1028">
        <f t="shared" si="131"/>
        <v>1</v>
      </c>
      <c r="Y1028">
        <f t="shared" si="128"/>
        <v>1</v>
      </c>
      <c r="Z1028">
        <f t="shared" si="125"/>
        <v>1</v>
      </c>
      <c r="AA1028">
        <f t="shared" si="122"/>
        <v>1</v>
      </c>
    </row>
    <row r="1029" spans="1:27">
      <c r="A1029" s="27">
        <v>43895</v>
      </c>
      <c r="B1029" s="24">
        <v>786.78</v>
      </c>
      <c r="C1029" s="25">
        <f t="shared" si="133"/>
        <v>1.5912823189438978E-3</v>
      </c>
      <c r="E1029" s="25">
        <f t="shared" si="129"/>
        <v>6.7558582884435392E-2</v>
      </c>
      <c r="F1029" s="25">
        <f t="shared" si="126"/>
        <v>3.5795377861578714E-2</v>
      </c>
      <c r="G1029" s="25">
        <f t="shared" si="123"/>
        <v>7.8689771100141526E-2</v>
      </c>
      <c r="H1029" s="25">
        <f t="shared" si="120"/>
        <v>0.14391024332081082</v>
      </c>
      <c r="K1029" s="29">
        <v>43895</v>
      </c>
      <c r="L1029" s="24">
        <v>13950.63</v>
      </c>
      <c r="M1029" s="25">
        <f t="shared" si="134"/>
        <v>2.4844756114956713E-3</v>
      </c>
      <c r="O1029" t="b">
        <f t="shared" si="132"/>
        <v>1</v>
      </c>
      <c r="Q1029" s="25">
        <f t="shared" si="130"/>
        <v>2.3770210292719085E-2</v>
      </c>
      <c r="R1029" s="25">
        <f t="shared" si="127"/>
        <v>2.0303651459258942E-2</v>
      </c>
      <c r="S1029" s="25">
        <f t="shared" si="124"/>
        <v>7.5818350875039409E-2</v>
      </c>
      <c r="T1029" s="25">
        <f t="shared" si="121"/>
        <v>0.11675952392081324</v>
      </c>
      <c r="X1029">
        <f t="shared" si="131"/>
        <v>1</v>
      </c>
      <c r="Y1029">
        <f t="shared" si="128"/>
        <v>1</v>
      </c>
      <c r="Z1029">
        <f t="shared" si="125"/>
        <v>1</v>
      </c>
      <c r="AA1029">
        <f t="shared" si="122"/>
        <v>1</v>
      </c>
    </row>
    <row r="1030" spans="1:27">
      <c r="A1030" s="26">
        <v>43896</v>
      </c>
      <c r="B1030" s="23">
        <v>768.42</v>
      </c>
      <c r="C1030" s="25">
        <f t="shared" si="133"/>
        <v>-2.3335621139327405E-2</v>
      </c>
      <c r="E1030" s="25">
        <f t="shared" si="129"/>
        <v>3.6416605972323435E-2</v>
      </c>
      <c r="F1030" s="25">
        <f t="shared" si="126"/>
        <v>2.8587655504265674E-2</v>
      </c>
      <c r="G1030" s="25">
        <f t="shared" si="123"/>
        <v>7.2014539383319365E-2</v>
      </c>
      <c r="H1030" s="25">
        <f t="shared" si="120"/>
        <v>0.13821316157997487</v>
      </c>
      <c r="K1030" s="28">
        <v>43896</v>
      </c>
      <c r="L1030" s="23">
        <v>13620.11</v>
      </c>
      <c r="M1030" s="25">
        <f t="shared" si="134"/>
        <v>-2.426705804872344E-2</v>
      </c>
      <c r="O1030" t="b">
        <f t="shared" si="132"/>
        <v>1</v>
      </c>
      <c r="Q1030" s="25">
        <f t="shared" si="130"/>
        <v>-6.6391270164259941E-3</v>
      </c>
      <c r="R1030" s="25">
        <f t="shared" si="127"/>
        <v>1.3483261545541581E-2</v>
      </c>
      <c r="S1030" s="25">
        <f t="shared" si="124"/>
        <v>6.8374868254263532E-2</v>
      </c>
      <c r="T1030" s="25">
        <f t="shared" si="121"/>
        <v>0.11151041611134471</v>
      </c>
      <c r="X1030">
        <f t="shared" si="131"/>
        <v>1</v>
      </c>
      <c r="Y1030">
        <f t="shared" si="128"/>
        <v>1</v>
      </c>
      <c r="Z1030">
        <f t="shared" si="125"/>
        <v>1</v>
      </c>
      <c r="AA1030">
        <f t="shared" si="122"/>
        <v>1</v>
      </c>
    </row>
    <row r="1031" spans="1:27">
      <c r="A1031" s="27">
        <v>43899</v>
      </c>
      <c r="B1031" s="24">
        <v>735.62</v>
      </c>
      <c r="C1031" s="25">
        <f t="shared" si="133"/>
        <v>-4.2684989979438273E-2</v>
      </c>
      <c r="E1031" s="25">
        <f t="shared" si="129"/>
        <v>-5.475414711966109E-3</v>
      </c>
      <c r="F1031" s="25">
        <f t="shared" si="126"/>
        <v>1.0136851216682619E-2</v>
      </c>
      <c r="G1031" s="25">
        <f t="shared" si="123"/>
        <v>5.66183014113113E-2</v>
      </c>
      <c r="H1031" s="25">
        <f t="shared" si="120"/>
        <v>0.12482488218172327</v>
      </c>
      <c r="K1031" s="29">
        <v>43899</v>
      </c>
      <c r="L1031" s="24">
        <v>12976.16</v>
      </c>
      <c r="M1031" s="25">
        <f t="shared" si="134"/>
        <v>-4.962562113907356E-2</v>
      </c>
      <c r="O1031" t="b">
        <f t="shared" si="132"/>
        <v>1</v>
      </c>
      <c r="Q1031" s="25">
        <f t="shared" si="130"/>
        <v>-5.3082479176974173E-2</v>
      </c>
      <c r="R1031" s="25">
        <f t="shared" si="127"/>
        <v>-5.0838237074082304E-3</v>
      </c>
      <c r="S1031" s="25">
        <f t="shared" si="124"/>
        <v>5.1264959870813032E-2</v>
      </c>
      <c r="T1031" s="25">
        <f t="shared" si="121"/>
        <v>9.7453176368488048E-2</v>
      </c>
      <c r="X1031">
        <f t="shared" si="131"/>
        <v>1</v>
      </c>
      <c r="Y1031">
        <f t="shared" si="128"/>
        <v>1</v>
      </c>
      <c r="Z1031">
        <f t="shared" si="125"/>
        <v>1</v>
      </c>
      <c r="AA1031">
        <f t="shared" si="122"/>
        <v>1</v>
      </c>
    </row>
    <row r="1032" spans="1:27">
      <c r="A1032" s="26">
        <v>43901</v>
      </c>
      <c r="B1032" s="23">
        <v>731.54</v>
      </c>
      <c r="C1032" s="25">
        <f t="shared" si="133"/>
        <v>-5.5463418612871334E-3</v>
      </c>
      <c r="E1032" s="25">
        <f t="shared" si="129"/>
        <v>-7.6911599137289288E-3</v>
      </c>
      <c r="F1032" s="25">
        <f t="shared" si="126"/>
        <v>5.381180052585588E-3</v>
      </c>
      <c r="G1032" s="25">
        <f t="shared" si="123"/>
        <v>5.5536498713911309E-2</v>
      </c>
      <c r="H1032" s="25">
        <f t="shared" si="120"/>
        <v>0.12198839603067779</v>
      </c>
      <c r="K1032" s="28">
        <v>43901</v>
      </c>
      <c r="L1032" s="23">
        <v>12956.37</v>
      </c>
      <c r="M1032" s="25">
        <f t="shared" si="134"/>
        <v>-1.5274339957873273E-3</v>
      </c>
      <c r="O1032" t="b">
        <f t="shared" si="132"/>
        <v>1</v>
      </c>
      <c r="Q1032" s="25">
        <f t="shared" si="130"/>
        <v>-5.3061674942517234E-2</v>
      </c>
      <c r="R1032" s="25">
        <f t="shared" si="127"/>
        <v>-9.3771992879352339E-3</v>
      </c>
      <c r="S1032" s="25">
        <f t="shared" si="124"/>
        <v>5.0688867870314347E-2</v>
      </c>
      <c r="T1032" s="25">
        <f t="shared" si="121"/>
        <v>9.5802413338769821E-2</v>
      </c>
      <c r="X1032">
        <f t="shared" si="131"/>
        <v>1</v>
      </c>
      <c r="Y1032">
        <f t="shared" si="128"/>
        <v>1</v>
      </c>
      <c r="Z1032">
        <f t="shared" si="125"/>
        <v>1</v>
      </c>
      <c r="AA1032">
        <f t="shared" si="122"/>
        <v>1</v>
      </c>
    </row>
    <row r="1033" spans="1:27">
      <c r="A1033" s="27">
        <v>43902</v>
      </c>
      <c r="B1033" s="24">
        <v>672.73</v>
      </c>
      <c r="C1033" s="25">
        <f t="shared" si="133"/>
        <v>-8.0392049648686265E-2</v>
      </c>
      <c r="E1033" s="25">
        <f t="shared" si="129"/>
        <v>-9.9725660756105672E-2</v>
      </c>
      <c r="F1033" s="25">
        <f t="shared" si="126"/>
        <v>-3.4388943515706982E-2</v>
      </c>
      <c r="G1033" s="25">
        <f t="shared" si="123"/>
        <v>2.1645688370628857E-2</v>
      </c>
      <c r="H1033" s="25">
        <f t="shared" si="120"/>
        <v>0.10080563979579638</v>
      </c>
      <c r="K1033" s="29">
        <v>43902</v>
      </c>
      <c r="L1033" s="24">
        <v>11879.72</v>
      </c>
      <c r="M1033" s="25">
        <f t="shared" si="134"/>
        <v>-9.0629240419808008E-2</v>
      </c>
      <c r="O1033" t="b">
        <f t="shared" si="132"/>
        <v>1</v>
      </c>
      <c r="Q1033" s="25">
        <f t="shared" si="130"/>
        <v>-0.14424926272599048</v>
      </c>
      <c r="R1033" s="25">
        <f t="shared" si="127"/>
        <v>-5.0674276161606135E-2</v>
      </c>
      <c r="S1033" s="25">
        <f t="shared" si="124"/>
        <v>1.5128331715077437E-2</v>
      </c>
      <c r="T1033" s="25">
        <f t="shared" si="121"/>
        <v>7.4867430246032374E-2</v>
      </c>
      <c r="X1033">
        <f t="shared" si="131"/>
        <v>1</v>
      </c>
      <c r="Y1033">
        <f t="shared" si="128"/>
        <v>1</v>
      </c>
      <c r="Z1033">
        <f t="shared" si="125"/>
        <v>1</v>
      </c>
      <c r="AA1033">
        <f t="shared" si="122"/>
        <v>1</v>
      </c>
    </row>
    <row r="1034" spans="1:27">
      <c r="A1034" s="26">
        <v>43903</v>
      </c>
      <c r="B1034" s="23">
        <v>697.35</v>
      </c>
      <c r="C1034" s="25">
        <f t="shared" si="133"/>
        <v>3.6597148930477316E-2</v>
      </c>
      <c r="E1034" s="25">
        <f t="shared" si="129"/>
        <v>-7.7103267558661148E-2</v>
      </c>
      <c r="F1034" s="25">
        <f t="shared" si="126"/>
        <v>-2.5444936160160969E-2</v>
      </c>
      <c r="G1034" s="25">
        <f t="shared" si="123"/>
        <v>3.1707878308602666E-2</v>
      </c>
      <c r="H1034" s="25">
        <f t="shared" si="120"/>
        <v>0.1104269272175924</v>
      </c>
      <c r="K1034" s="28">
        <v>43903</v>
      </c>
      <c r="L1034" s="23">
        <v>12273.36</v>
      </c>
      <c r="M1034" s="25">
        <f t="shared" si="134"/>
        <v>3.207271684363542E-2</v>
      </c>
      <c r="O1034" t="b">
        <f t="shared" si="132"/>
        <v>1</v>
      </c>
      <c r="Q1034" s="25">
        <f t="shared" si="130"/>
        <v>-0.12481112290862517</v>
      </c>
      <c r="R1034" s="25">
        <f t="shared" si="127"/>
        <v>-4.2259176222944506E-2</v>
      </c>
      <c r="S1034" s="25">
        <f t="shared" si="124"/>
        <v>2.538806227953172E-2</v>
      </c>
      <c r="T1034" s="25">
        <f t="shared" si="121"/>
        <v>8.2915703395945561E-2</v>
      </c>
      <c r="X1034">
        <f t="shared" si="131"/>
        <v>1</v>
      </c>
      <c r="Y1034">
        <f t="shared" si="128"/>
        <v>1</v>
      </c>
      <c r="Z1034">
        <f t="shared" si="125"/>
        <v>1</v>
      </c>
      <c r="AA1034">
        <f t="shared" si="122"/>
        <v>1</v>
      </c>
    </row>
    <row r="1035" spans="1:27">
      <c r="A1035" s="27">
        <v>43906</v>
      </c>
      <c r="B1035" s="24">
        <v>648.69000000000005</v>
      </c>
      <c r="C1035" s="25">
        <f t="shared" si="133"/>
        <v>-6.9778446977844646E-2</v>
      </c>
      <c r="E1035" s="25">
        <f t="shared" si="129"/>
        <v>-0.14298736986735705</v>
      </c>
      <c r="F1035" s="25">
        <f t="shared" si="126"/>
        <v>-6.1854658720248867E-2</v>
      </c>
      <c r="G1035" s="25">
        <f t="shared" si="123"/>
        <v>3.5188417073523937E-3</v>
      </c>
      <c r="H1035" s="25">
        <f t="shared" si="120"/>
        <v>8.9442340585604407E-2</v>
      </c>
      <c r="K1035" s="29">
        <v>43906</v>
      </c>
      <c r="L1035" s="24">
        <v>11418.58</v>
      </c>
      <c r="M1035" s="25">
        <f t="shared" si="134"/>
        <v>-7.4858695214291157E-2</v>
      </c>
      <c r="O1035" t="b">
        <f t="shared" si="132"/>
        <v>1</v>
      </c>
      <c r="Q1035" s="25">
        <f t="shared" si="130"/>
        <v>-0.1866187125180131</v>
      </c>
      <c r="R1035" s="25">
        <f t="shared" si="127"/>
        <v>-7.8086951738912891E-2</v>
      </c>
      <c r="S1035" s="25">
        <f t="shared" si="124"/>
        <v>-2.1888465041360883E-3</v>
      </c>
      <c r="T1035" s="25">
        <f t="shared" si="121"/>
        <v>6.2664878265108026E-2</v>
      </c>
      <c r="X1035">
        <f t="shared" si="131"/>
        <v>1</v>
      </c>
      <c r="Y1035">
        <f t="shared" si="128"/>
        <v>1</v>
      </c>
      <c r="Z1035">
        <f t="shared" si="125"/>
        <v>1</v>
      </c>
      <c r="AA1035">
        <f t="shared" si="122"/>
        <v>1</v>
      </c>
    </row>
    <row r="1036" spans="1:27">
      <c r="A1036" s="26">
        <v>43907</v>
      </c>
      <c r="B1036" s="23">
        <v>629.85</v>
      </c>
      <c r="C1036" s="25">
        <f t="shared" si="133"/>
        <v>-2.9043148499283217E-2</v>
      </c>
      <c r="E1036" s="25">
        <f t="shared" si="129"/>
        <v>-0.16778975741239888</v>
      </c>
      <c r="F1036" s="25">
        <f t="shared" si="126"/>
        <v>-7.6323742673600758E-2</v>
      </c>
      <c r="G1036" s="25">
        <f t="shared" si="123"/>
        <v>-5.8063293868410026E-3</v>
      </c>
      <c r="H1036" s="25">
        <f t="shared" si="120"/>
        <v>7.8644550606982611E-2</v>
      </c>
      <c r="K1036" s="28">
        <v>43907</v>
      </c>
      <c r="L1036" s="23">
        <v>11157.03</v>
      </c>
      <c r="M1036" s="25">
        <f t="shared" si="134"/>
        <v>-2.3442618689740843E-2</v>
      </c>
      <c r="O1036" t="b">
        <f t="shared" si="132"/>
        <v>1</v>
      </c>
      <c r="Q1036" s="25">
        <f t="shared" si="130"/>
        <v>-0.20516537815988123</v>
      </c>
      <c r="R1036" s="25">
        <f t="shared" si="127"/>
        <v>-8.8389012131641853E-2</v>
      </c>
      <c r="S1036" s="25">
        <f t="shared" si="124"/>
        <v>-1.0056290508848043E-2</v>
      </c>
      <c r="T1036" s="25">
        <f t="shared" si="121"/>
        <v>5.3695895198411892E-2</v>
      </c>
      <c r="X1036">
        <f t="shared" si="131"/>
        <v>1</v>
      </c>
      <c r="Y1036">
        <f t="shared" si="128"/>
        <v>1</v>
      </c>
      <c r="Z1036">
        <f t="shared" si="125"/>
        <v>1</v>
      </c>
      <c r="AA1036">
        <f t="shared" si="122"/>
        <v>1</v>
      </c>
    </row>
    <row r="1037" spans="1:27">
      <c r="A1037" s="27">
        <v>43908</v>
      </c>
      <c r="B1037" s="24">
        <v>596.86</v>
      </c>
      <c r="C1037" s="25">
        <f t="shared" si="133"/>
        <v>-5.2377550210367559E-2</v>
      </c>
      <c r="E1037" s="25">
        <f t="shared" si="129"/>
        <v>-0.21582384086818285</v>
      </c>
      <c r="F1037" s="25">
        <f t="shared" si="126"/>
        <v>-9.9808059447852093E-2</v>
      </c>
      <c r="G1037" s="25">
        <f t="shared" si="123"/>
        <v>-2.2937413242897109E-2</v>
      </c>
      <c r="H1037" s="25">
        <f t="shared" si="120"/>
        <v>6.1022071743862538E-2</v>
      </c>
      <c r="K1037" s="29">
        <v>43908</v>
      </c>
      <c r="L1037" s="24">
        <v>10545.38</v>
      </c>
      <c r="M1037" s="25">
        <f t="shared" si="134"/>
        <v>-5.8001703115487684E-2</v>
      </c>
      <c r="O1037" t="b">
        <f t="shared" si="132"/>
        <v>1</v>
      </c>
      <c r="Q1037" s="25">
        <f t="shared" si="130"/>
        <v>-0.25293360877093063</v>
      </c>
      <c r="R1037" s="25">
        <f t="shared" si="127"/>
        <v>-0.11287455132055535</v>
      </c>
      <c r="S1037" s="25">
        <f t="shared" si="124"/>
        <v>-2.7894636234034542E-2</v>
      </c>
      <c r="T1037" s="25">
        <f t="shared" si="121"/>
        <v>3.549020659802693E-2</v>
      </c>
      <c r="X1037">
        <f t="shared" si="131"/>
        <v>1</v>
      </c>
      <c r="Y1037">
        <f t="shared" si="128"/>
        <v>1</v>
      </c>
      <c r="Z1037">
        <f t="shared" si="125"/>
        <v>1</v>
      </c>
      <c r="AA1037">
        <f t="shared" si="122"/>
        <v>1</v>
      </c>
    </row>
    <row r="1038" spans="1:27">
      <c r="A1038" s="26">
        <v>43909</v>
      </c>
      <c r="B1038" s="23">
        <v>580.97</v>
      </c>
      <c r="C1038" s="25">
        <f t="shared" si="133"/>
        <v>-2.6622658579901461E-2</v>
      </c>
      <c r="E1038" s="25">
        <f t="shared" si="129"/>
        <v>-0.23692125829119326</v>
      </c>
      <c r="F1038" s="25">
        <f t="shared" si="126"/>
        <v>-0.10640146863506239</v>
      </c>
      <c r="G1038" s="25">
        <f t="shared" si="123"/>
        <v>-3.0948614451207002E-2</v>
      </c>
      <c r="H1038" s="25">
        <f t="shared" si="120"/>
        <v>5.3363421467772065E-2</v>
      </c>
      <c r="K1038" s="28">
        <v>43909</v>
      </c>
      <c r="L1038" s="23">
        <v>10243.870000000001</v>
      </c>
      <c r="M1038" s="25">
        <f t="shared" si="134"/>
        <v>-2.9433212252791024E-2</v>
      </c>
      <c r="O1038" t="b">
        <f t="shared" si="132"/>
        <v>1</v>
      </c>
      <c r="Q1038" s="25">
        <f t="shared" si="130"/>
        <v>-0.27561337459268642</v>
      </c>
      <c r="R1038" s="25">
        <f t="shared" si="127"/>
        <v>-0.11954468625389292</v>
      </c>
      <c r="S1038" s="25">
        <f t="shared" si="124"/>
        <v>-3.686969017685493E-2</v>
      </c>
      <c r="T1038" s="25">
        <f t="shared" si="121"/>
        <v>2.750975889384355E-2</v>
      </c>
      <c r="X1038">
        <f t="shared" si="131"/>
        <v>1</v>
      </c>
      <c r="Y1038">
        <f t="shared" si="128"/>
        <v>1</v>
      </c>
      <c r="Z1038">
        <f t="shared" si="125"/>
        <v>1</v>
      </c>
      <c r="AA1038">
        <f t="shared" si="122"/>
        <v>1</v>
      </c>
    </row>
    <row r="1039" spans="1:27">
      <c r="A1039" s="27">
        <v>43910</v>
      </c>
      <c r="B1039" s="24">
        <v>605.54999999999995</v>
      </c>
      <c r="C1039" s="25">
        <f t="shared" si="133"/>
        <v>4.2308552937328825E-2</v>
      </c>
      <c r="E1039" s="25">
        <f t="shared" si="129"/>
        <v>-0.20935121231508447</v>
      </c>
      <c r="F1039" s="25">
        <f t="shared" si="126"/>
        <v>-8.1198783462989144E-2</v>
      </c>
      <c r="G1039" s="25">
        <f t="shared" si="123"/>
        <v>-1.484545889439548E-2</v>
      </c>
      <c r="H1039" s="25">
        <f t="shared" si="120"/>
        <v>6.3724356171901197E-2</v>
      </c>
      <c r="K1039" s="29">
        <v>43910</v>
      </c>
      <c r="L1039" s="24">
        <v>10774.99</v>
      </c>
      <c r="M1039" s="25">
        <f t="shared" si="134"/>
        <v>4.9291925096914151E-2</v>
      </c>
      <c r="O1039" t="b">
        <f t="shared" si="132"/>
        <v>1</v>
      </c>
      <c r="Q1039" s="25">
        <f t="shared" si="130"/>
        <v>-0.24231946794252457</v>
      </c>
      <c r="R1039" s="25">
        <f t="shared" si="127"/>
        <v>-9.1435498990275921E-2</v>
      </c>
      <c r="S1039" s="25">
        <f t="shared" si="124"/>
        <v>-1.7218519986813452E-2</v>
      </c>
      <c r="T1039" s="25">
        <f t="shared" si="121"/>
        <v>4.0355606561223167E-2</v>
      </c>
      <c r="X1039">
        <f t="shared" si="131"/>
        <v>1</v>
      </c>
      <c r="Y1039">
        <f t="shared" si="128"/>
        <v>1</v>
      </c>
      <c r="Z1039">
        <f t="shared" si="125"/>
        <v>1</v>
      </c>
      <c r="AA1039">
        <f t="shared" si="122"/>
        <v>1</v>
      </c>
    </row>
    <row r="1040" spans="1:27">
      <c r="A1040" s="26">
        <v>43913</v>
      </c>
      <c r="B1040" s="23">
        <v>520.29</v>
      </c>
      <c r="C1040" s="25">
        <f t="shared" si="133"/>
        <v>-0.14079762199653206</v>
      </c>
      <c r="E1040" s="25">
        <f t="shared" si="129"/>
        <v>-0.31846583094274372</v>
      </c>
      <c r="F1040" s="25">
        <f t="shared" si="126"/>
        <v>-0.1500504157125655</v>
      </c>
      <c r="G1040" s="25">
        <f t="shared" si="123"/>
        <v>-6.6056248699342124E-2</v>
      </c>
      <c r="H1040" s="25">
        <f t="shared" si="120"/>
        <v>2.7058227691739933E-2</v>
      </c>
      <c r="K1040" s="28">
        <v>43913</v>
      </c>
      <c r="L1040" s="23">
        <v>9400.9599999999991</v>
      </c>
      <c r="M1040" s="25">
        <f t="shared" si="134"/>
        <v>-0.14615847743209212</v>
      </c>
      <c r="O1040" t="b">
        <f t="shared" si="132"/>
        <v>1</v>
      </c>
      <c r="Q1040" s="25">
        <f t="shared" si="130"/>
        <v>-0.33775955941556912</v>
      </c>
      <c r="R1040" s="25">
        <f t="shared" si="127"/>
        <v>-0.15287667075431866</v>
      </c>
      <c r="S1040" s="25">
        <f t="shared" si="124"/>
        <v>-6.3124108678065727E-2</v>
      </c>
      <c r="T1040" s="25">
        <f t="shared" si="121"/>
        <v>8.9812359229641814E-3</v>
      </c>
      <c r="X1040">
        <f t="shared" si="131"/>
        <v>1</v>
      </c>
      <c r="Y1040">
        <f t="shared" si="128"/>
        <v>1</v>
      </c>
      <c r="Z1040">
        <f t="shared" si="125"/>
        <v>0</v>
      </c>
      <c r="AA1040">
        <f t="shared" si="122"/>
        <v>1</v>
      </c>
    </row>
    <row r="1041" spans="1:27">
      <c r="A1041" s="27">
        <v>43914</v>
      </c>
      <c r="B1041" s="24">
        <v>532.63</v>
      </c>
      <c r="C1041" s="25">
        <f t="shared" si="133"/>
        <v>2.3717542139960468E-2</v>
      </c>
      <c r="E1041" s="25">
        <f t="shared" si="129"/>
        <v>-0.29872814409100479</v>
      </c>
      <c r="F1041" s="25">
        <f t="shared" si="126"/>
        <v>-0.14050734837216661</v>
      </c>
      <c r="G1041" s="25">
        <f t="shared" si="123"/>
        <v>-5.8789192047464689E-2</v>
      </c>
      <c r="H1041" s="25">
        <f t="shared" si="120"/>
        <v>3.3100149455274064E-2</v>
      </c>
      <c r="K1041" s="29">
        <v>43914</v>
      </c>
      <c r="L1041" s="24">
        <v>9588.01</v>
      </c>
      <c r="M1041" s="25">
        <f t="shared" si="134"/>
        <v>1.9508740604150504E-2</v>
      </c>
      <c r="O1041" t="b">
        <f t="shared" si="132"/>
        <v>1</v>
      </c>
      <c r="Q1041" s="25">
        <f t="shared" si="130"/>
        <v>-0.32096967808415633</v>
      </c>
      <c r="R1041" s="25">
        <f t="shared" si="127"/>
        <v>-0.14586132765033888</v>
      </c>
      <c r="S1041" s="25">
        <f t="shared" si="124"/>
        <v>-5.7824290275476753E-2</v>
      </c>
      <c r="T1041" s="25">
        <f t="shared" si="121"/>
        <v>1.4430356550655166E-2</v>
      </c>
      <c r="X1041">
        <f t="shared" si="131"/>
        <v>1</v>
      </c>
      <c r="Y1041">
        <f t="shared" si="128"/>
        <v>1</v>
      </c>
      <c r="Z1041">
        <f t="shared" si="125"/>
        <v>0</v>
      </c>
      <c r="AA1041">
        <f t="shared" si="122"/>
        <v>1</v>
      </c>
    </row>
    <row r="1042" spans="1:27">
      <c r="A1042" s="26">
        <v>43915</v>
      </c>
      <c r="B1042" s="23">
        <v>563.24</v>
      </c>
      <c r="C1042" s="25">
        <f t="shared" si="133"/>
        <v>5.7469537953175776E-2</v>
      </c>
      <c r="E1042" s="25">
        <f t="shared" si="129"/>
        <v>-0.25150830564784055</v>
      </c>
      <c r="F1042" s="25">
        <f t="shared" si="126"/>
        <v>-0.11405751235431172</v>
      </c>
      <c r="G1042" s="25">
        <f t="shared" si="123"/>
        <v>-3.9728772247047073E-2</v>
      </c>
      <c r="H1042" s="25">
        <f t="shared" si="120"/>
        <v>4.3501584809950478E-2</v>
      </c>
      <c r="K1042" s="28">
        <v>43915</v>
      </c>
      <c r="L1042" s="23">
        <v>10128.06</v>
      </c>
      <c r="M1042" s="25">
        <f t="shared" si="134"/>
        <v>5.3322156464317878E-2</v>
      </c>
      <c r="O1042" t="b">
        <f t="shared" si="132"/>
        <v>1</v>
      </c>
      <c r="Q1042" s="25">
        <f t="shared" si="130"/>
        <v>-0.27598482779721412</v>
      </c>
      <c r="R1042" s="25">
        <f t="shared" si="127"/>
        <v>-0.11996265831845232</v>
      </c>
      <c r="S1042" s="25">
        <f t="shared" si="124"/>
        <v>-3.8843281634517113E-2</v>
      </c>
      <c r="T1042" s="25">
        <f t="shared" si="121"/>
        <v>2.3823235846043955E-2</v>
      </c>
      <c r="X1042">
        <f t="shared" si="131"/>
        <v>1</v>
      </c>
      <c r="Y1042">
        <f t="shared" si="128"/>
        <v>1</v>
      </c>
      <c r="Z1042">
        <f t="shared" si="125"/>
        <v>0</v>
      </c>
      <c r="AA1042">
        <f t="shared" si="122"/>
        <v>1</v>
      </c>
    </row>
    <row r="1043" spans="1:27">
      <c r="A1043" s="27">
        <v>43916</v>
      </c>
      <c r="B1043" s="24">
        <v>584.95000000000005</v>
      </c>
      <c r="C1043" s="25">
        <f t="shared" si="133"/>
        <v>3.8544847667069164E-2</v>
      </c>
      <c r="E1043" s="25">
        <f t="shared" si="129"/>
        <v>-0.23039983159445843</v>
      </c>
      <c r="F1043" s="25">
        <f t="shared" si="126"/>
        <v>-9.1807165477034269E-2</v>
      </c>
      <c r="G1043" s="25">
        <f t="shared" si="123"/>
        <v>-2.9843769395453412E-2</v>
      </c>
      <c r="H1043" s="25">
        <f t="shared" si="120"/>
        <v>5.2722972220063058E-2</v>
      </c>
      <c r="K1043" s="29">
        <v>43916</v>
      </c>
      <c r="L1043" s="24">
        <v>10535.69</v>
      </c>
      <c r="M1043" s="25">
        <f t="shared" si="134"/>
        <v>3.8690394269383498E-2</v>
      </c>
      <c r="O1043" t="b">
        <f t="shared" si="132"/>
        <v>1</v>
      </c>
      <c r="Q1043" s="25">
        <f t="shared" si="130"/>
        <v>-0.25483951277405037</v>
      </c>
      <c r="R1043" s="25">
        <f t="shared" si="127"/>
        <v>-9.7192379596590772E-2</v>
      </c>
      <c r="S1043" s="25">
        <f t="shared" si="124"/>
        <v>-2.804146186112455E-2</v>
      </c>
      <c r="T1043" s="25">
        <f t="shared" si="121"/>
        <v>3.3352972582557427E-2</v>
      </c>
      <c r="X1043">
        <f t="shared" si="131"/>
        <v>1</v>
      </c>
      <c r="Y1043">
        <f t="shared" si="128"/>
        <v>1</v>
      </c>
      <c r="Z1043">
        <f t="shared" si="125"/>
        <v>0</v>
      </c>
      <c r="AA1043">
        <f t="shared" si="122"/>
        <v>1</v>
      </c>
    </row>
    <row r="1044" spans="1:27">
      <c r="A1044" s="26">
        <v>43917</v>
      </c>
      <c r="B1044" s="23">
        <v>580.09</v>
      </c>
      <c r="C1044" s="25">
        <f t="shared" si="133"/>
        <v>-8.308402427557933E-3</v>
      </c>
      <c r="E1044" s="25">
        <f t="shared" si="129"/>
        <v>-0.23856715320802269</v>
      </c>
      <c r="F1044" s="25">
        <f t="shared" si="126"/>
        <v>-0.10254623095821536</v>
      </c>
      <c r="G1044" s="25">
        <f t="shared" si="123"/>
        <v>-3.4373542644084099E-2</v>
      </c>
      <c r="H1044" s="25">
        <f t="shared" si="120"/>
        <v>5.0590180202505719E-2</v>
      </c>
      <c r="K1044" s="28">
        <v>43917</v>
      </c>
      <c r="L1044" s="23">
        <v>10550.2</v>
      </c>
      <c r="M1044" s="25">
        <f t="shared" si="134"/>
        <v>1.3753293776421506E-3</v>
      </c>
      <c r="O1044" t="b">
        <f t="shared" si="132"/>
        <v>1</v>
      </c>
      <c r="Q1044" s="25">
        <f t="shared" si="130"/>
        <v>-0.25301390783853228</v>
      </c>
      <c r="R1044" s="25">
        <f t="shared" si="127"/>
        <v>-0.10234880939773783</v>
      </c>
      <c r="S1044" s="25">
        <f t="shared" si="124"/>
        <v>-2.9000183862550433E-2</v>
      </c>
      <c r="T1044" s="25">
        <f t="shared" si="121"/>
        <v>3.3976690931026843E-2</v>
      </c>
      <c r="X1044">
        <f t="shared" si="131"/>
        <v>1</v>
      </c>
      <c r="Y1044">
        <f t="shared" si="128"/>
        <v>0</v>
      </c>
      <c r="Z1044">
        <f t="shared" si="125"/>
        <v>0</v>
      </c>
      <c r="AA1044">
        <f t="shared" si="122"/>
        <v>1</v>
      </c>
    </row>
    <row r="1045" spans="1:27">
      <c r="A1045" s="27">
        <v>43920</v>
      </c>
      <c r="B1045" s="24">
        <v>558.89</v>
      </c>
      <c r="C1045" s="25">
        <f t="shared" si="133"/>
        <v>-3.6546053198641668E-2</v>
      </c>
      <c r="E1045" s="25">
        <f t="shared" si="129"/>
        <v>-0.27176660672868946</v>
      </c>
      <c r="F1045" s="25">
        <f t="shared" si="126"/>
        <v>-0.12344432373858349</v>
      </c>
      <c r="G1045" s="25">
        <f t="shared" si="123"/>
        <v>-4.7444775935247541E-2</v>
      </c>
      <c r="H1045" s="25">
        <f t="shared" si="120"/>
        <v>3.9321647548421046E-2</v>
      </c>
      <c r="K1045" s="29">
        <v>43920</v>
      </c>
      <c r="L1045" s="24">
        <v>10167.459999999999</v>
      </c>
      <c r="M1045" s="25">
        <f t="shared" si="134"/>
        <v>-3.7643619940476936E-2</v>
      </c>
      <c r="O1045" t="b">
        <f t="shared" si="132"/>
        <v>1</v>
      </c>
      <c r="Q1045" s="25">
        <f t="shared" si="130"/>
        <v>-0.28763332186629254</v>
      </c>
      <c r="R1045" s="25">
        <f t="shared" si="127"/>
        <v>-0.12195168546872204</v>
      </c>
      <c r="S1045" s="25">
        <f t="shared" si="124"/>
        <v>-4.2186615383748793E-2</v>
      </c>
      <c r="T1045" s="25">
        <f t="shared" si="121"/>
        <v>2.3116605011704872E-2</v>
      </c>
      <c r="X1045">
        <f t="shared" si="131"/>
        <v>1</v>
      </c>
      <c r="Y1045">
        <f t="shared" si="128"/>
        <v>0</v>
      </c>
      <c r="Z1045">
        <f t="shared" si="125"/>
        <v>0</v>
      </c>
      <c r="AA1045">
        <f t="shared" si="122"/>
        <v>1</v>
      </c>
    </row>
    <row r="1046" spans="1:27">
      <c r="A1046" s="26">
        <v>43921</v>
      </c>
      <c r="B1046" s="23">
        <v>575.42999999999995</v>
      </c>
      <c r="C1046" s="25">
        <f t="shared" si="133"/>
        <v>2.9594374563867602E-2</v>
      </c>
      <c r="E1046" s="25">
        <f t="shared" si="129"/>
        <v>-0.25679044236357773</v>
      </c>
      <c r="F1046" s="25">
        <f t="shared" si="126"/>
        <v>-0.10721125776745388</v>
      </c>
      <c r="G1046" s="25">
        <f t="shared" si="123"/>
        <v>-3.9291742242576366E-2</v>
      </c>
      <c r="H1046" s="25">
        <f t="shared" si="120"/>
        <v>5.126118757166509E-2</v>
      </c>
      <c r="K1046" s="28">
        <v>43921</v>
      </c>
      <c r="L1046" s="23">
        <v>10540.43</v>
      </c>
      <c r="M1046" s="25">
        <f t="shared" si="134"/>
        <v>3.5384704419079788E-2</v>
      </c>
      <c r="O1046" t="b">
        <f t="shared" si="132"/>
        <v>1</v>
      </c>
      <c r="Q1046" s="25">
        <f t="shared" si="130"/>
        <v>-0.26622131226857149</v>
      </c>
      <c r="R1046" s="25">
        <f t="shared" si="127"/>
        <v>-0.1026888082789611</v>
      </c>
      <c r="S1046" s="25">
        <f t="shared" si="124"/>
        <v>-3.1386996698369751E-2</v>
      </c>
      <c r="T1046" s="25">
        <f t="shared" si="121"/>
        <v>3.726068434346419E-2</v>
      </c>
      <c r="X1046">
        <f t="shared" si="131"/>
        <v>1</v>
      </c>
      <c r="Y1046">
        <f t="shared" si="128"/>
        <v>0</v>
      </c>
      <c r="Z1046">
        <f t="shared" si="125"/>
        <v>0</v>
      </c>
      <c r="AA1046">
        <f t="shared" si="122"/>
        <v>1</v>
      </c>
    </row>
    <row r="1047" spans="1:27">
      <c r="A1047" s="27">
        <v>43922</v>
      </c>
      <c r="B1047" s="24">
        <v>556.23</v>
      </c>
      <c r="C1047" s="25">
        <f t="shared" si="133"/>
        <v>-3.3366352119284591E-2</v>
      </c>
      <c r="E1047" s="25">
        <f t="shared" si="129"/>
        <v>-0.284453592332926</v>
      </c>
      <c r="F1047" s="25">
        <f t="shared" si="126"/>
        <v>-0.12728868399803384</v>
      </c>
      <c r="G1047" s="25">
        <f t="shared" si="123"/>
        <v>-5.0872458500981765E-2</v>
      </c>
      <c r="H1047" s="25">
        <f t="shared" si="120"/>
        <v>4.1574101754688009E-2</v>
      </c>
      <c r="K1047" s="29">
        <v>43922</v>
      </c>
      <c r="L1047" s="24">
        <v>10186.74</v>
      </c>
      <c r="M1047" s="25">
        <f t="shared" si="134"/>
        <v>-3.472062701119303E-2</v>
      </c>
      <c r="O1047" t="b">
        <f t="shared" si="132"/>
        <v>1</v>
      </c>
      <c r="Q1047" s="25">
        <f t="shared" si="130"/>
        <v>-0.29364164174436902</v>
      </c>
      <c r="R1047" s="25">
        <f t="shared" si="127"/>
        <v>-0.12333835872074883</v>
      </c>
      <c r="S1047" s="25">
        <f t="shared" si="124"/>
        <v>-4.4654352181699997E-2</v>
      </c>
      <c r="T1047" s="25">
        <f t="shared" si="121"/>
        <v>2.7651385497304837E-2</v>
      </c>
      <c r="X1047">
        <f t="shared" si="131"/>
        <v>1</v>
      </c>
      <c r="Y1047">
        <f t="shared" si="128"/>
        <v>0</v>
      </c>
      <c r="Z1047">
        <f t="shared" si="125"/>
        <v>0</v>
      </c>
      <c r="AA1047">
        <f t="shared" si="122"/>
        <v>1</v>
      </c>
    </row>
    <row r="1048" spans="1:27">
      <c r="A1048" s="26">
        <v>43924</v>
      </c>
      <c r="B1048" s="23">
        <v>546.13</v>
      </c>
      <c r="C1048" s="25">
        <f t="shared" si="133"/>
        <v>-1.8157956241123315E-2</v>
      </c>
      <c r="E1048" s="25">
        <f t="shared" si="129"/>
        <v>-0.29920441421788779</v>
      </c>
      <c r="F1048" s="25">
        <f t="shared" si="126"/>
        <v>-0.13770070757933361</v>
      </c>
      <c r="G1048" s="25">
        <f t="shared" si="123"/>
        <v>-5.7843207009640296E-2</v>
      </c>
      <c r="H1048" s="25">
        <f t="shared" ref="H1048:H1111" si="135">((B1048/B67)^(1/4))-1</f>
        <v>3.7951782054788552E-2</v>
      </c>
      <c r="K1048" s="28">
        <v>43924</v>
      </c>
      <c r="L1048" s="23">
        <v>10000.86</v>
      </c>
      <c r="M1048" s="25">
        <f t="shared" si="134"/>
        <v>-1.8586401569464946E-2</v>
      </c>
      <c r="O1048" t="b">
        <f t="shared" si="132"/>
        <v>1</v>
      </c>
      <c r="Q1048" s="25">
        <f t="shared" si="130"/>
        <v>-0.30787405498329345</v>
      </c>
      <c r="R1048" s="25">
        <f t="shared" si="127"/>
        <v>-0.13383005447528373</v>
      </c>
      <c r="S1048" s="25">
        <f t="shared" si="124"/>
        <v>-5.214255924117106E-2</v>
      </c>
      <c r="T1048" s="25">
        <f t="shared" ref="T1048:T1111" si="136">((L1048/L67)^(1/4))-1</f>
        <v>2.4872641674156926E-2</v>
      </c>
      <c r="X1048">
        <f t="shared" si="131"/>
        <v>1</v>
      </c>
      <c r="Y1048">
        <f t="shared" si="128"/>
        <v>0</v>
      </c>
      <c r="Z1048">
        <f t="shared" si="125"/>
        <v>0</v>
      </c>
      <c r="AA1048">
        <f t="shared" ref="AA1048:AA1111" si="137">IF(H1048&gt;T1048,1,0)</f>
        <v>1</v>
      </c>
    </row>
    <row r="1049" spans="1:27">
      <c r="A1049" s="27">
        <v>43928</v>
      </c>
      <c r="B1049" s="24">
        <v>590.45000000000005</v>
      </c>
      <c r="C1049" s="25">
        <f t="shared" si="133"/>
        <v>8.1152839067621357E-2</v>
      </c>
      <c r="E1049" s="25">
        <f t="shared" si="129"/>
        <v>-0.23740087309172619</v>
      </c>
      <c r="F1049" s="25">
        <f t="shared" si="126"/>
        <v>-9.8266108992940193E-2</v>
      </c>
      <c r="G1049" s="25">
        <f t="shared" si="123"/>
        <v>-3.2888536714522409E-2</v>
      </c>
      <c r="H1049" s="25">
        <f t="shared" si="135"/>
        <v>5.7013408659328579E-2</v>
      </c>
      <c r="K1049" s="29">
        <v>43928</v>
      </c>
      <c r="L1049" s="24">
        <v>10770.05</v>
      </c>
      <c r="M1049" s="25">
        <f t="shared" si="134"/>
        <v>7.1419352742094863E-2</v>
      </c>
      <c r="O1049" t="b">
        <f t="shared" si="132"/>
        <v>1</v>
      </c>
      <c r="Q1049" s="25">
        <f t="shared" si="130"/>
        <v>-0.249828826638824</v>
      </c>
      <c r="R1049" s="25">
        <f t="shared" si="127"/>
        <v>-9.6184754562432695E-2</v>
      </c>
      <c r="S1049" s="25">
        <f t="shared" si="124"/>
        <v>-2.8320695146743624E-2</v>
      </c>
      <c r="T1049" s="25">
        <f t="shared" si="136"/>
        <v>4.3341205547191786E-2</v>
      </c>
      <c r="X1049">
        <f t="shared" si="131"/>
        <v>1</v>
      </c>
      <c r="Y1049">
        <f t="shared" si="128"/>
        <v>0</v>
      </c>
      <c r="Z1049">
        <f t="shared" si="125"/>
        <v>0</v>
      </c>
      <c r="AA1049">
        <f t="shared" si="137"/>
        <v>1</v>
      </c>
    </row>
    <row r="1050" spans="1:27">
      <c r="A1050" s="26">
        <v>43929</v>
      </c>
      <c r="B1050" s="23">
        <v>593.26</v>
      </c>
      <c r="C1050" s="25">
        <f t="shared" si="133"/>
        <v>4.7590820560588455E-3</v>
      </c>
      <c r="E1050" s="25">
        <f t="shared" si="129"/>
        <v>-0.23385076323062226</v>
      </c>
      <c r="F1050" s="25">
        <f t="shared" si="126"/>
        <v>-0.10492381472431611</v>
      </c>
      <c r="G1050" s="25">
        <f t="shared" si="123"/>
        <v>-2.9942935755368105E-2</v>
      </c>
      <c r="H1050" s="25">
        <f t="shared" si="135"/>
        <v>5.5722394343745929E-2</v>
      </c>
      <c r="K1050" s="28">
        <v>43929</v>
      </c>
      <c r="L1050" s="23">
        <v>10788.81</v>
      </c>
      <c r="M1050" s="25">
        <f t="shared" si="134"/>
        <v>1.7388386671004698E-3</v>
      </c>
      <c r="O1050" t="b">
        <f t="shared" si="132"/>
        <v>1</v>
      </c>
      <c r="Q1050" s="25">
        <f t="shared" si="130"/>
        <v>-0.24604549523642472</v>
      </c>
      <c r="R1050" s="25">
        <f t="shared" si="127"/>
        <v>-0.10388135680588628</v>
      </c>
      <c r="S1050" s="25">
        <f t="shared" si="124"/>
        <v>-2.587707752676327E-2</v>
      </c>
      <c r="T1050" s="25">
        <f t="shared" si="136"/>
        <v>4.0369932161120614E-2</v>
      </c>
      <c r="X1050">
        <f t="shared" si="131"/>
        <v>1</v>
      </c>
      <c r="Y1050">
        <f t="shared" si="128"/>
        <v>0</v>
      </c>
      <c r="Z1050">
        <f t="shared" si="125"/>
        <v>0</v>
      </c>
      <c r="AA1050">
        <f t="shared" si="137"/>
        <v>1</v>
      </c>
    </row>
    <row r="1051" spans="1:27">
      <c r="A1051" s="27">
        <v>43930</v>
      </c>
      <c r="B1051" s="24">
        <v>615.54</v>
      </c>
      <c r="C1051" s="25">
        <f t="shared" si="133"/>
        <v>3.7555203452112017E-2</v>
      </c>
      <c r="E1051" s="25">
        <f t="shared" si="129"/>
        <v>-0.21023864511162438</v>
      </c>
      <c r="F1051" s="25">
        <f t="shared" si="126"/>
        <v>-8.9616554403809556E-2</v>
      </c>
      <c r="G1051" s="25">
        <f t="shared" si="123"/>
        <v>-1.9424682447580333E-2</v>
      </c>
      <c r="H1051" s="25">
        <f t="shared" si="135"/>
        <v>6.3079703781862895E-2</v>
      </c>
      <c r="K1051" s="29">
        <v>43930</v>
      </c>
      <c r="L1051" s="24">
        <v>11210.95</v>
      </c>
      <c r="M1051" s="25">
        <f t="shared" si="134"/>
        <v>3.7654257667726752E-2</v>
      </c>
      <c r="O1051" t="b">
        <f t="shared" si="132"/>
        <v>1</v>
      </c>
      <c r="Q1051" s="25">
        <f t="shared" si="130"/>
        <v>-0.22126982693650166</v>
      </c>
      <c r="R1051" s="25">
        <f t="shared" si="127"/>
        <v>-8.7810594943614761E-2</v>
      </c>
      <c r="S1051" s="25">
        <f t="shared" si="124"/>
        <v>-1.3614183547525194E-2</v>
      </c>
      <c r="T1051" s="25">
        <f t="shared" si="136"/>
        <v>4.8794640413507784E-2</v>
      </c>
      <c r="X1051">
        <f t="shared" si="131"/>
        <v>1</v>
      </c>
      <c r="Y1051">
        <f t="shared" si="128"/>
        <v>0</v>
      </c>
      <c r="Z1051">
        <f t="shared" si="125"/>
        <v>0</v>
      </c>
      <c r="AA1051">
        <f t="shared" si="137"/>
        <v>1</v>
      </c>
    </row>
    <row r="1052" spans="1:27">
      <c r="A1052" s="26">
        <v>43934</v>
      </c>
      <c r="B1052" s="23">
        <v>611.25</v>
      </c>
      <c r="C1052" s="25">
        <f t="shared" si="133"/>
        <v>-6.9694902037235008E-3</v>
      </c>
      <c r="E1052" s="25">
        <f t="shared" si="129"/>
        <v>-0.21143277343447631</v>
      </c>
      <c r="F1052" s="25">
        <f t="shared" si="126"/>
        <v>-9.3587498190918161E-2</v>
      </c>
      <c r="G1052" s="25">
        <f t="shared" si="123"/>
        <v>-2.3578965756184234E-2</v>
      </c>
      <c r="H1052" s="25">
        <f t="shared" si="135"/>
        <v>5.7122743493307704E-2</v>
      </c>
      <c r="K1052" s="28">
        <v>43934</v>
      </c>
      <c r="L1052" s="23">
        <v>11088.47</v>
      </c>
      <c r="M1052" s="25">
        <f t="shared" si="134"/>
        <v>-1.1045707838863376E-2</v>
      </c>
      <c r="O1052" t="b">
        <f t="shared" si="132"/>
        <v>1</v>
      </c>
      <c r="Q1052" s="25">
        <f t="shared" si="130"/>
        <v>-0.22573849532341583</v>
      </c>
      <c r="R1052" s="25">
        <f t="shared" si="127"/>
        <v>-9.4441248951912082E-2</v>
      </c>
      <c r="S1052" s="25">
        <f t="shared" si="124"/>
        <v>-1.9566651875949637E-2</v>
      </c>
      <c r="T1052" s="25">
        <f t="shared" si="136"/>
        <v>4.1702446103027535E-2</v>
      </c>
      <c r="X1052">
        <f t="shared" si="131"/>
        <v>1</v>
      </c>
      <c r="Y1052">
        <f t="shared" si="128"/>
        <v>1</v>
      </c>
      <c r="Z1052">
        <f t="shared" si="125"/>
        <v>0</v>
      </c>
      <c r="AA1052">
        <f t="shared" si="137"/>
        <v>1</v>
      </c>
    </row>
    <row r="1053" spans="1:27">
      <c r="A1053" s="27">
        <v>43936</v>
      </c>
      <c r="B1053" s="24">
        <v>610.22</v>
      </c>
      <c r="C1053" s="25">
        <f t="shared" si="133"/>
        <v>-1.6850715746420822E-3</v>
      </c>
      <c r="E1053" s="25">
        <f t="shared" si="129"/>
        <v>-0.21585710614237985</v>
      </c>
      <c r="F1053" s="25">
        <f t="shared" si="126"/>
        <v>-9.6075118010701344E-2</v>
      </c>
      <c r="G1053" s="25">
        <f t="shared" si="123"/>
        <v>-2.3845173658599284E-2</v>
      </c>
      <c r="H1053" s="25">
        <f t="shared" si="135"/>
        <v>5.5278509252883135E-2</v>
      </c>
      <c r="K1053" s="29">
        <v>43936</v>
      </c>
      <c r="L1053" s="24">
        <v>11064.34</v>
      </c>
      <c r="M1053" s="25">
        <f t="shared" si="134"/>
        <v>-2.1808801971016072E-3</v>
      </c>
      <c r="O1053" t="b">
        <f t="shared" si="132"/>
        <v>1</v>
      </c>
      <c r="Q1053" s="25">
        <f t="shared" si="130"/>
        <v>-0.23088462233591456</v>
      </c>
      <c r="R1053" s="25">
        <f t="shared" si="127"/>
        <v>-9.6112341351270114E-2</v>
      </c>
      <c r="S1053" s="25">
        <f t="shared" si="124"/>
        <v>-1.9138245241383744E-2</v>
      </c>
      <c r="T1053" s="25">
        <f t="shared" si="136"/>
        <v>3.8786115741178406E-2</v>
      </c>
      <c r="X1053">
        <f t="shared" si="131"/>
        <v>1</v>
      </c>
      <c r="Y1053">
        <f t="shared" si="128"/>
        <v>1</v>
      </c>
      <c r="Z1053">
        <f t="shared" si="125"/>
        <v>0</v>
      </c>
      <c r="AA1053">
        <f t="shared" si="137"/>
        <v>1</v>
      </c>
    </row>
    <row r="1054" spans="1:27">
      <c r="A1054" s="26">
        <v>43937</v>
      </c>
      <c r="B1054" s="23">
        <v>617.66999999999996</v>
      </c>
      <c r="C1054" s="25">
        <f t="shared" si="133"/>
        <v>1.2208711612205322E-2</v>
      </c>
      <c r="E1054" s="25">
        <f t="shared" si="129"/>
        <v>-0.20148153893887688</v>
      </c>
      <c r="F1054" s="25">
        <f t="shared" si="126"/>
        <v>-9.1413039072674396E-2</v>
      </c>
      <c r="G1054" s="25">
        <f t="shared" si="123"/>
        <v>-1.7828334301271842E-2</v>
      </c>
      <c r="H1054" s="25">
        <f t="shared" si="135"/>
        <v>5.8404113026444771E-2</v>
      </c>
      <c r="K1054" s="28">
        <v>43937</v>
      </c>
      <c r="L1054" s="23">
        <v>11166.67</v>
      </c>
      <c r="M1054" s="25">
        <f t="shared" si="134"/>
        <v>9.1638778615289896E-3</v>
      </c>
      <c r="O1054" t="b">
        <f t="shared" si="132"/>
        <v>1</v>
      </c>
      <c r="Q1054" s="25">
        <f t="shared" si="130"/>
        <v>-0.21934818155951818</v>
      </c>
      <c r="R1054" s="25">
        <f t="shared" si="127"/>
        <v>-9.2518205015035493E-2</v>
      </c>
      <c r="S1054" s="25">
        <f t="shared" si="124"/>
        <v>-1.474245371559213E-2</v>
      </c>
      <c r="T1054" s="25">
        <f t="shared" si="136"/>
        <v>4.0855036065321038E-2</v>
      </c>
      <c r="X1054">
        <f t="shared" si="131"/>
        <v>1</v>
      </c>
      <c r="Y1054">
        <f t="shared" si="128"/>
        <v>1</v>
      </c>
      <c r="Z1054">
        <f t="shared" si="125"/>
        <v>0</v>
      </c>
      <c r="AA1054">
        <f t="shared" si="137"/>
        <v>1</v>
      </c>
    </row>
    <row r="1055" spans="1:27">
      <c r="A1055" s="27">
        <v>43938</v>
      </c>
      <c r="B1055" s="24">
        <v>635.73</v>
      </c>
      <c r="C1055" s="25">
        <f t="shared" si="133"/>
        <v>2.9238913983195006E-2</v>
      </c>
      <c r="E1055" s="25">
        <f t="shared" si="129"/>
        <v>-0.17816560015512883</v>
      </c>
      <c r="F1055" s="25">
        <f t="shared" si="126"/>
        <v>-7.7929876694906697E-2</v>
      </c>
      <c r="G1055" s="25">
        <f t="shared" si="123"/>
        <v>-8.2360260365001992E-3</v>
      </c>
      <c r="H1055" s="25">
        <f t="shared" si="135"/>
        <v>6.6225269099016382E-2</v>
      </c>
      <c r="K1055" s="29">
        <v>43938</v>
      </c>
      <c r="L1055" s="24">
        <v>11471.14</v>
      </c>
      <c r="M1055" s="25">
        <f t="shared" si="134"/>
        <v>2.654226171069304E-2</v>
      </c>
      <c r="O1055" t="b">
        <f t="shared" si="132"/>
        <v>1</v>
      </c>
      <c r="Q1055" s="25">
        <f t="shared" si="130"/>
        <v>-0.19904453484263873</v>
      </c>
      <c r="R1055" s="25">
        <f t="shared" si="127"/>
        <v>-8.1044991002826139E-2</v>
      </c>
      <c r="S1055" s="25">
        <f t="shared" si="124"/>
        <v>-5.7731486299912316E-3</v>
      </c>
      <c r="T1055" s="25">
        <f t="shared" si="136"/>
        <v>4.823465996849774E-2</v>
      </c>
      <c r="X1055">
        <f t="shared" si="131"/>
        <v>1</v>
      </c>
      <c r="Y1055">
        <f t="shared" si="128"/>
        <v>1</v>
      </c>
      <c r="Z1055">
        <f t="shared" si="125"/>
        <v>0</v>
      </c>
      <c r="AA1055">
        <f t="shared" si="137"/>
        <v>1</v>
      </c>
    </row>
    <row r="1056" spans="1:27">
      <c r="A1056" s="26">
        <v>43941</v>
      </c>
      <c r="B1056" s="23">
        <v>634.79999999999995</v>
      </c>
      <c r="C1056" s="25">
        <f t="shared" si="133"/>
        <v>-1.4628851871078346E-3</v>
      </c>
      <c r="E1056" s="25">
        <f t="shared" si="129"/>
        <v>-0.18172677821031735</v>
      </c>
      <c r="F1056" s="25">
        <f t="shared" si="126"/>
        <v>-7.9392198209994547E-2</v>
      </c>
      <c r="G1056" s="25">
        <f t="shared" si="123"/>
        <v>-7.1022771148606667E-3</v>
      </c>
      <c r="H1056" s="25">
        <f t="shared" si="135"/>
        <v>6.5191471952222857E-2</v>
      </c>
      <c r="K1056" s="28">
        <v>43941</v>
      </c>
      <c r="L1056" s="23">
        <v>11471.44</v>
      </c>
      <c r="M1056" s="25">
        <f t="shared" si="134"/>
        <v>2.6151904207413487E-5</v>
      </c>
      <c r="O1056" t="b">
        <f t="shared" si="132"/>
        <v>1</v>
      </c>
      <c r="Q1056" s="25">
        <f t="shared" si="130"/>
        <v>-0.20233969527221352</v>
      </c>
      <c r="R1056" s="25">
        <f t="shared" si="127"/>
        <v>-8.2045068147085898E-2</v>
      </c>
      <c r="S1056" s="25">
        <f t="shared" si="124"/>
        <v>-4.1327644082035375E-3</v>
      </c>
      <c r="T1056" s="25">
        <f t="shared" si="136"/>
        <v>4.8492109455746446E-2</v>
      </c>
      <c r="X1056">
        <f t="shared" si="131"/>
        <v>1</v>
      </c>
      <c r="Y1056">
        <f t="shared" si="128"/>
        <v>1</v>
      </c>
      <c r="Z1056">
        <f t="shared" si="125"/>
        <v>0</v>
      </c>
      <c r="AA1056">
        <f t="shared" si="137"/>
        <v>1</v>
      </c>
    </row>
    <row r="1057" spans="1:27">
      <c r="A1057" s="27">
        <v>43942</v>
      </c>
      <c r="B1057" s="24">
        <v>613.76</v>
      </c>
      <c r="C1057" s="25">
        <f t="shared" si="133"/>
        <v>-3.314429741650908E-2</v>
      </c>
      <c r="E1057" s="25">
        <f t="shared" si="129"/>
        <v>-0.2124112974630753</v>
      </c>
      <c r="F1057" s="25">
        <f t="shared" si="126"/>
        <v>-9.669271472223262E-2</v>
      </c>
      <c r="G1057" s="25">
        <f t="shared" si="123"/>
        <v>-1.9549121343496845E-2</v>
      </c>
      <c r="H1057" s="25">
        <f t="shared" si="135"/>
        <v>5.7251779587606411E-2</v>
      </c>
      <c r="K1057" s="29">
        <v>43942</v>
      </c>
      <c r="L1057" s="24">
        <v>11141.94</v>
      </c>
      <c r="M1057" s="25">
        <f t="shared" si="134"/>
        <v>-2.9572946901527022E-2</v>
      </c>
      <c r="O1057" t="b">
        <f t="shared" si="132"/>
        <v>1</v>
      </c>
      <c r="Q1057" s="25">
        <f t="shared" si="130"/>
        <v>-0.22859356382415275</v>
      </c>
      <c r="R1057" s="25">
        <f t="shared" si="127"/>
        <v>-9.7447895566116216E-2</v>
      </c>
      <c r="S1057" s="25">
        <f t="shared" si="124"/>
        <v>-1.4517010947921127E-2</v>
      </c>
      <c r="T1057" s="25">
        <f t="shared" si="136"/>
        <v>4.2238965099840042E-2</v>
      </c>
      <c r="X1057">
        <f t="shared" si="131"/>
        <v>1</v>
      </c>
      <c r="Y1057">
        <f t="shared" si="128"/>
        <v>1</v>
      </c>
      <c r="Z1057">
        <f t="shared" si="125"/>
        <v>0</v>
      </c>
      <c r="AA1057">
        <f t="shared" si="137"/>
        <v>1</v>
      </c>
    </row>
    <row r="1058" spans="1:27">
      <c r="A1058" s="26">
        <v>43943</v>
      </c>
      <c r="B1058" s="23">
        <v>620.79</v>
      </c>
      <c r="C1058" s="25">
        <f t="shared" si="133"/>
        <v>1.1453988529718413E-2</v>
      </c>
      <c r="E1058" s="25">
        <f t="shared" si="129"/>
        <v>-0.20979875510749613</v>
      </c>
      <c r="F1058" s="25">
        <f t="shared" si="126"/>
        <v>-9.2203774815306949E-2</v>
      </c>
      <c r="G1058" s="25">
        <f t="shared" si="123"/>
        <v>-1.6915739360541693E-2</v>
      </c>
      <c r="H1058" s="25">
        <f t="shared" si="135"/>
        <v>5.6994750979560305E-2</v>
      </c>
      <c r="K1058" s="28">
        <v>43943</v>
      </c>
      <c r="L1058" s="23">
        <v>11349.73</v>
      </c>
      <c r="M1058" s="25">
        <f t="shared" si="134"/>
        <v>1.8307924505693005E-2</v>
      </c>
      <c r="O1058" t="b">
        <f t="shared" si="132"/>
        <v>1</v>
      </c>
      <c r="Q1058" s="25">
        <f t="shared" si="130"/>
        <v>-0.21941978470604107</v>
      </c>
      <c r="R1058" s="25">
        <f t="shared" si="127"/>
        <v>-8.9999731162648589E-2</v>
      </c>
      <c r="S1058" s="25">
        <f t="shared" si="124"/>
        <v>-1.0157740553236261E-2</v>
      </c>
      <c r="T1058" s="25">
        <f t="shared" si="136"/>
        <v>4.4066191494587015E-2</v>
      </c>
      <c r="X1058">
        <f t="shared" si="131"/>
        <v>1</v>
      </c>
      <c r="Y1058">
        <f t="shared" si="128"/>
        <v>0</v>
      </c>
      <c r="Z1058">
        <f t="shared" si="125"/>
        <v>0</v>
      </c>
      <c r="AA1058">
        <f t="shared" si="137"/>
        <v>1</v>
      </c>
    </row>
    <row r="1059" spans="1:27">
      <c r="A1059" s="27">
        <v>43944</v>
      </c>
      <c r="B1059" s="24">
        <v>630.12</v>
      </c>
      <c r="C1059" s="25">
        <f t="shared" si="133"/>
        <v>1.5029236940028095E-2</v>
      </c>
      <c r="E1059" s="25">
        <f t="shared" si="129"/>
        <v>-0.19002506587826984</v>
      </c>
      <c r="F1059" s="25">
        <f t="shared" si="126"/>
        <v>-8.4702472320130173E-2</v>
      </c>
      <c r="G1059" s="25">
        <f t="shared" si="123"/>
        <v>-1.16671804510039E-2</v>
      </c>
      <c r="H1059" s="25">
        <f t="shared" si="135"/>
        <v>6.068285764508996E-2</v>
      </c>
      <c r="K1059" s="29">
        <v>43944</v>
      </c>
      <c r="L1059" s="24">
        <v>11487.6</v>
      </c>
      <c r="M1059" s="25">
        <f t="shared" si="134"/>
        <v>1.2001636547233609E-2</v>
      </c>
      <c r="O1059" t="b">
        <f t="shared" si="132"/>
        <v>1</v>
      </c>
      <c r="Q1059" s="25">
        <f t="shared" si="130"/>
        <v>-0.20647277715877232</v>
      </c>
      <c r="R1059" s="25">
        <f t="shared" si="127"/>
        <v>-8.3569818084826442E-2</v>
      </c>
      <c r="S1059" s="25">
        <f t="shared" si="124"/>
        <v>-5.9432507390052569E-3</v>
      </c>
      <c r="T1059" s="25">
        <f t="shared" si="136"/>
        <v>4.6638419377500018E-2</v>
      </c>
      <c r="X1059">
        <f t="shared" si="131"/>
        <v>1</v>
      </c>
      <c r="Y1059">
        <f t="shared" si="128"/>
        <v>0</v>
      </c>
      <c r="Z1059">
        <f t="shared" si="125"/>
        <v>0</v>
      </c>
      <c r="AA1059">
        <f t="shared" si="137"/>
        <v>1</v>
      </c>
    </row>
    <row r="1060" spans="1:27">
      <c r="A1060" s="26">
        <v>43945</v>
      </c>
      <c r="B1060" s="23">
        <v>617.34</v>
      </c>
      <c r="C1060" s="25">
        <f t="shared" si="133"/>
        <v>-2.0281851075985482E-2</v>
      </c>
      <c r="E1060" s="25">
        <f t="shared" si="129"/>
        <v>-0.19436759409093274</v>
      </c>
      <c r="F1060" s="25">
        <f t="shared" si="126"/>
        <v>-9.846202547814431E-2</v>
      </c>
      <c r="G1060" s="25">
        <f t="shared" ref="G1060:G1123" si="138">((B1060/B323)^(1/3))-1</f>
        <v>-2.0600426186050513E-2</v>
      </c>
      <c r="H1060" s="25">
        <f t="shared" si="135"/>
        <v>5.8348735784378603E-2</v>
      </c>
      <c r="K1060" s="28">
        <v>43945</v>
      </c>
      <c r="L1060" s="23">
        <v>11288.98</v>
      </c>
      <c r="M1060" s="25">
        <f t="shared" si="134"/>
        <v>-1.759414933855856E-2</v>
      </c>
      <c r="O1060" t="b">
        <f t="shared" si="132"/>
        <v>1</v>
      </c>
      <c r="Q1060" s="25">
        <f t="shared" si="130"/>
        <v>-0.20891227873470597</v>
      </c>
      <c r="R1060" s="25">
        <f t="shared" si="127"/>
        <v>-9.3704155694016245E-2</v>
      </c>
      <c r="S1060" s="25">
        <f t="shared" ref="S1060:S1123" si="139">((L1060/L323)^(1/3))-1</f>
        <v>-1.4940400485638494E-2</v>
      </c>
      <c r="T1060" s="25">
        <f t="shared" si="136"/>
        <v>4.6064990084446977E-2</v>
      </c>
      <c r="X1060">
        <f t="shared" si="131"/>
        <v>1</v>
      </c>
      <c r="Y1060">
        <f t="shared" si="128"/>
        <v>0</v>
      </c>
      <c r="Z1060">
        <f t="shared" ref="Z1060:Z1123" si="140">IF(G1060&gt;S1060,1,0)</f>
        <v>0</v>
      </c>
      <c r="AA1060">
        <f t="shared" si="137"/>
        <v>1</v>
      </c>
    </row>
    <row r="1061" spans="1:27">
      <c r="A1061" s="27">
        <v>43948</v>
      </c>
      <c r="B1061" s="24">
        <v>627.84</v>
      </c>
      <c r="C1061" s="25">
        <f t="shared" si="133"/>
        <v>1.7008455632228591E-2</v>
      </c>
      <c r="E1061" s="25">
        <f t="shared" si="129"/>
        <v>-0.17884328651024095</v>
      </c>
      <c r="F1061" s="25">
        <f t="shared" si="126"/>
        <v>-9.1180373286276817E-2</v>
      </c>
      <c r="G1061" s="25">
        <f t="shared" si="138"/>
        <v>-1.7341732563423307E-2</v>
      </c>
      <c r="H1061" s="25">
        <f t="shared" si="135"/>
        <v>6.1915270805353861E-2</v>
      </c>
      <c r="K1061" s="29">
        <v>43948</v>
      </c>
      <c r="L1061" s="24">
        <v>11455.42</v>
      </c>
      <c r="M1061" s="25">
        <f t="shared" si="134"/>
        <v>1.452936688484582E-2</v>
      </c>
      <c r="O1061" t="b">
        <f t="shared" si="132"/>
        <v>1</v>
      </c>
      <c r="Q1061" s="25">
        <f t="shared" si="130"/>
        <v>-0.19620338431226159</v>
      </c>
      <c r="R1061" s="25">
        <f t="shared" si="127"/>
        <v>-8.6619498187260668E-2</v>
      </c>
      <c r="S1061" s="25">
        <f t="shared" si="139"/>
        <v>-1.3322495699195636E-2</v>
      </c>
      <c r="T1061" s="25">
        <f t="shared" si="136"/>
        <v>4.9683613705548968E-2</v>
      </c>
      <c r="X1061">
        <f t="shared" si="131"/>
        <v>1</v>
      </c>
      <c r="Y1061">
        <f t="shared" si="128"/>
        <v>0</v>
      </c>
      <c r="Z1061">
        <f t="shared" si="140"/>
        <v>0</v>
      </c>
      <c r="AA1061">
        <f t="shared" si="137"/>
        <v>1</v>
      </c>
    </row>
    <row r="1062" spans="1:27">
      <c r="A1062" s="26">
        <v>43949</v>
      </c>
      <c r="B1062" s="23">
        <v>633.70000000000005</v>
      </c>
      <c r="C1062" s="25">
        <f t="shared" si="133"/>
        <v>9.3335881753313157E-3</v>
      </c>
      <c r="E1062" s="25">
        <f t="shared" si="129"/>
        <v>-0.17862373786470676</v>
      </c>
      <c r="F1062" s="25">
        <f t="shared" si="126"/>
        <v>-8.8488539794776666E-2</v>
      </c>
      <c r="G1062" s="25">
        <f t="shared" si="138"/>
        <v>-1.4899030402048763E-2</v>
      </c>
      <c r="H1062" s="25">
        <f t="shared" si="135"/>
        <v>6.4131358667774307E-2</v>
      </c>
      <c r="K1062" s="28">
        <v>43949</v>
      </c>
      <c r="L1062" s="23">
        <v>11558.67</v>
      </c>
      <c r="M1062" s="25">
        <f t="shared" si="134"/>
        <v>8.9326886224799212E-3</v>
      </c>
      <c r="O1062" t="b">
        <f t="shared" si="132"/>
        <v>1</v>
      </c>
      <c r="Q1062" s="25">
        <f t="shared" si="130"/>
        <v>-0.19735025665525974</v>
      </c>
      <c r="R1062" s="25">
        <f t="shared" si="127"/>
        <v>-8.3778735969377904E-2</v>
      </c>
      <c r="S1062" s="25">
        <f t="shared" si="139"/>
        <v>-1.0933936510158726E-2</v>
      </c>
      <c r="T1062" s="25">
        <f t="shared" si="136"/>
        <v>5.2377060269900966E-2</v>
      </c>
      <c r="X1062">
        <f t="shared" si="131"/>
        <v>1</v>
      </c>
      <c r="Y1062">
        <f t="shared" si="128"/>
        <v>0</v>
      </c>
      <c r="Z1062">
        <f t="shared" si="140"/>
        <v>0</v>
      </c>
      <c r="AA1062">
        <f t="shared" si="137"/>
        <v>1</v>
      </c>
    </row>
    <row r="1063" spans="1:27">
      <c r="A1063" s="27">
        <v>43950</v>
      </c>
      <c r="B1063" s="24">
        <v>647.19000000000005</v>
      </c>
      <c r="C1063" s="25">
        <f t="shared" si="133"/>
        <v>2.1287675556256918E-2</v>
      </c>
      <c r="E1063" s="25">
        <f t="shared" si="129"/>
        <v>-0.15598591549295759</v>
      </c>
      <c r="F1063" s="25">
        <f t="shared" si="126"/>
        <v>-7.7542633083593104E-2</v>
      </c>
      <c r="G1063" s="25">
        <f t="shared" si="138"/>
        <v>-8.0376862176440023E-3</v>
      </c>
      <c r="H1063" s="25">
        <f t="shared" si="135"/>
        <v>7.1630547390624688E-2</v>
      </c>
      <c r="K1063" s="29">
        <v>43950</v>
      </c>
      <c r="L1063" s="24">
        <v>11747.42</v>
      </c>
      <c r="M1063" s="25">
        <f t="shared" si="134"/>
        <v>1.6067357768769653E-2</v>
      </c>
      <c r="O1063" t="b">
        <f t="shared" si="132"/>
        <v>1</v>
      </c>
      <c r="Q1063" s="25">
        <f t="shared" si="130"/>
        <v>-0.17927862658617411</v>
      </c>
      <c r="R1063" s="25">
        <f t="shared" si="127"/>
        <v>-7.7165263733466216E-2</v>
      </c>
      <c r="S1063" s="25">
        <f t="shared" si="139"/>
        <v>-5.2305025385263049E-3</v>
      </c>
      <c r="T1063" s="25">
        <f t="shared" si="136"/>
        <v>5.8526694517940792E-2</v>
      </c>
      <c r="X1063">
        <f t="shared" si="131"/>
        <v>1</v>
      </c>
      <c r="Y1063">
        <f t="shared" si="128"/>
        <v>0</v>
      </c>
      <c r="Z1063">
        <f t="shared" si="140"/>
        <v>0</v>
      </c>
      <c r="AA1063">
        <f t="shared" si="137"/>
        <v>1</v>
      </c>
    </row>
    <row r="1064" spans="1:27">
      <c r="A1064" s="26">
        <v>43951</v>
      </c>
      <c r="B1064" s="23">
        <v>661.86</v>
      </c>
      <c r="C1064" s="25">
        <f t="shared" si="133"/>
        <v>2.2667222917535743E-2</v>
      </c>
      <c r="E1064" s="25">
        <f t="shared" si="129"/>
        <v>-0.14414286268475296</v>
      </c>
      <c r="F1064" s="25">
        <f t="shared" si="126"/>
        <v>-6.4479636923789663E-2</v>
      </c>
      <c r="G1064" s="25">
        <f t="shared" si="138"/>
        <v>-1.3811617311695334E-3</v>
      </c>
      <c r="H1064" s="25">
        <f t="shared" si="135"/>
        <v>7.9654433264530589E-2</v>
      </c>
      <c r="K1064" s="28">
        <v>43951</v>
      </c>
      <c r="L1064" s="23">
        <v>12072.43</v>
      </c>
      <c r="M1064" s="25">
        <f t="shared" si="134"/>
        <v>2.6921671941771474E-2</v>
      </c>
      <c r="O1064" t="b">
        <f t="shared" si="132"/>
        <v>1</v>
      </c>
      <c r="Q1064" s="25">
        <f t="shared" si="130"/>
        <v>-0.16187660197221354</v>
      </c>
      <c r="R1064" s="25">
        <f t="shared" si="127"/>
        <v>-6.2474657544323908E-2</v>
      </c>
      <c r="S1064" s="25">
        <f t="shared" si="139"/>
        <v>4.1788368738391313E-3</v>
      </c>
      <c r="T1064" s="25">
        <f t="shared" si="136"/>
        <v>6.7786943028127711E-2</v>
      </c>
      <c r="X1064">
        <f t="shared" si="131"/>
        <v>1</v>
      </c>
      <c r="Y1064">
        <f t="shared" si="128"/>
        <v>0</v>
      </c>
      <c r="Z1064">
        <f t="shared" si="140"/>
        <v>0</v>
      </c>
      <c r="AA1064">
        <f t="shared" si="137"/>
        <v>1</v>
      </c>
    </row>
    <row r="1065" spans="1:27">
      <c r="A1065" s="27">
        <v>43955</v>
      </c>
      <c r="B1065" s="24">
        <v>630.23</v>
      </c>
      <c r="C1065" s="25">
        <f t="shared" si="133"/>
        <v>-4.7789562747408809E-2</v>
      </c>
      <c r="E1065" s="25">
        <f t="shared" si="129"/>
        <v>-0.18557047413514594</v>
      </c>
      <c r="F1065" s="25">
        <f t="shared" si="126"/>
        <v>-8.9200556787138896E-2</v>
      </c>
      <c r="G1065" s="25">
        <f t="shared" si="138"/>
        <v>-1.7144990247936476E-2</v>
      </c>
      <c r="H1065" s="25">
        <f t="shared" si="135"/>
        <v>6.5861716544592719E-2</v>
      </c>
      <c r="K1065" s="29">
        <v>43955</v>
      </c>
      <c r="L1065" s="24">
        <v>11445.71</v>
      </c>
      <c r="M1065" s="25">
        <f t="shared" si="134"/>
        <v>-5.4755886703402513E-2</v>
      </c>
      <c r="O1065" t="b">
        <f t="shared" si="132"/>
        <v>1</v>
      </c>
      <c r="Q1065" s="25">
        <f t="shared" si="130"/>
        <v>-0.20329617933042055</v>
      </c>
      <c r="R1065" s="25">
        <f t="shared" si="127"/>
        <v>-8.8667069754106431E-2</v>
      </c>
      <c r="S1065" s="25">
        <f t="shared" si="139"/>
        <v>-1.418956021288742E-2</v>
      </c>
      <c r="T1065" s="25">
        <f t="shared" si="136"/>
        <v>5.298987975917302E-2</v>
      </c>
      <c r="X1065">
        <f t="shared" si="131"/>
        <v>1</v>
      </c>
      <c r="Y1065">
        <f t="shared" si="128"/>
        <v>0</v>
      </c>
      <c r="Z1065">
        <f t="shared" si="140"/>
        <v>0</v>
      </c>
      <c r="AA1065">
        <f t="shared" si="137"/>
        <v>1</v>
      </c>
    </row>
    <row r="1066" spans="1:27">
      <c r="A1066" s="26">
        <v>43956</v>
      </c>
      <c r="B1066" s="23">
        <v>621.20000000000005</v>
      </c>
      <c r="C1066" s="25">
        <f t="shared" si="133"/>
        <v>-1.4328102438792144E-2</v>
      </c>
      <c r="E1066" s="25">
        <f t="shared" si="129"/>
        <v>-0.19216614432292545</v>
      </c>
      <c r="F1066" s="25">
        <f t="shared" si="126"/>
        <v>-9.8556855031961321E-2</v>
      </c>
      <c r="G1066" s="25">
        <f t="shared" si="138"/>
        <v>-2.1547176009862667E-2</v>
      </c>
      <c r="H1066" s="25">
        <f t="shared" si="135"/>
        <v>6.2747471659650111E-2</v>
      </c>
      <c r="K1066" s="28">
        <v>43956</v>
      </c>
      <c r="L1066" s="23">
        <v>11335.14</v>
      </c>
      <c r="M1066" s="25">
        <f t="shared" si="134"/>
        <v>-9.754621469165772E-3</v>
      </c>
      <c r="O1066" t="b">
        <f t="shared" si="132"/>
        <v>1</v>
      </c>
      <c r="Q1066" s="25">
        <f t="shared" si="130"/>
        <v>-0.20880018315683091</v>
      </c>
      <c r="R1066" s="25">
        <f t="shared" si="127"/>
        <v>-9.607613791421854E-2</v>
      </c>
      <c r="S1066" s="25">
        <f t="shared" si="139"/>
        <v>-1.7228926771473474E-2</v>
      </c>
      <c r="T1066" s="25">
        <f t="shared" si="136"/>
        <v>5.0255400795800265E-2</v>
      </c>
      <c r="X1066">
        <f t="shared" si="131"/>
        <v>1</v>
      </c>
      <c r="Y1066">
        <f t="shared" si="128"/>
        <v>0</v>
      </c>
      <c r="Z1066">
        <f t="shared" si="140"/>
        <v>0</v>
      </c>
      <c r="AA1066">
        <f t="shared" si="137"/>
        <v>1</v>
      </c>
    </row>
    <row r="1067" spans="1:27">
      <c r="A1067" s="27">
        <v>43957</v>
      </c>
      <c r="B1067" s="24">
        <v>628.52</v>
      </c>
      <c r="C1067" s="25">
        <f t="shared" si="133"/>
        <v>1.1783644558918119E-2</v>
      </c>
      <c r="E1067" s="25">
        <f t="shared" si="129"/>
        <v>-0.18243427813260138</v>
      </c>
      <c r="F1067" s="25">
        <f t="shared" si="126"/>
        <v>-9.7103447369592533E-2</v>
      </c>
      <c r="G1067" s="25">
        <f t="shared" si="138"/>
        <v>-1.9215341036107003E-2</v>
      </c>
      <c r="H1067" s="25">
        <f t="shared" si="135"/>
        <v>6.2428703962382093E-2</v>
      </c>
      <c r="K1067" s="29">
        <v>43957</v>
      </c>
      <c r="L1067" s="24">
        <v>11414.15</v>
      </c>
      <c r="M1067" s="25">
        <f t="shared" si="134"/>
        <v>6.9221098373510263E-3</v>
      </c>
      <c r="O1067" t="b">
        <f t="shared" si="132"/>
        <v>1</v>
      </c>
      <c r="Q1067" s="25">
        <f t="shared" si="130"/>
        <v>-0.20220993471123994</v>
      </c>
      <c r="R1067" s="25">
        <f t="shared" si="127"/>
        <v>-9.5459230219634761E-2</v>
      </c>
      <c r="S1067" s="25">
        <f t="shared" si="139"/>
        <v>-1.6483846858134976E-2</v>
      </c>
      <c r="T1067" s="25">
        <f t="shared" si="136"/>
        <v>4.8127898118542234E-2</v>
      </c>
      <c r="X1067">
        <f t="shared" si="131"/>
        <v>1</v>
      </c>
      <c r="Y1067">
        <f t="shared" si="128"/>
        <v>0</v>
      </c>
      <c r="Z1067">
        <f t="shared" si="140"/>
        <v>0</v>
      </c>
      <c r="AA1067">
        <f t="shared" si="137"/>
        <v>1</v>
      </c>
    </row>
    <row r="1068" spans="1:27">
      <c r="A1068" s="26">
        <v>43958</v>
      </c>
      <c r="B1068" s="23">
        <v>623.67999999999995</v>
      </c>
      <c r="C1068" s="25">
        <f t="shared" si="133"/>
        <v>-7.7006300515497228E-3</v>
      </c>
      <c r="E1068" s="25">
        <f t="shared" si="129"/>
        <v>-0.18357943240129859</v>
      </c>
      <c r="F1068" s="25">
        <f t="shared" si="126"/>
        <v>-9.6516930452140048E-2</v>
      </c>
      <c r="G1068" s="25">
        <f t="shared" si="138"/>
        <v>-1.8705464159093355E-2</v>
      </c>
      <c r="H1068" s="25">
        <f t="shared" si="135"/>
        <v>5.9487250780224654E-2</v>
      </c>
      <c r="K1068" s="28">
        <v>43958</v>
      </c>
      <c r="L1068" s="23">
        <v>11331.86</v>
      </c>
      <c r="M1068" s="25">
        <f t="shared" si="134"/>
        <v>-7.2618263903718406E-3</v>
      </c>
      <c r="O1068" t="b">
        <f t="shared" si="132"/>
        <v>1</v>
      </c>
      <c r="Q1068" s="25">
        <f t="shared" si="130"/>
        <v>-0.20031417625061831</v>
      </c>
      <c r="R1068" s="25">
        <f t="shared" si="127"/>
        <v>-9.6271745621740679E-2</v>
      </c>
      <c r="S1068" s="25">
        <f t="shared" si="139"/>
        <v>-1.5966888969894732E-2</v>
      </c>
      <c r="T1068" s="25">
        <f t="shared" si="136"/>
        <v>4.5677414331732225E-2</v>
      </c>
      <c r="X1068">
        <f t="shared" si="131"/>
        <v>1</v>
      </c>
      <c r="Y1068">
        <f t="shared" si="128"/>
        <v>0</v>
      </c>
      <c r="Z1068">
        <f t="shared" si="140"/>
        <v>0</v>
      </c>
      <c r="AA1068">
        <f t="shared" si="137"/>
        <v>1</v>
      </c>
    </row>
    <row r="1069" spans="1:27">
      <c r="A1069" s="27">
        <v>43959</v>
      </c>
      <c r="B1069" s="24">
        <v>626.38</v>
      </c>
      <c r="C1069" s="25">
        <f t="shared" si="133"/>
        <v>4.3291431503335778E-3</v>
      </c>
      <c r="E1069" s="25">
        <f t="shared" si="129"/>
        <v>-0.17434917287286622</v>
      </c>
      <c r="F1069" s="25">
        <f t="shared" si="126"/>
        <v>-9.1298783109668658E-2</v>
      </c>
      <c r="G1069" s="25">
        <f t="shared" si="138"/>
        <v>-1.8741303207331139E-2</v>
      </c>
      <c r="H1069" s="25">
        <f t="shared" si="135"/>
        <v>6.1055691725392158E-2</v>
      </c>
      <c r="K1069" s="29">
        <v>43959</v>
      </c>
      <c r="L1069" s="24">
        <v>11378.76</v>
      </c>
      <c r="M1069" s="25">
        <f t="shared" si="134"/>
        <v>4.121714492616035E-3</v>
      </c>
      <c r="O1069" t="b">
        <f t="shared" si="132"/>
        <v>1</v>
      </c>
      <c r="Q1069" s="25">
        <f t="shared" si="130"/>
        <v>-0.19018609245694995</v>
      </c>
      <c r="R1069" s="25">
        <f t="shared" si="127"/>
        <v>-9.1717196353727326E-2</v>
      </c>
      <c r="S1069" s="25">
        <f t="shared" si="139"/>
        <v>-1.5924303784396021E-2</v>
      </c>
      <c r="T1069" s="25">
        <f t="shared" si="136"/>
        <v>4.7720199859113022E-2</v>
      </c>
      <c r="X1069">
        <f t="shared" si="131"/>
        <v>1</v>
      </c>
      <c r="Y1069">
        <f t="shared" si="128"/>
        <v>1</v>
      </c>
      <c r="Z1069">
        <f t="shared" si="140"/>
        <v>0</v>
      </c>
      <c r="AA1069">
        <f t="shared" si="137"/>
        <v>1</v>
      </c>
    </row>
    <row r="1070" spans="1:27">
      <c r="A1070" s="26">
        <v>43962</v>
      </c>
      <c r="B1070" s="23">
        <v>623.87</v>
      </c>
      <c r="C1070" s="25">
        <f t="shared" si="133"/>
        <v>-4.0071522079248873E-3</v>
      </c>
      <c r="E1070" s="25">
        <f t="shared" si="129"/>
        <v>-0.17016493748337314</v>
      </c>
      <c r="F1070" s="25">
        <f t="shared" si="126"/>
        <v>-9.0726768142520231E-2</v>
      </c>
      <c r="G1070" s="25">
        <f t="shared" si="138"/>
        <v>-2.0496782581449269E-2</v>
      </c>
      <c r="H1070" s="25">
        <f t="shared" si="135"/>
        <v>5.8298047772485484E-2</v>
      </c>
      <c r="K1070" s="28">
        <v>43962</v>
      </c>
      <c r="L1070" s="23">
        <v>11385.39</v>
      </c>
      <c r="M1070" s="25">
        <f t="shared" si="134"/>
        <v>5.8232524314048091E-4</v>
      </c>
      <c r="O1070" t="b">
        <f t="shared" si="132"/>
        <v>1</v>
      </c>
      <c r="Q1070" s="25">
        <f t="shared" si="130"/>
        <v>-0.18013038252790592</v>
      </c>
      <c r="R1070" s="25">
        <f t="shared" si="127"/>
        <v>-8.9078246058129751E-2</v>
      </c>
      <c r="S1070" s="25">
        <f t="shared" si="139"/>
        <v>-1.6395633983037672E-2</v>
      </c>
      <c r="T1070" s="25">
        <f t="shared" si="136"/>
        <v>4.5978014229515196E-2</v>
      </c>
      <c r="X1070">
        <f t="shared" si="131"/>
        <v>1</v>
      </c>
      <c r="Y1070">
        <f t="shared" si="128"/>
        <v>0</v>
      </c>
      <c r="Z1070">
        <f t="shared" si="140"/>
        <v>0</v>
      </c>
      <c r="AA1070">
        <f t="shared" si="137"/>
        <v>1</v>
      </c>
    </row>
    <row r="1071" spans="1:27">
      <c r="A1071" s="27">
        <v>43963</v>
      </c>
      <c r="B1071" s="24">
        <v>624.67999999999995</v>
      </c>
      <c r="C1071" s="25">
        <f t="shared" si="133"/>
        <v>1.2983474121210275E-3</v>
      </c>
      <c r="E1071" s="25">
        <f t="shared" si="129"/>
        <v>-0.16888853409967808</v>
      </c>
      <c r="F1071" s="25">
        <f t="shared" ref="F1071:F1134" si="141">((B1071/B579)^(1/2))-1</f>
        <v>-9.3040726867917201E-2</v>
      </c>
      <c r="G1071" s="25">
        <f t="shared" si="138"/>
        <v>-2.2525819141261949E-2</v>
      </c>
      <c r="H1071" s="25">
        <f t="shared" si="135"/>
        <v>5.998129331928248E-2</v>
      </c>
      <c r="K1071" s="29">
        <v>43963</v>
      </c>
      <c r="L1071" s="24">
        <v>11331.93</v>
      </c>
      <c r="M1071" s="25">
        <f t="shared" si="134"/>
        <v>-4.717642978733466E-3</v>
      </c>
      <c r="O1071" t="b">
        <f t="shared" si="132"/>
        <v>1</v>
      </c>
      <c r="Q1071" s="25">
        <f t="shared" si="130"/>
        <v>-0.18044675040645219</v>
      </c>
      <c r="R1071" s="25">
        <f t="shared" ref="R1071:R1134" si="142">((L1071/L579)^(1/2))-1</f>
        <v>-9.5039961811254625E-2</v>
      </c>
      <c r="S1071" s="25">
        <f t="shared" si="139"/>
        <v>-2.0995422978110079E-2</v>
      </c>
      <c r="T1071" s="25">
        <f t="shared" si="136"/>
        <v>4.7063257199497777E-2</v>
      </c>
      <c r="X1071">
        <f t="shared" si="131"/>
        <v>1</v>
      </c>
      <c r="Y1071">
        <f t="shared" ref="Y1071:Y1134" si="143">IF(F1071&gt;R1071,1,0)</f>
        <v>1</v>
      </c>
      <c r="Z1071">
        <f t="shared" si="140"/>
        <v>0</v>
      </c>
      <c r="AA1071">
        <f t="shared" si="137"/>
        <v>1</v>
      </c>
    </row>
    <row r="1072" spans="1:27">
      <c r="A1072" s="26">
        <v>43964</v>
      </c>
      <c r="B1072" s="23">
        <v>635.01</v>
      </c>
      <c r="C1072" s="25">
        <f t="shared" si="133"/>
        <v>1.6536466670935585E-2</v>
      </c>
      <c r="E1072" s="25">
        <f t="shared" si="129"/>
        <v>-0.15353443794238797</v>
      </c>
      <c r="F1072" s="25">
        <f t="shared" si="141"/>
        <v>-8.6240074801169242E-2</v>
      </c>
      <c r="G1072" s="25">
        <f t="shared" si="138"/>
        <v>-1.8661484632732095E-2</v>
      </c>
      <c r="H1072" s="25">
        <f t="shared" si="135"/>
        <v>6.3039151335383181E-2</v>
      </c>
      <c r="K1072" s="28">
        <v>43964</v>
      </c>
      <c r="L1072" s="23">
        <v>11551.54</v>
      </c>
      <c r="M1072" s="25">
        <f t="shared" si="134"/>
        <v>1.9011317971456668E-2</v>
      </c>
      <c r="O1072" t="b">
        <f t="shared" si="132"/>
        <v>1</v>
      </c>
      <c r="Q1072" s="25">
        <f t="shared" si="130"/>
        <v>-0.16371726262871955</v>
      </c>
      <c r="R1072" s="25">
        <f t="shared" si="142"/>
        <v>-8.6364259499810081E-2</v>
      </c>
      <c r="S1072" s="25">
        <f t="shared" si="139"/>
        <v>-1.5138149401066947E-2</v>
      </c>
      <c r="T1072" s="25">
        <f t="shared" si="136"/>
        <v>5.1065031619142109E-2</v>
      </c>
      <c r="X1072">
        <f t="shared" si="131"/>
        <v>1</v>
      </c>
      <c r="Y1072">
        <f t="shared" si="143"/>
        <v>1</v>
      </c>
      <c r="Z1072">
        <f t="shared" si="140"/>
        <v>0</v>
      </c>
      <c r="AA1072">
        <f t="shared" si="137"/>
        <v>1</v>
      </c>
    </row>
    <row r="1073" spans="1:27">
      <c r="A1073" s="27">
        <v>43965</v>
      </c>
      <c r="B1073" s="24">
        <v>623.14</v>
      </c>
      <c r="C1073" s="25">
        <f t="shared" si="133"/>
        <v>-1.8692619013873805E-2</v>
      </c>
      <c r="E1073" s="25">
        <f t="shared" si="129"/>
        <v>-0.15277834427811998</v>
      </c>
      <c r="F1073" s="25">
        <f t="shared" si="141"/>
        <v>-9.3831163042062182E-2</v>
      </c>
      <c r="G1073" s="25">
        <f t="shared" si="138"/>
        <v>-2.3222620185583187E-2</v>
      </c>
      <c r="H1073" s="25">
        <f t="shared" si="135"/>
        <v>5.7727901165150142E-2</v>
      </c>
      <c r="K1073" s="29">
        <v>43965</v>
      </c>
      <c r="L1073" s="24">
        <v>11321.91</v>
      </c>
      <c r="M1073" s="25">
        <f t="shared" si="134"/>
        <v>-2.0281913564054212E-2</v>
      </c>
      <c r="O1073" t="b">
        <f t="shared" si="132"/>
        <v>1</v>
      </c>
      <c r="Q1073" s="25">
        <f t="shared" si="130"/>
        <v>-0.16868573912443308</v>
      </c>
      <c r="R1073" s="25">
        <f t="shared" si="142"/>
        <v>-9.545256584239914E-2</v>
      </c>
      <c r="S1073" s="25">
        <f t="shared" si="139"/>
        <v>-2.0461190782395389E-2</v>
      </c>
      <c r="T1073" s="25">
        <f t="shared" si="136"/>
        <v>4.4955593906641944E-2</v>
      </c>
      <c r="X1073">
        <f t="shared" si="131"/>
        <v>1</v>
      </c>
      <c r="Y1073">
        <f t="shared" si="143"/>
        <v>1</v>
      </c>
      <c r="Z1073">
        <f t="shared" si="140"/>
        <v>0</v>
      </c>
      <c r="AA1073">
        <f t="shared" si="137"/>
        <v>1</v>
      </c>
    </row>
    <row r="1074" spans="1:27">
      <c r="A1074" s="26">
        <v>43966</v>
      </c>
      <c r="B1074" s="23">
        <v>622.29999999999995</v>
      </c>
      <c r="C1074" s="25">
        <f t="shared" si="133"/>
        <v>-1.3480116827679683E-3</v>
      </c>
      <c r="E1074" s="25">
        <f t="shared" si="129"/>
        <v>-0.15956512931325562</v>
      </c>
      <c r="F1074" s="25">
        <f t="shared" si="141"/>
        <v>-9.2694873394803534E-2</v>
      </c>
      <c r="G1074" s="25">
        <f t="shared" si="138"/>
        <v>-2.6213344938344485E-2</v>
      </c>
      <c r="H1074" s="25">
        <f t="shared" si="135"/>
        <v>5.7456237223822537E-2</v>
      </c>
      <c r="K1074" s="28">
        <v>43966</v>
      </c>
      <c r="L1074" s="23">
        <v>11306.13</v>
      </c>
      <c r="M1074" s="25">
        <f t="shared" si="134"/>
        <v>-1.3957030389709526E-3</v>
      </c>
      <c r="O1074" t="b">
        <f t="shared" si="132"/>
        <v>1</v>
      </c>
      <c r="Q1074" s="25">
        <f t="shared" si="130"/>
        <v>-0.17456452683291523</v>
      </c>
      <c r="R1074" s="25">
        <f t="shared" si="142"/>
        <v>-9.3293698039907835E-2</v>
      </c>
      <c r="S1074" s="25">
        <f t="shared" si="139"/>
        <v>-2.2956928465975857E-2</v>
      </c>
      <c r="T1074" s="25">
        <f t="shared" si="136"/>
        <v>4.4912765633916996E-2</v>
      </c>
      <c r="X1074">
        <f t="shared" si="131"/>
        <v>1</v>
      </c>
      <c r="Y1074">
        <f t="shared" si="143"/>
        <v>1</v>
      </c>
      <c r="Z1074">
        <f t="shared" si="140"/>
        <v>0</v>
      </c>
      <c r="AA1074">
        <f t="shared" si="137"/>
        <v>1</v>
      </c>
    </row>
    <row r="1075" spans="1:27">
      <c r="A1075" s="27">
        <v>43969</v>
      </c>
      <c r="B1075" s="24">
        <v>597.87</v>
      </c>
      <c r="C1075" s="25">
        <f t="shared" si="133"/>
        <v>-3.9257592800899813E-2</v>
      </c>
      <c r="E1075" s="25">
        <f t="shared" si="129"/>
        <v>-0.18711335300276011</v>
      </c>
      <c r="F1075" s="25">
        <f t="shared" si="141"/>
        <v>-0.11356243818998446</v>
      </c>
      <c r="G1075" s="25">
        <f t="shared" si="138"/>
        <v>-4.0680503554960112E-2</v>
      </c>
      <c r="H1075" s="25">
        <f t="shared" si="135"/>
        <v>4.9003922876858397E-2</v>
      </c>
      <c r="K1075" s="29">
        <v>43969</v>
      </c>
      <c r="L1075" s="24">
        <v>10916.21</v>
      </c>
      <c r="M1075" s="25">
        <f t="shared" si="134"/>
        <v>-3.5719356809735259E-2</v>
      </c>
      <c r="O1075" t="b">
        <f t="shared" si="132"/>
        <v>1</v>
      </c>
      <c r="Q1075" s="25">
        <f t="shared" si="130"/>
        <v>-0.19848437456404289</v>
      </c>
      <c r="R1075" s="25">
        <f t="shared" si="142"/>
        <v>-0.111690610283111</v>
      </c>
      <c r="S1075" s="25">
        <f t="shared" si="139"/>
        <v>-3.6158491878890753E-2</v>
      </c>
      <c r="T1075" s="25">
        <f t="shared" si="136"/>
        <v>3.8740827930777488E-2</v>
      </c>
      <c r="X1075">
        <f t="shared" si="131"/>
        <v>1</v>
      </c>
      <c r="Y1075">
        <f t="shared" si="143"/>
        <v>0</v>
      </c>
      <c r="Z1075">
        <f t="shared" si="140"/>
        <v>0</v>
      </c>
      <c r="AA1075">
        <f t="shared" si="137"/>
        <v>1</v>
      </c>
    </row>
    <row r="1076" spans="1:27">
      <c r="A1076" s="26">
        <v>43970</v>
      </c>
      <c r="B1076" s="23">
        <v>605.45000000000005</v>
      </c>
      <c r="C1076" s="25">
        <f t="shared" si="133"/>
        <v>1.2678341445464801E-2</v>
      </c>
      <c r="E1076" s="25">
        <f t="shared" si="129"/>
        <v>-0.18493040036617214</v>
      </c>
      <c r="F1076" s="25">
        <f t="shared" si="141"/>
        <v>-0.10673906294127289</v>
      </c>
      <c r="G1076" s="25">
        <f t="shared" si="138"/>
        <v>-3.6880300453453696E-2</v>
      </c>
      <c r="H1076" s="25">
        <f t="shared" si="135"/>
        <v>5.3344015354925167E-2</v>
      </c>
      <c r="K1076" s="28">
        <v>43970</v>
      </c>
      <c r="L1076" s="23">
        <v>10975.77</v>
      </c>
      <c r="M1076" s="25">
        <f t="shared" si="134"/>
        <v>5.4264985508990539E-3</v>
      </c>
      <c r="O1076" t="b">
        <f t="shared" si="132"/>
        <v>1</v>
      </c>
      <c r="Q1076" s="25">
        <f t="shared" si="130"/>
        <v>-0.1995039095747202</v>
      </c>
      <c r="R1076" s="25">
        <f t="shared" si="142"/>
        <v>-0.1080184746480124</v>
      </c>
      <c r="S1076" s="25">
        <f t="shared" si="139"/>
        <v>-3.4322383762246056E-2</v>
      </c>
      <c r="T1076" s="25">
        <f t="shared" si="136"/>
        <v>4.1485795974976591E-2</v>
      </c>
      <c r="X1076">
        <f t="shared" si="131"/>
        <v>1</v>
      </c>
      <c r="Y1076">
        <f t="shared" si="143"/>
        <v>1</v>
      </c>
      <c r="Z1076">
        <f t="shared" si="140"/>
        <v>0</v>
      </c>
      <c r="AA1076">
        <f t="shared" si="137"/>
        <v>1</v>
      </c>
    </row>
    <row r="1077" spans="1:27">
      <c r="A1077" s="27">
        <v>43971</v>
      </c>
      <c r="B1077" s="24">
        <v>616.70000000000005</v>
      </c>
      <c r="C1077" s="25">
        <f t="shared" si="133"/>
        <v>1.8581220579734079E-2</v>
      </c>
      <c r="E1077" s="25">
        <f t="shared" si="129"/>
        <v>-0.17850006660450246</v>
      </c>
      <c r="F1077" s="25">
        <f t="shared" si="141"/>
        <v>-9.7264005270069398E-2</v>
      </c>
      <c r="G1077" s="25">
        <f t="shared" si="138"/>
        <v>-2.5290345146549154E-2</v>
      </c>
      <c r="H1077" s="25">
        <f t="shared" si="135"/>
        <v>5.9314399875561419E-2</v>
      </c>
      <c r="K1077" s="29">
        <v>43971</v>
      </c>
      <c r="L1077" s="24">
        <v>11190.26</v>
      </c>
      <c r="M1077" s="25">
        <f t="shared" si="134"/>
        <v>1.9167561790342652E-2</v>
      </c>
      <c r="O1077" t="b">
        <f t="shared" si="132"/>
        <v>1</v>
      </c>
      <c r="Q1077" s="25">
        <f t="shared" si="130"/>
        <v>-0.1933139608229304</v>
      </c>
      <c r="R1077" s="25">
        <f t="shared" si="142"/>
        <v>-9.8203584888241102E-2</v>
      </c>
      <c r="S1077" s="25">
        <f t="shared" si="139"/>
        <v>-2.3522819463063116E-2</v>
      </c>
      <c r="T1077" s="25">
        <f t="shared" si="136"/>
        <v>4.7253542803018078E-2</v>
      </c>
      <c r="X1077">
        <f t="shared" si="131"/>
        <v>1</v>
      </c>
      <c r="Y1077">
        <f t="shared" si="143"/>
        <v>1</v>
      </c>
      <c r="Z1077">
        <f t="shared" si="140"/>
        <v>0</v>
      </c>
      <c r="AA1077">
        <f t="shared" si="137"/>
        <v>1</v>
      </c>
    </row>
    <row r="1078" spans="1:27">
      <c r="A1078" s="26">
        <v>43972</v>
      </c>
      <c r="B1078" s="23">
        <v>619.33000000000004</v>
      </c>
      <c r="C1078" s="25">
        <f t="shared" si="133"/>
        <v>4.2646343440895006E-3</v>
      </c>
      <c r="E1078" s="25">
        <f t="shared" si="129"/>
        <v>-0.19871396781038131</v>
      </c>
      <c r="F1078" s="25">
        <f t="shared" si="141"/>
        <v>-9.3187630878377337E-2</v>
      </c>
      <c r="G1078" s="25">
        <f t="shared" si="138"/>
        <v>-2.3060033393098811E-2</v>
      </c>
      <c r="H1078" s="25">
        <f t="shared" si="135"/>
        <v>6.0582784725409899E-2</v>
      </c>
      <c r="K1078" s="28">
        <v>43972</v>
      </c>
      <c r="L1078" s="23">
        <v>11256.18</v>
      </c>
      <c r="M1078" s="25">
        <f t="shared" si="134"/>
        <v>5.8563384736207199E-3</v>
      </c>
      <c r="O1078" t="b">
        <f t="shared" si="132"/>
        <v>1</v>
      </c>
      <c r="Q1078" s="25">
        <f t="shared" si="130"/>
        <v>-0.21727611436931793</v>
      </c>
      <c r="R1078" s="25">
        <f t="shared" si="142"/>
        <v>-9.3748236057697998E-2</v>
      </c>
      <c r="S1078" s="25">
        <f t="shared" si="139"/>
        <v>-2.0782020865725226E-2</v>
      </c>
      <c r="T1078" s="25">
        <f t="shared" si="136"/>
        <v>4.8657773011855365E-2</v>
      </c>
      <c r="X1078">
        <f t="shared" si="131"/>
        <v>1</v>
      </c>
      <c r="Y1078">
        <f t="shared" si="143"/>
        <v>1</v>
      </c>
      <c r="Z1078">
        <f t="shared" si="140"/>
        <v>0</v>
      </c>
      <c r="AA1078">
        <f t="shared" si="137"/>
        <v>1</v>
      </c>
    </row>
    <row r="1079" spans="1:27">
      <c r="A1079" s="27">
        <v>43973</v>
      </c>
      <c r="B1079" s="24">
        <v>614.09</v>
      </c>
      <c r="C1079" s="25">
        <f t="shared" si="133"/>
        <v>-8.460755978234558E-3</v>
      </c>
      <c r="E1079" s="25">
        <f t="shared" si="129"/>
        <v>-0.19738338278156076</v>
      </c>
      <c r="F1079" s="25">
        <f t="shared" si="141"/>
        <v>-9.6185521301216492E-2</v>
      </c>
      <c r="G1079" s="25">
        <f t="shared" si="138"/>
        <v>-2.4337244403010549E-2</v>
      </c>
      <c r="H1079" s="25">
        <f t="shared" si="135"/>
        <v>5.4104685872383484E-2</v>
      </c>
      <c r="K1079" s="29">
        <v>43973</v>
      </c>
      <c r="L1079" s="24">
        <v>11173.94</v>
      </c>
      <c r="M1079" s="25">
        <f t="shared" si="134"/>
        <v>-7.3599822444007914E-3</v>
      </c>
      <c r="O1079" t="b">
        <f t="shared" si="132"/>
        <v>1</v>
      </c>
      <c r="Q1079" s="25">
        <f t="shared" si="130"/>
        <v>-0.21545259163926633</v>
      </c>
      <c r="R1079" s="25">
        <f t="shared" si="142"/>
        <v>-9.5899548038396731E-2</v>
      </c>
      <c r="S1079" s="25">
        <f t="shared" si="139"/>
        <v>-2.2264053733585532E-2</v>
      </c>
      <c r="T1079" s="25">
        <f t="shared" si="136"/>
        <v>4.16353193192458E-2</v>
      </c>
      <c r="X1079">
        <f t="shared" si="131"/>
        <v>1</v>
      </c>
      <c r="Y1079">
        <f t="shared" si="143"/>
        <v>0</v>
      </c>
      <c r="Z1079">
        <f t="shared" si="140"/>
        <v>0</v>
      </c>
      <c r="AA1079">
        <f t="shared" si="137"/>
        <v>1</v>
      </c>
    </row>
    <row r="1080" spans="1:27">
      <c r="A1080" s="26">
        <v>43977</v>
      </c>
      <c r="B1080" s="23">
        <v>614.1</v>
      </c>
      <c r="C1080" s="25">
        <f t="shared" si="133"/>
        <v>1.6284258007769065E-5</v>
      </c>
      <c r="E1080" s="25">
        <f t="shared" ref="E1080:E1143" si="144">(B1080/B835)-1</f>
        <v>-0.20061961417302332</v>
      </c>
      <c r="F1080" s="25">
        <f t="shared" si="141"/>
        <v>-9.2141642883868391E-2</v>
      </c>
      <c r="G1080" s="25">
        <f t="shared" si="138"/>
        <v>-2.2604312453167075E-2</v>
      </c>
      <c r="H1080" s="25">
        <f t="shared" si="135"/>
        <v>5.1963570020746808E-2</v>
      </c>
      <c r="K1080" s="28">
        <v>43977</v>
      </c>
      <c r="L1080" s="23">
        <v>11186.72</v>
      </c>
      <c r="M1080" s="25">
        <f t="shared" si="134"/>
        <v>1.1424260194229261E-3</v>
      </c>
      <c r="O1080" t="b">
        <f t="shared" si="132"/>
        <v>1</v>
      </c>
      <c r="Q1080" s="25">
        <f t="shared" ref="Q1080:Q1143" si="145">(L1080/L835)-1</f>
        <v>-0.2167188190342022</v>
      </c>
      <c r="R1080" s="25">
        <f t="shared" si="142"/>
        <v>-9.0717916390649189E-2</v>
      </c>
      <c r="S1080" s="25">
        <f t="shared" si="139"/>
        <v>-1.8867964462166431E-2</v>
      </c>
      <c r="T1080" s="25">
        <f t="shared" si="136"/>
        <v>3.8101749923635131E-2</v>
      </c>
      <c r="X1080">
        <f t="shared" ref="X1080:X1143" si="146">IF(E1080&gt;Q1080,1,0)</f>
        <v>1</v>
      </c>
      <c r="Y1080">
        <f t="shared" si="143"/>
        <v>0</v>
      </c>
      <c r="Z1080">
        <f t="shared" si="140"/>
        <v>0</v>
      </c>
      <c r="AA1080">
        <f t="shared" si="137"/>
        <v>1</v>
      </c>
    </row>
    <row r="1081" spans="1:27">
      <c r="A1081" s="27">
        <v>43978</v>
      </c>
      <c r="B1081" s="24">
        <v>627.80999999999995</v>
      </c>
      <c r="C1081" s="25">
        <f t="shared" si="133"/>
        <v>2.2325354176844035E-2</v>
      </c>
      <c r="E1081" s="25">
        <f t="shared" si="144"/>
        <v>-0.17933333333333346</v>
      </c>
      <c r="F1081" s="25">
        <f t="shared" si="141"/>
        <v>-7.6362063606441044E-2</v>
      </c>
      <c r="G1081" s="25">
        <f t="shared" si="138"/>
        <v>-1.2391958248390789E-2</v>
      </c>
      <c r="H1081" s="25">
        <f t="shared" si="135"/>
        <v>5.5635242996014744E-2</v>
      </c>
      <c r="K1081" s="29">
        <v>43978</v>
      </c>
      <c r="L1081" s="24">
        <v>11444.46</v>
      </c>
      <c r="M1081" s="25">
        <f t="shared" si="134"/>
        <v>2.2520940262799626E-2</v>
      </c>
      <c r="O1081" t="b">
        <f t="shared" si="132"/>
        <v>1</v>
      </c>
      <c r="Q1081" s="25">
        <f t="shared" si="145"/>
        <v>-0.19486291973575909</v>
      </c>
      <c r="R1081" s="25">
        <f t="shared" si="142"/>
        <v>-7.5243475425504691E-2</v>
      </c>
      <c r="S1081" s="25">
        <f t="shared" si="139"/>
        <v>-9.2808420924537227E-3</v>
      </c>
      <c r="T1081" s="25">
        <f t="shared" si="136"/>
        <v>4.1261786125717848E-2</v>
      </c>
      <c r="X1081">
        <f t="shared" si="146"/>
        <v>1</v>
      </c>
      <c r="Y1081">
        <f t="shared" si="143"/>
        <v>0</v>
      </c>
      <c r="Z1081">
        <f t="shared" si="140"/>
        <v>0</v>
      </c>
      <c r="AA1081">
        <f t="shared" si="137"/>
        <v>1</v>
      </c>
    </row>
    <row r="1082" spans="1:27">
      <c r="A1082" s="26">
        <v>43979</v>
      </c>
      <c r="B1082" s="23">
        <v>637.69000000000005</v>
      </c>
      <c r="C1082" s="25">
        <f t="shared" si="133"/>
        <v>1.5737245344929374E-2</v>
      </c>
      <c r="E1082" s="25">
        <f t="shared" si="144"/>
        <v>-0.18542504949862681</v>
      </c>
      <c r="F1082" s="25">
        <f t="shared" si="141"/>
        <v>-7.1698732499387741E-2</v>
      </c>
      <c r="G1082" s="25">
        <f t="shared" si="138"/>
        <v>-1.169148491716665E-2</v>
      </c>
      <c r="H1082" s="25">
        <f t="shared" si="135"/>
        <v>5.91309941219893E-2</v>
      </c>
      <c r="K1082" s="28">
        <v>43979</v>
      </c>
      <c r="L1082" s="23">
        <v>11650.41</v>
      </c>
      <c r="M1082" s="25">
        <f t="shared" si="134"/>
        <v>1.7677489461744328E-2</v>
      </c>
      <c r="O1082" t="b">
        <f t="shared" si="132"/>
        <v>1</v>
      </c>
      <c r="Q1082" s="25">
        <f t="shared" si="145"/>
        <v>-0.19465950157744416</v>
      </c>
      <c r="R1082" s="25">
        <f t="shared" si="142"/>
        <v>-6.8848353197445422E-2</v>
      </c>
      <c r="S1082" s="25">
        <f t="shared" si="139"/>
        <v>-8.5393059046119379E-3</v>
      </c>
      <c r="T1082" s="25">
        <f t="shared" si="136"/>
        <v>4.4710953233985107E-2</v>
      </c>
      <c r="X1082">
        <f t="shared" si="146"/>
        <v>1</v>
      </c>
      <c r="Y1082">
        <f t="shared" si="143"/>
        <v>0</v>
      </c>
      <c r="Z1082">
        <f t="shared" si="140"/>
        <v>0</v>
      </c>
      <c r="AA1082">
        <f t="shared" si="137"/>
        <v>1</v>
      </c>
    </row>
    <row r="1083" spans="1:27">
      <c r="A1083" s="27">
        <v>43980</v>
      </c>
      <c r="B1083" s="24">
        <v>645.34</v>
      </c>
      <c r="C1083" s="25">
        <f t="shared" si="133"/>
        <v>1.1996424595022624E-2</v>
      </c>
      <c r="E1083" s="25">
        <f t="shared" si="144"/>
        <v>-0.18286568071312803</v>
      </c>
      <c r="F1083" s="25">
        <f t="shared" si="141"/>
        <v>-6.0923317337786442E-2</v>
      </c>
      <c r="G1083" s="25">
        <f t="shared" si="138"/>
        <v>-1.2019110645861364E-2</v>
      </c>
      <c r="H1083" s="25">
        <f t="shared" si="135"/>
        <v>6.2115147175272778E-2</v>
      </c>
      <c r="K1083" s="29">
        <v>43980</v>
      </c>
      <c r="L1083" s="24">
        <v>11793.53</v>
      </c>
      <c r="M1083" s="25">
        <f t="shared" si="134"/>
        <v>1.2135467497856944E-2</v>
      </c>
      <c r="O1083" t="b">
        <f t="shared" si="132"/>
        <v>1</v>
      </c>
      <c r="Q1083" s="25">
        <f t="shared" si="145"/>
        <v>-0.19166478180110891</v>
      </c>
      <c r="R1083" s="25">
        <f t="shared" si="142"/>
        <v>-5.9241755914865135E-2</v>
      </c>
      <c r="S1083" s="25">
        <f t="shared" si="139"/>
        <v>-8.4625514108025435E-3</v>
      </c>
      <c r="T1083" s="25">
        <f t="shared" si="136"/>
        <v>4.8530037423980765E-2</v>
      </c>
      <c r="X1083">
        <f t="shared" si="146"/>
        <v>1</v>
      </c>
      <c r="Y1083">
        <f t="shared" si="143"/>
        <v>0</v>
      </c>
      <c r="Z1083">
        <f t="shared" si="140"/>
        <v>0</v>
      </c>
      <c r="AA1083">
        <f t="shared" si="137"/>
        <v>1</v>
      </c>
    </row>
    <row r="1084" spans="1:27">
      <c r="A1084" s="26">
        <v>43983</v>
      </c>
      <c r="B1084" s="23">
        <v>658.82</v>
      </c>
      <c r="C1084" s="25">
        <f t="shared" si="133"/>
        <v>2.0888213964731797E-2</v>
      </c>
      <c r="E1084" s="25">
        <f t="shared" si="144"/>
        <v>-0.1659556151966679</v>
      </c>
      <c r="F1084" s="25">
        <f t="shared" si="141"/>
        <v>-5.2369726628638036E-2</v>
      </c>
      <c r="G1084" s="25">
        <f t="shared" si="138"/>
        <v>-4.0998051674476788E-3</v>
      </c>
      <c r="H1084" s="25">
        <f t="shared" si="135"/>
        <v>6.7892510137407269E-2</v>
      </c>
      <c r="K1084" s="28">
        <v>43983</v>
      </c>
      <c r="L1084" s="23">
        <v>12092.03</v>
      </c>
      <c r="M1084" s="25">
        <f t="shared" si="134"/>
        <v>2.4685681395100738E-2</v>
      </c>
      <c r="O1084" t="b">
        <f t="shared" si="132"/>
        <v>1</v>
      </c>
      <c r="Q1084" s="25">
        <f t="shared" si="145"/>
        <v>-0.17213486253857924</v>
      </c>
      <c r="R1084" s="25">
        <f t="shared" si="142"/>
        <v>-4.9804911306391197E-2</v>
      </c>
      <c r="S1084" s="25">
        <f t="shared" si="139"/>
        <v>1.1034313371953708E-3</v>
      </c>
      <c r="T1084" s="25">
        <f t="shared" si="136"/>
        <v>5.4660323145918621E-2</v>
      </c>
      <c r="X1084">
        <f t="shared" si="146"/>
        <v>1</v>
      </c>
      <c r="Y1084">
        <f t="shared" si="143"/>
        <v>0</v>
      </c>
      <c r="Z1084">
        <f t="shared" si="140"/>
        <v>0</v>
      </c>
      <c r="AA1084">
        <f t="shared" si="137"/>
        <v>1</v>
      </c>
    </row>
    <row r="1085" spans="1:27">
      <c r="A1085" s="27">
        <v>43984</v>
      </c>
      <c r="B1085" s="24">
        <v>666.54</v>
      </c>
      <c r="C1085" s="25">
        <f t="shared" si="133"/>
        <v>1.1717919917427997E-2</v>
      </c>
      <c r="E1085" s="25">
        <f t="shared" si="144"/>
        <v>-0.14874650387606803</v>
      </c>
      <c r="F1085" s="25">
        <f t="shared" si="141"/>
        <v>-5.3684003117856149E-2</v>
      </c>
      <c r="G1085" s="25">
        <f t="shared" si="138"/>
        <v>-2.2750432042425439E-3</v>
      </c>
      <c r="H1085" s="25">
        <f t="shared" si="135"/>
        <v>6.9726716891395757E-2</v>
      </c>
      <c r="K1085" s="29">
        <v>43984</v>
      </c>
      <c r="L1085" s="24">
        <v>12268.95</v>
      </c>
      <c r="M1085" s="25">
        <f t="shared" si="134"/>
        <v>1.4420141902933835E-2</v>
      </c>
      <c r="O1085" t="b">
        <f t="shared" si="132"/>
        <v>1</v>
      </c>
      <c r="Q1085" s="25">
        <f t="shared" si="145"/>
        <v>-0.15500189400461439</v>
      </c>
      <c r="R1085" s="25">
        <f t="shared" si="142"/>
        <v>-4.842253846673561E-2</v>
      </c>
      <c r="S1085" s="25">
        <f t="shared" si="139"/>
        <v>4.7770067309844677E-3</v>
      </c>
      <c r="T1085" s="25">
        <f t="shared" si="136"/>
        <v>5.7186589935669829E-2</v>
      </c>
      <c r="X1085">
        <f t="shared" si="146"/>
        <v>1</v>
      </c>
      <c r="Y1085">
        <f t="shared" si="143"/>
        <v>0</v>
      </c>
      <c r="Z1085">
        <f t="shared" si="140"/>
        <v>0</v>
      </c>
      <c r="AA1085">
        <f t="shared" si="137"/>
        <v>1</v>
      </c>
    </row>
    <row r="1086" spans="1:27">
      <c r="A1086" s="26">
        <v>43985</v>
      </c>
      <c r="B1086" s="23">
        <v>670.56</v>
      </c>
      <c r="C1086" s="25">
        <f t="shared" si="133"/>
        <v>6.0311459177243409E-3</v>
      </c>
      <c r="E1086" s="25">
        <f t="shared" si="144"/>
        <v>-0.14620761659812331</v>
      </c>
      <c r="F1086" s="25">
        <f t="shared" si="141"/>
        <v>-5.3829909085607253E-2</v>
      </c>
      <c r="G1086" s="25">
        <f t="shared" si="138"/>
        <v>-1.6795013922469293E-3</v>
      </c>
      <c r="H1086" s="25">
        <f t="shared" si="135"/>
        <v>7.1399151645213488E-2</v>
      </c>
      <c r="K1086" s="28">
        <v>43985</v>
      </c>
      <c r="L1086" s="23">
        <v>12369.15</v>
      </c>
      <c r="M1086" s="25">
        <f t="shared" si="134"/>
        <v>8.1007991656661064E-3</v>
      </c>
      <c r="O1086" t="b">
        <f t="shared" si="132"/>
        <v>1</v>
      </c>
      <c r="Q1086" s="25">
        <f t="shared" si="145"/>
        <v>-0.15316278124013705</v>
      </c>
      <c r="R1086" s="25">
        <f t="shared" si="142"/>
        <v>-4.9278318364201712E-2</v>
      </c>
      <c r="S1086" s="25">
        <f t="shared" si="139"/>
        <v>6.6187707156601938E-3</v>
      </c>
      <c r="T1086" s="25">
        <f t="shared" si="136"/>
        <v>5.9462308212751447E-2</v>
      </c>
      <c r="X1086">
        <f t="shared" si="146"/>
        <v>1</v>
      </c>
      <c r="Y1086">
        <f t="shared" si="143"/>
        <v>0</v>
      </c>
      <c r="Z1086">
        <f t="shared" si="140"/>
        <v>0</v>
      </c>
      <c r="AA1086">
        <f t="shared" si="137"/>
        <v>1</v>
      </c>
    </row>
    <row r="1087" spans="1:27">
      <c r="A1087" s="27">
        <v>43986</v>
      </c>
      <c r="B1087" s="24">
        <v>671.22</v>
      </c>
      <c r="C1087" s="25">
        <f t="shared" si="133"/>
        <v>9.8425196850405908E-4</v>
      </c>
      <c r="E1087" s="25">
        <f t="shared" si="144"/>
        <v>-0.14336034713802559</v>
      </c>
      <c r="F1087" s="25">
        <f t="shared" si="141"/>
        <v>-5.1087652821835583E-2</v>
      </c>
      <c r="G1087" s="25">
        <f t="shared" si="138"/>
        <v>-1.5890486554777095E-3</v>
      </c>
      <c r="H1087" s="25">
        <f t="shared" si="135"/>
        <v>7.2105369552972531E-2</v>
      </c>
      <c r="K1087" s="29">
        <v>43986</v>
      </c>
      <c r="L1087" s="24">
        <v>12343.37</v>
      </c>
      <c r="M1087" s="25">
        <f t="shared" si="134"/>
        <v>-2.0885706253639673E-3</v>
      </c>
      <c r="O1087" t="b">
        <f t="shared" si="132"/>
        <v>1</v>
      </c>
      <c r="Q1087" s="25">
        <f t="shared" si="145"/>
        <v>-0.15404279758563655</v>
      </c>
      <c r="R1087" s="25">
        <f t="shared" si="142"/>
        <v>-4.8392287311357363E-2</v>
      </c>
      <c r="S1087" s="25">
        <f t="shared" si="139"/>
        <v>5.0872260722785168E-3</v>
      </c>
      <c r="T1087" s="25">
        <f t="shared" si="136"/>
        <v>5.9279852530608634E-2</v>
      </c>
      <c r="X1087">
        <f t="shared" si="146"/>
        <v>1</v>
      </c>
      <c r="Y1087">
        <f t="shared" si="143"/>
        <v>0</v>
      </c>
      <c r="Z1087">
        <f t="shared" si="140"/>
        <v>0</v>
      </c>
      <c r="AA1087">
        <f t="shared" si="137"/>
        <v>1</v>
      </c>
    </row>
    <row r="1088" spans="1:27">
      <c r="A1088" s="26">
        <v>43987</v>
      </c>
      <c r="B1088" s="23">
        <v>681.71</v>
      </c>
      <c r="C1088" s="25">
        <f t="shared" si="133"/>
        <v>1.5628258991090861E-2</v>
      </c>
      <c r="E1088" s="25">
        <f t="shared" si="144"/>
        <v>-0.13933111972426682</v>
      </c>
      <c r="F1088" s="25">
        <f t="shared" si="141"/>
        <v>-4.3117236938136627E-2</v>
      </c>
      <c r="G1088" s="25">
        <f t="shared" si="138"/>
        <v>2.3729252259172551E-3</v>
      </c>
      <c r="H1088" s="25">
        <f t="shared" si="135"/>
        <v>7.4424174808579435E-2</v>
      </c>
      <c r="K1088" s="28">
        <v>43987</v>
      </c>
      <c r="L1088" s="23">
        <v>12514.41</v>
      </c>
      <c r="M1088" s="25">
        <f t="shared" si="134"/>
        <v>1.3667444170360333E-2</v>
      </c>
      <c r="O1088" t="b">
        <f t="shared" si="132"/>
        <v>1</v>
      </c>
      <c r="Q1088" s="25">
        <f t="shared" si="145"/>
        <v>-0.15252551177615048</v>
      </c>
      <c r="R1088" s="25">
        <f t="shared" si="142"/>
        <v>-4.10145262641749E-2</v>
      </c>
      <c r="S1088" s="25">
        <f t="shared" si="139"/>
        <v>8.1247749581934148E-3</v>
      </c>
      <c r="T1088" s="25">
        <f t="shared" si="136"/>
        <v>6.0923111910917926E-2</v>
      </c>
      <c r="X1088">
        <f t="shared" si="146"/>
        <v>1</v>
      </c>
      <c r="Y1088">
        <f t="shared" si="143"/>
        <v>0</v>
      </c>
      <c r="Z1088">
        <f t="shared" si="140"/>
        <v>0</v>
      </c>
      <c r="AA1088">
        <f t="shared" si="137"/>
        <v>1</v>
      </c>
    </row>
    <row r="1089" spans="1:27">
      <c r="A1089" s="27">
        <v>43990</v>
      </c>
      <c r="B1089" s="24">
        <v>682.79</v>
      </c>
      <c r="C1089" s="25">
        <f t="shared" si="133"/>
        <v>1.5842513678835973E-3</v>
      </c>
      <c r="E1089" s="25">
        <f t="shared" si="144"/>
        <v>-0.13267872567450845</v>
      </c>
      <c r="F1089" s="25">
        <f t="shared" si="141"/>
        <v>-4.4104066439277223E-2</v>
      </c>
      <c r="G1089" s="25">
        <f t="shared" si="138"/>
        <v>1.6899619211581118E-3</v>
      </c>
      <c r="H1089" s="25">
        <f t="shared" si="135"/>
        <v>7.4246236737260274E-2</v>
      </c>
      <c r="K1089" s="29">
        <v>43990</v>
      </c>
      <c r="L1089" s="24">
        <v>12551.5</v>
      </c>
      <c r="M1089" s="25">
        <f t="shared" si="134"/>
        <v>2.9550252957813924E-3</v>
      </c>
      <c r="O1089" t="b">
        <f t="shared" si="132"/>
        <v>1</v>
      </c>
      <c r="Q1089" s="25">
        <f t="shared" si="145"/>
        <v>-0.1462964235115195</v>
      </c>
      <c r="R1089" s="25">
        <f t="shared" si="142"/>
        <v>-4.3029672420292209E-2</v>
      </c>
      <c r="S1089" s="25">
        <f t="shared" si="139"/>
        <v>7.7007879591217687E-3</v>
      </c>
      <c r="T1089" s="25">
        <f t="shared" si="136"/>
        <v>6.1029597018039228E-2</v>
      </c>
      <c r="X1089">
        <f t="shared" si="146"/>
        <v>1</v>
      </c>
      <c r="Y1089">
        <f t="shared" si="143"/>
        <v>0</v>
      </c>
      <c r="Z1089">
        <f t="shared" si="140"/>
        <v>0</v>
      </c>
      <c r="AA1089">
        <f t="shared" si="137"/>
        <v>1</v>
      </c>
    </row>
    <row r="1090" spans="1:27">
      <c r="A1090" s="26">
        <v>43991</v>
      </c>
      <c r="B1090" s="23">
        <v>677.31</v>
      </c>
      <c r="C1090" s="25">
        <f t="shared" si="133"/>
        <v>-8.0258937594282556E-3</v>
      </c>
      <c r="E1090" s="25">
        <f t="shared" si="144"/>
        <v>-0.12298488909606498</v>
      </c>
      <c r="F1090" s="25">
        <f t="shared" si="141"/>
        <v>-4.4810835135320581E-2</v>
      </c>
      <c r="G1090" s="25">
        <f t="shared" si="138"/>
        <v>6.7021176079529177E-4</v>
      </c>
      <c r="H1090" s="25">
        <f t="shared" si="135"/>
        <v>7.276493123621619E-2</v>
      </c>
      <c r="K1090" s="28">
        <v>43991</v>
      </c>
      <c r="L1090" s="23">
        <v>12422.12</v>
      </c>
      <c r="M1090" s="25">
        <f t="shared" si="134"/>
        <v>-1.0415291431736225E-2</v>
      </c>
      <c r="O1090" t="b">
        <f t="shared" si="132"/>
        <v>1</v>
      </c>
      <c r="Q1090" s="25">
        <f t="shared" si="145"/>
        <v>-0.14183134544374321</v>
      </c>
      <c r="R1090" s="25">
        <f t="shared" si="142"/>
        <v>-4.4889119280815293E-2</v>
      </c>
      <c r="S1090" s="25">
        <f t="shared" si="139"/>
        <v>5.7579420052462638E-3</v>
      </c>
      <c r="T1090" s="25">
        <f t="shared" si="136"/>
        <v>5.9798172078765921E-2</v>
      </c>
      <c r="X1090">
        <f t="shared" si="146"/>
        <v>1</v>
      </c>
      <c r="Y1090">
        <f t="shared" si="143"/>
        <v>1</v>
      </c>
      <c r="Z1090">
        <f t="shared" si="140"/>
        <v>0</v>
      </c>
      <c r="AA1090">
        <f t="shared" si="137"/>
        <v>1</v>
      </c>
    </row>
    <row r="1091" spans="1:27">
      <c r="A1091" s="27">
        <v>43992</v>
      </c>
      <c r="B1091" s="24">
        <v>679.7</v>
      </c>
      <c r="C1091" s="25">
        <f t="shared" si="133"/>
        <v>3.5286648654236615E-3</v>
      </c>
      <c r="E1091" s="25">
        <f t="shared" si="144"/>
        <v>-0.1223335571509736</v>
      </c>
      <c r="F1091" s="25">
        <f t="shared" si="141"/>
        <v>-3.9647251072897793E-2</v>
      </c>
      <c r="G1091" s="25">
        <f t="shared" si="138"/>
        <v>7.6621607792648483E-4</v>
      </c>
      <c r="H1091" s="25">
        <f t="shared" si="135"/>
        <v>7.4873160534033145E-2</v>
      </c>
      <c r="K1091" s="29">
        <v>43992</v>
      </c>
      <c r="L1091" s="24">
        <v>12505.4</v>
      </c>
      <c r="M1091" s="25">
        <f t="shared" si="134"/>
        <v>6.6595230860267435E-3</v>
      </c>
      <c r="O1091" t="b">
        <f t="shared" ref="O1091:O1154" si="147">K1091=A1091</f>
        <v>1</v>
      </c>
      <c r="Q1091" s="25">
        <f t="shared" si="145"/>
        <v>-0.13726469569632693</v>
      </c>
      <c r="R1091" s="25">
        <f t="shared" si="142"/>
        <v>-3.7596262362941002E-2</v>
      </c>
      <c r="S1091" s="25">
        <f t="shared" si="139"/>
        <v>6.6319076284422351E-3</v>
      </c>
      <c r="T1091" s="25">
        <f t="shared" si="136"/>
        <v>6.2564405674850887E-2</v>
      </c>
      <c r="X1091">
        <f t="shared" si="146"/>
        <v>1</v>
      </c>
      <c r="Y1091">
        <f t="shared" si="143"/>
        <v>0</v>
      </c>
      <c r="Z1091">
        <f t="shared" si="140"/>
        <v>0</v>
      </c>
      <c r="AA1091">
        <f t="shared" si="137"/>
        <v>1</v>
      </c>
    </row>
    <row r="1092" spans="1:27">
      <c r="A1092" s="26">
        <v>43993</v>
      </c>
      <c r="B1092" s="23">
        <v>666.55</v>
      </c>
      <c r="C1092" s="25">
        <f t="shared" ref="C1092:C1155" si="148">(B1092-B1091)/B1091</f>
        <v>-1.9346770634103415E-2</v>
      </c>
      <c r="E1092" s="25">
        <f t="shared" si="144"/>
        <v>-0.14300959140116742</v>
      </c>
      <c r="F1092" s="25">
        <f t="shared" si="141"/>
        <v>-4.5987514785319372E-2</v>
      </c>
      <c r="G1092" s="25">
        <f t="shared" si="138"/>
        <v>-5.8274480400958284E-3</v>
      </c>
      <c r="H1092" s="25">
        <f t="shared" si="135"/>
        <v>7.110640159167847E-2</v>
      </c>
      <c r="K1092" s="28">
        <v>43993</v>
      </c>
      <c r="L1092" s="23">
        <v>12270.08</v>
      </c>
      <c r="M1092" s="25">
        <f t="shared" ref="M1092:M1155" si="149">(L1092-L1091)/L1092</f>
        <v>-1.9178359065303543E-2</v>
      </c>
      <c r="O1092" t="b">
        <f t="shared" si="147"/>
        <v>1</v>
      </c>
      <c r="Q1092" s="25">
        <f t="shared" si="145"/>
        <v>-0.15610103337402637</v>
      </c>
      <c r="R1092" s="25">
        <f t="shared" si="142"/>
        <v>-4.3278375421350268E-2</v>
      </c>
      <c r="S1092" s="25">
        <f t="shared" si="139"/>
        <v>3.5803710659587651E-4</v>
      </c>
      <c r="T1092" s="25">
        <f t="shared" si="136"/>
        <v>5.9352130900640843E-2</v>
      </c>
      <c r="X1092">
        <f t="shared" si="146"/>
        <v>1</v>
      </c>
      <c r="Y1092">
        <f t="shared" si="143"/>
        <v>0</v>
      </c>
      <c r="Z1092">
        <f t="shared" si="140"/>
        <v>0</v>
      </c>
      <c r="AA1092">
        <f t="shared" si="137"/>
        <v>1</v>
      </c>
    </row>
    <row r="1093" spans="1:27">
      <c r="A1093" s="27">
        <v>43994</v>
      </c>
      <c r="B1093" s="24">
        <v>671.72</v>
      </c>
      <c r="C1093" s="25">
        <f t="shared" si="148"/>
        <v>7.756357362538554E-3</v>
      </c>
      <c r="E1093" s="25">
        <f t="shared" si="144"/>
        <v>-0.14160479470435627</v>
      </c>
      <c r="F1093" s="25">
        <f t="shared" si="141"/>
        <v>-4.6471593791837851E-2</v>
      </c>
      <c r="G1093" s="25">
        <f t="shared" si="138"/>
        <v>-5.0596220726305541E-3</v>
      </c>
      <c r="H1093" s="25">
        <f t="shared" si="135"/>
        <v>7.3018478453522828E-2</v>
      </c>
      <c r="K1093" s="29">
        <v>43994</v>
      </c>
      <c r="L1093" s="24">
        <v>12359.8</v>
      </c>
      <c r="M1093" s="25">
        <f t="shared" si="149"/>
        <v>7.2590171361995625E-3</v>
      </c>
      <c r="O1093" t="b">
        <f t="shared" si="147"/>
        <v>1</v>
      </c>
      <c r="Q1093" s="25">
        <f t="shared" si="145"/>
        <v>-0.15333397268156357</v>
      </c>
      <c r="R1093" s="25">
        <f t="shared" si="142"/>
        <v>-4.4775448992918299E-2</v>
      </c>
      <c r="S1093" s="25">
        <f t="shared" si="139"/>
        <v>1.8539704978033367E-3</v>
      </c>
      <c r="T1093" s="25">
        <f t="shared" si="136"/>
        <v>6.0940785653396778E-2</v>
      </c>
      <c r="X1093">
        <f t="shared" si="146"/>
        <v>1</v>
      </c>
      <c r="Y1093">
        <f t="shared" si="143"/>
        <v>0</v>
      </c>
      <c r="Z1093">
        <f t="shared" si="140"/>
        <v>0</v>
      </c>
      <c r="AA1093">
        <f t="shared" si="137"/>
        <v>1</v>
      </c>
    </row>
    <row r="1094" spans="1:27">
      <c r="A1094" s="26">
        <v>43997</v>
      </c>
      <c r="B1094" s="23">
        <v>663.11</v>
      </c>
      <c r="C1094" s="25">
        <f t="shared" si="148"/>
        <v>-1.2817840766986265E-2</v>
      </c>
      <c r="E1094" s="25">
        <f t="shared" si="144"/>
        <v>-0.14791447148621217</v>
      </c>
      <c r="F1094" s="25">
        <f t="shared" si="141"/>
        <v>-5.6964178691831568E-2</v>
      </c>
      <c r="G1094" s="25">
        <f t="shared" si="138"/>
        <v>-8.0278862406861773E-3</v>
      </c>
      <c r="H1094" s="25">
        <f t="shared" si="135"/>
        <v>6.7311451920390564E-2</v>
      </c>
      <c r="K1094" s="28">
        <v>43997</v>
      </c>
      <c r="L1094" s="23">
        <v>12193.99</v>
      </c>
      <c r="M1094" s="25">
        <f t="shared" si="149"/>
        <v>-1.3597682136855901E-2</v>
      </c>
      <c r="O1094" t="b">
        <f t="shared" si="147"/>
        <v>1</v>
      </c>
      <c r="Q1094" s="25">
        <f t="shared" si="145"/>
        <v>-0.15997136983885551</v>
      </c>
      <c r="R1094" s="25">
        <f t="shared" si="142"/>
        <v>-5.6029439308266649E-2</v>
      </c>
      <c r="S1094" s="25">
        <f t="shared" si="139"/>
        <v>-9.2279342695389399E-4</v>
      </c>
      <c r="T1094" s="25">
        <f t="shared" si="136"/>
        <v>5.4611904841532111E-2</v>
      </c>
      <c r="X1094">
        <f t="shared" si="146"/>
        <v>1</v>
      </c>
      <c r="Y1094">
        <f t="shared" si="143"/>
        <v>0</v>
      </c>
      <c r="Z1094">
        <f t="shared" si="140"/>
        <v>0</v>
      </c>
      <c r="AA1094">
        <f t="shared" si="137"/>
        <v>1</v>
      </c>
    </row>
    <row r="1095" spans="1:27">
      <c r="A1095" s="27">
        <v>43998</v>
      </c>
      <c r="B1095" s="24">
        <v>668.58</v>
      </c>
      <c r="C1095" s="25">
        <f t="shared" si="148"/>
        <v>8.2490084601348594E-3</v>
      </c>
      <c r="E1095" s="25">
        <f t="shared" si="144"/>
        <v>-0.13934837737986427</v>
      </c>
      <c r="F1095" s="25">
        <f t="shared" si="141"/>
        <v>-5.3069912140736752E-2</v>
      </c>
      <c r="G1095" s="25">
        <f t="shared" si="138"/>
        <v>-5.8050881680905553E-3</v>
      </c>
      <c r="H1095" s="25">
        <f t="shared" si="135"/>
        <v>7.1550890487875218E-2</v>
      </c>
      <c r="K1095" s="29">
        <v>43998</v>
      </c>
      <c r="L1095" s="24">
        <v>12293.24</v>
      </c>
      <c r="M1095" s="25">
        <f t="shared" si="149"/>
        <v>8.0735428577006548E-3</v>
      </c>
      <c r="O1095" t="b">
        <f t="shared" si="147"/>
        <v>1</v>
      </c>
      <c r="Q1095" s="25">
        <f t="shared" si="145"/>
        <v>-0.15343858503806107</v>
      </c>
      <c r="R1095" s="25">
        <f t="shared" si="142"/>
        <v>-5.3022204159862363E-2</v>
      </c>
      <c r="S1095" s="25">
        <f t="shared" si="139"/>
        <v>1.7179378072866847E-3</v>
      </c>
      <c r="T1095" s="25">
        <f t="shared" si="136"/>
        <v>5.8294468049055137E-2</v>
      </c>
      <c r="X1095">
        <f t="shared" si="146"/>
        <v>1</v>
      </c>
      <c r="Y1095">
        <f t="shared" si="143"/>
        <v>0</v>
      </c>
      <c r="Z1095">
        <f t="shared" si="140"/>
        <v>0</v>
      </c>
      <c r="AA1095">
        <f t="shared" si="137"/>
        <v>1</v>
      </c>
    </row>
    <row r="1096" spans="1:27">
      <c r="A1096" s="26">
        <v>43999</v>
      </c>
      <c r="B1096" s="23">
        <v>669.27</v>
      </c>
      <c r="C1096" s="25">
        <f t="shared" si="148"/>
        <v>1.032038050794132E-3</v>
      </c>
      <c r="E1096" s="25">
        <f t="shared" si="144"/>
        <v>-0.13058106756388099</v>
      </c>
      <c r="F1096" s="25">
        <f t="shared" si="141"/>
        <v>-5.3608952846654567E-2</v>
      </c>
      <c r="G1096" s="25">
        <f t="shared" si="138"/>
        <v>-5.0047432893730592E-3</v>
      </c>
      <c r="H1096" s="25">
        <f t="shared" si="135"/>
        <v>7.1331132718346124E-2</v>
      </c>
      <c r="K1096" s="28">
        <v>43999</v>
      </c>
      <c r="L1096" s="23">
        <v>12275.42</v>
      </c>
      <c r="M1096" s="25">
        <f t="shared" si="149"/>
        <v>-1.451681490327802E-3</v>
      </c>
      <c r="O1096" t="b">
        <f t="shared" si="147"/>
        <v>1</v>
      </c>
      <c r="Q1096" s="25">
        <f t="shared" si="145"/>
        <v>-0.1479243035604092</v>
      </c>
      <c r="R1096" s="25">
        <f t="shared" si="142"/>
        <v>-5.4527479696799719E-2</v>
      </c>
      <c r="S1096" s="25">
        <f t="shared" si="139"/>
        <v>7.2390054709825513E-4</v>
      </c>
      <c r="T1096" s="25">
        <f t="shared" si="136"/>
        <v>5.7037099642865075E-2</v>
      </c>
      <c r="X1096">
        <f t="shared" si="146"/>
        <v>1</v>
      </c>
      <c r="Y1096">
        <f t="shared" si="143"/>
        <v>1</v>
      </c>
      <c r="Z1096">
        <f t="shared" si="140"/>
        <v>0</v>
      </c>
      <c r="AA1096">
        <f t="shared" si="137"/>
        <v>1</v>
      </c>
    </row>
    <row r="1097" spans="1:27">
      <c r="A1097" s="27">
        <v>44000</v>
      </c>
      <c r="B1097" s="24">
        <v>677.67</v>
      </c>
      <c r="C1097" s="25">
        <f t="shared" si="148"/>
        <v>1.2550988390335705E-2</v>
      </c>
      <c r="E1097" s="25">
        <f t="shared" si="144"/>
        <v>-0.10552783717430902</v>
      </c>
      <c r="F1097" s="25">
        <f t="shared" si="141"/>
        <v>-4.9448605969164894E-2</v>
      </c>
      <c r="G1097" s="25">
        <f t="shared" si="138"/>
        <v>-6.2881666438541206E-4</v>
      </c>
      <c r="H1097" s="25">
        <f t="shared" si="135"/>
        <v>7.2938921734122086E-2</v>
      </c>
      <c r="K1097" s="29">
        <v>44000</v>
      </c>
      <c r="L1097" s="24">
        <v>12491.6</v>
      </c>
      <c r="M1097" s="25">
        <f t="shared" si="149"/>
        <v>1.7306029651926118E-2</v>
      </c>
      <c r="O1097" t="b">
        <f t="shared" si="147"/>
        <v>1</v>
      </c>
      <c r="Q1097" s="25">
        <f t="shared" si="145"/>
        <v>-0.12144270310606531</v>
      </c>
      <c r="R1097" s="25">
        <f t="shared" si="142"/>
        <v>-4.8990195058236874E-2</v>
      </c>
      <c r="S1097" s="25">
        <f t="shared" si="139"/>
        <v>7.364017545246071E-3</v>
      </c>
      <c r="T1097" s="25">
        <f t="shared" si="136"/>
        <v>5.9771593397508482E-2</v>
      </c>
      <c r="X1097">
        <f t="shared" si="146"/>
        <v>1</v>
      </c>
      <c r="Y1097">
        <f t="shared" si="143"/>
        <v>0</v>
      </c>
      <c r="Z1097">
        <f t="shared" si="140"/>
        <v>0</v>
      </c>
      <c r="AA1097">
        <f t="shared" si="137"/>
        <v>1</v>
      </c>
    </row>
    <row r="1098" spans="1:27">
      <c r="A1098" s="26">
        <v>44001</v>
      </c>
      <c r="B1098" s="23">
        <v>685.92</v>
      </c>
      <c r="C1098" s="25">
        <f t="shared" si="148"/>
        <v>1.2174067023772633E-2</v>
      </c>
      <c r="E1098" s="25">
        <f t="shared" si="144"/>
        <v>-9.6915197556383559E-2</v>
      </c>
      <c r="F1098" s="25">
        <f t="shared" si="141"/>
        <v>-4.302911838032708E-2</v>
      </c>
      <c r="G1098" s="25">
        <f t="shared" si="138"/>
        <v>2.9820861330578374E-3</v>
      </c>
      <c r="H1098" s="25">
        <f t="shared" si="135"/>
        <v>7.6263300143744717E-2</v>
      </c>
      <c r="K1098" s="28">
        <v>44001</v>
      </c>
      <c r="L1098" s="23">
        <v>12674.39</v>
      </c>
      <c r="M1098" s="25">
        <f t="shared" si="149"/>
        <v>1.4421995851476802E-2</v>
      </c>
      <c r="O1098" t="b">
        <f t="shared" si="147"/>
        <v>1</v>
      </c>
      <c r="Q1098" s="25">
        <f t="shared" si="145"/>
        <v>-0.10930965540747095</v>
      </c>
      <c r="R1098" s="25">
        <f t="shared" si="142"/>
        <v>-4.2059119763122266E-2</v>
      </c>
      <c r="S1098" s="25">
        <f t="shared" si="139"/>
        <v>1.1798364624751478E-2</v>
      </c>
      <c r="T1098" s="25">
        <f t="shared" si="136"/>
        <v>6.3825132564099052E-2</v>
      </c>
      <c r="X1098">
        <f t="shared" si="146"/>
        <v>1</v>
      </c>
      <c r="Y1098">
        <f t="shared" si="143"/>
        <v>0</v>
      </c>
      <c r="Z1098">
        <f t="shared" si="140"/>
        <v>0</v>
      </c>
      <c r="AA1098">
        <f t="shared" si="137"/>
        <v>1</v>
      </c>
    </row>
    <row r="1099" spans="1:27">
      <c r="A1099" s="27">
        <v>44004</v>
      </c>
      <c r="B1099" s="24">
        <v>694.03</v>
      </c>
      <c r="C1099" s="25">
        <f t="shared" si="148"/>
        <v>1.1823536272451618E-2</v>
      </c>
      <c r="E1099" s="25">
        <f t="shared" si="144"/>
        <v>-8.2419979639594465E-2</v>
      </c>
      <c r="F1099" s="25">
        <f t="shared" si="141"/>
        <v>-3.6745102203826208E-2</v>
      </c>
      <c r="G1099" s="25">
        <f t="shared" si="138"/>
        <v>5.3102378480291978E-3</v>
      </c>
      <c r="H1099" s="25">
        <f t="shared" si="135"/>
        <v>7.957845789609852E-2</v>
      </c>
      <c r="K1099" s="29">
        <v>44004</v>
      </c>
      <c r="L1099" s="24">
        <v>12799.59</v>
      </c>
      <c r="M1099" s="25">
        <f t="shared" si="149"/>
        <v>9.7815633157000131E-3</v>
      </c>
      <c r="O1099" t="b">
        <f t="shared" si="147"/>
        <v>1</v>
      </c>
      <c r="Q1099" s="25">
        <f t="shared" si="145"/>
        <v>-9.8162517729072363E-2</v>
      </c>
      <c r="R1099" s="25">
        <f t="shared" si="142"/>
        <v>-3.6271224383089495E-2</v>
      </c>
      <c r="S1099" s="25">
        <f t="shared" si="139"/>
        <v>1.3447366691795803E-2</v>
      </c>
      <c r="T1099" s="25">
        <f t="shared" si="136"/>
        <v>6.6988358534225689E-2</v>
      </c>
      <c r="X1099">
        <f t="shared" si="146"/>
        <v>1</v>
      </c>
      <c r="Y1099">
        <f t="shared" si="143"/>
        <v>0</v>
      </c>
      <c r="Z1099">
        <f t="shared" si="140"/>
        <v>0</v>
      </c>
      <c r="AA1099">
        <f t="shared" si="137"/>
        <v>1</v>
      </c>
    </row>
    <row r="1100" spans="1:27">
      <c r="A1100" s="26">
        <v>44005</v>
      </c>
      <c r="B1100" s="23">
        <v>703.27</v>
      </c>
      <c r="C1100" s="25">
        <f t="shared" si="148"/>
        <v>1.3313545523968719E-2</v>
      </c>
      <c r="E1100" s="25">
        <f t="shared" si="144"/>
        <v>-8.3878279446629955E-2</v>
      </c>
      <c r="F1100" s="25">
        <f t="shared" si="141"/>
        <v>-2.9425923630929551E-2</v>
      </c>
      <c r="G1100" s="25">
        <f t="shared" si="138"/>
        <v>8.8813567917842562E-3</v>
      </c>
      <c r="H1100" s="25">
        <f t="shared" si="135"/>
        <v>8.1191265750542474E-2</v>
      </c>
      <c r="K1100" s="28">
        <v>44005</v>
      </c>
      <c r="L1100" s="23">
        <v>13002.86</v>
      </c>
      <c r="M1100" s="25">
        <f t="shared" si="149"/>
        <v>1.5632714648931113E-2</v>
      </c>
      <c r="O1100" t="b">
        <f t="shared" si="147"/>
        <v>1</v>
      </c>
      <c r="Q1100" s="25">
        <f t="shared" si="145"/>
        <v>-9.5783452999773977E-2</v>
      </c>
      <c r="R1100" s="25">
        <f t="shared" si="142"/>
        <v>-2.7976481250434171E-2</v>
      </c>
      <c r="S1100" s="25">
        <f t="shared" si="139"/>
        <v>1.8657883811351139E-2</v>
      </c>
      <c r="T1100" s="25">
        <f t="shared" si="136"/>
        <v>6.964917782548774E-2</v>
      </c>
      <c r="X1100">
        <f t="shared" si="146"/>
        <v>1</v>
      </c>
      <c r="Y1100">
        <f t="shared" si="143"/>
        <v>0</v>
      </c>
      <c r="Z1100">
        <f t="shared" si="140"/>
        <v>0</v>
      </c>
      <c r="AA1100">
        <f t="shared" si="137"/>
        <v>1</v>
      </c>
    </row>
    <row r="1101" spans="1:27">
      <c r="A1101" s="27">
        <v>44006</v>
      </c>
      <c r="B1101" s="24">
        <v>688.97</v>
      </c>
      <c r="C1101" s="25">
        <f t="shared" si="148"/>
        <v>-2.0333584540787968E-2</v>
      </c>
      <c r="E1101" s="25">
        <f t="shared" si="144"/>
        <v>-9.8666910870105484E-2</v>
      </c>
      <c r="F1101" s="25">
        <f t="shared" si="141"/>
        <v>-3.7802826564599212E-2</v>
      </c>
      <c r="G1101" s="25">
        <f t="shared" si="138"/>
        <v>2.2745576648575128E-3</v>
      </c>
      <c r="H1101" s="25">
        <f t="shared" si="135"/>
        <v>8.0910163761471976E-2</v>
      </c>
      <c r="K1101" s="29">
        <v>44006</v>
      </c>
      <c r="L1101" s="24">
        <v>12814.6</v>
      </c>
      <c r="M1101" s="25">
        <f t="shared" si="149"/>
        <v>-1.4691055514803444E-2</v>
      </c>
      <c r="O1101" t="b">
        <f t="shared" si="147"/>
        <v>1</v>
      </c>
      <c r="Q1101" s="25">
        <f t="shared" si="145"/>
        <v>-0.10288353363609182</v>
      </c>
      <c r="R1101" s="25">
        <f t="shared" si="142"/>
        <v>-3.374709347363225E-2</v>
      </c>
      <c r="S1101" s="25">
        <f t="shared" si="139"/>
        <v>1.4117790840695976E-2</v>
      </c>
      <c r="T1101" s="25">
        <f t="shared" si="136"/>
        <v>7.1026548740844797E-2</v>
      </c>
      <c r="X1101">
        <f t="shared" si="146"/>
        <v>1</v>
      </c>
      <c r="Y1101">
        <f t="shared" si="143"/>
        <v>0</v>
      </c>
      <c r="Z1101">
        <f t="shared" si="140"/>
        <v>0</v>
      </c>
      <c r="AA1101">
        <f t="shared" si="137"/>
        <v>1</v>
      </c>
    </row>
    <row r="1102" spans="1:27">
      <c r="A1102" s="26">
        <v>44007</v>
      </c>
      <c r="B1102" s="23">
        <v>690.56</v>
      </c>
      <c r="C1102" s="25">
        <f t="shared" si="148"/>
        <v>2.3077927921388713E-3</v>
      </c>
      <c r="E1102" s="25">
        <f t="shared" si="144"/>
        <v>-9.4335663418536719E-2</v>
      </c>
      <c r="F1102" s="25">
        <f t="shared" si="141"/>
        <v>-3.2779582810291696E-2</v>
      </c>
      <c r="G1102" s="25">
        <f t="shared" si="138"/>
        <v>4.2645684772715242E-3</v>
      </c>
      <c r="H1102" s="25">
        <f t="shared" si="135"/>
        <v>8.0208733204606864E-2</v>
      </c>
      <c r="K1102" s="28">
        <v>44007</v>
      </c>
      <c r="L1102" s="23">
        <v>12820.09</v>
      </c>
      <c r="M1102" s="25">
        <f t="shared" si="149"/>
        <v>4.2823412316136483E-4</v>
      </c>
      <c r="O1102" t="b">
        <f t="shared" si="147"/>
        <v>1</v>
      </c>
      <c r="Q1102" s="25">
        <f t="shared" si="145"/>
        <v>-0.10085880706823813</v>
      </c>
      <c r="R1102" s="25">
        <f t="shared" si="142"/>
        <v>-2.9162135974470926E-2</v>
      </c>
      <c r="S1102" s="25">
        <f t="shared" si="139"/>
        <v>1.498426858210733E-2</v>
      </c>
      <c r="T1102" s="25">
        <f t="shared" si="136"/>
        <v>7.0029138068660179E-2</v>
      </c>
      <c r="X1102">
        <f t="shared" si="146"/>
        <v>1</v>
      </c>
      <c r="Y1102">
        <f t="shared" si="143"/>
        <v>0</v>
      </c>
      <c r="Z1102">
        <f t="shared" si="140"/>
        <v>0</v>
      </c>
      <c r="AA1102">
        <f t="shared" si="137"/>
        <v>1</v>
      </c>
    </row>
    <row r="1103" spans="1:27">
      <c r="A1103" s="27">
        <v>44008</v>
      </c>
      <c r="B1103" s="24">
        <v>691.96</v>
      </c>
      <c r="C1103" s="25">
        <f t="shared" si="148"/>
        <v>2.0273401297499004E-3</v>
      </c>
      <c r="E1103" s="25">
        <f t="shared" si="144"/>
        <v>-9.9186356831348022E-2</v>
      </c>
      <c r="F1103" s="25">
        <f t="shared" si="141"/>
        <v>-3.3069425529160701E-2</v>
      </c>
      <c r="G1103" s="25">
        <f t="shared" si="138"/>
        <v>7.5404795557021398E-3</v>
      </c>
      <c r="H1103" s="25">
        <f t="shared" si="135"/>
        <v>7.9433393876819913E-2</v>
      </c>
      <c r="K1103" s="29">
        <v>44008</v>
      </c>
      <c r="L1103" s="24">
        <v>12909.57</v>
      </c>
      <c r="M1103" s="25">
        <f t="shared" si="149"/>
        <v>6.9312920569778516E-3</v>
      </c>
      <c r="O1103" t="b">
        <f t="shared" si="147"/>
        <v>1</v>
      </c>
      <c r="Q1103" s="25">
        <f t="shared" si="145"/>
        <v>-0.10104431351549337</v>
      </c>
      <c r="R1103" s="25">
        <f t="shared" si="142"/>
        <v>-2.7989548412830079E-2</v>
      </c>
      <c r="S1103" s="25">
        <f t="shared" si="139"/>
        <v>2.0123456980245757E-2</v>
      </c>
      <c r="T1103" s="25">
        <f t="shared" si="136"/>
        <v>7.0554236594669417E-2</v>
      </c>
      <c r="X1103">
        <f t="shared" si="146"/>
        <v>1</v>
      </c>
      <c r="Y1103">
        <f t="shared" si="143"/>
        <v>0</v>
      </c>
      <c r="Z1103">
        <f t="shared" si="140"/>
        <v>0</v>
      </c>
      <c r="AA1103">
        <f t="shared" si="137"/>
        <v>1</v>
      </c>
    </row>
    <row r="1104" spans="1:27">
      <c r="A1104" s="26">
        <v>44011</v>
      </c>
      <c r="B1104" s="23">
        <v>686.09</v>
      </c>
      <c r="C1104" s="25">
        <f t="shared" si="148"/>
        <v>-8.4831493149893113E-3</v>
      </c>
      <c r="E1104" s="25">
        <f t="shared" si="144"/>
        <v>-0.11503089246327081</v>
      </c>
      <c r="F1104" s="25">
        <f t="shared" si="141"/>
        <v>-3.4717801461925379E-2</v>
      </c>
      <c r="G1104" s="25">
        <f t="shared" si="138"/>
        <v>6.8409260193769139E-3</v>
      </c>
      <c r="H1104" s="25">
        <f t="shared" si="135"/>
        <v>7.4255612026342233E-2</v>
      </c>
      <c r="K1104" s="28">
        <v>44011</v>
      </c>
      <c r="L1104" s="23">
        <v>12803.28</v>
      </c>
      <c r="M1104" s="25">
        <f t="shared" si="149"/>
        <v>-8.3017789191518927E-3</v>
      </c>
      <c r="O1104" t="b">
        <f t="shared" si="147"/>
        <v>1</v>
      </c>
      <c r="Q1104" s="25">
        <f t="shared" si="145"/>
        <v>-0.11304405656220817</v>
      </c>
      <c r="R1104" s="25">
        <f t="shared" si="142"/>
        <v>-3.0189482395443612E-2</v>
      </c>
      <c r="S1104" s="25">
        <f t="shared" si="139"/>
        <v>2.0151284445830031E-2</v>
      </c>
      <c r="T1104" s="25">
        <f t="shared" si="136"/>
        <v>6.5529428338124029E-2</v>
      </c>
      <c r="X1104">
        <f t="shared" si="146"/>
        <v>0</v>
      </c>
      <c r="Y1104">
        <f t="shared" si="143"/>
        <v>0</v>
      </c>
      <c r="Z1104">
        <f t="shared" si="140"/>
        <v>0</v>
      </c>
      <c r="AA1104">
        <f t="shared" si="137"/>
        <v>1</v>
      </c>
    </row>
    <row r="1105" spans="1:27">
      <c r="A1105" s="27">
        <v>44012</v>
      </c>
      <c r="B1105" s="24">
        <v>687.15</v>
      </c>
      <c r="C1105" s="25">
        <f t="shared" si="148"/>
        <v>1.5449868093106523E-3</v>
      </c>
      <c r="E1105" s="25">
        <f t="shared" si="144"/>
        <v>-0.11505621450372838</v>
      </c>
      <c r="F1105" s="25">
        <f t="shared" si="141"/>
        <v>-3.6351346295621312E-2</v>
      </c>
      <c r="G1105" s="25">
        <f t="shared" si="138"/>
        <v>6.1780586846396091E-3</v>
      </c>
      <c r="H1105" s="25">
        <f t="shared" si="135"/>
        <v>7.1759220716447469E-2</v>
      </c>
      <c r="K1105" s="29">
        <v>44012</v>
      </c>
      <c r="L1105" s="24">
        <v>12783.45</v>
      </c>
      <c r="M1105" s="25">
        <f t="shared" si="149"/>
        <v>-1.5512244347183214E-3</v>
      </c>
      <c r="O1105" t="b">
        <f t="shared" si="147"/>
        <v>1</v>
      </c>
      <c r="Q1105" s="25">
        <f t="shared" si="145"/>
        <v>-0.11530707791708961</v>
      </c>
      <c r="R1105" s="25">
        <f t="shared" si="142"/>
        <v>-3.3885166137103795E-2</v>
      </c>
      <c r="S1105" s="25">
        <f t="shared" si="139"/>
        <v>1.9860620066088464E-2</v>
      </c>
      <c r="T1105" s="25">
        <f t="shared" si="136"/>
        <v>6.2288123052132827E-2</v>
      </c>
      <c r="X1105">
        <f t="shared" si="146"/>
        <v>1</v>
      </c>
      <c r="Y1105">
        <f t="shared" si="143"/>
        <v>0</v>
      </c>
      <c r="Z1105">
        <f t="shared" si="140"/>
        <v>0</v>
      </c>
      <c r="AA1105">
        <f t="shared" si="137"/>
        <v>1</v>
      </c>
    </row>
    <row r="1106" spans="1:27">
      <c r="A1106" s="26">
        <v>44013</v>
      </c>
      <c r="B1106" s="23">
        <v>691.55</v>
      </c>
      <c r="C1106" s="25">
        <f t="shared" si="148"/>
        <v>6.4032598413737577E-3</v>
      </c>
      <c r="E1106" s="25">
        <f t="shared" si="144"/>
        <v>-0.10505609980200081</v>
      </c>
      <c r="F1106" s="25">
        <f t="shared" si="141"/>
        <v>-3.1784789393870749E-2</v>
      </c>
      <c r="G1106" s="25">
        <f t="shared" si="138"/>
        <v>7.0785319272916869E-3</v>
      </c>
      <c r="H1106" s="25">
        <f t="shared" si="135"/>
        <v>7.0716205141491795E-2</v>
      </c>
      <c r="K1106" s="28">
        <v>44013</v>
      </c>
      <c r="L1106" s="23">
        <v>12904.08</v>
      </c>
      <c r="M1106" s="25">
        <f t="shared" si="149"/>
        <v>9.3482061487528897E-3</v>
      </c>
      <c r="O1106" t="b">
        <f t="shared" si="147"/>
        <v>1</v>
      </c>
      <c r="Q1106" s="25">
        <f t="shared" si="145"/>
        <v>-0.1038086507208934</v>
      </c>
      <c r="R1106" s="25">
        <f t="shared" si="142"/>
        <v>-2.6073055903542808E-2</v>
      </c>
      <c r="S1106" s="25">
        <f t="shared" si="139"/>
        <v>2.2037881582596119E-2</v>
      </c>
      <c r="T1106" s="25">
        <f t="shared" si="136"/>
        <v>6.2998736606989958E-2</v>
      </c>
      <c r="X1106">
        <f t="shared" si="146"/>
        <v>0</v>
      </c>
      <c r="Y1106">
        <f t="shared" si="143"/>
        <v>0</v>
      </c>
      <c r="Z1106">
        <f t="shared" si="140"/>
        <v>0</v>
      </c>
      <c r="AA1106">
        <f t="shared" si="137"/>
        <v>1</v>
      </c>
    </row>
    <row r="1107" spans="1:27">
      <c r="A1107" s="27">
        <v>44014</v>
      </c>
      <c r="B1107" s="24">
        <v>696.9</v>
      </c>
      <c r="C1107" s="25">
        <f t="shared" si="148"/>
        <v>7.7362446677753209E-3</v>
      </c>
      <c r="E1107" s="25">
        <f t="shared" si="144"/>
        <v>-0.10301953818827714</v>
      </c>
      <c r="F1107" s="25">
        <f t="shared" si="141"/>
        <v>-2.8790389001496219E-2</v>
      </c>
      <c r="G1107" s="25">
        <f t="shared" si="138"/>
        <v>8.0832109146085074E-3</v>
      </c>
      <c r="H1107" s="25">
        <f t="shared" si="135"/>
        <v>7.1358588809255385E-2</v>
      </c>
      <c r="K1107" s="29">
        <v>44014</v>
      </c>
      <c r="L1107" s="24">
        <v>13050.9</v>
      </c>
      <c r="M1107" s="25">
        <f t="shared" si="149"/>
        <v>1.1249798864446109E-2</v>
      </c>
      <c r="O1107" t="b">
        <f t="shared" si="147"/>
        <v>1</v>
      </c>
      <c r="Q1107" s="25">
        <f t="shared" si="145"/>
        <v>-9.8763837854971115E-2</v>
      </c>
      <c r="R1107" s="25">
        <f t="shared" si="142"/>
        <v>-2.0411334123733971E-2</v>
      </c>
      <c r="S1107" s="25">
        <f t="shared" si="139"/>
        <v>2.4618502650502361E-2</v>
      </c>
      <c r="T1107" s="25">
        <f t="shared" si="136"/>
        <v>6.4336403160057731E-2</v>
      </c>
      <c r="X1107">
        <f t="shared" si="146"/>
        <v>0</v>
      </c>
      <c r="Y1107">
        <f t="shared" si="143"/>
        <v>0</v>
      </c>
      <c r="Z1107">
        <f t="shared" si="140"/>
        <v>0</v>
      </c>
      <c r="AA1107">
        <f t="shared" si="137"/>
        <v>1</v>
      </c>
    </row>
    <row r="1108" spans="1:27">
      <c r="A1108" s="26">
        <v>44015</v>
      </c>
      <c r="B1108" s="23">
        <v>700.43</v>
      </c>
      <c r="C1108" s="25">
        <f t="shared" si="148"/>
        <v>5.0652891376093741E-3</v>
      </c>
      <c r="E1108" s="25">
        <f t="shared" si="144"/>
        <v>-9.9958880522217464E-2</v>
      </c>
      <c r="F1108" s="25">
        <f t="shared" si="141"/>
        <v>-2.2995700260773799E-2</v>
      </c>
      <c r="G1108" s="25">
        <f t="shared" si="138"/>
        <v>6.8114301406334565E-3</v>
      </c>
      <c r="H1108" s="25">
        <f t="shared" si="135"/>
        <v>7.3189797568094628E-2</v>
      </c>
      <c r="K1108" s="28">
        <v>44015</v>
      </c>
      <c r="L1108" s="23">
        <v>13123.96</v>
      </c>
      <c r="M1108" s="25">
        <f t="shared" si="149"/>
        <v>5.5669173023995423E-3</v>
      </c>
      <c r="O1108" t="b">
        <f t="shared" si="147"/>
        <v>1</v>
      </c>
      <c r="Q1108" s="25">
        <f t="shared" si="145"/>
        <v>-9.6687246622203071E-2</v>
      </c>
      <c r="R1108" s="25">
        <f t="shared" si="142"/>
        <v>-1.2336149682701913E-2</v>
      </c>
      <c r="S1108" s="25">
        <f t="shared" si="139"/>
        <v>2.305143354837802E-2</v>
      </c>
      <c r="T1108" s="25">
        <f t="shared" si="136"/>
        <v>6.6608719371302083E-2</v>
      </c>
      <c r="X1108">
        <f t="shared" si="146"/>
        <v>0</v>
      </c>
      <c r="Y1108">
        <f t="shared" si="143"/>
        <v>0</v>
      </c>
      <c r="Z1108">
        <f t="shared" si="140"/>
        <v>0</v>
      </c>
      <c r="AA1108">
        <f t="shared" si="137"/>
        <v>1</v>
      </c>
    </row>
    <row r="1109" spans="1:27">
      <c r="A1109" s="27">
        <v>44018</v>
      </c>
      <c r="B1109" s="24">
        <v>708.66</v>
      </c>
      <c r="C1109" s="25">
        <f t="shared" si="148"/>
        <v>1.1749925046043172E-2</v>
      </c>
      <c r="E1109" s="25">
        <f t="shared" si="144"/>
        <v>-9.0540419142464912E-2</v>
      </c>
      <c r="F1109" s="25">
        <f t="shared" si="141"/>
        <v>-1.2381548556238076E-2</v>
      </c>
      <c r="G1109" s="25">
        <f t="shared" si="138"/>
        <v>1.1250462982320686E-2</v>
      </c>
      <c r="H1109" s="25">
        <f t="shared" si="135"/>
        <v>7.7109573786504182E-2</v>
      </c>
      <c r="K1109" s="29">
        <v>44018</v>
      </c>
      <c r="L1109" s="24">
        <v>13304.7</v>
      </c>
      <c r="M1109" s="25">
        <f t="shared" si="149"/>
        <v>1.3584673085451126E-2</v>
      </c>
      <c r="O1109" t="b">
        <f t="shared" si="147"/>
        <v>1</v>
      </c>
      <c r="Q1109" s="25">
        <f t="shared" si="145"/>
        <v>-8.5429228979864491E-2</v>
      </c>
      <c r="R1109" s="25">
        <f t="shared" si="142"/>
        <v>-5.1333269498254896E-4</v>
      </c>
      <c r="S1109" s="25">
        <f t="shared" si="139"/>
        <v>2.7954897369018905E-2</v>
      </c>
      <c r="T1109" s="25">
        <f t="shared" si="136"/>
        <v>7.0246343006042045E-2</v>
      </c>
      <c r="X1109">
        <f t="shared" si="146"/>
        <v>0</v>
      </c>
      <c r="Y1109">
        <f t="shared" si="143"/>
        <v>0</v>
      </c>
      <c r="Z1109">
        <f t="shared" si="140"/>
        <v>0</v>
      </c>
      <c r="AA1109">
        <f t="shared" si="137"/>
        <v>1</v>
      </c>
    </row>
    <row r="1110" spans="1:27">
      <c r="A1110" s="26">
        <v>44019</v>
      </c>
      <c r="B1110" s="23">
        <v>713.21</v>
      </c>
      <c r="C1110" s="25">
        <f t="shared" si="148"/>
        <v>6.4205683966924451E-3</v>
      </c>
      <c r="E1110" s="25">
        <f t="shared" si="144"/>
        <v>-8.5522688515341394E-2</v>
      </c>
      <c r="F1110" s="25">
        <f t="shared" si="141"/>
        <v>-1.3558040250225112E-2</v>
      </c>
      <c r="G1110" s="25">
        <f t="shared" si="138"/>
        <v>1.0937763080298701E-2</v>
      </c>
      <c r="H1110" s="25">
        <f t="shared" si="135"/>
        <v>7.8890697233562346E-2</v>
      </c>
      <c r="K1110" s="28">
        <v>44019</v>
      </c>
      <c r="L1110" s="23">
        <v>13356.96</v>
      </c>
      <c r="M1110" s="25">
        <f t="shared" si="149"/>
        <v>3.9125669313974437E-3</v>
      </c>
      <c r="O1110" t="b">
        <f t="shared" si="147"/>
        <v>1</v>
      </c>
      <c r="Q1110" s="25">
        <f t="shared" si="145"/>
        <v>-8.3833247137356182E-2</v>
      </c>
      <c r="R1110" s="25">
        <f t="shared" si="142"/>
        <v>-5.4330682831020827E-3</v>
      </c>
      <c r="S1110" s="25">
        <f t="shared" si="139"/>
        <v>2.76274440648141E-2</v>
      </c>
      <c r="T1110" s="25">
        <f t="shared" si="136"/>
        <v>7.1685674899147678E-2</v>
      </c>
      <c r="X1110">
        <f t="shared" si="146"/>
        <v>0</v>
      </c>
      <c r="Y1110">
        <f t="shared" si="143"/>
        <v>0</v>
      </c>
      <c r="Z1110">
        <f t="shared" si="140"/>
        <v>0</v>
      </c>
      <c r="AA1110">
        <f t="shared" si="137"/>
        <v>1</v>
      </c>
    </row>
    <row r="1111" spans="1:27">
      <c r="A1111" s="27">
        <v>44020</v>
      </c>
      <c r="B1111" s="24">
        <v>710</v>
      </c>
      <c r="C1111" s="25">
        <f t="shared" si="148"/>
        <v>-4.5007781719269731E-3</v>
      </c>
      <c r="E1111" s="25">
        <f t="shared" si="144"/>
        <v>-7.877152236249696E-2</v>
      </c>
      <c r="F1111" s="25">
        <f t="shared" si="141"/>
        <v>-1.2345042952095264E-2</v>
      </c>
      <c r="G1111" s="25">
        <f t="shared" si="138"/>
        <v>9.0389093421372468E-3</v>
      </c>
      <c r="H1111" s="25">
        <f t="shared" si="135"/>
        <v>7.3683853914948694E-2</v>
      </c>
      <c r="K1111" s="29">
        <v>44020</v>
      </c>
      <c r="L1111" s="24">
        <v>13258.49</v>
      </c>
      <c r="M1111" s="25">
        <f t="shared" si="149"/>
        <v>-7.4269392668395379E-3</v>
      </c>
      <c r="O1111" t="b">
        <f t="shared" si="147"/>
        <v>1</v>
      </c>
      <c r="Q1111" s="25">
        <f t="shared" si="145"/>
        <v>-7.936550921537866E-2</v>
      </c>
      <c r="R1111" s="25">
        <f t="shared" si="142"/>
        <v>-6.2038131011561415E-3</v>
      </c>
      <c r="S1111" s="25">
        <f t="shared" si="139"/>
        <v>2.3747772916334897E-2</v>
      </c>
      <c r="T1111" s="25">
        <f t="shared" si="136"/>
        <v>6.5480033082857103E-2</v>
      </c>
      <c r="X1111">
        <f t="shared" si="146"/>
        <v>1</v>
      </c>
      <c r="Y1111">
        <f t="shared" si="143"/>
        <v>0</v>
      </c>
      <c r="Z1111">
        <f t="shared" si="140"/>
        <v>0</v>
      </c>
      <c r="AA1111">
        <f t="shared" si="137"/>
        <v>1</v>
      </c>
    </row>
    <row r="1112" spans="1:27">
      <c r="A1112" s="26">
        <v>44021</v>
      </c>
      <c r="B1112" s="23">
        <v>716.11</v>
      </c>
      <c r="C1112" s="25">
        <f t="shared" si="148"/>
        <v>8.6056338028169203E-3</v>
      </c>
      <c r="E1112" s="25">
        <f t="shared" si="144"/>
        <v>-4.8523178719955373E-2</v>
      </c>
      <c r="F1112" s="25">
        <f t="shared" si="141"/>
        <v>-1.0040691162482407E-2</v>
      </c>
      <c r="G1112" s="25">
        <f t="shared" si="138"/>
        <v>1.2535957822924715E-2</v>
      </c>
      <c r="H1112" s="25">
        <f t="shared" ref="H1112:H1175" si="150">((B1112/B131)^(1/4))-1</f>
        <v>7.456117870327672E-2</v>
      </c>
      <c r="K1112" s="28">
        <v>44021</v>
      </c>
      <c r="L1112" s="23">
        <v>13366.65</v>
      </c>
      <c r="M1112" s="25">
        <f t="shared" si="149"/>
        <v>8.0917806630681471E-3</v>
      </c>
      <c r="O1112" t="b">
        <f t="shared" si="147"/>
        <v>1</v>
      </c>
      <c r="Q1112" s="25">
        <f t="shared" si="145"/>
        <v>-5.134388779631649E-2</v>
      </c>
      <c r="R1112" s="25">
        <f t="shared" si="142"/>
        <v>-4.3701922625625222E-3</v>
      </c>
      <c r="S1112" s="25">
        <f t="shared" si="139"/>
        <v>2.6611040701385091E-2</v>
      </c>
      <c r="T1112" s="25">
        <f t="shared" ref="T1112:T1175" si="151">((L1112/L131)^(1/4))-1</f>
        <v>6.6122916224089501E-2</v>
      </c>
      <c r="X1112">
        <f t="shared" si="146"/>
        <v>1</v>
      </c>
      <c r="Y1112">
        <f t="shared" si="143"/>
        <v>0</v>
      </c>
      <c r="Z1112">
        <f t="shared" si="140"/>
        <v>0</v>
      </c>
      <c r="AA1112">
        <f t="shared" ref="AA1112:AA1175" si="152">IF(H1112&gt;T1112,1,0)</f>
        <v>1</v>
      </c>
    </row>
    <row r="1113" spans="1:27">
      <c r="A1113" s="27">
        <v>44022</v>
      </c>
      <c r="B1113" s="24">
        <v>712.37</v>
      </c>
      <c r="C1113" s="25">
        <f t="shared" si="148"/>
        <v>-5.2226613229811193E-3</v>
      </c>
      <c r="E1113" s="25">
        <f t="shared" si="144"/>
        <v>-5.7038095994493498E-2</v>
      </c>
      <c r="F1113" s="25">
        <f t="shared" si="141"/>
        <v>-1.4710267392482379E-2</v>
      </c>
      <c r="G1113" s="25">
        <f t="shared" si="138"/>
        <v>8.8482894839991832E-3</v>
      </c>
      <c r="H1113" s="25">
        <f t="shared" si="150"/>
        <v>7.4086517023076448E-2</v>
      </c>
      <c r="K1113" s="29">
        <v>44022</v>
      </c>
      <c r="L1113" s="24">
        <v>13309.97</v>
      </c>
      <c r="M1113" s="25">
        <f t="shared" si="149"/>
        <v>-4.2584618898465054E-3</v>
      </c>
      <c r="O1113" t="b">
        <f t="shared" si="147"/>
        <v>1</v>
      </c>
      <c r="Q1113" s="25">
        <f t="shared" si="145"/>
        <v>-5.6179098042719477E-2</v>
      </c>
      <c r="R1113" s="25">
        <f t="shared" si="142"/>
        <v>-8.9640576116634119E-3</v>
      </c>
      <c r="S1113" s="25">
        <f t="shared" si="139"/>
        <v>2.2044599674656773E-2</v>
      </c>
      <c r="T1113" s="25">
        <f t="shared" si="151"/>
        <v>6.5547478316338559E-2</v>
      </c>
      <c r="X1113">
        <f t="shared" si="146"/>
        <v>0</v>
      </c>
      <c r="Y1113">
        <f t="shared" si="143"/>
        <v>0</v>
      </c>
      <c r="Z1113">
        <f t="shared" si="140"/>
        <v>0</v>
      </c>
      <c r="AA1113">
        <f t="shared" si="152"/>
        <v>1</v>
      </c>
    </row>
    <row r="1114" spans="1:27">
      <c r="A1114" s="26">
        <v>44025</v>
      </c>
      <c r="B1114" s="23">
        <v>714.86</v>
      </c>
      <c r="C1114" s="25">
        <f t="shared" si="148"/>
        <v>3.4953745946628987E-3</v>
      </c>
      <c r="E1114" s="25">
        <f t="shared" si="144"/>
        <v>-4.8679867986798686E-2</v>
      </c>
      <c r="F1114" s="25">
        <f t="shared" si="141"/>
        <v>-1.1776999127448007E-2</v>
      </c>
      <c r="G1114" s="25">
        <f t="shared" si="138"/>
        <v>1.0736710151125761E-2</v>
      </c>
      <c r="H1114" s="25">
        <f t="shared" si="150"/>
        <v>7.3029687289255074E-2</v>
      </c>
      <c r="K1114" s="28">
        <v>44025</v>
      </c>
      <c r="L1114" s="23">
        <v>13341.27</v>
      </c>
      <c r="M1114" s="25">
        <f t="shared" si="149"/>
        <v>2.3461034819024793E-3</v>
      </c>
      <c r="O1114" t="b">
        <f t="shared" si="147"/>
        <v>1</v>
      </c>
      <c r="Q1114" s="25">
        <f t="shared" si="145"/>
        <v>-4.8400695015064388E-2</v>
      </c>
      <c r="R1114" s="25">
        <f t="shared" si="142"/>
        <v>-6.4422107089279201E-3</v>
      </c>
      <c r="S1114" s="25">
        <f t="shared" si="139"/>
        <v>2.3306350900566875E-2</v>
      </c>
      <c r="T1114" s="25">
        <f t="shared" si="151"/>
        <v>6.4732062647319344E-2</v>
      </c>
      <c r="X1114">
        <f t="shared" si="146"/>
        <v>0</v>
      </c>
      <c r="Y1114">
        <f t="shared" si="143"/>
        <v>0</v>
      </c>
      <c r="Z1114">
        <f t="shared" si="140"/>
        <v>0</v>
      </c>
      <c r="AA1114">
        <f t="shared" si="152"/>
        <v>1</v>
      </c>
    </row>
    <row r="1115" spans="1:27">
      <c r="A1115" s="27">
        <v>44026</v>
      </c>
      <c r="B1115" s="24">
        <v>705.65</v>
      </c>
      <c r="C1115" s="25">
        <f t="shared" si="148"/>
        <v>-1.2883641552192088E-2</v>
      </c>
      <c r="E1115" s="25">
        <f t="shared" si="144"/>
        <v>-7.0106081570798007E-2</v>
      </c>
      <c r="F1115" s="25">
        <f t="shared" si="141"/>
        <v>-1.9061035358340361E-2</v>
      </c>
      <c r="G1115" s="25">
        <f t="shared" si="138"/>
        <v>4.3984573591446807E-3</v>
      </c>
      <c r="H1115" s="25">
        <f t="shared" si="150"/>
        <v>6.9417931187155446E-2</v>
      </c>
      <c r="K1115" s="29">
        <v>44026</v>
      </c>
      <c r="L1115" s="24">
        <v>13129.11</v>
      </c>
      <c r="M1115" s="25">
        <f t="shared" si="149"/>
        <v>-1.6159511193066387E-2</v>
      </c>
      <c r="O1115" t="b">
        <f t="shared" si="147"/>
        <v>1</v>
      </c>
      <c r="Q1115" s="25">
        <f t="shared" si="145"/>
        <v>-7.0324487953406845E-2</v>
      </c>
      <c r="R1115" s="25">
        <f t="shared" si="142"/>
        <v>-1.5899325437490064E-2</v>
      </c>
      <c r="S1115" s="25">
        <f t="shared" si="139"/>
        <v>1.6230432213487411E-2</v>
      </c>
      <c r="T1115" s="25">
        <f t="shared" si="151"/>
        <v>6.1106888411805782E-2</v>
      </c>
      <c r="X1115">
        <f t="shared" si="146"/>
        <v>1</v>
      </c>
      <c r="Y1115">
        <f t="shared" si="143"/>
        <v>0</v>
      </c>
      <c r="Z1115">
        <f t="shared" si="140"/>
        <v>0</v>
      </c>
      <c r="AA1115">
        <f t="shared" si="152"/>
        <v>1</v>
      </c>
    </row>
    <row r="1116" spans="1:27">
      <c r="A1116" s="26">
        <v>44027</v>
      </c>
      <c r="B1116" s="23">
        <v>706.18</v>
      </c>
      <c r="C1116" s="25">
        <f t="shared" si="148"/>
        <v>7.510805640189509E-4</v>
      </c>
      <c r="E1116" s="25">
        <f t="shared" si="144"/>
        <v>-7.1096904884048295E-2</v>
      </c>
      <c r="F1116" s="25">
        <f t="shared" si="141"/>
        <v>-2.3098783604989515E-2</v>
      </c>
      <c r="G1116" s="25">
        <f t="shared" si="138"/>
        <v>2.3427285830335265E-3</v>
      </c>
      <c r="H1116" s="25">
        <f t="shared" si="150"/>
        <v>7.0318680637658781E-2</v>
      </c>
      <c r="K1116" s="28">
        <v>44027</v>
      </c>
      <c r="L1116" s="23">
        <v>13124.91</v>
      </c>
      <c r="M1116" s="25">
        <f t="shared" si="149"/>
        <v>-3.2000219430081638E-4</v>
      </c>
      <c r="O1116" t="b">
        <f t="shared" si="147"/>
        <v>1</v>
      </c>
      <c r="Q1116" s="25">
        <f t="shared" si="145"/>
        <v>-6.9796565771680807E-2</v>
      </c>
      <c r="R1116" s="25">
        <f t="shared" si="142"/>
        <v>-2.0535701237998971E-2</v>
      </c>
      <c r="S1116" s="25">
        <f t="shared" si="139"/>
        <v>1.3563427919721871E-2</v>
      </c>
      <c r="T1116" s="25">
        <f t="shared" si="151"/>
        <v>6.2185224031051201E-2</v>
      </c>
      <c r="X1116">
        <f t="shared" si="146"/>
        <v>0</v>
      </c>
      <c r="Y1116">
        <f t="shared" si="143"/>
        <v>0</v>
      </c>
      <c r="Z1116">
        <f t="shared" si="140"/>
        <v>0</v>
      </c>
      <c r="AA1116">
        <f t="shared" si="152"/>
        <v>1</v>
      </c>
    </row>
    <row r="1117" spans="1:27">
      <c r="A1117" s="27">
        <v>44028</v>
      </c>
      <c r="B1117" s="24">
        <v>713.49</v>
      </c>
      <c r="C1117" s="25">
        <f t="shared" si="148"/>
        <v>1.0351468464131042E-2</v>
      </c>
      <c r="E1117" s="25">
        <f t="shared" si="144"/>
        <v>-6.0974967755521137E-2</v>
      </c>
      <c r="F1117" s="25">
        <f t="shared" si="141"/>
        <v>-2.1579663056521703E-2</v>
      </c>
      <c r="G1117" s="25">
        <f t="shared" si="138"/>
        <v>5.349967945855516E-3</v>
      </c>
      <c r="H1117" s="25">
        <f t="shared" si="150"/>
        <v>7.2773935765885422E-2</v>
      </c>
      <c r="K1117" s="29">
        <v>44028</v>
      </c>
      <c r="L1117" s="24">
        <v>13243.11</v>
      </c>
      <c r="M1117" s="25">
        <f t="shared" si="149"/>
        <v>8.9253959228610749E-3</v>
      </c>
      <c r="O1117" t="b">
        <f t="shared" si="147"/>
        <v>1</v>
      </c>
      <c r="Q1117" s="25">
        <f t="shared" si="145"/>
        <v>-6.2653680909946607E-2</v>
      </c>
      <c r="R1117" s="25">
        <f t="shared" si="142"/>
        <v>-2.0436763049113904E-2</v>
      </c>
      <c r="S1117" s="25">
        <f t="shared" si="139"/>
        <v>1.6664198667819985E-2</v>
      </c>
      <c r="T1117" s="25">
        <f t="shared" si="151"/>
        <v>6.3967043796526735E-2</v>
      </c>
      <c r="X1117">
        <f t="shared" si="146"/>
        <v>1</v>
      </c>
      <c r="Y1117">
        <f t="shared" si="143"/>
        <v>0</v>
      </c>
      <c r="Z1117">
        <f t="shared" si="140"/>
        <v>0</v>
      </c>
      <c r="AA1117">
        <f t="shared" si="152"/>
        <v>1</v>
      </c>
    </row>
    <row r="1118" spans="1:27">
      <c r="A1118" s="26">
        <v>44029</v>
      </c>
      <c r="B1118" s="23">
        <v>722.27</v>
      </c>
      <c r="C1118" s="25">
        <f t="shared" si="148"/>
        <v>1.2305708559335061E-2</v>
      </c>
      <c r="E1118" s="25">
        <f t="shared" si="144"/>
        <v>-5.6287972822891552E-2</v>
      </c>
      <c r="F1118" s="25">
        <f t="shared" si="141"/>
        <v>-1.2165820337038391E-2</v>
      </c>
      <c r="G1118" s="25">
        <f t="shared" si="138"/>
        <v>8.3858504283402802E-3</v>
      </c>
      <c r="H1118" s="25">
        <f t="shared" si="150"/>
        <v>7.3670477940339429E-2</v>
      </c>
      <c r="K1118" s="28">
        <v>44029</v>
      </c>
      <c r="L1118" s="23">
        <v>13437.95</v>
      </c>
      <c r="M1118" s="25">
        <f t="shared" si="149"/>
        <v>1.4499235374443285E-2</v>
      </c>
      <c r="O1118" t="b">
        <f t="shared" si="147"/>
        <v>1</v>
      </c>
      <c r="Q1118" s="25">
        <f t="shared" si="145"/>
        <v>-5.5060941693850562E-2</v>
      </c>
      <c r="R1118" s="25">
        <f t="shared" si="142"/>
        <v>-1.2518830398347669E-2</v>
      </c>
      <c r="S1118" s="25">
        <f t="shared" si="139"/>
        <v>2.0867670478412315E-2</v>
      </c>
      <c r="T1118" s="25">
        <f t="shared" si="151"/>
        <v>6.6251842930487026E-2</v>
      </c>
      <c r="X1118">
        <f t="shared" si="146"/>
        <v>0</v>
      </c>
      <c r="Y1118">
        <f t="shared" si="143"/>
        <v>1</v>
      </c>
      <c r="Z1118">
        <f t="shared" si="140"/>
        <v>0</v>
      </c>
      <c r="AA1118">
        <f t="shared" si="152"/>
        <v>1</v>
      </c>
    </row>
    <row r="1119" spans="1:27">
      <c r="A1119" s="27">
        <v>44032</v>
      </c>
      <c r="B1119" s="24">
        <v>729.15</v>
      </c>
      <c r="C1119" s="25">
        <f t="shared" si="148"/>
        <v>9.5255236961247127E-3</v>
      </c>
      <c r="E1119" s="25">
        <f t="shared" si="144"/>
        <v>-5.1228334981522905E-2</v>
      </c>
      <c r="F1119" s="25">
        <f t="shared" si="141"/>
        <v>-8.1486376936668048E-3</v>
      </c>
      <c r="G1119" s="25">
        <f t="shared" si="138"/>
        <v>1.2984016078248617E-2</v>
      </c>
      <c r="H1119" s="25">
        <f t="shared" si="150"/>
        <v>7.6872636772078673E-2</v>
      </c>
      <c r="K1119" s="29">
        <v>44032</v>
      </c>
      <c r="L1119" s="24">
        <v>13573.78</v>
      </c>
      <c r="M1119" s="25">
        <f t="shared" si="149"/>
        <v>1.0006792507319253E-2</v>
      </c>
      <c r="O1119" t="b">
        <f t="shared" si="147"/>
        <v>1</v>
      </c>
      <c r="Q1119" s="25">
        <f t="shared" si="145"/>
        <v>-4.6920310461577741E-2</v>
      </c>
      <c r="R1119" s="25">
        <f t="shared" si="142"/>
        <v>-9.5717975376212738E-3</v>
      </c>
      <c r="S1119" s="25">
        <f t="shared" si="139"/>
        <v>2.7034917387785296E-2</v>
      </c>
      <c r="T1119" s="25">
        <f t="shared" si="151"/>
        <v>7.0174999952560047E-2</v>
      </c>
      <c r="X1119">
        <f t="shared" si="146"/>
        <v>0</v>
      </c>
      <c r="Y1119">
        <f t="shared" si="143"/>
        <v>1</v>
      </c>
      <c r="Z1119">
        <f t="shared" si="140"/>
        <v>0</v>
      </c>
      <c r="AA1119">
        <f t="shared" si="152"/>
        <v>1</v>
      </c>
    </row>
    <row r="1120" spans="1:27">
      <c r="A1120" s="26">
        <v>44033</v>
      </c>
      <c r="B1120" s="23">
        <v>732.01</v>
      </c>
      <c r="C1120" s="25">
        <f t="shared" si="148"/>
        <v>3.922375368579872E-3</v>
      </c>
      <c r="E1120" s="25">
        <f t="shared" si="144"/>
        <v>-3.7727912082133885E-2</v>
      </c>
      <c r="F1120" s="25">
        <f t="shared" si="141"/>
        <v>-2.4770705219352429E-3</v>
      </c>
      <c r="G1120" s="25">
        <f t="shared" si="138"/>
        <v>1.1016900874712965E-2</v>
      </c>
      <c r="H1120" s="25">
        <f t="shared" si="150"/>
        <v>7.5308856132577207E-2</v>
      </c>
      <c r="K1120" s="28">
        <v>44033</v>
      </c>
      <c r="L1120" s="23">
        <v>13702.98</v>
      </c>
      <c r="M1120" s="25">
        <f t="shared" si="149"/>
        <v>9.4286060404378397E-3</v>
      </c>
      <c r="O1120" t="b">
        <f t="shared" si="147"/>
        <v>1</v>
      </c>
      <c r="Q1120" s="25">
        <f t="shared" si="145"/>
        <v>-2.9193662084087579E-2</v>
      </c>
      <c r="R1120" s="25">
        <f t="shared" si="142"/>
        <v>-3.196319890198418E-3</v>
      </c>
      <c r="S1120" s="25">
        <f t="shared" si="139"/>
        <v>2.7401455171987221E-2</v>
      </c>
      <c r="T1120" s="25">
        <f t="shared" si="151"/>
        <v>7.1193125824269732E-2</v>
      </c>
      <c r="X1120">
        <f t="shared" si="146"/>
        <v>0</v>
      </c>
      <c r="Y1120">
        <f t="shared" si="143"/>
        <v>1</v>
      </c>
      <c r="Z1120">
        <f t="shared" si="140"/>
        <v>0</v>
      </c>
      <c r="AA1120">
        <f t="shared" si="152"/>
        <v>1</v>
      </c>
    </row>
    <row r="1121" spans="1:27">
      <c r="A1121" s="27">
        <v>44034</v>
      </c>
      <c r="B1121" s="24">
        <v>730.08</v>
      </c>
      <c r="C1121" s="25">
        <f t="shared" si="148"/>
        <v>-2.6365760030599992E-3</v>
      </c>
      <c r="E1121" s="25">
        <f t="shared" si="144"/>
        <v>-2.2964509394571953E-2</v>
      </c>
      <c r="F1121" s="25">
        <f t="shared" si="141"/>
        <v>5.7959485745153749E-3</v>
      </c>
      <c r="G1121" s="25">
        <f t="shared" si="138"/>
        <v>1.2021798143314832E-2</v>
      </c>
      <c r="H1121" s="25">
        <f t="shared" si="150"/>
        <v>7.1709149681085105E-2</v>
      </c>
      <c r="K1121" s="29">
        <v>44034</v>
      </c>
      <c r="L1121" s="24">
        <v>13666.9</v>
      </c>
      <c r="M1121" s="25">
        <f t="shared" si="149"/>
        <v>-2.639954927598792E-3</v>
      </c>
      <c r="O1121" t="b">
        <f t="shared" si="147"/>
        <v>1</v>
      </c>
      <c r="Q1121" s="25">
        <f t="shared" si="145"/>
        <v>-1.6491005364110412E-2</v>
      </c>
      <c r="R1121" s="25">
        <f t="shared" si="142"/>
        <v>1.7691659416563255E-3</v>
      </c>
      <c r="S1121" s="25">
        <f t="shared" si="139"/>
        <v>2.7232496463825973E-2</v>
      </c>
      <c r="T1121" s="25">
        <f t="shared" si="151"/>
        <v>6.7582873025022971E-2</v>
      </c>
      <c r="X1121">
        <f t="shared" si="146"/>
        <v>0</v>
      </c>
      <c r="Y1121">
        <f t="shared" si="143"/>
        <v>1</v>
      </c>
      <c r="Z1121">
        <f t="shared" si="140"/>
        <v>0</v>
      </c>
      <c r="AA1121">
        <f t="shared" si="152"/>
        <v>1</v>
      </c>
    </row>
    <row r="1122" spans="1:27">
      <c r="A1122" s="26">
        <v>44035</v>
      </c>
      <c r="B1122" s="23">
        <v>735.52</v>
      </c>
      <c r="C1122" s="25">
        <f t="shared" si="148"/>
        <v>7.4512382204689085E-3</v>
      </c>
      <c r="E1122" s="25">
        <f t="shared" si="144"/>
        <v>-1.3849969833076403E-2</v>
      </c>
      <c r="F1122" s="25">
        <f t="shared" si="141"/>
        <v>5.3172911506873533E-3</v>
      </c>
      <c r="G1122" s="25">
        <f t="shared" si="138"/>
        <v>1.429404010107338E-2</v>
      </c>
      <c r="H1122" s="25">
        <f t="shared" si="150"/>
        <v>7.43411689074438E-2</v>
      </c>
      <c r="K1122" s="28">
        <v>44035</v>
      </c>
      <c r="L1122" s="23">
        <v>13770.13</v>
      </c>
      <c r="M1122" s="25">
        <f t="shared" si="149"/>
        <v>7.496661251564043E-3</v>
      </c>
      <c r="O1122" t="b">
        <f t="shared" si="147"/>
        <v>1</v>
      </c>
      <c r="Q1122" s="25">
        <f t="shared" si="145"/>
        <v>-3.1072065908688273E-3</v>
      </c>
      <c r="R1122" s="25">
        <f t="shared" si="142"/>
        <v>9.6034133331301952E-4</v>
      </c>
      <c r="S1122" s="25">
        <f t="shared" si="139"/>
        <v>2.8682792143627012E-2</v>
      </c>
      <c r="T1122" s="25">
        <f t="shared" si="151"/>
        <v>7.0889412856901535E-2</v>
      </c>
      <c r="X1122">
        <f t="shared" si="146"/>
        <v>0</v>
      </c>
      <c r="Y1122">
        <f t="shared" si="143"/>
        <v>1</v>
      </c>
      <c r="Z1122">
        <f t="shared" si="140"/>
        <v>0</v>
      </c>
      <c r="AA1122">
        <f t="shared" si="152"/>
        <v>1</v>
      </c>
    </row>
    <row r="1123" spans="1:27">
      <c r="A1123" s="27">
        <v>44036</v>
      </c>
      <c r="B1123" s="24">
        <v>732.86</v>
      </c>
      <c r="C1123" s="25">
        <f t="shared" si="148"/>
        <v>-3.6164890145746796E-3</v>
      </c>
      <c r="E1123" s="25">
        <f t="shared" si="144"/>
        <v>-1.4032208155632331E-2</v>
      </c>
      <c r="F1123" s="25">
        <f t="shared" si="141"/>
        <v>8.1142415561017422E-3</v>
      </c>
      <c r="G1123" s="25">
        <f t="shared" si="138"/>
        <v>1.3295106880340413E-2</v>
      </c>
      <c r="H1123" s="25">
        <f t="shared" si="150"/>
        <v>7.290243047133238E-2</v>
      </c>
      <c r="K1123" s="29">
        <v>44036</v>
      </c>
      <c r="L1123" s="24">
        <v>13727.72</v>
      </c>
      <c r="M1123" s="25">
        <f t="shared" si="149"/>
        <v>-3.0893695384229761E-3</v>
      </c>
      <c r="O1123" t="b">
        <f t="shared" si="147"/>
        <v>1</v>
      </c>
      <c r="Q1123" s="25">
        <f t="shared" si="145"/>
        <v>-4.7443805480398282E-3</v>
      </c>
      <c r="R1123" s="25">
        <f t="shared" si="142"/>
        <v>1.8286862385521463E-3</v>
      </c>
      <c r="S1123" s="25">
        <f t="shared" si="139"/>
        <v>2.6273671240754748E-2</v>
      </c>
      <c r="T1123" s="25">
        <f t="shared" si="151"/>
        <v>6.9035956599933224E-2</v>
      </c>
      <c r="X1123">
        <f t="shared" si="146"/>
        <v>0</v>
      </c>
      <c r="Y1123">
        <f t="shared" si="143"/>
        <v>1</v>
      </c>
      <c r="Z1123">
        <f t="shared" si="140"/>
        <v>0</v>
      </c>
      <c r="AA1123">
        <f t="shared" si="152"/>
        <v>1</v>
      </c>
    </row>
    <row r="1124" spans="1:27">
      <c r="A1124" s="26">
        <v>44039</v>
      </c>
      <c r="B1124" s="23">
        <v>725.58</v>
      </c>
      <c r="C1124" s="25">
        <f t="shared" si="148"/>
        <v>-9.9336844690663603E-3</v>
      </c>
      <c r="E1124" s="25">
        <f t="shared" si="144"/>
        <v>-1.4398652503463727E-2</v>
      </c>
      <c r="F1124" s="25">
        <f t="shared" si="141"/>
        <v>4.3698316649891655E-3</v>
      </c>
      <c r="G1124" s="25">
        <f t="shared" ref="G1124:G1187" si="153">((B1124/B387)^(1/3))-1</f>
        <v>8.4989778491484369E-3</v>
      </c>
      <c r="H1124" s="25">
        <f t="shared" si="150"/>
        <v>6.7880129132059874E-2</v>
      </c>
      <c r="K1124" s="28">
        <v>44039</v>
      </c>
      <c r="L1124" s="23">
        <v>13635.55</v>
      </c>
      <c r="M1124" s="25">
        <f t="shared" si="149"/>
        <v>-6.7595366523535965E-3</v>
      </c>
      <c r="O1124" t="b">
        <f t="shared" si="147"/>
        <v>1</v>
      </c>
      <c r="Q1124" s="25">
        <f t="shared" si="145"/>
        <v>-3.9155097285076268E-3</v>
      </c>
      <c r="R1124" s="25">
        <f t="shared" si="142"/>
        <v>-9.6425139027855877E-5</v>
      </c>
      <c r="S1124" s="25">
        <f t="shared" ref="S1124:S1187" si="154">((L1124/L387)^(1/3))-1</f>
        <v>2.3660091982252274E-2</v>
      </c>
      <c r="T1124" s="25">
        <f t="shared" si="151"/>
        <v>6.564927577502E-2</v>
      </c>
      <c r="X1124">
        <f t="shared" si="146"/>
        <v>0</v>
      </c>
      <c r="Y1124">
        <f t="shared" si="143"/>
        <v>1</v>
      </c>
      <c r="Z1124">
        <f t="shared" ref="Z1124:Z1187" si="155">IF(G1124&gt;S1124,1,0)</f>
        <v>0</v>
      </c>
      <c r="AA1124">
        <f t="shared" si="152"/>
        <v>1</v>
      </c>
    </row>
    <row r="1125" spans="1:27">
      <c r="A1125" s="27">
        <v>44040</v>
      </c>
      <c r="B1125" s="24">
        <v>734.52</v>
      </c>
      <c r="C1125" s="25">
        <f t="shared" si="148"/>
        <v>1.2321177540725958E-2</v>
      </c>
      <c r="E1125" s="25">
        <f t="shared" si="144"/>
        <v>-4.3781768891901773E-3</v>
      </c>
      <c r="F1125" s="25">
        <f t="shared" si="141"/>
        <v>6.8983173351377935E-3</v>
      </c>
      <c r="G1125" s="25">
        <f t="shared" si="153"/>
        <v>1.0528455403696846E-2</v>
      </c>
      <c r="H1125" s="25">
        <f t="shared" si="150"/>
        <v>7.0689377025125122E-2</v>
      </c>
      <c r="K1125" s="29">
        <v>44040</v>
      </c>
      <c r="L1125" s="24">
        <v>13812.2</v>
      </c>
      <c r="M1125" s="25">
        <f t="shared" si="149"/>
        <v>1.2789418050708899E-2</v>
      </c>
      <c r="O1125" t="b">
        <f t="shared" si="147"/>
        <v>1</v>
      </c>
      <c r="Q1125" s="25">
        <f t="shared" si="145"/>
        <v>8.9218016575531855E-3</v>
      </c>
      <c r="R1125" s="25">
        <f t="shared" si="142"/>
        <v>3.6408618471270859E-3</v>
      </c>
      <c r="S1125" s="25">
        <f t="shared" si="154"/>
        <v>2.6552145931362681E-2</v>
      </c>
      <c r="T1125" s="25">
        <f t="shared" si="151"/>
        <v>6.9384796263371129E-2</v>
      </c>
      <c r="X1125">
        <f t="shared" si="146"/>
        <v>0</v>
      </c>
      <c r="Y1125">
        <f t="shared" si="143"/>
        <v>1</v>
      </c>
      <c r="Z1125">
        <f t="shared" si="155"/>
        <v>0</v>
      </c>
      <c r="AA1125">
        <f t="shared" si="152"/>
        <v>1</v>
      </c>
    </row>
    <row r="1126" spans="1:27">
      <c r="A1126" s="26">
        <v>44041</v>
      </c>
      <c r="B1126" s="23">
        <v>734.89</v>
      </c>
      <c r="C1126" s="25">
        <f t="shared" si="148"/>
        <v>5.0373032728857556E-4</v>
      </c>
      <c r="E1126" s="25">
        <f t="shared" si="144"/>
        <v>-1.0062503367638365E-2</v>
      </c>
      <c r="F1126" s="25">
        <f t="shared" si="141"/>
        <v>1.0630761329368799E-3</v>
      </c>
      <c r="G1126" s="25">
        <f t="shared" si="153"/>
        <v>1.0740706015173407E-2</v>
      </c>
      <c r="H1126" s="25">
        <f t="shared" si="150"/>
        <v>6.9254146043799647E-2</v>
      </c>
      <c r="K1126" s="28">
        <v>44041</v>
      </c>
      <c r="L1126" s="23">
        <v>13743.53</v>
      </c>
      <c r="M1126" s="25">
        <f t="shared" si="149"/>
        <v>-4.9965329140330078E-3</v>
      </c>
      <c r="O1126" t="b">
        <f t="shared" si="147"/>
        <v>1</v>
      </c>
      <c r="Q1126" s="25">
        <f t="shared" si="145"/>
        <v>2.3798676298714128E-4</v>
      </c>
      <c r="R1126" s="25">
        <f t="shared" si="142"/>
        <v>-3.0546630242953565E-3</v>
      </c>
      <c r="S1126" s="25">
        <f t="shared" si="154"/>
        <v>2.5244109783257196E-2</v>
      </c>
      <c r="T1126" s="25">
        <f t="shared" si="151"/>
        <v>6.7865640319197063E-2</v>
      </c>
      <c r="X1126">
        <f t="shared" si="146"/>
        <v>0</v>
      </c>
      <c r="Y1126">
        <f t="shared" si="143"/>
        <v>1</v>
      </c>
      <c r="Z1126">
        <f t="shared" si="155"/>
        <v>0</v>
      </c>
      <c r="AA1126">
        <f t="shared" si="152"/>
        <v>1</v>
      </c>
    </row>
    <row r="1127" spans="1:27">
      <c r="A1127" s="27">
        <v>44042</v>
      </c>
      <c r="B1127" s="24">
        <v>733.18</v>
      </c>
      <c r="C1127" s="25">
        <f t="shared" si="148"/>
        <v>-2.3268788526174481E-3</v>
      </c>
      <c r="E1127" s="25">
        <f t="shared" si="144"/>
        <v>-4.1427271369002261E-3</v>
      </c>
      <c r="F1127" s="25">
        <f t="shared" si="141"/>
        <v>-5.1563826941600777E-3</v>
      </c>
      <c r="G1127" s="25">
        <f t="shared" si="153"/>
        <v>1.0093352772497788E-2</v>
      </c>
      <c r="H1127" s="25">
        <f t="shared" si="150"/>
        <v>6.8859810465686122E-2</v>
      </c>
      <c r="K1127" s="29">
        <v>44042</v>
      </c>
      <c r="L1127" s="24">
        <v>13648.72</v>
      </c>
      <c r="M1127" s="25">
        <f t="shared" si="149"/>
        <v>-6.94643893346785E-3</v>
      </c>
      <c r="O1127" t="b">
        <f t="shared" si="147"/>
        <v>1</v>
      </c>
      <c r="Q1127" s="25">
        <f t="shared" si="145"/>
        <v>2.3824421941969209E-3</v>
      </c>
      <c r="R1127" s="25">
        <f t="shared" si="142"/>
        <v>-1.1067679152011345E-2</v>
      </c>
      <c r="S1127" s="25">
        <f t="shared" si="154"/>
        <v>2.2457706367422947E-2</v>
      </c>
      <c r="T1127" s="25">
        <f t="shared" si="151"/>
        <v>6.6871161141947688E-2</v>
      </c>
      <c r="X1127">
        <f t="shared" si="146"/>
        <v>0</v>
      </c>
      <c r="Y1127">
        <f t="shared" si="143"/>
        <v>1</v>
      </c>
      <c r="Z1127">
        <f t="shared" si="155"/>
        <v>0</v>
      </c>
      <c r="AA1127">
        <f t="shared" si="152"/>
        <v>1</v>
      </c>
    </row>
    <row r="1128" spans="1:27">
      <c r="A1128" s="26">
        <v>44043</v>
      </c>
      <c r="B1128" s="23">
        <v>733.08</v>
      </c>
      <c r="C1128" s="25">
        <f t="shared" si="148"/>
        <v>-1.3639215472313629E-4</v>
      </c>
      <c r="E1128" s="25">
        <f t="shared" si="144"/>
        <v>1.0072061396861454E-2</v>
      </c>
      <c r="F1128" s="25">
        <f t="shared" si="141"/>
        <v>-4.5184881920357078E-3</v>
      </c>
      <c r="G1128" s="25">
        <f t="shared" si="153"/>
        <v>8.7634477673315114E-3</v>
      </c>
      <c r="H1128" s="25">
        <f t="shared" si="150"/>
        <v>7.0931482113107736E-2</v>
      </c>
      <c r="K1128" s="28">
        <v>44043</v>
      </c>
      <c r="L1128" s="23">
        <v>13654.79</v>
      </c>
      <c r="M1128" s="25">
        <f t="shared" si="149"/>
        <v>4.4453265117966133E-4</v>
      </c>
      <c r="O1128" t="b">
        <f t="shared" si="147"/>
        <v>1</v>
      </c>
      <c r="Q1128" s="25">
        <f t="shared" si="145"/>
        <v>1.447930519543239E-2</v>
      </c>
      <c r="R1128" s="25">
        <f t="shared" si="142"/>
        <v>-1.0835395808227011E-2</v>
      </c>
      <c r="S1128" s="25">
        <f t="shared" si="154"/>
        <v>2.079854805234449E-2</v>
      </c>
      <c r="T1128" s="25">
        <f t="shared" si="151"/>
        <v>6.9850702239609763E-2</v>
      </c>
      <c r="X1128">
        <f t="shared" si="146"/>
        <v>0</v>
      </c>
      <c r="Y1128">
        <f t="shared" si="143"/>
        <v>1</v>
      </c>
      <c r="Z1128">
        <f t="shared" si="155"/>
        <v>0</v>
      </c>
      <c r="AA1128">
        <f t="shared" si="152"/>
        <v>1</v>
      </c>
    </row>
    <row r="1129" spans="1:27">
      <c r="A1129" s="27">
        <v>44046</v>
      </c>
      <c r="B1129" s="24">
        <v>725.87</v>
      </c>
      <c r="C1129" s="25">
        <f t="shared" si="148"/>
        <v>-9.8352158018224969E-3</v>
      </c>
      <c r="E1129" s="25">
        <f t="shared" si="144"/>
        <v>-7.8592712063639825E-3</v>
      </c>
      <c r="F1129" s="25">
        <f t="shared" si="141"/>
        <v>-1.1481716639714534E-2</v>
      </c>
      <c r="G1129" s="25">
        <f t="shared" si="153"/>
        <v>4.4945257127280147E-3</v>
      </c>
      <c r="H1129" s="25">
        <f t="shared" si="150"/>
        <v>6.7222534552566771E-2</v>
      </c>
      <c r="K1129" s="29">
        <v>44046</v>
      </c>
      <c r="L1129" s="24">
        <v>13499.05</v>
      </c>
      <c r="M1129" s="25">
        <f t="shared" si="149"/>
        <v>-1.1537108166871122E-2</v>
      </c>
      <c r="O1129" t="b">
        <f t="shared" si="147"/>
        <v>1</v>
      </c>
      <c r="Q1129" s="25">
        <f t="shared" si="145"/>
        <v>-1.7046168864304212E-3</v>
      </c>
      <c r="R1129" s="25">
        <f t="shared" si="142"/>
        <v>-1.8581416507649773E-2</v>
      </c>
      <c r="S1129" s="25">
        <f t="shared" si="154"/>
        <v>1.6158451607847457E-2</v>
      </c>
      <c r="T1129" s="25">
        <f t="shared" si="151"/>
        <v>6.6205186148868833E-2</v>
      </c>
      <c r="X1129">
        <f t="shared" si="146"/>
        <v>0</v>
      </c>
      <c r="Y1129">
        <f t="shared" si="143"/>
        <v>1</v>
      </c>
      <c r="Z1129">
        <f t="shared" si="155"/>
        <v>0</v>
      </c>
      <c r="AA1129">
        <f t="shared" si="152"/>
        <v>1</v>
      </c>
    </row>
    <row r="1130" spans="1:27">
      <c r="A1130" s="26">
        <v>44047</v>
      </c>
      <c r="B1130" s="23">
        <v>737.08</v>
      </c>
      <c r="C1130" s="25">
        <f t="shared" si="148"/>
        <v>1.544353672145155E-2</v>
      </c>
      <c r="E1130" s="25">
        <f t="shared" si="144"/>
        <v>2.180633534345322E-2</v>
      </c>
      <c r="F1130" s="25">
        <f t="shared" si="141"/>
        <v>-1.006863727579288E-2</v>
      </c>
      <c r="G1130" s="25">
        <f t="shared" si="153"/>
        <v>1.0231916313734324E-2</v>
      </c>
      <c r="H1130" s="25">
        <f t="shared" si="150"/>
        <v>6.7199729214100223E-2</v>
      </c>
      <c r="K1130" s="28">
        <v>44047</v>
      </c>
      <c r="L1130" s="23">
        <v>13715.13</v>
      </c>
      <c r="M1130" s="25">
        <f t="shared" si="149"/>
        <v>1.5754863424553754E-2</v>
      </c>
      <c r="O1130" t="b">
        <f t="shared" si="147"/>
        <v>1</v>
      </c>
      <c r="Q1130" s="25">
        <f t="shared" si="145"/>
        <v>2.642178463233269E-2</v>
      </c>
      <c r="R1130" s="25">
        <f t="shared" si="142"/>
        <v>-1.5497476649911524E-2</v>
      </c>
      <c r="S1130" s="25">
        <f t="shared" si="154"/>
        <v>2.2506304447661662E-2</v>
      </c>
      <c r="T1130" s="25">
        <f t="shared" si="151"/>
        <v>6.6200560581986645E-2</v>
      </c>
      <c r="X1130">
        <f t="shared" si="146"/>
        <v>0</v>
      </c>
      <c r="Y1130">
        <f t="shared" si="143"/>
        <v>1</v>
      </c>
      <c r="Z1130">
        <f t="shared" si="155"/>
        <v>0</v>
      </c>
      <c r="AA1130">
        <f t="shared" si="152"/>
        <v>1</v>
      </c>
    </row>
    <row r="1131" spans="1:27">
      <c r="A1131" s="27">
        <v>44048</v>
      </c>
      <c r="B1131" s="24">
        <v>742.33</v>
      </c>
      <c r="C1131" s="25">
        <f t="shared" si="148"/>
        <v>7.1227003853041732E-3</v>
      </c>
      <c r="E1131" s="25">
        <f t="shared" si="144"/>
        <v>3.0827767208698509E-2</v>
      </c>
      <c r="F1131" s="25">
        <f t="shared" si="141"/>
        <v>-7.7623248835607672E-3</v>
      </c>
      <c r="G1131" s="25">
        <f t="shared" si="153"/>
        <v>1.4896502652816723E-2</v>
      </c>
      <c r="H1131" s="25">
        <f t="shared" si="150"/>
        <v>6.8470353530812877E-2</v>
      </c>
      <c r="K1131" s="29">
        <v>44048</v>
      </c>
      <c r="L1131" s="24">
        <v>13738.57</v>
      </c>
      <c r="M1131" s="25">
        <f t="shared" si="149"/>
        <v>1.7061455449876159E-3</v>
      </c>
      <c r="O1131" t="b">
        <f t="shared" si="147"/>
        <v>1</v>
      </c>
      <c r="Q1131" s="25">
        <f t="shared" si="145"/>
        <v>2.6861117900261355E-2</v>
      </c>
      <c r="R1131" s="25">
        <f t="shared" si="142"/>
        <v>-1.6709885759866094E-2</v>
      </c>
      <c r="S1131" s="25">
        <f t="shared" si="154"/>
        <v>2.5319647597095596E-2</v>
      </c>
      <c r="T1131" s="25">
        <f t="shared" si="151"/>
        <v>6.5412207719131921E-2</v>
      </c>
      <c r="X1131">
        <f t="shared" si="146"/>
        <v>1</v>
      </c>
      <c r="Y1131">
        <f t="shared" si="143"/>
        <v>1</v>
      </c>
      <c r="Z1131">
        <f t="shared" si="155"/>
        <v>0</v>
      </c>
      <c r="AA1131">
        <f t="shared" si="152"/>
        <v>1</v>
      </c>
    </row>
    <row r="1132" spans="1:27">
      <c r="A1132" s="26">
        <v>44049</v>
      </c>
      <c r="B1132" s="23">
        <v>748.95</v>
      </c>
      <c r="C1132" s="25">
        <f t="shared" si="148"/>
        <v>8.9178667169587701E-3</v>
      </c>
      <c r="E1132" s="25">
        <f t="shared" si="144"/>
        <v>5.1999494332308105E-2</v>
      </c>
      <c r="F1132" s="25">
        <f t="shared" si="141"/>
        <v>-6.2890586226532763E-3</v>
      </c>
      <c r="G1132" s="25">
        <f t="shared" si="153"/>
        <v>1.5351509838253952E-2</v>
      </c>
      <c r="H1132" s="25">
        <f t="shared" si="150"/>
        <v>7.1904718601806694E-2</v>
      </c>
      <c r="K1132" s="28">
        <v>44049</v>
      </c>
      <c r="L1132" s="23">
        <v>13862.69</v>
      </c>
      <c r="M1132" s="25">
        <f t="shared" si="149"/>
        <v>8.9535292212406681E-3</v>
      </c>
      <c r="O1132" t="b">
        <f t="shared" si="147"/>
        <v>1</v>
      </c>
      <c r="Q1132" s="25">
        <f t="shared" si="145"/>
        <v>4.9253100978204678E-2</v>
      </c>
      <c r="R1132" s="25">
        <f t="shared" si="142"/>
        <v>-1.3926298482098254E-2</v>
      </c>
      <c r="S1132" s="25">
        <f t="shared" si="154"/>
        <v>2.6547943907292648E-2</v>
      </c>
      <c r="T1132" s="25">
        <f t="shared" si="151"/>
        <v>6.887033424460931E-2</v>
      </c>
      <c r="X1132">
        <f t="shared" si="146"/>
        <v>1</v>
      </c>
      <c r="Y1132">
        <f t="shared" si="143"/>
        <v>1</v>
      </c>
      <c r="Z1132">
        <f t="shared" si="155"/>
        <v>0</v>
      </c>
      <c r="AA1132">
        <f t="shared" si="152"/>
        <v>1</v>
      </c>
    </row>
    <row r="1133" spans="1:27">
      <c r="A1133" s="27">
        <v>44050</v>
      </c>
      <c r="B1133" s="24">
        <v>751.48</v>
      </c>
      <c r="C1133" s="25">
        <f t="shared" si="148"/>
        <v>3.3780626210027005E-3</v>
      </c>
      <c r="E1133" s="25">
        <f t="shared" si="144"/>
        <v>4.0038751643485027E-2</v>
      </c>
      <c r="F1133" s="25">
        <f t="shared" si="141"/>
        <v>-3.9420750051339937E-3</v>
      </c>
      <c r="G1133" s="25">
        <f t="shared" si="153"/>
        <v>1.5138022914819249E-2</v>
      </c>
      <c r="H1133" s="25">
        <f t="shared" si="150"/>
        <v>7.4479388149452985E-2</v>
      </c>
      <c r="K1133" s="29">
        <v>44050</v>
      </c>
      <c r="L1133" s="24">
        <v>13907.39</v>
      </c>
      <c r="M1133" s="25">
        <f t="shared" si="149"/>
        <v>3.2141185369791822E-3</v>
      </c>
      <c r="O1133" t="b">
        <f t="shared" si="147"/>
        <v>1</v>
      </c>
      <c r="Q1133" s="25">
        <f t="shared" si="145"/>
        <v>4.2398581292367066E-2</v>
      </c>
      <c r="R1133" s="25">
        <f t="shared" si="142"/>
        <v>-1.2402555553608918E-2</v>
      </c>
      <c r="S1133" s="25">
        <f t="shared" si="154"/>
        <v>2.6467864953019005E-2</v>
      </c>
      <c r="T1133" s="25">
        <f t="shared" si="151"/>
        <v>7.3055778345127553E-2</v>
      </c>
      <c r="X1133">
        <f t="shared" si="146"/>
        <v>0</v>
      </c>
      <c r="Y1133">
        <f t="shared" si="143"/>
        <v>1</v>
      </c>
      <c r="Z1133">
        <f t="shared" si="155"/>
        <v>0</v>
      </c>
      <c r="AA1133">
        <f t="shared" si="152"/>
        <v>1</v>
      </c>
    </row>
    <row r="1134" spans="1:27">
      <c r="A1134" s="26">
        <v>44053</v>
      </c>
      <c r="B1134" s="23">
        <v>759.8</v>
      </c>
      <c r="C1134" s="25">
        <f t="shared" si="148"/>
        <v>1.1071485601745803E-2</v>
      </c>
      <c r="E1134" s="25">
        <f t="shared" si="144"/>
        <v>5.8084641200963461E-2</v>
      </c>
      <c r="F1134" s="25">
        <f t="shared" si="141"/>
        <v>3.6923691190684504E-3</v>
      </c>
      <c r="G1134" s="25">
        <f t="shared" si="153"/>
        <v>2.094032799200618E-2</v>
      </c>
      <c r="H1134" s="25">
        <f t="shared" si="150"/>
        <v>7.771363509284579E-2</v>
      </c>
      <c r="K1134" s="28">
        <v>44053</v>
      </c>
      <c r="L1134" s="23">
        <v>14013.13</v>
      </c>
      <c r="M1134" s="25">
        <f t="shared" si="149"/>
        <v>7.545780278924108E-3</v>
      </c>
      <c r="O1134" t="b">
        <f t="shared" si="147"/>
        <v>1</v>
      </c>
      <c r="Q1134" s="25">
        <f t="shared" si="145"/>
        <v>5.7891725073001554E-2</v>
      </c>
      <c r="R1134" s="25">
        <f t="shared" si="142"/>
        <v>-5.5054217676835382E-3</v>
      </c>
      <c r="S1134" s="25">
        <f t="shared" si="154"/>
        <v>3.2170991250873193E-2</v>
      </c>
      <c r="T1134" s="25">
        <f t="shared" si="151"/>
        <v>7.4613837369773561E-2</v>
      </c>
      <c r="X1134">
        <f t="shared" si="146"/>
        <v>1</v>
      </c>
      <c r="Y1134">
        <f t="shared" si="143"/>
        <v>1</v>
      </c>
      <c r="Z1134">
        <f t="shared" si="155"/>
        <v>0</v>
      </c>
      <c r="AA1134">
        <f t="shared" si="152"/>
        <v>1</v>
      </c>
    </row>
    <row r="1135" spans="1:27">
      <c r="A1135" s="27">
        <v>44054</v>
      </c>
      <c r="B1135" s="24">
        <v>757.94</v>
      </c>
      <c r="C1135" s="25">
        <f t="shared" si="148"/>
        <v>-2.4480126349037904E-3</v>
      </c>
      <c r="E1135" s="25">
        <f t="shared" si="144"/>
        <v>4.2716229415730167E-2</v>
      </c>
      <c r="F1135" s="25">
        <f t="shared" ref="F1135:F1198" si="156">((B1135/B643)^(1/2))-1</f>
        <v>-2.1633162833194497E-3</v>
      </c>
      <c r="G1135" s="25">
        <f t="shared" si="153"/>
        <v>2.3481495720284906E-2</v>
      </c>
      <c r="H1135" s="25">
        <f t="shared" si="150"/>
        <v>7.5500569980838872E-2</v>
      </c>
      <c r="K1135" s="29">
        <v>44054</v>
      </c>
      <c r="L1135" s="24">
        <v>14047.06</v>
      </c>
      <c r="M1135" s="25">
        <f t="shared" si="149"/>
        <v>2.415452059007386E-3</v>
      </c>
      <c r="O1135" t="b">
        <f t="shared" si="147"/>
        <v>1</v>
      </c>
      <c r="Q1135" s="25">
        <f t="shared" si="145"/>
        <v>4.5465303382360212E-2</v>
      </c>
      <c r="R1135" s="25">
        <f t="shared" ref="R1135:R1198" si="157">((L1135/L643)^(1/2))-1</f>
        <v>-9.3022208473775292E-3</v>
      </c>
      <c r="S1135" s="25">
        <f t="shared" si="154"/>
        <v>3.6564294064888037E-2</v>
      </c>
      <c r="T1135" s="25">
        <f t="shared" si="151"/>
        <v>7.311896148289887E-2</v>
      </c>
      <c r="X1135">
        <f t="shared" si="146"/>
        <v>0</v>
      </c>
      <c r="Y1135">
        <f t="shared" ref="Y1135:Y1198" si="158">IF(F1135&gt;R1135,1,0)</f>
        <v>1</v>
      </c>
      <c r="Z1135">
        <f t="shared" si="155"/>
        <v>0</v>
      </c>
      <c r="AA1135">
        <f t="shared" si="152"/>
        <v>1</v>
      </c>
    </row>
    <row r="1136" spans="1:27">
      <c r="A1136" s="26">
        <v>44055</v>
      </c>
      <c r="B1136" s="23">
        <v>759.17</v>
      </c>
      <c r="C1136" s="25">
        <f t="shared" si="148"/>
        <v>1.6228197482649081E-3</v>
      </c>
      <c r="E1136" s="25">
        <f t="shared" si="144"/>
        <v>3.8351592740005103E-2</v>
      </c>
      <c r="F1136" s="25">
        <f t="shared" si="156"/>
        <v>-2.4999136908864239E-3</v>
      </c>
      <c r="G1136" s="25">
        <f t="shared" si="153"/>
        <v>2.9051972573578277E-2</v>
      </c>
      <c r="H1136" s="25">
        <f t="shared" si="150"/>
        <v>7.4932357430480767E-2</v>
      </c>
      <c r="K1136" s="28">
        <v>44055</v>
      </c>
      <c r="L1136" s="23">
        <v>14037.7</v>
      </c>
      <c r="M1136" s="25">
        <f t="shared" si="149"/>
        <v>-6.6677589633620631E-4</v>
      </c>
      <c r="O1136" t="b">
        <f t="shared" si="147"/>
        <v>1</v>
      </c>
      <c r="Q1136" s="25">
        <f t="shared" si="145"/>
        <v>3.7033480098106031E-2</v>
      </c>
      <c r="R1136" s="25">
        <f t="shared" si="157"/>
        <v>-1.0871424882471059E-2</v>
      </c>
      <c r="S1136" s="25">
        <f t="shared" si="154"/>
        <v>4.1942152771979435E-2</v>
      </c>
      <c r="T1136" s="25">
        <f t="shared" si="151"/>
        <v>7.3239177550040502E-2</v>
      </c>
      <c r="X1136">
        <f t="shared" si="146"/>
        <v>1</v>
      </c>
      <c r="Y1136">
        <f t="shared" si="158"/>
        <v>1</v>
      </c>
      <c r="Z1136">
        <f t="shared" si="155"/>
        <v>0</v>
      </c>
      <c r="AA1136">
        <f t="shared" si="152"/>
        <v>1</v>
      </c>
    </row>
    <row r="1137" spans="1:27">
      <c r="A1137" s="27">
        <v>44056</v>
      </c>
      <c r="B1137" s="24">
        <v>762.11</v>
      </c>
      <c r="C1137" s="25">
        <f t="shared" si="148"/>
        <v>3.8726503945098658E-3</v>
      </c>
      <c r="E1137" s="25">
        <f t="shared" si="144"/>
        <v>6.6141600100723119E-2</v>
      </c>
      <c r="F1137" s="25">
        <f t="shared" si="156"/>
        <v>-8.8452395530924655E-4</v>
      </c>
      <c r="G1137" s="25">
        <f t="shared" si="153"/>
        <v>3.2950108598335026E-2</v>
      </c>
      <c r="H1137" s="25">
        <f t="shared" si="150"/>
        <v>7.5248974962307535E-2</v>
      </c>
      <c r="K1137" s="29">
        <v>44056</v>
      </c>
      <c r="L1137" s="24">
        <v>14077.17</v>
      </c>
      <c r="M1137" s="25">
        <f t="shared" si="149"/>
        <v>2.8038305994741376E-3</v>
      </c>
      <c r="O1137" t="b">
        <f t="shared" si="147"/>
        <v>1</v>
      </c>
      <c r="Q1137" s="25">
        <f t="shared" si="145"/>
        <v>5.8054366967636328E-2</v>
      </c>
      <c r="R1137" s="25">
        <f t="shared" si="157"/>
        <v>-9.2504778762504403E-3</v>
      </c>
      <c r="S1137" s="25">
        <f t="shared" si="154"/>
        <v>4.5689236643268405E-2</v>
      </c>
      <c r="T1137" s="25">
        <f t="shared" si="151"/>
        <v>7.3829431425982639E-2</v>
      </c>
      <c r="X1137">
        <f t="shared" si="146"/>
        <v>1</v>
      </c>
      <c r="Y1137">
        <f t="shared" si="158"/>
        <v>1</v>
      </c>
      <c r="Z1137">
        <f t="shared" si="155"/>
        <v>0</v>
      </c>
      <c r="AA1137">
        <f t="shared" si="152"/>
        <v>1</v>
      </c>
    </row>
    <row r="1138" spans="1:27">
      <c r="A1138" s="26">
        <v>44057</v>
      </c>
      <c r="B1138" s="23">
        <v>753.9</v>
      </c>
      <c r="C1138" s="25">
        <f t="shared" si="148"/>
        <v>-1.0772723097715601E-2</v>
      </c>
      <c r="E1138" s="25">
        <f t="shared" si="144"/>
        <v>4.2594385285575909E-2</v>
      </c>
      <c r="F1138" s="25">
        <f t="shared" si="156"/>
        <v>-7.7352849541166835E-3</v>
      </c>
      <c r="G1138" s="25">
        <f t="shared" si="153"/>
        <v>2.3666765564857251E-2</v>
      </c>
      <c r="H1138" s="25">
        <f t="shared" si="150"/>
        <v>6.9821802042888459E-2</v>
      </c>
      <c r="K1138" s="28">
        <v>44057</v>
      </c>
      <c r="L1138" s="23">
        <v>13935.92</v>
      </c>
      <c r="M1138" s="25">
        <f t="shared" si="149"/>
        <v>-1.0135678161183473E-2</v>
      </c>
      <c r="O1138" t="b">
        <f t="shared" si="147"/>
        <v>1</v>
      </c>
      <c r="Q1138" s="25">
        <f t="shared" si="145"/>
        <v>3.7698702273478712E-2</v>
      </c>
      <c r="R1138" s="25">
        <f t="shared" si="157"/>
        <v>-1.626839634569488E-2</v>
      </c>
      <c r="S1138" s="25">
        <f t="shared" si="154"/>
        <v>3.7505737357543145E-2</v>
      </c>
      <c r="T1138" s="25">
        <f t="shared" si="151"/>
        <v>6.9343975631147581E-2</v>
      </c>
      <c r="X1138">
        <f t="shared" si="146"/>
        <v>1</v>
      </c>
      <c r="Y1138">
        <f t="shared" si="158"/>
        <v>1</v>
      </c>
      <c r="Z1138">
        <f t="shared" si="155"/>
        <v>0</v>
      </c>
      <c r="AA1138">
        <f t="shared" si="152"/>
        <v>1</v>
      </c>
    </row>
    <row r="1139" spans="1:27">
      <c r="A1139" s="27">
        <v>44060</v>
      </c>
      <c r="B1139" s="24">
        <v>755.52</v>
      </c>
      <c r="C1139" s="25">
        <f t="shared" si="148"/>
        <v>2.1488261042578653E-3</v>
      </c>
      <c r="E1139" s="25">
        <f t="shared" si="144"/>
        <v>4.2916499868862479E-2</v>
      </c>
      <c r="F1139" s="25">
        <f t="shared" si="156"/>
        <v>-8.2744897805193673E-3</v>
      </c>
      <c r="G1139" s="25">
        <f t="shared" si="153"/>
        <v>2.0383951225423358E-2</v>
      </c>
      <c r="H1139" s="25">
        <f t="shared" si="150"/>
        <v>6.9005698368399759E-2</v>
      </c>
      <c r="K1139" s="29">
        <v>44060</v>
      </c>
      <c r="L1139" s="24">
        <v>14017.08</v>
      </c>
      <c r="M1139" s="25">
        <f t="shared" si="149"/>
        <v>5.7900789608106582E-3</v>
      </c>
      <c r="O1139" t="b">
        <f t="shared" si="147"/>
        <v>1</v>
      </c>
      <c r="Q1139" s="25">
        <f t="shared" si="145"/>
        <v>4.164242225625725E-2</v>
      </c>
      <c r="R1139" s="25">
        <f t="shared" si="157"/>
        <v>-1.4684630377345576E-2</v>
      </c>
      <c r="S1139" s="25">
        <f t="shared" si="154"/>
        <v>3.5714942076365164E-2</v>
      </c>
      <c r="T1139" s="25">
        <f t="shared" si="151"/>
        <v>7.0618845969179889E-2</v>
      </c>
      <c r="X1139">
        <f t="shared" si="146"/>
        <v>1</v>
      </c>
      <c r="Y1139">
        <f t="shared" si="158"/>
        <v>1</v>
      </c>
      <c r="Z1139">
        <f t="shared" si="155"/>
        <v>0</v>
      </c>
      <c r="AA1139">
        <f t="shared" si="152"/>
        <v>0</v>
      </c>
    </row>
    <row r="1140" spans="1:27">
      <c r="A1140" s="26">
        <v>44061</v>
      </c>
      <c r="B1140" s="23">
        <v>765.93</v>
      </c>
      <c r="C1140" s="25">
        <f t="shared" si="148"/>
        <v>1.3778589580686108E-2</v>
      </c>
      <c r="E1140" s="25">
        <f t="shared" si="144"/>
        <v>5.5319793876932311E-2</v>
      </c>
      <c r="F1140" s="25">
        <f t="shared" si="156"/>
        <v>-2.6111024078900869E-5</v>
      </c>
      <c r="G1140" s="25">
        <f t="shared" si="153"/>
        <v>2.4540278947361882E-2</v>
      </c>
      <c r="H1140" s="25">
        <f t="shared" si="150"/>
        <v>7.4194967084138641E-2</v>
      </c>
      <c r="K1140" s="28">
        <v>44061</v>
      </c>
      <c r="L1140" s="23">
        <v>14189.88</v>
      </c>
      <c r="M1140" s="25">
        <f t="shared" si="149"/>
        <v>1.2177692834611658E-2</v>
      </c>
      <c r="O1140" t="b">
        <f t="shared" si="147"/>
        <v>1</v>
      </c>
      <c r="Q1140" s="25">
        <f t="shared" si="145"/>
        <v>5.3147669028290379E-2</v>
      </c>
      <c r="R1140" s="25">
        <f t="shared" si="157"/>
        <v>-6.3582052965985847E-3</v>
      </c>
      <c r="S1140" s="25">
        <f t="shared" si="154"/>
        <v>3.9649897756181884E-2</v>
      </c>
      <c r="T1140" s="25">
        <f t="shared" si="151"/>
        <v>7.5128519245650338E-2</v>
      </c>
      <c r="X1140">
        <f t="shared" si="146"/>
        <v>1</v>
      </c>
      <c r="Y1140">
        <f t="shared" si="158"/>
        <v>1</v>
      </c>
      <c r="Z1140">
        <f t="shared" si="155"/>
        <v>0</v>
      </c>
      <c r="AA1140">
        <f t="shared" si="152"/>
        <v>0</v>
      </c>
    </row>
    <row r="1141" spans="1:27">
      <c r="A1141" s="27">
        <v>44062</v>
      </c>
      <c r="B1141" s="24">
        <v>769.83</v>
      </c>
      <c r="C1141" s="25">
        <f t="shared" si="148"/>
        <v>5.0918491245937501E-3</v>
      </c>
      <c r="E1141" s="25">
        <f t="shared" si="144"/>
        <v>6.7636535101101236E-2</v>
      </c>
      <c r="F1141" s="25">
        <f t="shared" si="156"/>
        <v>6.1088083248748148E-3</v>
      </c>
      <c r="G1141" s="25">
        <f t="shared" si="153"/>
        <v>2.8272584388516986E-2</v>
      </c>
      <c r="H1141" s="25">
        <f t="shared" si="150"/>
        <v>7.4966953319728802E-2</v>
      </c>
      <c r="K1141" s="29">
        <v>44062</v>
      </c>
      <c r="L1141" s="24">
        <v>14237.02</v>
      </c>
      <c r="M1141" s="25">
        <f t="shared" si="149"/>
        <v>3.3110861683133997E-3</v>
      </c>
      <c r="O1141" t="b">
        <f t="shared" si="147"/>
        <v>1</v>
      </c>
      <c r="Q1141" s="25">
        <f t="shared" si="145"/>
        <v>6.1337102465068849E-2</v>
      </c>
      <c r="R1141" s="25">
        <f t="shared" si="157"/>
        <v>-1.2507208454669572E-3</v>
      </c>
      <c r="S1141" s="25">
        <f t="shared" si="154"/>
        <v>4.2754877295704707E-2</v>
      </c>
      <c r="T1141" s="25">
        <f t="shared" si="151"/>
        <v>7.6163484516390323E-2</v>
      </c>
      <c r="X1141">
        <f t="shared" si="146"/>
        <v>1</v>
      </c>
      <c r="Y1141">
        <f t="shared" si="158"/>
        <v>1</v>
      </c>
      <c r="Z1141">
        <f t="shared" si="155"/>
        <v>0</v>
      </c>
      <c r="AA1141">
        <f t="shared" si="152"/>
        <v>0</v>
      </c>
    </row>
    <row r="1142" spans="1:27">
      <c r="A1142" s="26">
        <v>44063</v>
      </c>
      <c r="B1142" s="23">
        <v>766.93</v>
      </c>
      <c r="C1142" s="25">
        <f t="shared" si="148"/>
        <v>-3.7670654560098865E-3</v>
      </c>
      <c r="E1142" s="25">
        <f t="shared" si="144"/>
        <v>7.5562723511675145E-2</v>
      </c>
      <c r="F1142" s="25">
        <f t="shared" si="156"/>
        <v>-1.145460838038681E-3</v>
      </c>
      <c r="G1142" s="25">
        <f t="shared" si="153"/>
        <v>2.9994909022201588E-2</v>
      </c>
      <c r="H1142" s="25">
        <f t="shared" si="150"/>
        <v>7.2940307816469652E-2</v>
      </c>
      <c r="K1142" s="28">
        <v>44063</v>
      </c>
      <c r="L1142" s="23">
        <v>14171.02</v>
      </c>
      <c r="M1142" s="25">
        <f t="shared" si="149"/>
        <v>-4.6573923401420645E-3</v>
      </c>
      <c r="O1142" t="b">
        <f t="shared" si="147"/>
        <v>1</v>
      </c>
      <c r="Q1142" s="25">
        <f t="shared" si="145"/>
        <v>6.7334386782576194E-2</v>
      </c>
      <c r="R1142" s="25">
        <f t="shared" si="157"/>
        <v>-7.3785265259503907E-3</v>
      </c>
      <c r="S1142" s="25">
        <f t="shared" si="154"/>
        <v>4.4589568709680005E-2</v>
      </c>
      <c r="T1142" s="25">
        <f t="shared" si="151"/>
        <v>7.3954957331533011E-2</v>
      </c>
      <c r="X1142">
        <f t="shared" si="146"/>
        <v>1</v>
      </c>
      <c r="Y1142">
        <f t="shared" si="158"/>
        <v>1</v>
      </c>
      <c r="Z1142">
        <f t="shared" si="155"/>
        <v>0</v>
      </c>
      <c r="AA1142">
        <f t="shared" si="152"/>
        <v>0</v>
      </c>
    </row>
    <row r="1143" spans="1:27">
      <c r="A1143" s="27">
        <v>44064</v>
      </c>
      <c r="B1143" s="24">
        <v>770.64</v>
      </c>
      <c r="C1143" s="25">
        <f t="shared" si="148"/>
        <v>4.8374688693883887E-3</v>
      </c>
      <c r="E1143" s="25">
        <f t="shared" si="144"/>
        <v>9.8356683722189642E-2</v>
      </c>
      <c r="F1143" s="25">
        <f t="shared" si="156"/>
        <v>2.0630991163199663E-3</v>
      </c>
      <c r="G1143" s="25">
        <f t="shared" si="153"/>
        <v>3.2457885015280352E-2</v>
      </c>
      <c r="H1143" s="25">
        <f t="shared" si="150"/>
        <v>7.518433908393396E-2</v>
      </c>
      <c r="K1143" s="29">
        <v>44064</v>
      </c>
      <c r="L1143" s="24">
        <v>14254.38</v>
      </c>
      <c r="M1143" s="25">
        <f t="shared" si="149"/>
        <v>5.8480270625589307E-3</v>
      </c>
      <c r="O1143" t="b">
        <f t="shared" si="147"/>
        <v>1</v>
      </c>
      <c r="Q1143" s="25">
        <f t="shared" si="145"/>
        <v>9.1293692882587596E-2</v>
      </c>
      <c r="R1143" s="25">
        <f t="shared" si="157"/>
        <v>-2.3857865639655973E-3</v>
      </c>
      <c r="S1143" s="25">
        <f t="shared" si="154"/>
        <v>4.7042980854173466E-2</v>
      </c>
      <c r="T1143" s="25">
        <f t="shared" si="151"/>
        <v>7.7083457038182646E-2</v>
      </c>
      <c r="X1143">
        <f t="shared" si="146"/>
        <v>1</v>
      </c>
      <c r="Y1143">
        <f t="shared" si="158"/>
        <v>1</v>
      </c>
      <c r="Z1143">
        <f t="shared" si="155"/>
        <v>0</v>
      </c>
      <c r="AA1143">
        <f t="shared" si="152"/>
        <v>0</v>
      </c>
    </row>
    <row r="1144" spans="1:27">
      <c r="A1144" s="26">
        <v>44067</v>
      </c>
      <c r="B1144" s="23">
        <v>777.25</v>
      </c>
      <c r="C1144" s="25">
        <f t="shared" si="148"/>
        <v>8.5772864112945262E-3</v>
      </c>
      <c r="E1144" s="25">
        <f t="shared" ref="E1144:E1207" si="159">(B1144/B899)-1</f>
        <v>9.9456813873878946E-2</v>
      </c>
      <c r="F1144" s="25">
        <f t="shared" si="156"/>
        <v>-1.6078463002866528E-4</v>
      </c>
      <c r="G1144" s="25">
        <f t="shared" si="153"/>
        <v>3.2115038864754641E-2</v>
      </c>
      <c r="H1144" s="25">
        <f t="shared" si="150"/>
        <v>7.6536324233722697E-2</v>
      </c>
      <c r="K1144" s="28">
        <v>44067</v>
      </c>
      <c r="L1144" s="23">
        <v>14367.48</v>
      </c>
      <c r="M1144" s="25">
        <f t="shared" si="149"/>
        <v>7.8719441405173604E-3</v>
      </c>
      <c r="O1144" t="b">
        <f t="shared" si="147"/>
        <v>1</v>
      </c>
      <c r="Q1144" s="25">
        <f t="shared" ref="Q1144:Q1207" si="160">(L1144/L899)-1</f>
        <v>9.1020925153620258E-2</v>
      </c>
      <c r="R1144" s="25">
        <f t="shared" si="157"/>
        <v>-2.7773239511478254E-3</v>
      </c>
      <c r="S1144" s="25">
        <f t="shared" si="154"/>
        <v>4.62884151596199E-2</v>
      </c>
      <c r="T1144" s="25">
        <f t="shared" si="151"/>
        <v>7.9533057965457843E-2</v>
      </c>
      <c r="X1144">
        <f t="shared" ref="X1144:X1207" si="161">IF(E1144&gt;Q1144,1,0)</f>
        <v>1</v>
      </c>
      <c r="Y1144">
        <f t="shared" si="158"/>
        <v>1</v>
      </c>
      <c r="Z1144">
        <f t="shared" si="155"/>
        <v>0</v>
      </c>
      <c r="AA1144">
        <f t="shared" si="152"/>
        <v>0</v>
      </c>
    </row>
    <row r="1145" spans="1:27">
      <c r="A1145" s="27">
        <v>44068</v>
      </c>
      <c r="B1145" s="24">
        <v>778.41</v>
      </c>
      <c r="C1145" s="25">
        <f t="shared" si="148"/>
        <v>1.4924412994531595E-3</v>
      </c>
      <c r="E1145" s="25">
        <f t="shared" si="159"/>
        <v>7.9985015816637972E-2</v>
      </c>
      <c r="F1145" s="25">
        <f t="shared" si="156"/>
        <v>-1.3397828389445365E-3</v>
      </c>
      <c r="G1145" s="25">
        <f t="shared" si="153"/>
        <v>3.1661109458631653E-2</v>
      </c>
      <c r="H1145" s="25">
        <f t="shared" si="150"/>
        <v>7.6626275566812563E-2</v>
      </c>
      <c r="K1145" s="29">
        <v>44068</v>
      </c>
      <c r="L1145" s="24">
        <v>14383.96</v>
      </c>
      <c r="M1145" s="25">
        <f t="shared" si="149"/>
        <v>1.1457206499461599E-3</v>
      </c>
      <c r="O1145" t="b">
        <f t="shared" si="147"/>
        <v>1</v>
      </c>
      <c r="Q1145" s="25">
        <f t="shared" si="160"/>
        <v>7.1052753068935104E-2</v>
      </c>
      <c r="R1145" s="25">
        <f t="shared" si="157"/>
        <v>-5.788833955406858E-3</v>
      </c>
      <c r="S1145" s="25">
        <f t="shared" si="154"/>
        <v>4.578256930767588E-2</v>
      </c>
      <c r="T1145" s="25">
        <f t="shared" si="151"/>
        <v>7.8880020775192072E-2</v>
      </c>
      <c r="X1145">
        <f t="shared" si="161"/>
        <v>1</v>
      </c>
      <c r="Y1145">
        <f t="shared" si="158"/>
        <v>1</v>
      </c>
      <c r="Z1145">
        <f t="shared" si="155"/>
        <v>0</v>
      </c>
      <c r="AA1145">
        <f t="shared" si="152"/>
        <v>0</v>
      </c>
    </row>
    <row r="1146" spans="1:27">
      <c r="A1146" s="26">
        <v>44069</v>
      </c>
      <c r="B1146" s="23">
        <v>781.32</v>
      </c>
      <c r="C1146" s="25">
        <f t="shared" si="148"/>
        <v>3.7383897945813672E-3</v>
      </c>
      <c r="E1146" s="25">
        <f t="shared" si="159"/>
        <v>7.8233029270110332E-2</v>
      </c>
      <c r="F1146" s="25">
        <f t="shared" si="156"/>
        <v>-5.1156131851870512E-4</v>
      </c>
      <c r="G1146" s="25">
        <f t="shared" si="153"/>
        <v>2.9850460223690201E-2</v>
      </c>
      <c r="H1146" s="25">
        <f t="shared" si="150"/>
        <v>7.463412330212682E-2</v>
      </c>
      <c r="K1146" s="28">
        <v>44069</v>
      </c>
      <c r="L1146" s="23">
        <v>14474.1</v>
      </c>
      <c r="M1146" s="25">
        <f t="shared" si="149"/>
        <v>6.2276756413180258E-3</v>
      </c>
      <c r="O1146" t="b">
        <f t="shared" si="147"/>
        <v>1</v>
      </c>
      <c r="Q1146" s="25">
        <f t="shared" si="160"/>
        <v>7.0885564600795758E-2</v>
      </c>
      <c r="R1146" s="25">
        <f t="shared" si="157"/>
        <v>-3.8381331233464655E-3</v>
      </c>
      <c r="S1146" s="25">
        <f t="shared" si="154"/>
        <v>4.5382147298028919E-2</v>
      </c>
      <c r="T1146" s="25">
        <f t="shared" si="151"/>
        <v>7.6877673339964314E-2</v>
      </c>
      <c r="X1146">
        <f t="shared" si="161"/>
        <v>1</v>
      </c>
      <c r="Y1146">
        <f t="shared" si="158"/>
        <v>1</v>
      </c>
      <c r="Z1146">
        <f t="shared" si="155"/>
        <v>0</v>
      </c>
      <c r="AA1146">
        <f t="shared" si="152"/>
        <v>0</v>
      </c>
    </row>
    <row r="1147" spans="1:27">
      <c r="A1147" s="27">
        <v>44070</v>
      </c>
      <c r="B1147" s="24">
        <v>784.09</v>
      </c>
      <c r="C1147" s="25">
        <f t="shared" si="148"/>
        <v>3.5452823427020706E-3</v>
      </c>
      <c r="E1147" s="25">
        <f t="shared" si="159"/>
        <v>9.0437515645426014E-2</v>
      </c>
      <c r="F1147" s="25">
        <f t="shared" si="156"/>
        <v>5.1053622389329867E-4</v>
      </c>
      <c r="G1147" s="25">
        <f t="shared" si="153"/>
        <v>3.4276213477145934E-2</v>
      </c>
      <c r="H1147" s="25">
        <f t="shared" si="150"/>
        <v>7.4167163636180256E-2</v>
      </c>
      <c r="K1147" s="29">
        <v>44070</v>
      </c>
      <c r="L1147" s="24">
        <v>14494.78</v>
      </c>
      <c r="M1147" s="25">
        <f t="shared" si="149"/>
        <v>1.4267205159374816E-3</v>
      </c>
      <c r="O1147" t="b">
        <f t="shared" si="147"/>
        <v>1</v>
      </c>
      <c r="Q1147" s="25">
        <f t="shared" si="160"/>
        <v>7.8549669100850261E-2</v>
      </c>
      <c r="R1147" s="25">
        <f t="shared" si="157"/>
        <v>-3.6549797290685859E-3</v>
      </c>
      <c r="S1147" s="25">
        <f t="shared" si="154"/>
        <v>4.9843398098027736E-2</v>
      </c>
      <c r="T1147" s="25">
        <f t="shared" si="151"/>
        <v>7.616989492385895E-2</v>
      </c>
      <c r="X1147">
        <f t="shared" si="161"/>
        <v>1</v>
      </c>
      <c r="Y1147">
        <f t="shared" si="158"/>
        <v>1</v>
      </c>
      <c r="Z1147">
        <f t="shared" si="155"/>
        <v>0</v>
      </c>
      <c r="AA1147">
        <f t="shared" si="152"/>
        <v>0</v>
      </c>
    </row>
    <row r="1148" spans="1:27">
      <c r="A1148" s="26">
        <v>44071</v>
      </c>
      <c r="B1148" s="23">
        <v>791.87</v>
      </c>
      <c r="C1148" s="25">
        <f t="shared" si="148"/>
        <v>9.9223303447307995E-3</v>
      </c>
      <c r="E1148" s="25">
        <f t="shared" si="159"/>
        <v>0.10752597938432706</v>
      </c>
      <c r="F1148" s="25">
        <f t="shared" si="156"/>
        <v>7.3542606862364579E-3</v>
      </c>
      <c r="G1148" s="25">
        <f t="shared" si="153"/>
        <v>3.4638631786507723E-2</v>
      </c>
      <c r="H1148" s="25">
        <f t="shared" si="150"/>
        <v>7.7476504547741687E-2</v>
      </c>
      <c r="K1148" s="28">
        <v>44071</v>
      </c>
      <c r="L1148" s="23">
        <v>14586.35</v>
      </c>
      <c r="M1148" s="25">
        <f t="shared" si="149"/>
        <v>6.2777871091808241E-3</v>
      </c>
      <c r="O1148" t="b">
        <f t="shared" si="147"/>
        <v>1</v>
      </c>
      <c r="Q1148" s="25">
        <f t="shared" si="160"/>
        <v>9.3249239255894789E-2</v>
      </c>
      <c r="R1148" s="25">
        <f t="shared" si="157"/>
        <v>5.1320300349910752E-4</v>
      </c>
      <c r="S1148" s="25">
        <f t="shared" si="154"/>
        <v>4.8336360426628255E-2</v>
      </c>
      <c r="T1148" s="25">
        <f t="shared" si="151"/>
        <v>7.8448823779496024E-2</v>
      </c>
      <c r="X1148">
        <f t="shared" si="161"/>
        <v>1</v>
      </c>
      <c r="Y1148">
        <f t="shared" si="158"/>
        <v>1</v>
      </c>
      <c r="Z1148">
        <f t="shared" si="155"/>
        <v>0</v>
      </c>
      <c r="AA1148">
        <f t="shared" si="152"/>
        <v>0</v>
      </c>
    </row>
    <row r="1149" spans="1:27">
      <c r="A1149" s="27">
        <v>44074</v>
      </c>
      <c r="B1149" s="24">
        <v>767.12</v>
      </c>
      <c r="C1149" s="25">
        <f t="shared" si="148"/>
        <v>-3.125513026128026E-2</v>
      </c>
      <c r="E1149" s="25">
        <f t="shared" si="159"/>
        <v>6.2537224538415703E-2</v>
      </c>
      <c r="F1149" s="25">
        <f t="shared" si="156"/>
        <v>-1.4331601001839722E-2</v>
      </c>
      <c r="G1149" s="25">
        <f t="shared" si="153"/>
        <v>2.3053945840752155E-2</v>
      </c>
      <c r="H1149" s="25">
        <f t="shared" si="150"/>
        <v>6.7429414828067191E-2</v>
      </c>
      <c r="K1149" s="29">
        <v>44074</v>
      </c>
      <c r="L1149" s="24">
        <v>14179.34</v>
      </c>
      <c r="M1149" s="25">
        <f t="shared" si="149"/>
        <v>-2.8704438993634417E-2</v>
      </c>
      <c r="O1149" t="b">
        <f t="shared" si="147"/>
        <v>1</v>
      </c>
      <c r="Q1149" s="25">
        <f t="shared" si="160"/>
        <v>5.4280891942331655E-2</v>
      </c>
      <c r="R1149" s="25">
        <f t="shared" si="157"/>
        <v>-1.8908783669428608E-2</v>
      </c>
      <c r="S1149" s="25">
        <f t="shared" si="154"/>
        <v>3.7209114837020829E-2</v>
      </c>
      <c r="T1149" s="25">
        <f t="shared" si="151"/>
        <v>6.9735827099494774E-2</v>
      </c>
      <c r="X1149">
        <f t="shared" si="161"/>
        <v>1</v>
      </c>
      <c r="Y1149">
        <f t="shared" si="158"/>
        <v>1</v>
      </c>
      <c r="Z1149">
        <f t="shared" si="155"/>
        <v>0</v>
      </c>
      <c r="AA1149">
        <f t="shared" si="152"/>
        <v>0</v>
      </c>
    </row>
    <row r="1150" spans="1:27">
      <c r="A1150" s="26">
        <v>44075</v>
      </c>
      <c r="B1150" s="23">
        <v>775.19</v>
      </c>
      <c r="C1150" s="25">
        <f t="shared" si="148"/>
        <v>1.0519866513713696E-2</v>
      </c>
      <c r="E1150" s="25">
        <f t="shared" si="159"/>
        <v>9.3140987675212283E-2</v>
      </c>
      <c r="F1150" s="25">
        <f t="shared" si="156"/>
        <v>-9.2672623888961914E-3</v>
      </c>
      <c r="G1150" s="25">
        <f t="shared" si="153"/>
        <v>2.3693788566306218E-2</v>
      </c>
      <c r="H1150" s="25">
        <f t="shared" si="150"/>
        <v>6.6727160218063686E-2</v>
      </c>
      <c r="K1150" s="28">
        <v>44075</v>
      </c>
      <c r="L1150" s="23">
        <v>14285.55</v>
      </c>
      <c r="M1150" s="25">
        <f t="shared" si="149"/>
        <v>7.4347855000331895E-3</v>
      </c>
      <c r="O1150" t="b">
        <f t="shared" si="147"/>
        <v>1</v>
      </c>
      <c r="Q1150" s="25">
        <f t="shared" si="160"/>
        <v>8.3318672252032933E-2</v>
      </c>
      <c r="R1150" s="25">
        <f t="shared" si="157"/>
        <v>-1.6579469862782137E-2</v>
      </c>
      <c r="S1150" s="25">
        <f t="shared" si="154"/>
        <v>3.7400504841747617E-2</v>
      </c>
      <c r="T1150" s="25">
        <f t="shared" si="151"/>
        <v>6.7821181173510992E-2</v>
      </c>
      <c r="X1150">
        <f t="shared" si="161"/>
        <v>1</v>
      </c>
      <c r="Y1150">
        <f t="shared" si="158"/>
        <v>1</v>
      </c>
      <c r="Z1150">
        <f t="shared" si="155"/>
        <v>0</v>
      </c>
      <c r="AA1150">
        <f t="shared" si="152"/>
        <v>0</v>
      </c>
    </row>
    <row r="1151" spans="1:27">
      <c r="A1151" s="27">
        <v>44076</v>
      </c>
      <c r="B1151" s="24">
        <v>780.92</v>
      </c>
      <c r="C1151" s="25">
        <f t="shared" si="148"/>
        <v>7.3917362195073518E-3</v>
      </c>
      <c r="E1151" s="25">
        <f t="shared" si="159"/>
        <v>9.5213385131060368E-2</v>
      </c>
      <c r="F1151" s="25">
        <f t="shared" si="156"/>
        <v>-5.4486628360548295E-3</v>
      </c>
      <c r="G1151" s="25">
        <f t="shared" si="153"/>
        <v>2.8635590554514812E-2</v>
      </c>
      <c r="H1151" s="25">
        <f t="shared" si="150"/>
        <v>6.889834410211626E-2</v>
      </c>
      <c r="K1151" s="29">
        <v>44076</v>
      </c>
      <c r="L1151" s="24">
        <v>14402.98</v>
      </c>
      <c r="M1151" s="25">
        <f t="shared" si="149"/>
        <v>8.1531738570768206E-3</v>
      </c>
      <c r="O1151" t="b">
        <f t="shared" si="147"/>
        <v>1</v>
      </c>
      <c r="Q1151" s="25">
        <f t="shared" si="160"/>
        <v>8.8419571478123071E-2</v>
      </c>
      <c r="R1151" s="25">
        <f t="shared" si="157"/>
        <v>-1.194861468483932E-2</v>
      </c>
      <c r="S1151" s="25">
        <f t="shared" si="154"/>
        <v>4.2417759138282829E-2</v>
      </c>
      <c r="T1151" s="25">
        <f t="shared" si="151"/>
        <v>7.0258320003706132E-2</v>
      </c>
      <c r="X1151">
        <f t="shared" si="161"/>
        <v>1</v>
      </c>
      <c r="Y1151">
        <f t="shared" si="158"/>
        <v>1</v>
      </c>
      <c r="Z1151">
        <f t="shared" si="155"/>
        <v>0</v>
      </c>
      <c r="AA1151">
        <f t="shared" si="152"/>
        <v>0</v>
      </c>
    </row>
    <row r="1152" spans="1:27">
      <c r="A1152" s="26">
        <v>44077</v>
      </c>
      <c r="B1152" s="23">
        <v>780.53</v>
      </c>
      <c r="C1152" s="25">
        <f t="shared" si="148"/>
        <v>-4.9941095118576345E-4</v>
      </c>
      <c r="E1152" s="25">
        <f t="shared" si="159"/>
        <v>9.1879415261943098E-2</v>
      </c>
      <c r="F1152" s="25">
        <f t="shared" si="156"/>
        <v>-6.4392578466794248E-3</v>
      </c>
      <c r="G1152" s="25">
        <f t="shared" si="153"/>
        <v>2.674048399172313E-2</v>
      </c>
      <c r="H1152" s="25">
        <f t="shared" si="150"/>
        <v>6.7344800345588096E-2</v>
      </c>
      <c r="K1152" s="28">
        <v>44077</v>
      </c>
      <c r="L1152" s="23">
        <v>14427.92</v>
      </c>
      <c r="M1152" s="25">
        <f t="shared" si="149"/>
        <v>1.7285928948871708E-3</v>
      </c>
      <c r="O1152" t="b">
        <f t="shared" si="147"/>
        <v>1</v>
      </c>
      <c r="Q1152" s="25">
        <f t="shared" si="160"/>
        <v>8.8670385632006576E-2</v>
      </c>
      <c r="R1152" s="25">
        <f t="shared" si="157"/>
        <v>-1.1180327625523456E-2</v>
      </c>
      <c r="S1152" s="25">
        <f t="shared" si="154"/>
        <v>4.1136515108487037E-2</v>
      </c>
      <c r="T1152" s="25">
        <f t="shared" si="151"/>
        <v>6.9409556307875153E-2</v>
      </c>
      <c r="X1152">
        <f t="shared" si="161"/>
        <v>1</v>
      </c>
      <c r="Y1152">
        <f t="shared" si="158"/>
        <v>1</v>
      </c>
      <c r="Z1152">
        <f t="shared" si="155"/>
        <v>0</v>
      </c>
      <c r="AA1152">
        <f t="shared" si="152"/>
        <v>0</v>
      </c>
    </row>
    <row r="1153" spans="1:27">
      <c r="A1153" s="27">
        <v>44078</v>
      </c>
      <c r="B1153" s="24">
        <v>768.33</v>
      </c>
      <c r="C1153" s="25">
        <f t="shared" si="148"/>
        <v>-1.5630404981230615E-2</v>
      </c>
      <c r="E1153" s="25">
        <f t="shared" si="159"/>
        <v>6.4729358942379633E-2</v>
      </c>
      <c r="F1153" s="25">
        <f t="shared" si="156"/>
        <v>-1.5826668780997255E-2</v>
      </c>
      <c r="G1153" s="25">
        <f t="shared" si="153"/>
        <v>2.1528206566890251E-2</v>
      </c>
      <c r="H1153" s="25">
        <f t="shared" si="150"/>
        <v>6.4670652595633094E-2</v>
      </c>
      <c r="K1153" s="29">
        <v>44078</v>
      </c>
      <c r="L1153" s="24">
        <v>14190.8</v>
      </c>
      <c r="M1153" s="25">
        <f t="shared" si="149"/>
        <v>-1.6709417368999689E-2</v>
      </c>
      <c r="O1153" t="b">
        <f t="shared" si="147"/>
        <v>1</v>
      </c>
      <c r="Q1153" s="25">
        <f t="shared" si="160"/>
        <v>6.1869293429053229E-2</v>
      </c>
      <c r="R1153" s="25">
        <f t="shared" si="157"/>
        <v>-2.0232824112540015E-2</v>
      </c>
      <c r="S1153" s="25">
        <f t="shared" si="154"/>
        <v>3.5983785024120696E-2</v>
      </c>
      <c r="T1153" s="25">
        <f t="shared" si="151"/>
        <v>6.7339503225221087E-2</v>
      </c>
      <c r="X1153">
        <f t="shared" si="161"/>
        <v>1</v>
      </c>
      <c r="Y1153">
        <f t="shared" si="158"/>
        <v>1</v>
      </c>
      <c r="Z1153">
        <f t="shared" si="155"/>
        <v>0</v>
      </c>
      <c r="AA1153">
        <f t="shared" si="152"/>
        <v>0</v>
      </c>
    </row>
    <row r="1154" spans="1:27">
      <c r="A1154" s="26">
        <v>44081</v>
      </c>
      <c r="B1154" s="23">
        <v>766.25</v>
      </c>
      <c r="C1154" s="25">
        <f t="shared" si="148"/>
        <v>-2.707170096182683E-3</v>
      </c>
      <c r="E1154" s="25">
        <f t="shared" si="159"/>
        <v>5.4685349336563327E-2</v>
      </c>
      <c r="F1154" s="25">
        <f t="shared" si="156"/>
        <v>-1.4310031850183536E-2</v>
      </c>
      <c r="G1154" s="25">
        <f t="shared" si="153"/>
        <v>1.8672987658316043E-2</v>
      </c>
      <c r="H1154" s="25">
        <f t="shared" si="150"/>
        <v>7.0214474184700393E-2</v>
      </c>
      <c r="K1154" s="28">
        <v>44081</v>
      </c>
      <c r="L1154" s="23">
        <v>14192.59</v>
      </c>
      <c r="M1154" s="25">
        <f t="shared" si="149"/>
        <v>1.2612215247540253E-4</v>
      </c>
      <c r="O1154" t="b">
        <f t="shared" si="147"/>
        <v>1</v>
      </c>
      <c r="Q1154" s="25">
        <f t="shared" si="160"/>
        <v>5.5838375362017967E-2</v>
      </c>
      <c r="R1154" s="25">
        <f t="shared" si="157"/>
        <v>-1.6702778030457055E-2</v>
      </c>
      <c r="S1154" s="25">
        <f t="shared" si="154"/>
        <v>3.4996038875223068E-2</v>
      </c>
      <c r="T1154" s="25">
        <f t="shared" si="151"/>
        <v>7.2894696417919791E-2</v>
      </c>
      <c r="X1154">
        <f t="shared" si="161"/>
        <v>0</v>
      </c>
      <c r="Y1154">
        <f t="shared" si="158"/>
        <v>1</v>
      </c>
      <c r="Z1154">
        <f t="shared" si="155"/>
        <v>0</v>
      </c>
      <c r="AA1154">
        <f t="shared" si="152"/>
        <v>0</v>
      </c>
    </row>
    <row r="1155" spans="1:27">
      <c r="A1155" s="27">
        <v>44082</v>
      </c>
      <c r="B1155" s="24">
        <v>759.12</v>
      </c>
      <c r="C1155" s="25">
        <f t="shared" si="148"/>
        <v>-9.3050570962479543E-3</v>
      </c>
      <c r="E1155" s="25">
        <f t="shared" si="159"/>
        <v>3.8524679873043643E-2</v>
      </c>
      <c r="F1155" s="25">
        <f t="shared" si="156"/>
        <v>-1.1782586686398089E-2</v>
      </c>
      <c r="G1155" s="25">
        <f t="shared" si="153"/>
        <v>1.5508202943834259E-2</v>
      </c>
      <c r="H1155" s="25">
        <f t="shared" si="150"/>
        <v>6.5059344378302963E-2</v>
      </c>
      <c r="K1155" s="29">
        <v>44082</v>
      </c>
      <c r="L1155" s="24">
        <v>14118.09</v>
      </c>
      <c r="M1155" s="25">
        <f t="shared" si="149"/>
        <v>-5.2769177700382986E-3</v>
      </c>
      <c r="O1155" t="b">
        <f t="shared" ref="O1155:O1218" si="162">K1155=A1155</f>
        <v>1</v>
      </c>
      <c r="Q1155" s="25">
        <f t="shared" si="160"/>
        <v>4.5264135186040777E-2</v>
      </c>
      <c r="R1155" s="25">
        <f t="shared" si="157"/>
        <v>-1.3525539432122646E-2</v>
      </c>
      <c r="S1155" s="25">
        <f t="shared" si="154"/>
        <v>3.3464529635671703E-2</v>
      </c>
      <c r="T1155" s="25">
        <f t="shared" si="151"/>
        <v>7.0218750282740716E-2</v>
      </c>
      <c r="X1155">
        <f t="shared" si="161"/>
        <v>0</v>
      </c>
      <c r="Y1155">
        <f t="shared" si="158"/>
        <v>1</v>
      </c>
      <c r="Z1155">
        <f t="shared" si="155"/>
        <v>0</v>
      </c>
      <c r="AA1155">
        <f t="shared" si="152"/>
        <v>0</v>
      </c>
    </row>
    <row r="1156" spans="1:27">
      <c r="A1156" s="26">
        <v>44083</v>
      </c>
      <c r="B1156" s="23">
        <v>755.3</v>
      </c>
      <c r="C1156" s="25">
        <f t="shared" ref="C1156:C1219" si="163">(B1156-B1155)/B1155</f>
        <v>-5.0321424807672696E-3</v>
      </c>
      <c r="E1156" s="25">
        <f t="shared" si="159"/>
        <v>3.1041825925521405E-2</v>
      </c>
      <c r="F1156" s="25">
        <f t="shared" si="156"/>
        <v>-1.4050156510844514E-2</v>
      </c>
      <c r="G1156" s="25">
        <f t="shared" si="153"/>
        <v>1.0780423861194377E-2</v>
      </c>
      <c r="H1156" s="25">
        <f t="shared" si="150"/>
        <v>6.3334119707862069E-2</v>
      </c>
      <c r="K1156" s="28">
        <v>44083</v>
      </c>
      <c r="L1156" s="23">
        <v>14058.29</v>
      </c>
      <c r="M1156" s="25">
        <f t="shared" ref="M1156:M1219" si="164">(L1156-L1155)/L1156</f>
        <v>-4.2537179130604976E-3</v>
      </c>
      <c r="O1156" t="b">
        <f t="shared" si="162"/>
        <v>1</v>
      </c>
      <c r="Q1156" s="25">
        <f t="shared" si="160"/>
        <v>4.4632639898228854E-2</v>
      </c>
      <c r="R1156" s="25">
        <f t="shared" si="157"/>
        <v>-1.3526941866630837E-2</v>
      </c>
      <c r="S1156" s="25">
        <f t="shared" si="154"/>
        <v>2.9569019201454383E-2</v>
      </c>
      <c r="T1156" s="25">
        <f t="shared" si="151"/>
        <v>6.8774194567359004E-2</v>
      </c>
      <c r="X1156">
        <f t="shared" si="161"/>
        <v>0</v>
      </c>
      <c r="Y1156">
        <f t="shared" si="158"/>
        <v>0</v>
      </c>
      <c r="Z1156">
        <f t="shared" si="155"/>
        <v>0</v>
      </c>
      <c r="AA1156">
        <f t="shared" si="152"/>
        <v>0</v>
      </c>
    </row>
    <row r="1157" spans="1:27">
      <c r="A1157" s="27">
        <v>44084</v>
      </c>
      <c r="B1157" s="24">
        <v>759.35</v>
      </c>
      <c r="C1157" s="25">
        <f t="shared" si="163"/>
        <v>5.3621077717464164E-3</v>
      </c>
      <c r="E1157" s="25">
        <f t="shared" si="159"/>
        <v>2.951544239268955E-2</v>
      </c>
      <c r="F1157" s="25">
        <f t="shared" si="156"/>
        <v>-1.2502712655288906E-2</v>
      </c>
      <c r="G1157" s="25">
        <f t="shared" si="153"/>
        <v>1.0158845391512905E-2</v>
      </c>
      <c r="H1157" s="25">
        <f t="shared" si="150"/>
        <v>6.4500027604412313E-2</v>
      </c>
      <c r="K1157" s="29">
        <v>44084</v>
      </c>
      <c r="L1157" s="24">
        <v>14255.36</v>
      </c>
      <c r="M1157" s="25">
        <f t="shared" si="164"/>
        <v>1.3824273817006355E-2</v>
      </c>
      <c r="O1157" t="b">
        <f t="shared" si="162"/>
        <v>1</v>
      </c>
      <c r="Q1157" s="25">
        <f t="shared" si="160"/>
        <v>5.1163181681096015E-2</v>
      </c>
      <c r="R1157" s="25">
        <f t="shared" si="157"/>
        <v>-9.3018778492109933E-3</v>
      </c>
      <c r="S1157" s="25">
        <f t="shared" si="154"/>
        <v>3.125059422680132E-2</v>
      </c>
      <c r="T1157" s="25">
        <f t="shared" si="151"/>
        <v>7.1616097094145514E-2</v>
      </c>
      <c r="X1157">
        <f t="shared" si="161"/>
        <v>0</v>
      </c>
      <c r="Y1157">
        <f t="shared" si="158"/>
        <v>0</v>
      </c>
      <c r="Z1157">
        <f t="shared" si="155"/>
        <v>0</v>
      </c>
      <c r="AA1157">
        <f t="shared" si="152"/>
        <v>0</v>
      </c>
    </row>
    <row r="1158" spans="1:27">
      <c r="A1158" s="26">
        <v>44085</v>
      </c>
      <c r="B1158" s="23">
        <v>761.73</v>
      </c>
      <c r="C1158" s="25">
        <f t="shared" si="163"/>
        <v>3.1342595641008697E-3</v>
      </c>
      <c r="E1158" s="25">
        <f t="shared" si="159"/>
        <v>3.6889318432408169E-2</v>
      </c>
      <c r="F1158" s="25">
        <f t="shared" si="156"/>
        <v>-1.6123115048096492E-2</v>
      </c>
      <c r="G1158" s="25">
        <f t="shared" si="153"/>
        <v>1.2382590288656958E-2</v>
      </c>
      <c r="H1158" s="25">
        <f t="shared" si="150"/>
        <v>6.4057938045994689E-2</v>
      </c>
      <c r="K1158" s="28">
        <v>44085</v>
      </c>
      <c r="L1158" s="23">
        <v>14295.07</v>
      </c>
      <c r="M1158" s="25">
        <f t="shared" si="164"/>
        <v>2.7778807658863599E-3</v>
      </c>
      <c r="O1158" t="b">
        <f t="shared" si="162"/>
        <v>1</v>
      </c>
      <c r="Q1158" s="25">
        <f t="shared" si="160"/>
        <v>5.8962318312365314E-2</v>
      </c>
      <c r="R1158" s="25">
        <f t="shared" si="157"/>
        <v>-1.0932734328971794E-2</v>
      </c>
      <c r="S1158" s="25">
        <f t="shared" si="154"/>
        <v>3.311679792365152E-2</v>
      </c>
      <c r="T1158" s="25">
        <f t="shared" si="151"/>
        <v>7.1409392585640497E-2</v>
      </c>
      <c r="X1158">
        <f t="shared" si="161"/>
        <v>0</v>
      </c>
      <c r="Y1158">
        <f t="shared" si="158"/>
        <v>0</v>
      </c>
      <c r="Z1158">
        <f t="shared" si="155"/>
        <v>0</v>
      </c>
      <c r="AA1158">
        <f t="shared" si="152"/>
        <v>0</v>
      </c>
    </row>
    <row r="1159" spans="1:27">
      <c r="A1159" s="27">
        <v>44088</v>
      </c>
      <c r="B1159" s="24">
        <v>767.4</v>
      </c>
      <c r="C1159" s="25">
        <f t="shared" si="163"/>
        <v>7.4435823717064562E-3</v>
      </c>
      <c r="E1159" s="25">
        <f t="shared" si="159"/>
        <v>6.3838635891037665E-2</v>
      </c>
      <c r="F1159" s="25">
        <f t="shared" si="156"/>
        <v>-5.6783955001659114E-3</v>
      </c>
      <c r="G1159" s="25">
        <f t="shared" si="153"/>
        <v>1.430373563340237E-2</v>
      </c>
      <c r="H1159" s="25">
        <f t="shared" si="150"/>
        <v>6.6445562924085877E-2</v>
      </c>
      <c r="K1159" s="29">
        <v>44088</v>
      </c>
      <c r="L1159" s="24">
        <v>14366.63</v>
      </c>
      <c r="M1159" s="25">
        <f t="shared" si="164"/>
        <v>4.9809871904545116E-3</v>
      </c>
      <c r="O1159" t="b">
        <f t="shared" si="162"/>
        <v>1</v>
      </c>
      <c r="Q1159" s="25">
        <f t="shared" si="160"/>
        <v>8.2918067114458038E-2</v>
      </c>
      <c r="R1159" s="25">
        <f t="shared" si="157"/>
        <v>-1.6573597732170153E-3</v>
      </c>
      <c r="S1159" s="25">
        <f t="shared" si="154"/>
        <v>3.4088038603855564E-2</v>
      </c>
      <c r="T1159" s="25">
        <f t="shared" si="151"/>
        <v>7.3584696905580005E-2</v>
      </c>
      <c r="X1159">
        <f t="shared" si="161"/>
        <v>0</v>
      </c>
      <c r="Y1159">
        <f t="shared" si="158"/>
        <v>0</v>
      </c>
      <c r="Z1159">
        <f t="shared" si="155"/>
        <v>0</v>
      </c>
      <c r="AA1159">
        <f t="shared" si="152"/>
        <v>0</v>
      </c>
    </row>
    <row r="1160" spans="1:27">
      <c r="A1160" s="26">
        <v>44089</v>
      </c>
      <c r="B1160" s="23">
        <v>777.31</v>
      </c>
      <c r="C1160" s="25">
        <f t="shared" si="163"/>
        <v>1.2913734688558729E-2</v>
      </c>
      <c r="E1160" s="25">
        <f t="shared" si="159"/>
        <v>7.4493378673522903E-2</v>
      </c>
      <c r="F1160" s="25">
        <f t="shared" si="156"/>
        <v>8.4553503031949973E-3</v>
      </c>
      <c r="G1160" s="25">
        <f t="shared" si="153"/>
        <v>1.9043996455032408E-2</v>
      </c>
      <c r="H1160" s="25">
        <f t="shared" si="150"/>
        <v>6.9498108023143601E-2</v>
      </c>
      <c r="K1160" s="28">
        <v>44089</v>
      </c>
      <c r="L1160" s="23">
        <v>14488.25</v>
      </c>
      <c r="M1160" s="25">
        <f t="shared" si="164"/>
        <v>8.3943885562439077E-3</v>
      </c>
      <c r="O1160" t="b">
        <f t="shared" si="162"/>
        <v>1</v>
      </c>
      <c r="Q1160" s="25">
        <f t="shared" si="160"/>
        <v>8.9147205236957738E-2</v>
      </c>
      <c r="R1160" s="25">
        <f t="shared" si="157"/>
        <v>9.441666860179998E-3</v>
      </c>
      <c r="S1160" s="25">
        <f t="shared" si="154"/>
        <v>3.6886662318613705E-2</v>
      </c>
      <c r="T1160" s="25">
        <f t="shared" si="151"/>
        <v>7.5798387246944543E-2</v>
      </c>
      <c r="X1160">
        <f t="shared" si="161"/>
        <v>0</v>
      </c>
      <c r="Y1160">
        <f t="shared" si="158"/>
        <v>0</v>
      </c>
      <c r="Z1160">
        <f t="shared" si="155"/>
        <v>0</v>
      </c>
      <c r="AA1160">
        <f t="shared" si="152"/>
        <v>0</v>
      </c>
    </row>
    <row r="1161" spans="1:27">
      <c r="A1161" s="27">
        <v>44090</v>
      </c>
      <c r="B1161" s="24">
        <v>784.29</v>
      </c>
      <c r="C1161" s="25">
        <f t="shared" si="163"/>
        <v>8.9796863542216353E-3</v>
      </c>
      <c r="E1161" s="25">
        <f t="shared" si="159"/>
        <v>0.10001683076664136</v>
      </c>
      <c r="F1161" s="25">
        <f t="shared" si="156"/>
        <v>1.0339353961050124E-2</v>
      </c>
      <c r="G1161" s="25">
        <f t="shared" si="153"/>
        <v>1.9647839390794397E-2</v>
      </c>
      <c r="H1161" s="25">
        <f t="shared" si="150"/>
        <v>6.8361534134517843E-2</v>
      </c>
      <c r="K1161" s="29">
        <v>44090</v>
      </c>
      <c r="L1161" s="24">
        <v>14578.07</v>
      </c>
      <c r="M1161" s="25">
        <f t="shared" si="164"/>
        <v>6.1613094188736721E-3</v>
      </c>
      <c r="O1161" t="b">
        <f t="shared" si="162"/>
        <v>1</v>
      </c>
      <c r="Q1161" s="25">
        <f t="shared" si="160"/>
        <v>0.10976056296212833</v>
      </c>
      <c r="R1161" s="25">
        <f t="shared" si="157"/>
        <v>9.6914494354636282E-3</v>
      </c>
      <c r="S1161" s="25">
        <f t="shared" si="154"/>
        <v>3.6699366961271629E-2</v>
      </c>
      <c r="T1161" s="25">
        <f t="shared" si="151"/>
        <v>7.4550337769931696E-2</v>
      </c>
      <c r="X1161">
        <f t="shared" si="161"/>
        <v>0</v>
      </c>
      <c r="Y1161">
        <f t="shared" si="158"/>
        <v>1</v>
      </c>
      <c r="Z1161">
        <f t="shared" si="155"/>
        <v>0</v>
      </c>
      <c r="AA1161">
        <f t="shared" si="152"/>
        <v>0</v>
      </c>
    </row>
    <row r="1162" spans="1:27">
      <c r="A1162" s="26">
        <v>44091</v>
      </c>
      <c r="B1162" s="23">
        <v>782.47</v>
      </c>
      <c r="C1162" s="25">
        <f t="shared" si="163"/>
        <v>-2.3205701972483857E-3</v>
      </c>
      <c r="E1162" s="25">
        <f t="shared" si="159"/>
        <v>3.9343826791525593E-2</v>
      </c>
      <c r="F1162" s="25">
        <f t="shared" si="156"/>
        <v>2.2183069414010159E-3</v>
      </c>
      <c r="G1162" s="25">
        <f t="shared" si="153"/>
        <v>1.8532784994635065E-2</v>
      </c>
      <c r="H1162" s="25">
        <f t="shared" si="150"/>
        <v>6.7860945451754251E-2</v>
      </c>
      <c r="K1162" s="28">
        <v>44091</v>
      </c>
      <c r="L1162" s="23">
        <v>14479.79</v>
      </c>
      <c r="M1162" s="25">
        <f t="shared" si="164"/>
        <v>-6.7873912536023538E-3</v>
      </c>
      <c r="O1162" t="b">
        <f t="shared" si="162"/>
        <v>1</v>
      </c>
      <c r="Q1162" s="25">
        <f t="shared" si="160"/>
        <v>4.6857682405667678E-2</v>
      </c>
      <c r="R1162" s="25">
        <f t="shared" si="157"/>
        <v>-5.3721271236562007E-4</v>
      </c>
      <c r="S1162" s="25">
        <f t="shared" si="154"/>
        <v>3.4170026290071043E-2</v>
      </c>
      <c r="T1162" s="25">
        <f t="shared" si="151"/>
        <v>7.3376773035753962E-2</v>
      </c>
      <c r="X1162">
        <f t="shared" si="161"/>
        <v>0</v>
      </c>
      <c r="Y1162">
        <f t="shared" si="158"/>
        <v>1</v>
      </c>
      <c r="Z1162">
        <f t="shared" si="155"/>
        <v>0</v>
      </c>
      <c r="AA1162">
        <f t="shared" si="152"/>
        <v>0</v>
      </c>
    </row>
    <row r="1163" spans="1:27">
      <c r="A1163" s="27">
        <v>44092</v>
      </c>
      <c r="B1163" s="24">
        <v>784.71</v>
      </c>
      <c r="C1163" s="25">
        <f t="shared" si="163"/>
        <v>2.8627295615167468E-3</v>
      </c>
      <c r="E1163" s="25">
        <f t="shared" si="159"/>
        <v>1.2529032258064454E-2</v>
      </c>
      <c r="F1163" s="25">
        <f t="shared" si="156"/>
        <v>7.865405608787901E-3</v>
      </c>
      <c r="G1163" s="25">
        <f t="shared" si="153"/>
        <v>2.0750468425987156E-2</v>
      </c>
      <c r="H1163" s="25">
        <f t="shared" si="150"/>
        <v>7.030921228884246E-2</v>
      </c>
      <c r="K1163" s="29">
        <v>44092</v>
      </c>
      <c r="L1163" s="24">
        <v>14468.91</v>
      </c>
      <c r="M1163" s="25">
        <f t="shared" si="164"/>
        <v>-7.5195712738561642E-4</v>
      </c>
      <c r="O1163" t="b">
        <f t="shared" si="162"/>
        <v>1</v>
      </c>
      <c r="Q1163" s="25">
        <f t="shared" si="160"/>
        <v>1.7832760363577282E-2</v>
      </c>
      <c r="R1163" s="25">
        <f t="shared" si="157"/>
        <v>4.0080279162215682E-3</v>
      </c>
      <c r="S1163" s="25">
        <f t="shared" si="154"/>
        <v>3.4416354438789876E-2</v>
      </c>
      <c r="T1163" s="25">
        <f t="shared" si="151"/>
        <v>7.5860917850292919E-2</v>
      </c>
      <c r="X1163">
        <f t="shared" si="161"/>
        <v>0</v>
      </c>
      <c r="Y1163">
        <f t="shared" si="158"/>
        <v>1</v>
      </c>
      <c r="Z1163">
        <f t="shared" si="155"/>
        <v>0</v>
      </c>
      <c r="AA1163">
        <f t="shared" si="152"/>
        <v>0</v>
      </c>
    </row>
    <row r="1164" spans="1:27">
      <c r="A1164" s="26">
        <v>44095</v>
      </c>
      <c r="B1164" s="23">
        <v>759.66</v>
      </c>
      <c r="C1164" s="25">
        <f t="shared" si="163"/>
        <v>-3.1922621095691488E-2</v>
      </c>
      <c r="E1164" s="25">
        <f t="shared" si="159"/>
        <v>-1.7422684412711997E-2</v>
      </c>
      <c r="F1164" s="25">
        <f t="shared" si="156"/>
        <v>-2.7334007175505715E-3</v>
      </c>
      <c r="G1164" s="25">
        <f t="shared" si="153"/>
        <v>1.0223157713152631E-2</v>
      </c>
      <c r="H1164" s="25">
        <f t="shared" si="150"/>
        <v>6.1268566941564018E-2</v>
      </c>
      <c r="K1164" s="28">
        <v>44095</v>
      </c>
      <c r="L1164" s="23">
        <v>14096.2</v>
      </c>
      <c r="M1164" s="25">
        <f t="shared" si="164"/>
        <v>-2.644045913082952E-2</v>
      </c>
      <c r="O1164" t="b">
        <f t="shared" si="162"/>
        <v>1</v>
      </c>
      <c r="Q1164" s="25">
        <f t="shared" si="160"/>
        <v>-7.1518424763377109E-3</v>
      </c>
      <c r="R1164" s="25">
        <f t="shared" si="157"/>
        <v>-3.7609015326310891E-3</v>
      </c>
      <c r="S1164" s="25">
        <f t="shared" si="154"/>
        <v>2.6482507566878866E-2</v>
      </c>
      <c r="T1164" s="25">
        <f t="shared" si="151"/>
        <v>6.9212761989977389E-2</v>
      </c>
      <c r="X1164">
        <f t="shared" si="161"/>
        <v>0</v>
      </c>
      <c r="Y1164">
        <f t="shared" si="158"/>
        <v>1</v>
      </c>
      <c r="Z1164">
        <f t="shared" si="155"/>
        <v>0</v>
      </c>
      <c r="AA1164">
        <f t="shared" si="152"/>
        <v>0</v>
      </c>
    </row>
    <row r="1165" spans="1:27">
      <c r="A1165" s="27">
        <v>44096</v>
      </c>
      <c r="B1165" s="24">
        <v>755.2</v>
      </c>
      <c r="C1165" s="25">
        <f t="shared" si="163"/>
        <v>-5.8710475739145443E-3</v>
      </c>
      <c r="E1165" s="25">
        <f t="shared" si="159"/>
        <v>-6.1719459395438436E-3</v>
      </c>
      <c r="F1165" s="25">
        <f t="shared" si="156"/>
        <v>-3.4120125558622094E-3</v>
      </c>
      <c r="G1165" s="25">
        <f t="shared" si="153"/>
        <v>1.5351873758366885E-2</v>
      </c>
      <c r="H1165" s="25">
        <f t="shared" si="150"/>
        <v>5.6654916427970825E-2</v>
      </c>
      <c r="K1165" s="29">
        <v>44096</v>
      </c>
      <c r="L1165" s="24">
        <v>13946.28</v>
      </c>
      <c r="M1165" s="25">
        <f t="shared" si="164"/>
        <v>-1.0749820023690911E-2</v>
      </c>
      <c r="O1165" t="b">
        <f t="shared" si="162"/>
        <v>1</v>
      </c>
      <c r="Q1165" s="25">
        <f t="shared" si="160"/>
        <v>-3.9815655301409514E-3</v>
      </c>
      <c r="R1165" s="25">
        <f t="shared" si="157"/>
        <v>-6.6080988434443766E-3</v>
      </c>
      <c r="S1165" s="25">
        <f t="shared" si="154"/>
        <v>2.9544747898751389E-2</v>
      </c>
      <c r="T1165" s="25">
        <f t="shared" si="151"/>
        <v>6.4758845544754307E-2</v>
      </c>
      <c r="X1165">
        <f t="shared" si="161"/>
        <v>0</v>
      </c>
      <c r="Y1165">
        <f t="shared" si="158"/>
        <v>1</v>
      </c>
      <c r="Z1165">
        <f t="shared" si="155"/>
        <v>0</v>
      </c>
      <c r="AA1165">
        <f t="shared" si="152"/>
        <v>0</v>
      </c>
    </row>
    <row r="1166" spans="1:27">
      <c r="A1166" s="26">
        <v>44097</v>
      </c>
      <c r="B1166" s="23">
        <v>750.15</v>
      </c>
      <c r="C1166" s="25">
        <f t="shared" si="163"/>
        <v>-6.6869703389831406E-3</v>
      </c>
      <c r="E1166" s="25">
        <f t="shared" si="159"/>
        <v>-2.9673129907255347E-2</v>
      </c>
      <c r="F1166" s="25">
        <f t="shared" si="156"/>
        <v>2.0056177389053964E-3</v>
      </c>
      <c r="G1166" s="25">
        <f t="shared" si="153"/>
        <v>1.5973971783080465E-2</v>
      </c>
      <c r="H1166" s="25">
        <f t="shared" si="150"/>
        <v>6.1723611482564777E-2</v>
      </c>
      <c r="K1166" s="28">
        <v>44097</v>
      </c>
      <c r="L1166" s="23">
        <v>13916.67</v>
      </c>
      <c r="M1166" s="25">
        <f t="shared" si="164"/>
        <v>-2.1276641610385662E-3</v>
      </c>
      <c r="O1166" t="b">
        <f t="shared" si="162"/>
        <v>1</v>
      </c>
      <c r="Q1166" s="25">
        <f t="shared" si="160"/>
        <v>-1.6581492044558388E-2</v>
      </c>
      <c r="R1166" s="25">
        <f t="shared" si="157"/>
        <v>-1.3581857357892746E-3</v>
      </c>
      <c r="S1166" s="25">
        <f t="shared" si="154"/>
        <v>3.275755659747781E-2</v>
      </c>
      <c r="T1166" s="25">
        <f t="shared" si="151"/>
        <v>7.0592433216196904E-2</v>
      </c>
      <c r="X1166">
        <f t="shared" si="161"/>
        <v>0</v>
      </c>
      <c r="Y1166">
        <f t="shared" si="158"/>
        <v>1</v>
      </c>
      <c r="Z1166">
        <f t="shared" si="155"/>
        <v>0</v>
      </c>
      <c r="AA1166">
        <f t="shared" si="152"/>
        <v>0</v>
      </c>
    </row>
    <row r="1167" spans="1:27">
      <c r="A1167" s="27">
        <v>44098</v>
      </c>
      <c r="B1167" s="24">
        <v>731.09</v>
      </c>
      <c r="C1167" s="25">
        <f t="shared" si="163"/>
        <v>-2.5408251682996662E-2</v>
      </c>
      <c r="E1167" s="25">
        <f t="shared" si="159"/>
        <v>-4.655772766989652E-2</v>
      </c>
      <c r="F1167" s="25">
        <f t="shared" si="156"/>
        <v>8.6284247266998904E-4</v>
      </c>
      <c r="G1167" s="25">
        <f t="shared" si="153"/>
        <v>6.7608025407179806E-3</v>
      </c>
      <c r="H1167" s="25">
        <f t="shared" si="150"/>
        <v>5.0122040760895548E-2</v>
      </c>
      <c r="K1167" s="29">
        <v>44098</v>
      </c>
      <c r="L1167" s="24">
        <v>13538.89</v>
      </c>
      <c r="M1167" s="25">
        <f t="shared" si="164"/>
        <v>-2.7903321468746748E-2</v>
      </c>
      <c r="O1167" t="b">
        <f t="shared" si="162"/>
        <v>1</v>
      </c>
      <c r="Q1167" s="25">
        <f t="shared" si="160"/>
        <v>-3.8368274063362184E-2</v>
      </c>
      <c r="R1167" s="25">
        <f t="shared" si="157"/>
        <v>-5.3362983195359703E-3</v>
      </c>
      <c r="S1167" s="25">
        <f t="shared" si="154"/>
        <v>2.2685158157806029E-2</v>
      </c>
      <c r="T1167" s="25">
        <f t="shared" si="151"/>
        <v>6.1162087856686309E-2</v>
      </c>
      <c r="X1167">
        <f t="shared" si="161"/>
        <v>0</v>
      </c>
      <c r="Y1167">
        <f t="shared" si="158"/>
        <v>1</v>
      </c>
      <c r="Z1167">
        <f t="shared" si="155"/>
        <v>0</v>
      </c>
      <c r="AA1167">
        <f t="shared" si="152"/>
        <v>0</v>
      </c>
    </row>
    <row r="1168" spans="1:27">
      <c r="A1168" s="26">
        <v>44099</v>
      </c>
      <c r="B1168" s="23">
        <v>750.12</v>
      </c>
      <c r="C1168" s="25">
        <f t="shared" si="163"/>
        <v>2.6029626995308336E-2</v>
      </c>
      <c r="E1168" s="25">
        <f t="shared" si="159"/>
        <v>-1.3415404040404089E-2</v>
      </c>
      <c r="F1168" s="25">
        <f t="shared" si="156"/>
        <v>1.0453340102128506E-2</v>
      </c>
      <c r="G1168" s="25">
        <f t="shared" si="153"/>
        <v>2.0315170320915898E-2</v>
      </c>
      <c r="H1168" s="25">
        <f t="shared" si="150"/>
        <v>5.1393656660079001E-2</v>
      </c>
      <c r="K1168" s="28">
        <v>44099</v>
      </c>
      <c r="L1168" s="23">
        <v>13858.78</v>
      </c>
      <c r="M1168" s="25">
        <f t="shared" si="164"/>
        <v>2.3082118339421018E-2</v>
      </c>
      <c r="O1168" t="b">
        <f t="shared" si="162"/>
        <v>1</v>
      </c>
      <c r="Q1168" s="25">
        <f t="shared" si="160"/>
        <v>-9.8862912190758045E-3</v>
      </c>
      <c r="R1168" s="25">
        <f t="shared" si="157"/>
        <v>3.0851965372948875E-3</v>
      </c>
      <c r="S1168" s="25">
        <f t="shared" si="154"/>
        <v>3.6037242601911545E-2</v>
      </c>
      <c r="T1168" s="25">
        <f t="shared" si="151"/>
        <v>6.2474322109171032E-2</v>
      </c>
      <c r="X1168">
        <f t="shared" si="161"/>
        <v>0</v>
      </c>
      <c r="Y1168">
        <f t="shared" si="158"/>
        <v>1</v>
      </c>
      <c r="Z1168">
        <f t="shared" si="155"/>
        <v>0</v>
      </c>
      <c r="AA1168">
        <f t="shared" si="152"/>
        <v>0</v>
      </c>
    </row>
    <row r="1169" spans="1:27">
      <c r="A1169" s="27">
        <v>44102</v>
      </c>
      <c r="B1169" s="24">
        <v>766.11</v>
      </c>
      <c r="C1169" s="25">
        <f t="shared" si="163"/>
        <v>2.1316589345704698E-2</v>
      </c>
      <c r="E1169" s="25">
        <f t="shared" si="159"/>
        <v>2.0377991768889769E-2</v>
      </c>
      <c r="F1169" s="25">
        <f t="shared" si="156"/>
        <v>1.9952224682718622E-2</v>
      </c>
      <c r="G1169" s="25">
        <f t="shared" si="153"/>
        <v>2.5461132539407405E-2</v>
      </c>
      <c r="H1169" s="25">
        <f t="shared" si="150"/>
        <v>5.5280314424356325E-2</v>
      </c>
      <c r="K1169" s="29">
        <v>44102</v>
      </c>
      <c r="L1169" s="24">
        <v>14122.42</v>
      </c>
      <c r="M1169" s="25">
        <f t="shared" si="164"/>
        <v>1.8668188596571933E-2</v>
      </c>
      <c r="O1169" t="b">
        <f t="shared" si="162"/>
        <v>1</v>
      </c>
      <c r="Q1169" s="25">
        <f t="shared" si="160"/>
        <v>2.0365520156352179E-2</v>
      </c>
      <c r="R1169" s="25">
        <f t="shared" si="157"/>
        <v>1.2640070509930323E-2</v>
      </c>
      <c r="S1169" s="25">
        <f t="shared" si="154"/>
        <v>4.1096306366181112E-2</v>
      </c>
      <c r="T1169" s="25">
        <f t="shared" si="151"/>
        <v>6.6239158998851355E-2</v>
      </c>
      <c r="X1169">
        <f t="shared" si="161"/>
        <v>1</v>
      </c>
      <c r="Y1169">
        <f t="shared" si="158"/>
        <v>1</v>
      </c>
      <c r="Z1169">
        <f t="shared" si="155"/>
        <v>0</v>
      </c>
      <c r="AA1169">
        <f t="shared" si="152"/>
        <v>0</v>
      </c>
    </row>
    <row r="1170" spans="1:27">
      <c r="A1170" s="26">
        <v>44103</v>
      </c>
      <c r="B1170" s="23">
        <v>763.27</v>
      </c>
      <c r="C1170" s="25">
        <f t="shared" si="163"/>
        <v>-3.7070394590855513E-3</v>
      </c>
      <c r="E1170" s="25">
        <f t="shared" si="159"/>
        <v>2.2423747203729194E-2</v>
      </c>
      <c r="F1170" s="25">
        <f t="shared" si="156"/>
        <v>2.617402277032066E-2</v>
      </c>
      <c r="G1170" s="25">
        <f t="shared" si="153"/>
        <v>2.2487402999445072E-2</v>
      </c>
      <c r="H1170" s="25">
        <f t="shared" si="150"/>
        <v>5.2965479021112039E-2</v>
      </c>
      <c r="K1170" s="28">
        <v>44103</v>
      </c>
      <c r="L1170" s="23">
        <v>14106.45</v>
      </c>
      <c r="M1170" s="25">
        <f t="shared" si="164"/>
        <v>-1.1321062350909935E-3</v>
      </c>
      <c r="O1170" t="b">
        <f t="shared" si="162"/>
        <v>1</v>
      </c>
      <c r="Q1170" s="25">
        <f t="shared" si="160"/>
        <v>2.3424248272219561E-2</v>
      </c>
      <c r="R1170" s="25">
        <f t="shared" si="157"/>
        <v>1.7548118511694355E-2</v>
      </c>
      <c r="S1170" s="25">
        <f t="shared" si="154"/>
        <v>3.8969080625587127E-2</v>
      </c>
      <c r="T1170" s="25">
        <f t="shared" si="151"/>
        <v>6.6013703360164877E-2</v>
      </c>
      <c r="X1170">
        <f t="shared" si="161"/>
        <v>0</v>
      </c>
      <c r="Y1170">
        <f t="shared" si="158"/>
        <v>1</v>
      </c>
      <c r="Z1170">
        <f t="shared" si="155"/>
        <v>0</v>
      </c>
      <c r="AA1170">
        <f t="shared" si="152"/>
        <v>0</v>
      </c>
    </row>
    <row r="1171" spans="1:27">
      <c r="A1171" s="27">
        <v>44104</v>
      </c>
      <c r="B1171" s="24">
        <v>764.55</v>
      </c>
      <c r="C1171" s="25">
        <f t="shared" si="163"/>
        <v>1.6769950345224792E-3</v>
      </c>
      <c r="E1171" s="25">
        <f t="shared" si="159"/>
        <v>4.0912185159972747E-2</v>
      </c>
      <c r="F1171" s="25">
        <f t="shared" si="156"/>
        <v>3.3874779579966541E-2</v>
      </c>
      <c r="G1171" s="25">
        <f t="shared" si="153"/>
        <v>2.0667486859436313E-2</v>
      </c>
      <c r="H1171" s="25">
        <f t="shared" si="150"/>
        <v>5.4410023188113499E-2</v>
      </c>
      <c r="K1171" s="29">
        <v>44104</v>
      </c>
      <c r="L1171" s="24">
        <v>14139.78</v>
      </c>
      <c r="M1171" s="25">
        <f t="shared" si="164"/>
        <v>2.3571795317890326E-3</v>
      </c>
      <c r="O1171" t="b">
        <f t="shared" si="162"/>
        <v>1</v>
      </c>
      <c r="Q1171" s="25">
        <f t="shared" si="160"/>
        <v>3.7887140128688213E-2</v>
      </c>
      <c r="R1171" s="25">
        <f t="shared" si="157"/>
        <v>2.356306969829336E-2</v>
      </c>
      <c r="S1171" s="25">
        <f t="shared" si="154"/>
        <v>3.7285155710825801E-2</v>
      </c>
      <c r="T1171" s="25">
        <f t="shared" si="151"/>
        <v>6.7641143010248594E-2</v>
      </c>
      <c r="X1171">
        <f t="shared" si="161"/>
        <v>1</v>
      </c>
      <c r="Y1171">
        <f t="shared" si="158"/>
        <v>1</v>
      </c>
      <c r="Z1171">
        <f t="shared" si="155"/>
        <v>0</v>
      </c>
      <c r="AA1171">
        <f t="shared" si="152"/>
        <v>0</v>
      </c>
    </row>
    <row r="1172" spans="1:27">
      <c r="A1172" s="26">
        <v>44105</v>
      </c>
      <c r="B1172" s="23">
        <v>774.43</v>
      </c>
      <c r="C1172" s="25">
        <f t="shared" si="163"/>
        <v>1.2922634229285196E-2</v>
      </c>
      <c r="E1172" s="25">
        <f t="shared" si="159"/>
        <v>5.8600798294056622E-2</v>
      </c>
      <c r="F1172" s="25">
        <f t="shared" si="156"/>
        <v>3.4755768312167312E-2</v>
      </c>
      <c r="G1172" s="25">
        <f t="shared" si="153"/>
        <v>2.4561016569955463E-2</v>
      </c>
      <c r="H1172" s="25">
        <f t="shared" si="150"/>
        <v>5.8138103475676939E-2</v>
      </c>
      <c r="K1172" s="28">
        <v>44105</v>
      </c>
      <c r="L1172" s="23">
        <v>14321.32</v>
      </c>
      <c r="M1172" s="25">
        <f t="shared" si="164"/>
        <v>1.2676205824602695E-2</v>
      </c>
      <c r="O1172" t="b">
        <f t="shared" si="162"/>
        <v>1</v>
      </c>
      <c r="Q1172" s="25">
        <f t="shared" si="160"/>
        <v>5.7139313985727025E-2</v>
      </c>
      <c r="R1172" s="25">
        <f t="shared" si="157"/>
        <v>2.7326099316245189E-2</v>
      </c>
      <c r="S1172" s="25">
        <f t="shared" si="154"/>
        <v>3.9928434266910395E-2</v>
      </c>
      <c r="T1172" s="25">
        <f t="shared" si="151"/>
        <v>7.1410152493462498E-2</v>
      </c>
      <c r="X1172">
        <f t="shared" si="161"/>
        <v>1</v>
      </c>
      <c r="Y1172">
        <f t="shared" si="158"/>
        <v>1</v>
      </c>
      <c r="Z1172">
        <f t="shared" si="155"/>
        <v>0</v>
      </c>
      <c r="AA1172">
        <f t="shared" si="152"/>
        <v>0</v>
      </c>
    </row>
    <row r="1173" spans="1:27">
      <c r="A1173" s="27">
        <v>44109</v>
      </c>
      <c r="B1173" s="24">
        <v>778.15</v>
      </c>
      <c r="C1173" s="25">
        <f t="shared" si="163"/>
        <v>4.8035329209870845E-3</v>
      </c>
      <c r="E1173" s="25">
        <f t="shared" si="159"/>
        <v>4.1212283401351302E-2</v>
      </c>
      <c r="F1173" s="25">
        <f t="shared" si="156"/>
        <v>4.2381345538360371E-2</v>
      </c>
      <c r="G1173" s="25">
        <f t="shared" si="153"/>
        <v>2.5724287865778184E-2</v>
      </c>
      <c r="H1173" s="25">
        <f t="shared" si="150"/>
        <v>5.8056030521872248E-2</v>
      </c>
      <c r="K1173" s="29">
        <v>44109</v>
      </c>
      <c r="L1173" s="24">
        <v>14403.97</v>
      </c>
      <c r="M1173" s="25">
        <f t="shared" si="164"/>
        <v>5.7380013982256031E-3</v>
      </c>
      <c r="O1173" t="b">
        <f t="shared" si="162"/>
        <v>1</v>
      </c>
      <c r="Q1173" s="25">
        <f t="shared" si="160"/>
        <v>4.73375147423023E-2</v>
      </c>
      <c r="R1173" s="25">
        <f t="shared" si="157"/>
        <v>3.6455551396006314E-2</v>
      </c>
      <c r="S1173" s="25">
        <f t="shared" si="154"/>
        <v>4.1941205979368013E-2</v>
      </c>
      <c r="T1173" s="25">
        <f t="shared" si="151"/>
        <v>7.2755516784888563E-2</v>
      </c>
      <c r="X1173">
        <f t="shared" si="161"/>
        <v>0</v>
      </c>
      <c r="Y1173">
        <f t="shared" si="158"/>
        <v>1</v>
      </c>
      <c r="Z1173">
        <f t="shared" si="155"/>
        <v>0</v>
      </c>
      <c r="AA1173">
        <f t="shared" si="152"/>
        <v>0</v>
      </c>
    </row>
    <row r="1174" spans="1:27">
      <c r="A1174" s="26">
        <v>44110</v>
      </c>
      <c r="B1174" s="23">
        <v>784.66</v>
      </c>
      <c r="C1174" s="25">
        <f t="shared" si="163"/>
        <v>8.3659962732120941E-3</v>
      </c>
      <c r="E1174" s="25">
        <f t="shared" si="159"/>
        <v>6.3066480605871611E-2</v>
      </c>
      <c r="F1174" s="25">
        <f t="shared" si="156"/>
        <v>5.6356697315202986E-2</v>
      </c>
      <c r="G1174" s="25">
        <f t="shared" si="153"/>
        <v>2.5462208966605449E-2</v>
      </c>
      <c r="H1174" s="25">
        <f t="shared" si="150"/>
        <v>6.4026312392177376E-2</v>
      </c>
      <c r="K1174" s="28">
        <v>44110</v>
      </c>
      <c r="L1174" s="23">
        <v>14564.5</v>
      </c>
      <c r="M1174" s="25">
        <f t="shared" si="164"/>
        <v>1.1022005561467998E-2</v>
      </c>
      <c r="O1174" t="b">
        <f t="shared" si="162"/>
        <v>1</v>
      </c>
      <c r="Q1174" s="25">
        <f t="shared" si="160"/>
        <v>6.6587673733800257E-2</v>
      </c>
      <c r="R1174" s="25">
        <f t="shared" si="157"/>
        <v>5.402742273804173E-2</v>
      </c>
      <c r="S1174" s="25">
        <f t="shared" si="154"/>
        <v>4.2576273227897365E-2</v>
      </c>
      <c r="T1174" s="25">
        <f t="shared" si="151"/>
        <v>7.9854581273503644E-2</v>
      </c>
      <c r="X1174">
        <f t="shared" si="161"/>
        <v>0</v>
      </c>
      <c r="Y1174">
        <f t="shared" si="158"/>
        <v>1</v>
      </c>
      <c r="Z1174">
        <f t="shared" si="155"/>
        <v>0</v>
      </c>
      <c r="AA1174">
        <f t="shared" si="152"/>
        <v>0</v>
      </c>
    </row>
    <row r="1175" spans="1:27">
      <c r="A1175" s="27">
        <v>44111</v>
      </c>
      <c r="B1175" s="24">
        <v>786.09</v>
      </c>
      <c r="C1175" s="25">
        <f t="shared" si="163"/>
        <v>1.8224453903602372E-3</v>
      </c>
      <c r="E1175" s="25">
        <f t="shared" si="159"/>
        <v>5.7439567387239654E-2</v>
      </c>
      <c r="F1175" s="25">
        <f t="shared" si="156"/>
        <v>6.8508191010019592E-2</v>
      </c>
      <c r="G1175" s="25">
        <f t="shared" si="153"/>
        <v>2.5915620127018535E-2</v>
      </c>
      <c r="H1175" s="25">
        <f t="shared" si="150"/>
        <v>6.3837999165094583E-2</v>
      </c>
      <c r="K1175" s="29">
        <v>44111</v>
      </c>
      <c r="L1175" s="24">
        <v>14613.15</v>
      </c>
      <c r="M1175" s="25">
        <f t="shared" si="164"/>
        <v>3.329193226648576E-3</v>
      </c>
      <c r="O1175" t="b">
        <f t="shared" si="162"/>
        <v>1</v>
      </c>
      <c r="Q1175" s="25">
        <f t="shared" si="160"/>
        <v>6.4464528047073921E-2</v>
      </c>
      <c r="R1175" s="25">
        <f t="shared" si="157"/>
        <v>6.9765816014266901E-2</v>
      </c>
      <c r="S1175" s="25">
        <f t="shared" si="154"/>
        <v>4.3305759783247799E-2</v>
      </c>
      <c r="T1175" s="25">
        <f t="shared" si="151"/>
        <v>7.9972891187064077E-2</v>
      </c>
      <c r="X1175">
        <f t="shared" si="161"/>
        <v>0</v>
      </c>
      <c r="Y1175">
        <f t="shared" si="158"/>
        <v>0</v>
      </c>
      <c r="Z1175">
        <f t="shared" si="155"/>
        <v>0</v>
      </c>
      <c r="AA1175">
        <f t="shared" si="152"/>
        <v>0</v>
      </c>
    </row>
    <row r="1176" spans="1:27">
      <c r="A1176" s="26">
        <v>44112</v>
      </c>
      <c r="B1176" s="23">
        <v>790.98</v>
      </c>
      <c r="C1176" s="25">
        <f t="shared" si="163"/>
        <v>6.22066175628743E-3</v>
      </c>
      <c r="E1176" s="25">
        <f t="shared" si="159"/>
        <v>5.9272551960574127E-2</v>
      </c>
      <c r="F1176" s="25">
        <f t="shared" si="156"/>
        <v>7.7807209145114964E-2</v>
      </c>
      <c r="G1176" s="25">
        <f t="shared" si="153"/>
        <v>2.7488377575659362E-2</v>
      </c>
      <c r="H1176" s="25">
        <f t="shared" ref="H1176:H1239" si="165">((B1176/B195)^(1/4))-1</f>
        <v>6.8148349295678701E-2</v>
      </c>
      <c r="K1176" s="28">
        <v>44112</v>
      </c>
      <c r="L1176" s="23">
        <v>14699.94</v>
      </c>
      <c r="M1176" s="25">
        <f t="shared" si="164"/>
        <v>5.9041057310438598E-3</v>
      </c>
      <c r="O1176" t="b">
        <f t="shared" si="162"/>
        <v>1</v>
      </c>
      <c r="Q1176" s="25">
        <f t="shared" si="160"/>
        <v>6.7149378292205686E-2</v>
      </c>
      <c r="R1176" s="25">
        <f t="shared" si="157"/>
        <v>7.4329931007653283E-2</v>
      </c>
      <c r="S1176" s="25">
        <f t="shared" si="154"/>
        <v>4.3861273771753417E-2</v>
      </c>
      <c r="T1176" s="25">
        <f t="shared" ref="T1176:T1239" si="166">((L1176/L195)^(1/4))-1</f>
        <v>8.3593446321238662E-2</v>
      </c>
      <c r="X1176">
        <f t="shared" si="161"/>
        <v>0</v>
      </c>
      <c r="Y1176">
        <f t="shared" si="158"/>
        <v>1</v>
      </c>
      <c r="Z1176">
        <f t="shared" si="155"/>
        <v>0</v>
      </c>
      <c r="AA1176">
        <f t="shared" ref="AA1176:AA1239" si="167">IF(H1176&gt;T1176,1,0)</f>
        <v>0</v>
      </c>
    </row>
    <row r="1177" spans="1:27">
      <c r="A1177" s="27">
        <v>44113</v>
      </c>
      <c r="B1177" s="24">
        <v>795.24</v>
      </c>
      <c r="C1177" s="25">
        <f t="shared" si="163"/>
        <v>5.3857240385344644E-3</v>
      </c>
      <c r="E1177" s="25">
        <f t="shared" si="159"/>
        <v>5.8119112246527216E-2</v>
      </c>
      <c r="F1177" s="25">
        <f t="shared" si="156"/>
        <v>8.0475631355412247E-2</v>
      </c>
      <c r="G1177" s="25">
        <f t="shared" si="153"/>
        <v>3.1997290441621473E-2</v>
      </c>
      <c r="H1177" s="25">
        <f t="shared" si="165"/>
        <v>6.5910066397977918E-2</v>
      </c>
      <c r="K1177" s="29">
        <v>44113</v>
      </c>
      <c r="L1177" s="24">
        <v>14757.92</v>
      </c>
      <c r="M1177" s="25">
        <f t="shared" si="164"/>
        <v>3.9287379251276306E-3</v>
      </c>
      <c r="O1177" t="b">
        <f t="shared" si="162"/>
        <v>1</v>
      </c>
      <c r="Q1177" s="25">
        <f t="shared" si="160"/>
        <v>6.4271286081970525E-2</v>
      </c>
      <c r="R1177" s="25">
        <f t="shared" si="157"/>
        <v>7.8936629705531836E-2</v>
      </c>
      <c r="S1177" s="25">
        <f t="shared" si="154"/>
        <v>4.6973292853445869E-2</v>
      </c>
      <c r="T1177" s="25">
        <f t="shared" si="166"/>
        <v>8.0018712622373922E-2</v>
      </c>
      <c r="X1177">
        <f t="shared" si="161"/>
        <v>0</v>
      </c>
      <c r="Y1177">
        <f t="shared" si="158"/>
        <v>1</v>
      </c>
      <c r="Z1177">
        <f t="shared" si="155"/>
        <v>0</v>
      </c>
      <c r="AA1177">
        <f t="shared" si="167"/>
        <v>0</v>
      </c>
    </row>
    <row r="1178" spans="1:27">
      <c r="A1178" s="26">
        <v>44116</v>
      </c>
      <c r="B1178" s="23">
        <v>794.51</v>
      </c>
      <c r="C1178" s="25">
        <f t="shared" si="163"/>
        <v>-9.179618731452369E-4</v>
      </c>
      <c r="E1178" s="25">
        <f t="shared" si="159"/>
        <v>5.5462564429565875E-2</v>
      </c>
      <c r="F1178" s="25">
        <f t="shared" si="156"/>
        <v>6.6972152606429747E-2</v>
      </c>
      <c r="G1178" s="25">
        <f t="shared" si="153"/>
        <v>2.8291212608809513E-2</v>
      </c>
      <c r="H1178" s="25">
        <f t="shared" si="165"/>
        <v>6.50305976613057E-2</v>
      </c>
      <c r="K1178" s="28">
        <v>44116</v>
      </c>
      <c r="L1178" s="23">
        <v>14750.66</v>
      </c>
      <c r="M1178" s="25">
        <f t="shared" si="164"/>
        <v>-4.921813667998732E-4</v>
      </c>
      <c r="O1178" t="b">
        <f t="shared" si="162"/>
        <v>1</v>
      </c>
      <c r="Q1178" s="25">
        <f t="shared" si="160"/>
        <v>6.0539348203706433E-2</v>
      </c>
      <c r="R1178" s="25">
        <f t="shared" si="157"/>
        <v>6.7171677657651863E-2</v>
      </c>
      <c r="S1178" s="25">
        <f t="shared" si="154"/>
        <v>4.2955189961705553E-2</v>
      </c>
      <c r="T1178" s="25">
        <f t="shared" si="166"/>
        <v>8.0041478230962193E-2</v>
      </c>
      <c r="X1178">
        <f t="shared" si="161"/>
        <v>0</v>
      </c>
      <c r="Y1178">
        <f t="shared" si="158"/>
        <v>0</v>
      </c>
      <c r="Z1178">
        <f t="shared" si="155"/>
        <v>0</v>
      </c>
      <c r="AA1178">
        <f t="shared" si="167"/>
        <v>0</v>
      </c>
    </row>
    <row r="1179" spans="1:27">
      <c r="A1179" s="27">
        <v>44117</v>
      </c>
      <c r="B1179" s="24">
        <v>792.29</v>
      </c>
      <c r="C1179" s="25">
        <f t="shared" si="163"/>
        <v>-2.7941750261167605E-3</v>
      </c>
      <c r="E1179" s="25">
        <f t="shared" si="159"/>
        <v>4.0652008301153231E-2</v>
      </c>
      <c r="F1179" s="25">
        <f t="shared" si="156"/>
        <v>7.688210057926459E-2</v>
      </c>
      <c r="G1179" s="25">
        <f t="shared" si="153"/>
        <v>2.6126325840259979E-2</v>
      </c>
      <c r="H1179" s="25">
        <f t="shared" si="165"/>
        <v>6.3786621984121883E-2</v>
      </c>
      <c r="K1179" s="29">
        <v>44117</v>
      </c>
      <c r="L1179" s="24">
        <v>14737.25</v>
      </c>
      <c r="M1179" s="25">
        <f t="shared" si="164"/>
        <v>-9.0993909989990358E-4</v>
      </c>
      <c r="O1179" t="b">
        <f t="shared" si="162"/>
        <v>1</v>
      </c>
      <c r="Q1179" s="25">
        <f t="shared" si="160"/>
        <v>4.6521371411853307E-2</v>
      </c>
      <c r="R1179" s="25">
        <f t="shared" si="157"/>
        <v>7.8014980404631951E-2</v>
      </c>
      <c r="S1179" s="25">
        <f t="shared" si="154"/>
        <v>4.080143670485703E-2</v>
      </c>
      <c r="T1179" s="25">
        <f t="shared" si="166"/>
        <v>7.867972534091483E-2</v>
      </c>
      <c r="X1179">
        <f t="shared" si="161"/>
        <v>0</v>
      </c>
      <c r="Y1179">
        <f t="shared" si="158"/>
        <v>0</v>
      </c>
      <c r="Z1179">
        <f t="shared" si="155"/>
        <v>0</v>
      </c>
      <c r="AA1179">
        <f t="shared" si="167"/>
        <v>0</v>
      </c>
    </row>
    <row r="1180" spans="1:27">
      <c r="A1180" s="26">
        <v>44118</v>
      </c>
      <c r="B1180" s="23">
        <v>795.57</v>
      </c>
      <c r="C1180" s="25">
        <f t="shared" si="163"/>
        <v>4.1398982695731194E-3</v>
      </c>
      <c r="E1180" s="25">
        <f t="shared" si="159"/>
        <v>3.8332028191072842E-2</v>
      </c>
      <c r="F1180" s="25">
        <f t="shared" si="156"/>
        <v>6.4553641100271841E-2</v>
      </c>
      <c r="G1180" s="25">
        <f t="shared" si="153"/>
        <v>2.5600002702428348E-2</v>
      </c>
      <c r="H1180" s="25">
        <f t="shared" si="165"/>
        <v>6.3782885766634934E-2</v>
      </c>
      <c r="K1180" s="28">
        <v>44118</v>
      </c>
      <c r="L1180" s="23">
        <v>14780.59</v>
      </c>
      <c r="M1180" s="25">
        <f t="shared" si="164"/>
        <v>2.9322239504647749E-3</v>
      </c>
      <c r="O1180" t="b">
        <f t="shared" si="162"/>
        <v>1</v>
      </c>
      <c r="Q1180" s="25">
        <f t="shared" si="160"/>
        <v>3.9834336660717229E-2</v>
      </c>
      <c r="R1180" s="25">
        <f t="shared" si="157"/>
        <v>6.7118677381012182E-2</v>
      </c>
      <c r="S1180" s="25">
        <f t="shared" si="154"/>
        <v>3.9960710824707313E-2</v>
      </c>
      <c r="T1180" s="25">
        <f t="shared" si="166"/>
        <v>7.9245433695219525E-2</v>
      </c>
      <c r="X1180">
        <f t="shared" si="161"/>
        <v>0</v>
      </c>
      <c r="Y1180">
        <f t="shared" si="158"/>
        <v>0</v>
      </c>
      <c r="Z1180">
        <f t="shared" si="155"/>
        <v>0</v>
      </c>
      <c r="AA1180">
        <f t="shared" si="167"/>
        <v>0</v>
      </c>
    </row>
    <row r="1181" spans="1:27">
      <c r="A1181" s="27">
        <v>44119</v>
      </c>
      <c r="B1181" s="24">
        <v>778.75</v>
      </c>
      <c r="C1181" s="25">
        <f t="shared" si="163"/>
        <v>-2.1142074236082366E-2</v>
      </c>
      <c r="E1181" s="25">
        <f t="shared" si="159"/>
        <v>1.8453128269512398E-2</v>
      </c>
      <c r="F1181" s="25">
        <f t="shared" si="156"/>
        <v>5.0758354491031721E-2</v>
      </c>
      <c r="G1181" s="25">
        <f t="shared" si="153"/>
        <v>1.7870016772337127E-2</v>
      </c>
      <c r="H1181" s="25">
        <f t="shared" si="165"/>
        <v>5.8823117999132979E-2</v>
      </c>
      <c r="K1181" s="29">
        <v>44119</v>
      </c>
      <c r="L1181" s="24">
        <v>14457.62</v>
      </c>
      <c r="M1181" s="25">
        <f t="shared" si="164"/>
        <v>-2.233908485629027E-2</v>
      </c>
      <c r="O1181" t="b">
        <f t="shared" si="162"/>
        <v>1</v>
      </c>
      <c r="Q1181" s="25">
        <f t="shared" si="160"/>
        <v>2.0444721752461259E-2</v>
      </c>
      <c r="R1181" s="25">
        <f t="shared" si="157"/>
        <v>5.2703065210181865E-2</v>
      </c>
      <c r="S1181" s="25">
        <f t="shared" si="154"/>
        <v>3.1676085290095246E-2</v>
      </c>
      <c r="T1181" s="25">
        <f t="shared" si="166"/>
        <v>7.2930759178828408E-2</v>
      </c>
      <c r="X1181">
        <f t="shared" si="161"/>
        <v>0</v>
      </c>
      <c r="Y1181">
        <f t="shared" si="158"/>
        <v>0</v>
      </c>
      <c r="Z1181">
        <f t="shared" si="155"/>
        <v>0</v>
      </c>
      <c r="AA1181">
        <f t="shared" si="167"/>
        <v>0</v>
      </c>
    </row>
    <row r="1182" spans="1:27">
      <c r="A1182" s="26">
        <v>44120</v>
      </c>
      <c r="B1182" s="23">
        <v>786.43</v>
      </c>
      <c r="C1182" s="25">
        <f t="shared" si="163"/>
        <v>9.8619582664525845E-3</v>
      </c>
      <c r="E1182" s="25">
        <f t="shared" si="159"/>
        <v>2.6898920125876469E-2</v>
      </c>
      <c r="F1182" s="25">
        <f t="shared" si="156"/>
        <v>5.17303297417675E-2</v>
      </c>
      <c r="G1182" s="25">
        <f t="shared" si="153"/>
        <v>2.2614976690614075E-2</v>
      </c>
      <c r="H1182" s="25">
        <f t="shared" si="165"/>
        <v>6.2007293003710773E-2</v>
      </c>
      <c r="K1182" s="28">
        <v>44120</v>
      </c>
      <c r="L1182" s="23">
        <v>14572.95</v>
      </c>
      <c r="M1182" s="25">
        <f t="shared" si="164"/>
        <v>7.9139776092006023E-3</v>
      </c>
      <c r="O1182" t="b">
        <f t="shared" si="162"/>
        <v>1</v>
      </c>
      <c r="Q1182" s="25">
        <f t="shared" si="160"/>
        <v>2.6891066587839241E-2</v>
      </c>
      <c r="R1182" s="25">
        <f t="shared" si="157"/>
        <v>5.2023732347032059E-2</v>
      </c>
      <c r="S1182" s="25">
        <f t="shared" si="154"/>
        <v>3.5090201866369242E-2</v>
      </c>
      <c r="T1182" s="25">
        <f t="shared" si="166"/>
        <v>7.5421376670656404E-2</v>
      </c>
      <c r="X1182">
        <f t="shared" si="161"/>
        <v>1</v>
      </c>
      <c r="Y1182">
        <f t="shared" si="158"/>
        <v>0</v>
      </c>
      <c r="Z1182">
        <f t="shared" si="155"/>
        <v>0</v>
      </c>
      <c r="AA1182">
        <f t="shared" si="167"/>
        <v>0</v>
      </c>
    </row>
    <row r="1183" spans="1:27">
      <c r="A1183" s="27">
        <v>44123</v>
      </c>
      <c r="B1183" s="24">
        <v>792.74</v>
      </c>
      <c r="C1183" s="25">
        <f t="shared" si="163"/>
        <v>8.0236003204354617E-3</v>
      </c>
      <c r="E1183" s="25">
        <f t="shared" si="159"/>
        <v>3.7074829931972753E-2</v>
      </c>
      <c r="F1183" s="25">
        <f t="shared" si="156"/>
        <v>6.3947558343696365E-2</v>
      </c>
      <c r="G1183" s="25">
        <f t="shared" si="153"/>
        <v>2.5998855748120775E-2</v>
      </c>
      <c r="H1183" s="25">
        <f t="shared" si="165"/>
        <v>6.6389360173805256E-2</v>
      </c>
      <c r="K1183" s="29">
        <v>44123</v>
      </c>
      <c r="L1183" s="24">
        <v>14698.7</v>
      </c>
      <c r="M1183" s="25">
        <f t="shared" si="164"/>
        <v>8.5551783491057028E-3</v>
      </c>
      <c r="O1183" t="b">
        <f t="shared" si="162"/>
        <v>1</v>
      </c>
      <c r="Q1183" s="25">
        <f t="shared" si="160"/>
        <v>3.8045251476344077E-2</v>
      </c>
      <c r="R1183" s="25">
        <f t="shared" si="157"/>
        <v>6.4674520511053935E-2</v>
      </c>
      <c r="S1183" s="25">
        <f t="shared" si="154"/>
        <v>3.8512254099108523E-2</v>
      </c>
      <c r="T1183" s="25">
        <f t="shared" si="166"/>
        <v>8.0059568678208626E-2</v>
      </c>
      <c r="X1183">
        <f t="shared" si="161"/>
        <v>0</v>
      </c>
      <c r="Y1183">
        <f t="shared" si="158"/>
        <v>0</v>
      </c>
      <c r="Z1183">
        <f t="shared" si="155"/>
        <v>0</v>
      </c>
      <c r="AA1183">
        <f t="shared" si="167"/>
        <v>0</v>
      </c>
    </row>
    <row r="1184" spans="1:27">
      <c r="A1184" s="26">
        <v>44124</v>
      </c>
      <c r="B1184" s="23">
        <v>798.05</v>
      </c>
      <c r="C1184" s="25">
        <f t="shared" si="163"/>
        <v>6.6982869541084662E-3</v>
      </c>
      <c r="E1184" s="25">
        <f t="shared" si="159"/>
        <v>3.9899404505948421E-2</v>
      </c>
      <c r="F1184" s="25">
        <f t="shared" si="156"/>
        <v>7.4376857362108417E-2</v>
      </c>
      <c r="G1184" s="25">
        <f t="shared" si="153"/>
        <v>2.7105809828357641E-2</v>
      </c>
      <c r="H1184" s="25">
        <f t="shared" si="165"/>
        <v>7.0122409628048388E-2</v>
      </c>
      <c r="K1184" s="28">
        <v>44124</v>
      </c>
      <c r="L1184" s="23">
        <v>14734.59</v>
      </c>
      <c r="M1184" s="25">
        <f t="shared" si="164"/>
        <v>2.4357650942441844E-3</v>
      </c>
      <c r="O1184" t="b">
        <f t="shared" si="162"/>
        <v>1</v>
      </c>
      <c r="Q1184" s="25">
        <f t="shared" si="160"/>
        <v>4.1302006479078779E-2</v>
      </c>
      <c r="R1184" s="25">
        <f t="shared" si="157"/>
        <v>7.3225062162754817E-2</v>
      </c>
      <c r="S1184" s="25">
        <f t="shared" si="154"/>
        <v>3.8550764873454879E-2</v>
      </c>
      <c r="T1184" s="25">
        <f t="shared" si="166"/>
        <v>8.1588713248824218E-2</v>
      </c>
      <c r="X1184">
        <f t="shared" si="161"/>
        <v>0</v>
      </c>
      <c r="Y1184">
        <f t="shared" si="158"/>
        <v>1</v>
      </c>
      <c r="Z1184">
        <f t="shared" si="155"/>
        <v>0</v>
      </c>
      <c r="AA1184">
        <f t="shared" si="167"/>
        <v>0</v>
      </c>
    </row>
    <row r="1185" spans="1:27">
      <c r="A1185" s="27">
        <v>44125</v>
      </c>
      <c r="B1185" s="24">
        <v>801.88</v>
      </c>
      <c r="C1185" s="25">
        <f t="shared" si="163"/>
        <v>4.7991980452353122E-3</v>
      </c>
      <c r="E1185" s="25">
        <f t="shared" si="159"/>
        <v>2.9159607782740515E-2</v>
      </c>
      <c r="F1185" s="25">
        <f t="shared" si="156"/>
        <v>8.0528897067596139E-2</v>
      </c>
      <c r="G1185" s="25">
        <f t="shared" si="153"/>
        <v>2.8504290774836738E-2</v>
      </c>
      <c r="H1185" s="25">
        <f t="shared" si="165"/>
        <v>6.9062109135768379E-2</v>
      </c>
      <c r="K1185" s="29">
        <v>44125</v>
      </c>
      <c r="L1185" s="24">
        <v>14770.31</v>
      </c>
      <c r="M1185" s="25">
        <f t="shared" si="164"/>
        <v>2.4183649496861844E-3</v>
      </c>
      <c r="O1185" t="b">
        <f t="shared" si="162"/>
        <v>1</v>
      </c>
      <c r="Q1185" s="25">
        <f t="shared" si="160"/>
        <v>2.5634776135778248E-2</v>
      </c>
      <c r="R1185" s="25">
        <f t="shared" si="157"/>
        <v>7.8508876082334034E-2</v>
      </c>
      <c r="S1185" s="25">
        <f t="shared" si="154"/>
        <v>3.6629989549189057E-2</v>
      </c>
      <c r="T1185" s="25">
        <f t="shared" si="166"/>
        <v>8.0725140028832687E-2</v>
      </c>
      <c r="X1185">
        <f t="shared" si="161"/>
        <v>1</v>
      </c>
      <c r="Y1185">
        <f t="shared" si="158"/>
        <v>1</v>
      </c>
      <c r="Z1185">
        <f t="shared" si="155"/>
        <v>0</v>
      </c>
      <c r="AA1185">
        <f t="shared" si="167"/>
        <v>0</v>
      </c>
    </row>
    <row r="1186" spans="1:27">
      <c r="A1186" s="26">
        <v>44126</v>
      </c>
      <c r="B1186" s="23">
        <v>801.58</v>
      </c>
      <c r="C1186" s="25">
        <f t="shared" si="163"/>
        <v>-3.7412081608215013E-4</v>
      </c>
      <c r="E1186" s="25">
        <f t="shared" si="159"/>
        <v>2.7008327994875181E-2</v>
      </c>
      <c r="F1186" s="25">
        <f t="shared" si="156"/>
        <v>8.5738821762412654E-2</v>
      </c>
      <c r="G1186" s="25">
        <f t="shared" si="153"/>
        <v>2.7289993811562052E-2</v>
      </c>
      <c r="H1186" s="25">
        <f t="shared" si="165"/>
        <v>6.6718985369628392E-2</v>
      </c>
      <c r="K1186" s="28">
        <v>44126</v>
      </c>
      <c r="L1186" s="23">
        <v>14753.69</v>
      </c>
      <c r="M1186" s="25">
        <f t="shared" si="164"/>
        <v>-1.126497845623636E-3</v>
      </c>
      <c r="O1186" t="b">
        <f t="shared" si="162"/>
        <v>1</v>
      </c>
      <c r="Q1186" s="25">
        <f t="shared" si="160"/>
        <v>1.9223621836188531E-2</v>
      </c>
      <c r="R1186" s="25">
        <f t="shared" si="157"/>
        <v>8.3373902009394207E-2</v>
      </c>
      <c r="S1186" s="25">
        <f t="shared" si="154"/>
        <v>3.4658597325724738E-2</v>
      </c>
      <c r="T1186" s="25">
        <f t="shared" si="166"/>
        <v>8.0093699892807013E-2</v>
      </c>
      <c r="X1186">
        <f t="shared" si="161"/>
        <v>1</v>
      </c>
      <c r="Y1186">
        <f t="shared" si="158"/>
        <v>1</v>
      </c>
      <c r="Z1186">
        <f t="shared" si="155"/>
        <v>0</v>
      </c>
      <c r="AA1186">
        <f t="shared" si="167"/>
        <v>0</v>
      </c>
    </row>
    <row r="1187" spans="1:27">
      <c r="A1187" s="27">
        <v>44127</v>
      </c>
      <c r="B1187" s="24">
        <v>805.07</v>
      </c>
      <c r="C1187" s="25">
        <f t="shared" si="163"/>
        <v>4.3539010454352765E-3</v>
      </c>
      <c r="E1187" s="25">
        <f t="shared" si="159"/>
        <v>2.8409744133464532E-2</v>
      </c>
      <c r="F1187" s="25">
        <f t="shared" si="156"/>
        <v>8.0734419210088282E-2</v>
      </c>
      <c r="G1187" s="25">
        <f t="shared" si="153"/>
        <v>2.8723091331839923E-2</v>
      </c>
      <c r="H1187" s="25">
        <f t="shared" si="165"/>
        <v>7.2168616038099653E-2</v>
      </c>
      <c r="K1187" s="29">
        <v>44127</v>
      </c>
      <c r="L1187" s="24">
        <v>14816.06</v>
      </c>
      <c r="M1187" s="25">
        <f t="shared" si="164"/>
        <v>4.2096211813396397E-3</v>
      </c>
      <c r="O1187" t="b">
        <f t="shared" si="162"/>
        <v>1</v>
      </c>
      <c r="Q1187" s="25">
        <f t="shared" si="160"/>
        <v>1.9050023075722011E-2</v>
      </c>
      <c r="R1187" s="25">
        <f t="shared" si="157"/>
        <v>8.147961128138359E-2</v>
      </c>
      <c r="S1187" s="25">
        <f t="shared" si="154"/>
        <v>3.62008816599102E-2</v>
      </c>
      <c r="T1187" s="25">
        <f t="shared" si="166"/>
        <v>8.5246957211577934E-2</v>
      </c>
      <c r="X1187">
        <f t="shared" si="161"/>
        <v>1</v>
      </c>
      <c r="Y1187">
        <f t="shared" si="158"/>
        <v>0</v>
      </c>
      <c r="Z1187">
        <f t="shared" si="155"/>
        <v>0</v>
      </c>
      <c r="AA1187">
        <f t="shared" si="167"/>
        <v>0</v>
      </c>
    </row>
    <row r="1188" spans="1:27">
      <c r="A1188" s="26">
        <v>44130</v>
      </c>
      <c r="B1188" s="23">
        <v>794.34</v>
      </c>
      <c r="C1188" s="25">
        <f t="shared" si="163"/>
        <v>-1.3328033587141512E-2</v>
      </c>
      <c r="E1188" s="25">
        <f t="shared" si="159"/>
        <v>7.9177769318614644E-3</v>
      </c>
      <c r="F1188" s="25">
        <f t="shared" si="156"/>
        <v>7.8637568151307402E-2</v>
      </c>
      <c r="G1188" s="25">
        <f t="shared" ref="G1188:G1251" si="168">((B1188/B451)^(1/3))-1</f>
        <v>2.2797104253061917E-2</v>
      </c>
      <c r="H1188" s="25">
        <f t="shared" si="165"/>
        <v>7.0733210144914072E-2</v>
      </c>
      <c r="K1188" s="28">
        <v>44130</v>
      </c>
      <c r="L1188" s="23">
        <v>14615.15</v>
      </c>
      <c r="M1188" s="25">
        <f t="shared" si="164"/>
        <v>-1.3746694354830424E-2</v>
      </c>
      <c r="O1188" t="b">
        <f t="shared" si="162"/>
        <v>1</v>
      </c>
      <c r="Q1188" s="25">
        <f t="shared" si="160"/>
        <v>3.7436541250934763E-3</v>
      </c>
      <c r="R1188" s="25">
        <f t="shared" si="157"/>
        <v>7.8978584657549922E-2</v>
      </c>
      <c r="S1188" s="25">
        <f t="shared" ref="S1188:S1251" si="169">((L1188/L451)^(1/3))-1</f>
        <v>2.921576378355506E-2</v>
      </c>
      <c r="T1188" s="25">
        <f t="shared" si="166"/>
        <v>8.3227543807925075E-2</v>
      </c>
      <c r="X1188">
        <f t="shared" si="161"/>
        <v>1</v>
      </c>
      <c r="Y1188">
        <f t="shared" si="158"/>
        <v>0</v>
      </c>
      <c r="Z1188">
        <f t="shared" ref="Z1188:Z1251" si="170">IF(G1188&gt;S1188,1,0)</f>
        <v>0</v>
      </c>
      <c r="AA1188">
        <f t="shared" si="167"/>
        <v>0</v>
      </c>
    </row>
    <row r="1189" spans="1:27">
      <c r="A1189" s="27">
        <v>44131</v>
      </c>
      <c r="B1189" s="24">
        <v>804.01</v>
      </c>
      <c r="C1189" s="25">
        <f t="shared" si="163"/>
        <v>1.2173628421079084E-2</v>
      </c>
      <c r="E1189" s="25">
        <f t="shared" si="159"/>
        <v>1.5677109651339061E-2</v>
      </c>
      <c r="F1189" s="25">
        <f t="shared" si="156"/>
        <v>8.776728888161256E-2</v>
      </c>
      <c r="G1189" s="25">
        <f t="shared" si="168"/>
        <v>2.6755606542953059E-2</v>
      </c>
      <c r="H1189" s="25">
        <f t="shared" si="165"/>
        <v>7.7601691901740377E-2</v>
      </c>
      <c r="K1189" s="29">
        <v>44131</v>
      </c>
      <c r="L1189" s="24">
        <v>14767.77</v>
      </c>
      <c r="M1189" s="25">
        <f t="shared" si="164"/>
        <v>1.0334667996589926E-2</v>
      </c>
      <c r="O1189" t="b">
        <f t="shared" si="162"/>
        <v>1</v>
      </c>
      <c r="Q1189" s="25">
        <f t="shared" si="160"/>
        <v>1.1229284472924039E-2</v>
      </c>
      <c r="R1189" s="25">
        <f t="shared" si="157"/>
        <v>8.8213997027013935E-2</v>
      </c>
      <c r="S1189" s="25">
        <f t="shared" si="169"/>
        <v>3.3062909504840032E-2</v>
      </c>
      <c r="T1189" s="25">
        <f t="shared" si="166"/>
        <v>8.8642515413305034E-2</v>
      </c>
      <c r="X1189">
        <f t="shared" si="161"/>
        <v>1</v>
      </c>
      <c r="Y1189">
        <f t="shared" si="158"/>
        <v>0</v>
      </c>
      <c r="Z1189">
        <f t="shared" si="170"/>
        <v>0</v>
      </c>
      <c r="AA1189">
        <f t="shared" si="167"/>
        <v>0</v>
      </c>
    </row>
    <row r="1190" spans="1:27">
      <c r="A1190" s="26">
        <v>44132</v>
      </c>
      <c r="B1190" s="23">
        <v>794.81</v>
      </c>
      <c r="C1190" s="25">
        <f t="shared" si="163"/>
        <v>-1.1442643748212144E-2</v>
      </c>
      <c r="E1190" s="25">
        <f t="shared" si="159"/>
        <v>6.9425968859664344E-3</v>
      </c>
      <c r="F1190" s="25">
        <f t="shared" si="156"/>
        <v>6.9044006913774547E-2</v>
      </c>
      <c r="G1190" s="25">
        <f t="shared" si="168"/>
        <v>1.9926112952117103E-2</v>
      </c>
      <c r="H1190" s="25">
        <f t="shared" si="165"/>
        <v>7.1970764094944295E-2</v>
      </c>
      <c r="K1190" s="28">
        <v>44132</v>
      </c>
      <c r="L1190" s="23">
        <v>14594.96</v>
      </c>
      <c r="M1190" s="25">
        <f t="shared" si="164"/>
        <v>-1.1840388736933936E-2</v>
      </c>
      <c r="O1190" t="b">
        <f t="shared" si="162"/>
        <v>1</v>
      </c>
      <c r="Q1190" s="25">
        <f t="shared" si="160"/>
        <v>3.3286266012397814E-3</v>
      </c>
      <c r="R1190" s="25">
        <f t="shared" si="157"/>
        <v>6.9628495518147204E-2</v>
      </c>
      <c r="S1190" s="25">
        <f t="shared" si="169"/>
        <v>2.5932222626701806E-2</v>
      </c>
      <c r="T1190" s="25">
        <f t="shared" si="166"/>
        <v>8.3320958453910077E-2</v>
      </c>
      <c r="X1190">
        <f t="shared" si="161"/>
        <v>1</v>
      </c>
      <c r="Y1190">
        <f t="shared" si="158"/>
        <v>0</v>
      </c>
      <c r="Z1190">
        <f t="shared" si="170"/>
        <v>0</v>
      </c>
      <c r="AA1190">
        <f t="shared" si="167"/>
        <v>0</v>
      </c>
    </row>
    <row r="1191" spans="1:27">
      <c r="A1191" s="27">
        <v>44133</v>
      </c>
      <c r="B1191" s="24">
        <v>791.38</v>
      </c>
      <c r="C1191" s="25">
        <f t="shared" si="163"/>
        <v>-4.3154967853951893E-3</v>
      </c>
      <c r="E1191" s="25">
        <f t="shared" si="159"/>
        <v>1.0109945659042552E-4</v>
      </c>
      <c r="F1191" s="25">
        <f t="shared" si="156"/>
        <v>6.5066803281955021E-2</v>
      </c>
      <c r="G1191" s="25">
        <f t="shared" si="168"/>
        <v>1.9173856766222741E-2</v>
      </c>
      <c r="H1191" s="25">
        <f t="shared" si="165"/>
        <v>7.0022160443045545E-2</v>
      </c>
      <c r="K1191" s="29">
        <v>44133</v>
      </c>
      <c r="L1191" s="24">
        <v>14539.33</v>
      </c>
      <c r="M1191" s="25">
        <f t="shared" si="164"/>
        <v>-3.8261735582037961E-3</v>
      </c>
      <c r="O1191" t="b">
        <f t="shared" si="162"/>
        <v>1</v>
      </c>
      <c r="Q1191" s="25">
        <f t="shared" si="160"/>
        <v>-3.3130742010712977E-3</v>
      </c>
      <c r="R1191" s="25">
        <f t="shared" si="157"/>
        <v>6.8177294171584135E-2</v>
      </c>
      <c r="S1191" s="25">
        <f t="shared" si="169"/>
        <v>2.4512387302265015E-2</v>
      </c>
      <c r="T1191" s="25">
        <f t="shared" si="166"/>
        <v>8.0991678652470256E-2</v>
      </c>
      <c r="X1191">
        <f t="shared" si="161"/>
        <v>1</v>
      </c>
      <c r="Y1191">
        <f t="shared" si="158"/>
        <v>0</v>
      </c>
      <c r="Z1191">
        <f t="shared" si="170"/>
        <v>0</v>
      </c>
      <c r="AA1191">
        <f t="shared" si="167"/>
        <v>0</v>
      </c>
    </row>
    <row r="1192" spans="1:27">
      <c r="A1192" s="26">
        <v>44134</v>
      </c>
      <c r="B1192" s="23">
        <v>788.5</v>
      </c>
      <c r="C1192" s="25">
        <f t="shared" si="163"/>
        <v>-3.639212514847476E-3</v>
      </c>
      <c r="E1192" s="25">
        <f t="shared" si="159"/>
        <v>-8.4754288013682011E-3</v>
      </c>
      <c r="F1192" s="25">
        <f t="shared" si="156"/>
        <v>5.5007244920855181E-2</v>
      </c>
      <c r="G1192" s="25">
        <f t="shared" si="168"/>
        <v>1.7256085119781162E-2</v>
      </c>
      <c r="H1192" s="25">
        <f t="shared" si="165"/>
        <v>7.318209440712975E-2</v>
      </c>
      <c r="K1192" s="28">
        <v>44134</v>
      </c>
      <c r="L1192" s="23">
        <v>14521.56</v>
      </c>
      <c r="M1192" s="25">
        <f t="shared" si="164"/>
        <v>-1.2236977294450759E-3</v>
      </c>
      <c r="O1192" t="b">
        <f t="shared" si="162"/>
        <v>1</v>
      </c>
      <c r="Q1192" s="25">
        <f t="shared" si="160"/>
        <v>-8.9924952212228071E-3</v>
      </c>
      <c r="R1192" s="25">
        <f t="shared" si="157"/>
        <v>5.8139297101202914E-2</v>
      </c>
      <c r="S1192" s="25">
        <f t="shared" si="169"/>
        <v>2.3198583883735191E-2</v>
      </c>
      <c r="T1192" s="25">
        <f t="shared" si="166"/>
        <v>8.5053443393592998E-2</v>
      </c>
      <c r="X1192">
        <f t="shared" si="161"/>
        <v>1</v>
      </c>
      <c r="Y1192">
        <f t="shared" si="158"/>
        <v>0</v>
      </c>
      <c r="Z1192">
        <f t="shared" si="170"/>
        <v>0</v>
      </c>
      <c r="AA1192">
        <f t="shared" si="167"/>
        <v>0</v>
      </c>
    </row>
    <row r="1193" spans="1:27">
      <c r="A1193" s="27">
        <v>44137</v>
      </c>
      <c r="B1193" s="24">
        <v>795.32</v>
      </c>
      <c r="C1193" s="25">
        <f t="shared" si="163"/>
        <v>8.6493341788206092E-3</v>
      </c>
      <c r="E1193" s="25">
        <f t="shared" si="159"/>
        <v>6.8871220944954903E-3</v>
      </c>
      <c r="F1193" s="25">
        <f t="shared" si="156"/>
        <v>5.8149393827418239E-2</v>
      </c>
      <c r="G1193" s="25">
        <f t="shared" si="168"/>
        <v>2.0862425837911314E-2</v>
      </c>
      <c r="H1193" s="25">
        <f t="shared" si="165"/>
        <v>7.1835640723684202E-2</v>
      </c>
      <c r="K1193" s="29">
        <v>44137</v>
      </c>
      <c r="L1193" s="24">
        <v>14543.26</v>
      </c>
      <c r="M1193" s="25">
        <f t="shared" si="164"/>
        <v>1.4921001206057464E-3</v>
      </c>
      <c r="O1193" t="b">
        <f t="shared" si="162"/>
        <v>1</v>
      </c>
      <c r="Q1193" s="25">
        <f t="shared" si="160"/>
        <v>7.920587678704738E-4</v>
      </c>
      <c r="R1193" s="25">
        <f t="shared" si="157"/>
        <v>5.7717601649552197E-2</v>
      </c>
      <c r="S1193" s="25">
        <f t="shared" si="169"/>
        <v>2.3242230412672926E-2</v>
      </c>
      <c r="T1193" s="25">
        <f t="shared" si="166"/>
        <v>8.1935062322691765E-2</v>
      </c>
      <c r="X1193">
        <f t="shared" si="161"/>
        <v>1</v>
      </c>
      <c r="Y1193">
        <f t="shared" si="158"/>
        <v>1</v>
      </c>
      <c r="Z1193">
        <f t="shared" si="170"/>
        <v>0</v>
      </c>
      <c r="AA1193">
        <f t="shared" si="167"/>
        <v>0</v>
      </c>
    </row>
    <row r="1194" spans="1:27">
      <c r="A1194" s="26">
        <v>44138</v>
      </c>
      <c r="B1194" s="23">
        <v>804.35</v>
      </c>
      <c r="C1194" s="25">
        <f t="shared" si="163"/>
        <v>1.1353920434542036E-2</v>
      </c>
      <c r="E1194" s="25">
        <f t="shared" si="159"/>
        <v>1.4159269719588474E-2</v>
      </c>
      <c r="F1194" s="25">
        <f t="shared" si="156"/>
        <v>5.8211855946830537E-2</v>
      </c>
      <c r="G1194" s="25">
        <f t="shared" si="168"/>
        <v>2.7666447987473752E-2</v>
      </c>
      <c r="H1194" s="25">
        <f t="shared" si="165"/>
        <v>8.2540901653788801E-2</v>
      </c>
      <c r="K1194" s="28">
        <v>44138</v>
      </c>
      <c r="L1194" s="23">
        <v>14695.59</v>
      </c>
      <c r="M1194" s="25">
        <f t="shared" si="164"/>
        <v>1.0365694742436331E-2</v>
      </c>
      <c r="O1194" t="b">
        <f t="shared" si="162"/>
        <v>1</v>
      </c>
      <c r="Q1194" s="25">
        <f t="shared" si="160"/>
        <v>9.965231650400419E-3</v>
      </c>
      <c r="R1194" s="25">
        <f t="shared" si="157"/>
        <v>5.5634146212406144E-2</v>
      </c>
      <c r="S1194" s="25">
        <f t="shared" si="169"/>
        <v>3.0647130385515586E-2</v>
      </c>
      <c r="T1194" s="25">
        <f t="shared" si="166"/>
        <v>9.2877625162041788E-2</v>
      </c>
      <c r="X1194">
        <f t="shared" si="161"/>
        <v>1</v>
      </c>
      <c r="Y1194">
        <f t="shared" si="158"/>
        <v>1</v>
      </c>
      <c r="Z1194">
        <f t="shared" si="170"/>
        <v>0</v>
      </c>
      <c r="AA1194">
        <f t="shared" si="167"/>
        <v>0</v>
      </c>
    </row>
    <row r="1195" spans="1:27">
      <c r="A1195" s="27">
        <v>44139</v>
      </c>
      <c r="B1195" s="24">
        <v>809.48</v>
      </c>
      <c r="C1195" s="25">
        <f t="shared" si="163"/>
        <v>6.3778206004848573E-3</v>
      </c>
      <c r="E1195" s="25">
        <f t="shared" si="159"/>
        <v>3.3963902974875282E-2</v>
      </c>
      <c r="F1195" s="25">
        <f t="shared" si="156"/>
        <v>6.1921122004379603E-2</v>
      </c>
      <c r="G1195" s="25">
        <f t="shared" si="168"/>
        <v>3.1701381592749822E-2</v>
      </c>
      <c r="H1195" s="25">
        <f t="shared" si="165"/>
        <v>9.5064905585135362E-2</v>
      </c>
      <c r="K1195" s="29">
        <v>44139</v>
      </c>
      <c r="L1195" s="24">
        <v>14803.64</v>
      </c>
      <c r="M1195" s="25">
        <f t="shared" si="164"/>
        <v>7.2988805455954939E-3</v>
      </c>
      <c r="O1195" t="b">
        <f t="shared" si="162"/>
        <v>1</v>
      </c>
      <c r="Q1195" s="25">
        <f t="shared" si="160"/>
        <v>2.3912153338792708E-2</v>
      </c>
      <c r="R1195" s="25">
        <f t="shared" si="157"/>
        <v>6.0737202422155079E-2</v>
      </c>
      <c r="S1195" s="25">
        <f t="shared" si="169"/>
        <v>3.5122119922460504E-2</v>
      </c>
      <c r="T1195" s="25">
        <f t="shared" si="166"/>
        <v>0.10309791291310622</v>
      </c>
      <c r="X1195">
        <f t="shared" si="161"/>
        <v>1</v>
      </c>
      <c r="Y1195">
        <f t="shared" si="158"/>
        <v>1</v>
      </c>
      <c r="Z1195">
        <f t="shared" si="170"/>
        <v>0</v>
      </c>
      <c r="AA1195">
        <f t="shared" si="167"/>
        <v>0</v>
      </c>
    </row>
    <row r="1196" spans="1:27">
      <c r="A1196" s="26">
        <v>44140</v>
      </c>
      <c r="B1196" s="23">
        <v>824.04</v>
      </c>
      <c r="C1196" s="25">
        <f t="shared" si="163"/>
        <v>1.7986855759252785E-2</v>
      </c>
      <c r="E1196" s="25">
        <f t="shared" si="159"/>
        <v>4.7877007591653031E-2</v>
      </c>
      <c r="F1196" s="25">
        <f t="shared" si="156"/>
        <v>7.2774736354016323E-2</v>
      </c>
      <c r="G1196" s="25">
        <f t="shared" si="168"/>
        <v>3.6908726059114105E-2</v>
      </c>
      <c r="H1196" s="25">
        <f t="shared" si="165"/>
        <v>9.9093271342903577E-2</v>
      </c>
      <c r="K1196" s="28">
        <v>44140</v>
      </c>
      <c r="L1196" s="23">
        <v>15063.26</v>
      </c>
      <c r="M1196" s="25">
        <f t="shared" si="164"/>
        <v>1.7235312940226802E-2</v>
      </c>
      <c r="O1196" t="b">
        <f t="shared" si="162"/>
        <v>1</v>
      </c>
      <c r="Q1196" s="25">
        <f t="shared" si="160"/>
        <v>4.0076393856453674E-2</v>
      </c>
      <c r="R1196" s="25">
        <f t="shared" si="157"/>
        <v>7.0455502168749851E-2</v>
      </c>
      <c r="S1196" s="25">
        <f t="shared" si="169"/>
        <v>4.0007592701080785E-2</v>
      </c>
      <c r="T1196" s="25">
        <f t="shared" si="166"/>
        <v>0.10742796683513745</v>
      </c>
      <c r="X1196">
        <f t="shared" si="161"/>
        <v>1</v>
      </c>
      <c r="Y1196">
        <f t="shared" si="158"/>
        <v>1</v>
      </c>
      <c r="Z1196">
        <f t="shared" si="170"/>
        <v>0</v>
      </c>
      <c r="AA1196">
        <f t="shared" si="167"/>
        <v>0</v>
      </c>
    </row>
    <row r="1197" spans="1:27">
      <c r="A1197" s="27">
        <v>44141</v>
      </c>
      <c r="B1197" s="24">
        <v>829.32</v>
      </c>
      <c r="C1197" s="25">
        <f t="shared" si="163"/>
        <v>6.4074559487404571E-3</v>
      </c>
      <c r="E1197" s="25">
        <f t="shared" si="159"/>
        <v>4.9918343060426196E-2</v>
      </c>
      <c r="F1197" s="25">
        <f t="shared" si="156"/>
        <v>7.1361739755714027E-2</v>
      </c>
      <c r="G1197" s="25">
        <f t="shared" si="168"/>
        <v>3.8973431352843146E-2</v>
      </c>
      <c r="H1197" s="25">
        <f t="shared" si="165"/>
        <v>0.1010837161505902</v>
      </c>
      <c r="K1197" s="29">
        <v>44141</v>
      </c>
      <c r="L1197" s="24">
        <v>15212.07</v>
      </c>
      <c r="M1197" s="25">
        <f t="shared" si="164"/>
        <v>9.7823636099491715E-3</v>
      </c>
      <c r="O1197" t="b">
        <f t="shared" si="162"/>
        <v>1</v>
      </c>
      <c r="Q1197" s="25">
        <f t="shared" si="160"/>
        <v>4.851026345663545E-2</v>
      </c>
      <c r="R1197" s="25">
        <f t="shared" si="157"/>
        <v>7.1134109505700538E-2</v>
      </c>
      <c r="S1197" s="25">
        <f t="shared" si="169"/>
        <v>4.3095619418608733E-2</v>
      </c>
      <c r="T1197" s="25">
        <f t="shared" si="166"/>
        <v>0.11113725011387166</v>
      </c>
      <c r="X1197">
        <f t="shared" si="161"/>
        <v>1</v>
      </c>
      <c r="Y1197">
        <f t="shared" si="158"/>
        <v>1</v>
      </c>
      <c r="Z1197">
        <f t="shared" si="170"/>
        <v>0</v>
      </c>
      <c r="AA1197">
        <f t="shared" si="167"/>
        <v>0</v>
      </c>
    </row>
    <row r="1198" spans="1:27">
      <c r="A1198" s="26">
        <v>44144</v>
      </c>
      <c r="B1198" s="23">
        <v>843.54</v>
      </c>
      <c r="C1198" s="25">
        <f t="shared" si="163"/>
        <v>1.7146577919259047E-2</v>
      </c>
      <c r="E1198" s="25">
        <f t="shared" si="159"/>
        <v>6.5143001452111715E-2</v>
      </c>
      <c r="F1198" s="25">
        <f t="shared" si="156"/>
        <v>8.5037487976349357E-2</v>
      </c>
      <c r="G1198" s="25">
        <f t="shared" si="168"/>
        <v>4.7548208580837859E-2</v>
      </c>
      <c r="H1198" s="25">
        <f t="shared" si="165"/>
        <v>0.1064016679993971</v>
      </c>
      <c r="K1198" s="28">
        <v>44144</v>
      </c>
      <c r="L1198" s="23">
        <v>15428.84</v>
      </c>
      <c r="M1198" s="25">
        <f t="shared" si="164"/>
        <v>1.4049662839202457E-2</v>
      </c>
      <c r="O1198" t="b">
        <f t="shared" si="162"/>
        <v>1</v>
      </c>
      <c r="Q1198" s="25">
        <f t="shared" si="160"/>
        <v>6.325718837951011E-2</v>
      </c>
      <c r="R1198" s="25">
        <f t="shared" si="157"/>
        <v>8.4014525185427846E-2</v>
      </c>
      <c r="S1198" s="25">
        <f t="shared" si="169"/>
        <v>5.0803277544337888E-2</v>
      </c>
      <c r="T1198" s="25">
        <f t="shared" si="166"/>
        <v>0.11487056078442315</v>
      </c>
      <c r="X1198">
        <f t="shared" si="161"/>
        <v>1</v>
      </c>
      <c r="Y1198">
        <f t="shared" si="158"/>
        <v>1</v>
      </c>
      <c r="Z1198">
        <f t="shared" si="170"/>
        <v>0</v>
      </c>
      <c r="AA1198">
        <f t="shared" si="167"/>
        <v>0</v>
      </c>
    </row>
    <row r="1199" spans="1:27">
      <c r="A1199" s="27">
        <v>44145</v>
      </c>
      <c r="B1199" s="24">
        <v>845.68</v>
      </c>
      <c r="C1199" s="25">
        <f t="shared" si="163"/>
        <v>2.5369277094150679E-3</v>
      </c>
      <c r="E1199" s="25">
        <f t="shared" si="159"/>
        <v>6.2986286561836025E-2</v>
      </c>
      <c r="F1199" s="25">
        <f t="shared" ref="F1199:F1262" si="171">((B1199/B707)^(1/2))-1</f>
        <v>8.2822087937734601E-2</v>
      </c>
      <c r="G1199" s="25">
        <f t="shared" si="168"/>
        <v>4.9373209095124215E-2</v>
      </c>
      <c r="H1199" s="25">
        <f t="shared" si="165"/>
        <v>0.11366425570043726</v>
      </c>
      <c r="K1199" s="29">
        <v>44145</v>
      </c>
      <c r="L1199" s="24">
        <v>15569.44</v>
      </c>
      <c r="M1199" s="25">
        <f t="shared" si="164"/>
        <v>9.030511052420663E-3</v>
      </c>
      <c r="O1199" t="b">
        <f t="shared" si="162"/>
        <v>1</v>
      </c>
      <c r="Q1199" s="25">
        <f t="shared" si="160"/>
        <v>6.9215845840587154E-2</v>
      </c>
      <c r="R1199" s="25">
        <f t="shared" ref="R1199:R1262" si="172">((L1199/L707)^(1/2))-1</f>
        <v>8.4990283543332268E-2</v>
      </c>
      <c r="S1199" s="25">
        <f t="shared" si="169"/>
        <v>5.5183277529094354E-2</v>
      </c>
      <c r="T1199" s="25">
        <f t="shared" si="166"/>
        <v>0.123423487678747</v>
      </c>
      <c r="X1199">
        <f t="shared" si="161"/>
        <v>0</v>
      </c>
      <c r="Y1199">
        <f t="shared" ref="Y1199:Y1262" si="173">IF(F1199&gt;R1199,1,0)</f>
        <v>0</v>
      </c>
      <c r="Z1199">
        <f t="shared" si="170"/>
        <v>0</v>
      </c>
      <c r="AA1199">
        <f t="shared" si="167"/>
        <v>0</v>
      </c>
    </row>
    <row r="1200" spans="1:27">
      <c r="A1200" s="26">
        <v>44146</v>
      </c>
      <c r="B1200" s="23">
        <v>855.59</v>
      </c>
      <c r="C1200" s="25">
        <f t="shared" si="163"/>
        <v>1.1718380474884214E-2</v>
      </c>
      <c r="E1200" s="25">
        <f t="shared" si="159"/>
        <v>6.7153102588088487E-2</v>
      </c>
      <c r="F1200" s="25">
        <f t="shared" si="171"/>
        <v>8.6882513669204853E-2</v>
      </c>
      <c r="G1200" s="25">
        <f t="shared" si="168"/>
        <v>5.6598573056412027E-2</v>
      </c>
      <c r="H1200" s="25">
        <f t="shared" si="165"/>
        <v>0.11286607814270688</v>
      </c>
      <c r="K1200" s="28">
        <v>44146</v>
      </c>
      <c r="L1200" s="23">
        <v>15702.39</v>
      </c>
      <c r="M1200" s="25">
        <f t="shared" si="164"/>
        <v>8.4668639614733122E-3</v>
      </c>
      <c r="O1200" t="b">
        <f t="shared" si="162"/>
        <v>1</v>
      </c>
      <c r="Q1200" s="25">
        <f t="shared" si="160"/>
        <v>7.3608964979693381E-2</v>
      </c>
      <c r="R1200" s="25">
        <f t="shared" si="172"/>
        <v>8.9737726678071672E-2</v>
      </c>
      <c r="S1200" s="25">
        <f t="shared" si="169"/>
        <v>6.1227048856956179E-2</v>
      </c>
      <c r="T1200" s="25">
        <f t="shared" si="166"/>
        <v>0.12276283537572708</v>
      </c>
      <c r="X1200">
        <f t="shared" si="161"/>
        <v>0</v>
      </c>
      <c r="Y1200">
        <f t="shared" si="173"/>
        <v>0</v>
      </c>
      <c r="Z1200">
        <f t="shared" si="170"/>
        <v>0</v>
      </c>
      <c r="AA1200">
        <f t="shared" si="167"/>
        <v>0</v>
      </c>
    </row>
    <row r="1201" spans="1:27">
      <c r="A1201" s="27">
        <v>44147</v>
      </c>
      <c r="B1201" s="24">
        <v>853.02</v>
      </c>
      <c r="C1201" s="25">
        <f t="shared" si="163"/>
        <v>-3.003775172687911E-3</v>
      </c>
      <c r="E1201" s="25">
        <f t="shared" si="159"/>
        <v>6.6514965867320086E-2</v>
      </c>
      <c r="F1201" s="25">
        <f t="shared" si="171"/>
        <v>8.143321547431448E-2</v>
      </c>
      <c r="G1201" s="25">
        <f t="shared" si="168"/>
        <v>5.1601164296979141E-2</v>
      </c>
      <c r="H1201" s="25">
        <f t="shared" si="165"/>
        <v>0.10932479607589851</v>
      </c>
      <c r="K1201" s="29">
        <v>44147</v>
      </c>
      <c r="L1201" s="24">
        <v>15681.98</v>
      </c>
      <c r="M1201" s="25">
        <f t="shared" si="164"/>
        <v>-1.3014938164695948E-3</v>
      </c>
      <c r="O1201" t="b">
        <f t="shared" si="162"/>
        <v>1</v>
      </c>
      <c r="Q1201" s="25">
        <f t="shared" si="160"/>
        <v>7.5753532629013964E-2</v>
      </c>
      <c r="R1201" s="25">
        <f t="shared" si="172"/>
        <v>8.6944151184019658E-2</v>
      </c>
      <c r="S1201" s="25">
        <f t="shared" si="169"/>
        <v>5.7184544017055083E-2</v>
      </c>
      <c r="T1201" s="25">
        <f t="shared" si="166"/>
        <v>0.12046156473585623</v>
      </c>
      <c r="X1201">
        <f t="shared" si="161"/>
        <v>0</v>
      </c>
      <c r="Y1201">
        <f t="shared" si="173"/>
        <v>0</v>
      </c>
      <c r="Z1201">
        <f t="shared" si="170"/>
        <v>0</v>
      </c>
      <c r="AA1201">
        <f t="shared" si="167"/>
        <v>0</v>
      </c>
    </row>
    <row r="1202" spans="1:27">
      <c r="A1202" s="26">
        <v>44148</v>
      </c>
      <c r="B1202" s="23">
        <v>859.48</v>
      </c>
      <c r="C1202" s="25">
        <f t="shared" si="163"/>
        <v>7.5730932451760057E-3</v>
      </c>
      <c r="E1202" s="25">
        <f t="shared" si="159"/>
        <v>7.9179327490520146E-2</v>
      </c>
      <c r="F1202" s="25">
        <f t="shared" si="171"/>
        <v>8.3812929765885613E-2</v>
      </c>
      <c r="G1202" s="25">
        <f t="shared" si="168"/>
        <v>5.1802787703471909E-2</v>
      </c>
      <c r="H1202" s="25">
        <f t="shared" si="165"/>
        <v>0.11337117748144721</v>
      </c>
      <c r="K1202" s="28">
        <v>44148</v>
      </c>
      <c r="L1202" s="23">
        <v>15749.74</v>
      </c>
      <c r="M1202" s="25">
        <f t="shared" si="164"/>
        <v>4.3022932442059502E-3</v>
      </c>
      <c r="O1202" t="b">
        <f t="shared" si="162"/>
        <v>1</v>
      </c>
      <c r="Q1202" s="25">
        <f t="shared" si="160"/>
        <v>8.408733138722102E-2</v>
      </c>
      <c r="R1202" s="25">
        <f t="shared" si="172"/>
        <v>8.6952034535934253E-2</v>
      </c>
      <c r="S1202" s="25">
        <f t="shared" si="169"/>
        <v>5.591278491356344E-2</v>
      </c>
      <c r="T1202" s="25">
        <f t="shared" si="166"/>
        <v>0.12351421690770925</v>
      </c>
      <c r="X1202">
        <f t="shared" si="161"/>
        <v>0</v>
      </c>
      <c r="Y1202">
        <f t="shared" si="173"/>
        <v>0</v>
      </c>
      <c r="Z1202">
        <f t="shared" si="170"/>
        <v>0</v>
      </c>
      <c r="AA1202">
        <f t="shared" si="167"/>
        <v>0</v>
      </c>
    </row>
    <row r="1203" spans="1:27">
      <c r="A1203" s="27">
        <v>44152</v>
      </c>
      <c r="B1203" s="24">
        <v>871.99</v>
      </c>
      <c r="C1203" s="25">
        <f t="shared" si="163"/>
        <v>1.4555312514543667E-2</v>
      </c>
      <c r="E1203" s="25">
        <f t="shared" si="159"/>
        <v>8.0840884018989367E-2</v>
      </c>
      <c r="F1203" s="25">
        <f t="shared" si="171"/>
        <v>8.8337879195620417E-2</v>
      </c>
      <c r="G1203" s="25">
        <f t="shared" si="168"/>
        <v>5.568214738369659E-2</v>
      </c>
      <c r="H1203" s="25">
        <f t="shared" si="165"/>
        <v>0.11214899022086211</v>
      </c>
      <c r="K1203" s="29">
        <v>44152</v>
      </c>
      <c r="L1203" s="24">
        <v>15957.28</v>
      </c>
      <c r="M1203" s="25">
        <f t="shared" si="164"/>
        <v>1.3005975955802046E-2</v>
      </c>
      <c r="O1203" t="b">
        <f t="shared" si="162"/>
        <v>1</v>
      </c>
      <c r="Q1203" s="25">
        <f t="shared" si="160"/>
        <v>8.4616550562553794E-2</v>
      </c>
      <c r="R1203" s="25">
        <f t="shared" si="172"/>
        <v>9.0485365933309136E-2</v>
      </c>
      <c r="S1203" s="25">
        <f t="shared" si="169"/>
        <v>5.9568377920129256E-2</v>
      </c>
      <c r="T1203" s="25">
        <f t="shared" si="166"/>
        <v>0.12217321463162611</v>
      </c>
      <c r="X1203">
        <f t="shared" si="161"/>
        <v>0</v>
      </c>
      <c r="Y1203">
        <f t="shared" si="173"/>
        <v>0</v>
      </c>
      <c r="Z1203">
        <f t="shared" si="170"/>
        <v>0</v>
      </c>
      <c r="AA1203">
        <f t="shared" si="167"/>
        <v>0</v>
      </c>
    </row>
    <row r="1204" spans="1:27">
      <c r="A1204" s="26">
        <v>44153</v>
      </c>
      <c r="B1204" s="23">
        <v>874.83</v>
      </c>
      <c r="C1204" s="25">
        <f t="shared" si="163"/>
        <v>3.2569180839230171E-3</v>
      </c>
      <c r="E1204" s="25">
        <f t="shared" si="159"/>
        <v>8.8015819714946764E-2</v>
      </c>
      <c r="F1204" s="25">
        <f t="shared" si="171"/>
        <v>9.7407533969996019E-2</v>
      </c>
      <c r="G1204" s="25">
        <f t="shared" si="168"/>
        <v>5.5764456627491299E-2</v>
      </c>
      <c r="H1204" s="25">
        <f t="shared" si="165"/>
        <v>0.11176830502603874</v>
      </c>
      <c r="K1204" s="28">
        <v>44153</v>
      </c>
      <c r="L1204" s="23">
        <v>16055.59</v>
      </c>
      <c r="M1204" s="25">
        <f t="shared" si="164"/>
        <v>6.1231010507866411E-3</v>
      </c>
      <c r="O1204" t="b">
        <f t="shared" si="162"/>
        <v>1</v>
      </c>
      <c r="Q1204" s="25">
        <f t="shared" si="160"/>
        <v>9.5681447188115776E-2</v>
      </c>
      <c r="R1204" s="25">
        <f t="shared" si="172"/>
        <v>9.9458347382008094E-2</v>
      </c>
      <c r="S1204" s="25">
        <f t="shared" si="169"/>
        <v>6.0831205223415452E-2</v>
      </c>
      <c r="T1204" s="25">
        <f t="shared" si="166"/>
        <v>0.12298529997560292</v>
      </c>
      <c r="X1204">
        <f t="shared" si="161"/>
        <v>0</v>
      </c>
      <c r="Y1204">
        <f t="shared" si="173"/>
        <v>0</v>
      </c>
      <c r="Z1204">
        <f t="shared" si="170"/>
        <v>0</v>
      </c>
      <c r="AA1204">
        <f t="shared" si="167"/>
        <v>0</v>
      </c>
    </row>
    <row r="1205" spans="1:27">
      <c r="A1205" s="27">
        <v>44154</v>
      </c>
      <c r="B1205" s="24">
        <v>866.11</v>
      </c>
      <c r="C1205" s="25">
        <f t="shared" si="163"/>
        <v>-9.96765085788099E-3</v>
      </c>
      <c r="E1205" s="25">
        <f t="shared" si="159"/>
        <v>7.2435952997115027E-2</v>
      </c>
      <c r="F1205" s="25">
        <f t="shared" si="171"/>
        <v>9.0387064771328074E-2</v>
      </c>
      <c r="G1205" s="25">
        <f t="shared" si="168"/>
        <v>5.2759689354354489E-2</v>
      </c>
      <c r="H1205" s="25">
        <f t="shared" si="165"/>
        <v>0.10823825898213846</v>
      </c>
      <c r="K1205" s="29">
        <v>44154</v>
      </c>
      <c r="L1205" s="24">
        <v>15887.85</v>
      </c>
      <c r="M1205" s="25">
        <f t="shared" si="164"/>
        <v>-1.0557753251698611E-2</v>
      </c>
      <c r="O1205" t="b">
        <f t="shared" si="162"/>
        <v>1</v>
      </c>
      <c r="Q1205" s="25">
        <f t="shared" si="160"/>
        <v>7.8370618738631048E-2</v>
      </c>
      <c r="R1205" s="25">
        <f t="shared" si="172"/>
        <v>9.4912875173986277E-2</v>
      </c>
      <c r="S1205" s="25">
        <f t="shared" si="169"/>
        <v>5.6729383223294461E-2</v>
      </c>
      <c r="T1205" s="25">
        <f t="shared" si="166"/>
        <v>0.11923056613582861</v>
      </c>
      <c r="X1205">
        <f t="shared" si="161"/>
        <v>0</v>
      </c>
      <c r="Y1205">
        <f t="shared" si="173"/>
        <v>0</v>
      </c>
      <c r="Z1205">
        <f t="shared" si="170"/>
        <v>0</v>
      </c>
      <c r="AA1205">
        <f t="shared" si="167"/>
        <v>0</v>
      </c>
    </row>
    <row r="1206" spans="1:27">
      <c r="A1206" s="26">
        <v>44155</v>
      </c>
      <c r="B1206" s="23">
        <v>874.93</v>
      </c>
      <c r="C1206" s="25">
        <f t="shared" si="163"/>
        <v>1.0183463994180804E-2</v>
      </c>
      <c r="E1206" s="25">
        <f t="shared" si="159"/>
        <v>7.6664656731845859E-2</v>
      </c>
      <c r="F1206" s="25">
        <f t="shared" si="171"/>
        <v>0.1002607192276479</v>
      </c>
      <c r="G1206" s="25">
        <f t="shared" si="168"/>
        <v>5.638762307784595E-2</v>
      </c>
      <c r="H1206" s="25">
        <f t="shared" si="165"/>
        <v>0.10822251514899439</v>
      </c>
      <c r="K1206" s="28">
        <v>44155</v>
      </c>
      <c r="L1206" s="23">
        <v>16013.83</v>
      </c>
      <c r="M1206" s="25">
        <f t="shared" si="164"/>
        <v>7.8669500050893241E-3</v>
      </c>
      <c r="O1206" t="b">
        <f t="shared" si="162"/>
        <v>1</v>
      </c>
      <c r="Q1206" s="25">
        <f t="shared" si="160"/>
        <v>8.099224990397591E-2</v>
      </c>
      <c r="R1206" s="25">
        <f t="shared" si="172"/>
        <v>0.10303460706610545</v>
      </c>
      <c r="S1206" s="25">
        <f t="shared" si="169"/>
        <v>5.9066917244483097E-2</v>
      </c>
      <c r="T1206" s="25">
        <f t="shared" si="166"/>
        <v>0.11842954495824887</v>
      </c>
      <c r="X1206">
        <f t="shared" si="161"/>
        <v>0</v>
      </c>
      <c r="Y1206">
        <f t="shared" si="173"/>
        <v>0</v>
      </c>
      <c r="Z1206">
        <f t="shared" si="170"/>
        <v>0</v>
      </c>
      <c r="AA1206">
        <f t="shared" si="167"/>
        <v>0</v>
      </c>
    </row>
    <row r="1207" spans="1:27">
      <c r="A1207" s="27">
        <v>44158</v>
      </c>
      <c r="B1207" s="24">
        <v>881.11</v>
      </c>
      <c r="C1207" s="25">
        <f t="shared" si="163"/>
        <v>7.0634222166345469E-3</v>
      </c>
      <c r="E1207" s="25">
        <f t="shared" si="159"/>
        <v>9.0712154785041355E-2</v>
      </c>
      <c r="F1207" s="25">
        <f t="shared" si="171"/>
        <v>0.10055184444064569</v>
      </c>
      <c r="G1207" s="25">
        <f t="shared" si="168"/>
        <v>5.7933801873907287E-2</v>
      </c>
      <c r="H1207" s="25">
        <f t="shared" si="165"/>
        <v>0.11156144934779433</v>
      </c>
      <c r="K1207" s="29">
        <v>44158</v>
      </c>
      <c r="L1207" s="24">
        <v>16129.46</v>
      </c>
      <c r="M1207" s="25">
        <f t="shared" si="164"/>
        <v>7.1688698815706919E-3</v>
      </c>
      <c r="O1207" t="b">
        <f t="shared" si="162"/>
        <v>1</v>
      </c>
      <c r="Q1207" s="25">
        <f t="shared" si="160"/>
        <v>9.5024565896140833E-2</v>
      </c>
      <c r="R1207" s="25">
        <f t="shared" si="172"/>
        <v>0.10303905426497684</v>
      </c>
      <c r="S1207" s="25">
        <f t="shared" si="169"/>
        <v>6.0128804628619914E-2</v>
      </c>
      <c r="T1207" s="25">
        <f t="shared" si="166"/>
        <v>0.12199561294602757</v>
      </c>
      <c r="X1207">
        <f t="shared" si="161"/>
        <v>0</v>
      </c>
      <c r="Y1207">
        <f t="shared" si="173"/>
        <v>0</v>
      </c>
      <c r="Z1207">
        <f t="shared" si="170"/>
        <v>0</v>
      </c>
      <c r="AA1207">
        <f t="shared" si="167"/>
        <v>0</v>
      </c>
    </row>
    <row r="1208" spans="1:27">
      <c r="A1208" s="26">
        <v>44159</v>
      </c>
      <c r="B1208" s="23">
        <v>891.96</v>
      </c>
      <c r="C1208" s="25">
        <f t="shared" si="163"/>
        <v>1.2314013006321596E-2</v>
      </c>
      <c r="E1208" s="25">
        <f t="shared" ref="E1208:E1271" si="174">(B1208/B963)-1</f>
        <v>0.10907191883020007</v>
      </c>
      <c r="F1208" s="25">
        <f t="shared" si="171"/>
        <v>0.10387555317714314</v>
      </c>
      <c r="G1208" s="25">
        <f t="shared" si="168"/>
        <v>6.1450882719574551E-2</v>
      </c>
      <c r="H1208" s="25">
        <f t="shared" si="165"/>
        <v>0.11950989669266443</v>
      </c>
      <c r="K1208" s="28">
        <v>44159</v>
      </c>
      <c r="L1208" s="23">
        <v>16277.69</v>
      </c>
      <c r="M1208" s="25">
        <f t="shared" si="164"/>
        <v>9.1063289692825816E-3</v>
      </c>
      <c r="O1208" t="b">
        <f t="shared" si="162"/>
        <v>1</v>
      </c>
      <c r="Q1208" s="25">
        <f t="shared" ref="Q1208:Q1271" si="175">(L1208/L963)-1</f>
        <v>0.1068507327806909</v>
      </c>
      <c r="R1208" s="25">
        <f t="shared" si="172"/>
        <v>0.105569406317362</v>
      </c>
      <c r="S1208" s="25">
        <f t="shared" si="169"/>
        <v>6.2544261255260691E-2</v>
      </c>
      <c r="T1208" s="25">
        <f t="shared" si="166"/>
        <v>0.12830746858936259</v>
      </c>
      <c r="X1208">
        <f t="shared" ref="X1208:X1271" si="176">IF(E1208&gt;Q1208,1,0)</f>
        <v>1</v>
      </c>
      <c r="Y1208">
        <f t="shared" si="173"/>
        <v>0</v>
      </c>
      <c r="Z1208">
        <f t="shared" si="170"/>
        <v>0</v>
      </c>
      <c r="AA1208">
        <f t="shared" si="167"/>
        <v>0</v>
      </c>
    </row>
    <row r="1209" spans="1:27">
      <c r="A1209" s="27">
        <v>44160</v>
      </c>
      <c r="B1209" s="24">
        <v>876.38</v>
      </c>
      <c r="C1209" s="25">
        <f t="shared" si="163"/>
        <v>-1.746715099331813E-2</v>
      </c>
      <c r="E1209" s="25">
        <f t="shared" si="174"/>
        <v>9.6502971535814774E-2</v>
      </c>
      <c r="F1209" s="25">
        <f t="shared" si="171"/>
        <v>9.5360127220585511E-2</v>
      </c>
      <c r="G1209" s="25">
        <f t="shared" si="168"/>
        <v>5.5602483421761217E-2</v>
      </c>
      <c r="H1209" s="25">
        <f t="shared" si="165"/>
        <v>0.11254225566435672</v>
      </c>
      <c r="K1209" s="29">
        <v>44160</v>
      </c>
      <c r="L1209" s="24">
        <v>16037.11</v>
      </c>
      <c r="M1209" s="25">
        <f t="shared" si="164"/>
        <v>-1.5001455997994646E-2</v>
      </c>
      <c r="O1209" t="b">
        <f t="shared" si="162"/>
        <v>1</v>
      </c>
      <c r="Q1209" s="25">
        <f t="shared" si="175"/>
        <v>9.6625013847043917E-2</v>
      </c>
      <c r="R1209" s="25">
        <f t="shared" si="172"/>
        <v>9.6797564594101715E-2</v>
      </c>
      <c r="S1209" s="25">
        <f t="shared" si="169"/>
        <v>5.778556028407511E-2</v>
      </c>
      <c r="T1209" s="25">
        <f t="shared" si="166"/>
        <v>0.1226269946905405</v>
      </c>
      <c r="X1209">
        <f t="shared" si="176"/>
        <v>0</v>
      </c>
      <c r="Y1209">
        <f t="shared" si="173"/>
        <v>0</v>
      </c>
      <c r="Z1209">
        <f t="shared" si="170"/>
        <v>0</v>
      </c>
      <c r="AA1209">
        <f t="shared" si="167"/>
        <v>0</v>
      </c>
    </row>
    <row r="1210" spans="1:27">
      <c r="A1210" s="26">
        <v>44161</v>
      </c>
      <c r="B1210" s="23">
        <v>886.98</v>
      </c>
      <c r="C1210" s="25">
        <f t="shared" si="163"/>
        <v>1.2095209840480183E-2</v>
      </c>
      <c r="E1210" s="25">
        <f t="shared" si="174"/>
        <v>0.10063533032213234</v>
      </c>
      <c r="F1210" s="25">
        <f t="shared" si="171"/>
        <v>9.6454290678823273E-2</v>
      </c>
      <c r="G1210" s="25">
        <f t="shared" si="168"/>
        <v>6.0662925676308266E-2</v>
      </c>
      <c r="H1210" s="25">
        <f t="shared" si="165"/>
        <v>0.11552575082990035</v>
      </c>
      <c r="K1210" s="28">
        <v>44161</v>
      </c>
      <c r="L1210" s="23">
        <v>16187.4</v>
      </c>
      <c r="M1210" s="25">
        <f t="shared" si="164"/>
        <v>9.2843816795778848E-3</v>
      </c>
      <c r="O1210" t="b">
        <f t="shared" si="162"/>
        <v>1</v>
      </c>
      <c r="Q1210" s="25">
        <f t="shared" si="175"/>
        <v>0.102496919800388</v>
      </c>
      <c r="R1210" s="25">
        <f t="shared" si="172"/>
        <v>9.6537766957943472E-2</v>
      </c>
      <c r="S1210" s="25">
        <f t="shared" si="169"/>
        <v>6.1446340534707655E-2</v>
      </c>
      <c r="T1210" s="25">
        <f t="shared" si="166"/>
        <v>0.12454970707314406</v>
      </c>
      <c r="X1210">
        <f t="shared" si="176"/>
        <v>0</v>
      </c>
      <c r="Y1210">
        <f t="shared" si="173"/>
        <v>0</v>
      </c>
      <c r="Z1210">
        <f t="shared" si="170"/>
        <v>0</v>
      </c>
      <c r="AA1210">
        <f t="shared" si="167"/>
        <v>0</v>
      </c>
    </row>
    <row r="1211" spans="1:27">
      <c r="A1211" s="27">
        <v>44162</v>
      </c>
      <c r="B1211" s="24">
        <v>891.11</v>
      </c>
      <c r="C1211" s="25">
        <f t="shared" si="163"/>
        <v>4.656249295361784E-3</v>
      </c>
      <c r="E1211" s="25">
        <f t="shared" si="174"/>
        <v>0.10886986386600639</v>
      </c>
      <c r="F1211" s="25">
        <f t="shared" si="171"/>
        <v>9.7428438488214919E-2</v>
      </c>
      <c r="G1211" s="25">
        <f t="shared" si="168"/>
        <v>6.4886746351557667E-2</v>
      </c>
      <c r="H1211" s="25">
        <f t="shared" si="165"/>
        <v>0.118406970814662</v>
      </c>
      <c r="K1211" s="29">
        <v>44162</v>
      </c>
      <c r="L1211" s="24">
        <v>16255.62</v>
      </c>
      <c r="M1211" s="25">
        <f t="shared" si="164"/>
        <v>4.1967024327587109E-3</v>
      </c>
      <c r="O1211" t="b">
        <f t="shared" si="162"/>
        <v>1</v>
      </c>
      <c r="Q1211" s="25">
        <f t="shared" si="175"/>
        <v>0.10991986759307815</v>
      </c>
      <c r="R1211" s="25">
        <f t="shared" si="172"/>
        <v>9.7199675530540652E-2</v>
      </c>
      <c r="S1211" s="25">
        <f t="shared" si="169"/>
        <v>6.6414554725148456E-2</v>
      </c>
      <c r="T1211" s="25">
        <f t="shared" si="166"/>
        <v>0.12695743096328593</v>
      </c>
      <c r="X1211">
        <f t="shared" si="176"/>
        <v>0</v>
      </c>
      <c r="Y1211">
        <f t="shared" si="173"/>
        <v>1</v>
      </c>
      <c r="Z1211">
        <f t="shared" si="170"/>
        <v>0</v>
      </c>
      <c r="AA1211">
        <f t="shared" si="167"/>
        <v>0</v>
      </c>
    </row>
    <row r="1212" spans="1:27">
      <c r="A1212" s="26">
        <v>44166</v>
      </c>
      <c r="B1212" s="23">
        <v>901.24</v>
      </c>
      <c r="C1212" s="25">
        <f t="shared" si="163"/>
        <v>1.1367844598309968E-2</v>
      </c>
      <c r="E1212" s="25">
        <f t="shared" si="174"/>
        <v>0.13071952826046052</v>
      </c>
      <c r="F1212" s="25">
        <f t="shared" si="171"/>
        <v>0.10113631181551308</v>
      </c>
      <c r="G1212" s="25">
        <f t="shared" si="168"/>
        <v>7.2684876906768725E-2</v>
      </c>
      <c r="H1212" s="25">
        <f t="shared" si="165"/>
        <v>0.11695286995750376</v>
      </c>
      <c r="K1212" s="28">
        <v>44166</v>
      </c>
      <c r="L1212" s="23">
        <v>16431.79</v>
      </c>
      <c r="M1212" s="25">
        <f t="shared" si="164"/>
        <v>1.0721290863624722E-2</v>
      </c>
      <c r="O1212" t="b">
        <f t="shared" si="162"/>
        <v>1</v>
      </c>
      <c r="Q1212" s="25">
        <f t="shared" si="175"/>
        <v>0.1321813856032259</v>
      </c>
      <c r="R1212" s="25">
        <f t="shared" si="172"/>
        <v>0.10205393217431147</v>
      </c>
      <c r="S1212" s="25">
        <f t="shared" si="169"/>
        <v>7.3945598498604381E-2</v>
      </c>
      <c r="T1212" s="25">
        <f t="shared" si="166"/>
        <v>0.12526350971884859</v>
      </c>
      <c r="X1212">
        <f t="shared" si="176"/>
        <v>0</v>
      </c>
      <c r="Y1212">
        <f t="shared" si="173"/>
        <v>0</v>
      </c>
      <c r="Z1212">
        <f t="shared" si="170"/>
        <v>0</v>
      </c>
      <c r="AA1212">
        <f t="shared" si="167"/>
        <v>0</v>
      </c>
    </row>
    <row r="1213" spans="1:27">
      <c r="A1213" s="27">
        <v>44167</v>
      </c>
      <c r="B1213" s="24">
        <v>902.93</v>
      </c>
      <c r="C1213" s="25">
        <f t="shared" si="163"/>
        <v>1.8751941769117448E-3</v>
      </c>
      <c r="E1213" s="25">
        <f t="shared" si="174"/>
        <v>0.13340864871650027</v>
      </c>
      <c r="F1213" s="25">
        <f t="shared" si="171"/>
        <v>0.10255398711614183</v>
      </c>
      <c r="G1213" s="25">
        <f t="shared" si="168"/>
        <v>7.3477484262899795E-2</v>
      </c>
      <c r="H1213" s="25">
        <f t="shared" si="165"/>
        <v>0.11670549423691789</v>
      </c>
      <c r="K1213" s="29">
        <v>44167</v>
      </c>
      <c r="L1213" s="24">
        <v>16466.7</v>
      </c>
      <c r="M1213" s="25">
        <f t="shared" si="164"/>
        <v>2.1200361942587073E-3</v>
      </c>
      <c r="O1213" t="b">
        <f t="shared" si="162"/>
        <v>1</v>
      </c>
      <c r="Q1213" s="25">
        <f t="shared" si="175"/>
        <v>0.1343499292525292</v>
      </c>
      <c r="R1213" s="25">
        <f t="shared" si="172"/>
        <v>0.10385526341314577</v>
      </c>
      <c r="S1213" s="25">
        <f t="shared" si="169"/>
        <v>7.474773717903016E-2</v>
      </c>
      <c r="T1213" s="25">
        <f t="shared" si="166"/>
        <v>0.12538909685380029</v>
      </c>
      <c r="X1213">
        <f t="shared" si="176"/>
        <v>0</v>
      </c>
      <c r="Y1213">
        <f t="shared" si="173"/>
        <v>0</v>
      </c>
      <c r="Z1213">
        <f t="shared" si="170"/>
        <v>0</v>
      </c>
      <c r="AA1213">
        <f t="shared" si="167"/>
        <v>0</v>
      </c>
    </row>
    <row r="1214" spans="1:27">
      <c r="A1214" s="26">
        <v>44168</v>
      </c>
      <c r="B1214" s="23">
        <v>905.15</v>
      </c>
      <c r="C1214" s="25">
        <f t="shared" si="163"/>
        <v>2.4586623547783633E-3</v>
      </c>
      <c r="E1214" s="25">
        <f t="shared" si="174"/>
        <v>0.14318371264745267</v>
      </c>
      <c r="F1214" s="25">
        <f t="shared" si="171"/>
        <v>0.1113548056274678</v>
      </c>
      <c r="G1214" s="25">
        <f t="shared" si="168"/>
        <v>7.4106433568440933E-2</v>
      </c>
      <c r="H1214" s="25">
        <f t="shared" si="165"/>
        <v>0.12140095924173222</v>
      </c>
      <c r="K1214" s="28">
        <v>44168</v>
      </c>
      <c r="L1214" s="23">
        <v>16520.43</v>
      </c>
      <c r="M1214" s="25">
        <f t="shared" si="164"/>
        <v>3.2523366522541823E-3</v>
      </c>
      <c r="O1214" t="b">
        <f t="shared" si="162"/>
        <v>1</v>
      </c>
      <c r="Q1214" s="25">
        <f t="shared" si="175"/>
        <v>0.1470346246857368</v>
      </c>
      <c r="R1214" s="25">
        <f t="shared" si="172"/>
        <v>0.11096866620533774</v>
      </c>
      <c r="S1214" s="25">
        <f t="shared" si="169"/>
        <v>7.6024671577084479E-2</v>
      </c>
      <c r="T1214" s="25">
        <f t="shared" si="166"/>
        <v>0.12941828707416603</v>
      </c>
      <c r="X1214">
        <f t="shared" si="176"/>
        <v>0</v>
      </c>
      <c r="Y1214">
        <f t="shared" si="173"/>
        <v>1</v>
      </c>
      <c r="Z1214">
        <f t="shared" si="170"/>
        <v>0</v>
      </c>
      <c r="AA1214">
        <f t="shared" si="167"/>
        <v>0</v>
      </c>
    </row>
    <row r="1215" spans="1:27">
      <c r="A1215" s="27">
        <v>44169</v>
      </c>
      <c r="B1215" s="24">
        <v>914.37</v>
      </c>
      <c r="C1215" s="25">
        <f t="shared" si="163"/>
        <v>1.0186156990554081E-2</v>
      </c>
      <c r="E1215" s="25">
        <f t="shared" si="174"/>
        <v>0.15321166870562131</v>
      </c>
      <c r="F1215" s="25">
        <f t="shared" si="171"/>
        <v>0.12608003665809364</v>
      </c>
      <c r="G1215" s="25">
        <f t="shared" si="168"/>
        <v>8.0668588568964417E-2</v>
      </c>
      <c r="H1215" s="25">
        <f t="shared" si="165"/>
        <v>0.12446197219121014</v>
      </c>
      <c r="K1215" s="29">
        <v>44169</v>
      </c>
      <c r="L1215" s="24">
        <v>16649.759999999998</v>
      </c>
      <c r="M1215" s="25">
        <f t="shared" si="164"/>
        <v>7.7676795341192978E-3</v>
      </c>
      <c r="O1215" t="b">
        <f t="shared" si="162"/>
        <v>1</v>
      </c>
      <c r="Q1215" s="25">
        <f t="shared" si="175"/>
        <v>0.15111407324647863</v>
      </c>
      <c r="R1215" s="25">
        <f t="shared" si="172"/>
        <v>0.12445163906063073</v>
      </c>
      <c r="S1215" s="25">
        <f t="shared" si="169"/>
        <v>8.1541020884474902E-2</v>
      </c>
      <c r="T1215" s="25">
        <f t="shared" si="166"/>
        <v>0.13073179456222572</v>
      </c>
      <c r="X1215">
        <f t="shared" si="176"/>
        <v>1</v>
      </c>
      <c r="Y1215">
        <f t="shared" si="173"/>
        <v>1</v>
      </c>
      <c r="Z1215">
        <f t="shared" si="170"/>
        <v>0</v>
      </c>
      <c r="AA1215">
        <f t="shared" si="167"/>
        <v>0</v>
      </c>
    </row>
    <row r="1216" spans="1:27">
      <c r="A1216" s="26">
        <v>44172</v>
      </c>
      <c r="B1216" s="23">
        <v>921.08</v>
      </c>
      <c r="C1216" s="25">
        <f t="shared" si="163"/>
        <v>7.3383859925413523E-3</v>
      </c>
      <c r="E1216" s="25">
        <f t="shared" si="174"/>
        <v>0.15479996489512415</v>
      </c>
      <c r="F1216" s="25">
        <f t="shared" si="171"/>
        <v>0.12836711033184689</v>
      </c>
      <c r="G1216" s="25">
        <f t="shared" si="168"/>
        <v>7.8489267081233605E-2</v>
      </c>
      <c r="H1216" s="25">
        <f t="shared" si="165"/>
        <v>0.12829897268633506</v>
      </c>
      <c r="K1216" s="28">
        <v>44172</v>
      </c>
      <c r="L1216" s="23">
        <v>16788.330000000002</v>
      </c>
      <c r="M1216" s="25">
        <f t="shared" si="164"/>
        <v>8.2539478316189484E-3</v>
      </c>
      <c r="O1216" t="b">
        <f t="shared" si="162"/>
        <v>1</v>
      </c>
      <c r="Q1216" s="25">
        <f t="shared" si="175"/>
        <v>0.15412346293479007</v>
      </c>
      <c r="R1216" s="25">
        <f t="shared" si="172"/>
        <v>0.12549066736423087</v>
      </c>
      <c r="S1216" s="25">
        <f t="shared" si="169"/>
        <v>7.9965902182459914E-2</v>
      </c>
      <c r="T1216" s="25">
        <f t="shared" si="166"/>
        <v>0.13471926011745206</v>
      </c>
      <c r="X1216">
        <f t="shared" si="176"/>
        <v>1</v>
      </c>
      <c r="Y1216">
        <f t="shared" si="173"/>
        <v>1</v>
      </c>
      <c r="Z1216">
        <f t="shared" si="170"/>
        <v>0</v>
      </c>
      <c r="AA1216">
        <f t="shared" si="167"/>
        <v>0</v>
      </c>
    </row>
    <row r="1217" spans="1:27">
      <c r="A1217" s="27">
        <v>44173</v>
      </c>
      <c r="B1217" s="24">
        <v>921.22</v>
      </c>
      <c r="C1217" s="25">
        <f t="shared" si="163"/>
        <v>1.5199548356275932E-4</v>
      </c>
      <c r="E1217" s="25">
        <f t="shared" si="174"/>
        <v>0.14648048586220641</v>
      </c>
      <c r="F1217" s="25">
        <f t="shared" si="171"/>
        <v>0.13650922995109216</v>
      </c>
      <c r="G1217" s="25">
        <f t="shared" si="168"/>
        <v>7.4409074743528647E-2</v>
      </c>
      <c r="H1217" s="25">
        <f t="shared" si="165"/>
        <v>0.12838651943848101</v>
      </c>
      <c r="K1217" s="29">
        <v>44173</v>
      </c>
      <c r="L1217" s="24">
        <v>16816.259999999998</v>
      </c>
      <c r="M1217" s="25">
        <f t="shared" si="164"/>
        <v>1.6608924933366072E-3</v>
      </c>
      <c r="O1217" t="b">
        <f t="shared" si="162"/>
        <v>1</v>
      </c>
      <c r="Q1217" s="25">
        <f t="shared" si="175"/>
        <v>0.14511773093690361</v>
      </c>
      <c r="R1217" s="25">
        <f t="shared" si="172"/>
        <v>0.13735892677319095</v>
      </c>
      <c r="S1217" s="25">
        <f t="shared" si="169"/>
        <v>7.7123623001470909E-2</v>
      </c>
      <c r="T1217" s="25">
        <f t="shared" si="166"/>
        <v>0.13581365297141179</v>
      </c>
      <c r="X1217">
        <f t="shared" si="176"/>
        <v>1</v>
      </c>
      <c r="Y1217">
        <f t="shared" si="173"/>
        <v>0</v>
      </c>
      <c r="Z1217">
        <f t="shared" si="170"/>
        <v>0</v>
      </c>
      <c r="AA1217">
        <f t="shared" si="167"/>
        <v>0</v>
      </c>
    </row>
    <row r="1218" spans="1:27">
      <c r="A1218" s="26">
        <v>44174</v>
      </c>
      <c r="B1218" s="23">
        <v>927.78</v>
      </c>
      <c r="C1218" s="25">
        <f t="shared" si="163"/>
        <v>7.1209917283601588E-3</v>
      </c>
      <c r="E1218" s="25">
        <f t="shared" si="174"/>
        <v>0.15810365488316358</v>
      </c>
      <c r="F1218" s="25">
        <f t="shared" si="171"/>
        <v>0.13714167670902477</v>
      </c>
      <c r="G1218" s="25">
        <f t="shared" si="168"/>
        <v>7.5161416177261353E-2</v>
      </c>
      <c r="H1218" s="25">
        <f t="shared" si="165"/>
        <v>0.13105737873930345</v>
      </c>
      <c r="K1218" s="28">
        <v>44174</v>
      </c>
      <c r="L1218" s="23">
        <v>16956.62</v>
      </c>
      <c r="M1218" s="25">
        <f t="shared" si="164"/>
        <v>8.277593058050519E-3</v>
      </c>
      <c r="O1218" t="b">
        <f t="shared" si="162"/>
        <v>1</v>
      </c>
      <c r="Q1218" s="25">
        <f t="shared" si="175"/>
        <v>0.15829682764236175</v>
      </c>
      <c r="R1218" s="25">
        <f t="shared" si="172"/>
        <v>0.13720471427816539</v>
      </c>
      <c r="S1218" s="25">
        <f t="shared" si="169"/>
        <v>7.849798161851318E-2</v>
      </c>
      <c r="T1218" s="25">
        <f t="shared" si="166"/>
        <v>0.13869650453670368</v>
      </c>
      <c r="X1218">
        <f t="shared" si="176"/>
        <v>0</v>
      </c>
      <c r="Y1218">
        <f t="shared" si="173"/>
        <v>0</v>
      </c>
      <c r="Z1218">
        <f t="shared" si="170"/>
        <v>0</v>
      </c>
      <c r="AA1218">
        <f t="shared" si="167"/>
        <v>0</v>
      </c>
    </row>
    <row r="1219" spans="1:27">
      <c r="A1219" s="27">
        <v>44175</v>
      </c>
      <c r="B1219" s="24">
        <v>921.23</v>
      </c>
      <c r="C1219" s="25">
        <f t="shared" si="163"/>
        <v>-7.0598633296686227E-3</v>
      </c>
      <c r="E1219" s="25">
        <f t="shared" si="174"/>
        <v>0.14036195286195285</v>
      </c>
      <c r="F1219" s="25">
        <f t="shared" si="171"/>
        <v>0.12276208472120453</v>
      </c>
      <c r="G1219" s="25">
        <f t="shared" si="168"/>
        <v>7.5412902165479245E-2</v>
      </c>
      <c r="H1219" s="25">
        <f t="shared" si="165"/>
        <v>0.13022391361433727</v>
      </c>
      <c r="K1219" s="29">
        <v>44175</v>
      </c>
      <c r="L1219" s="24">
        <v>16896.14</v>
      </c>
      <c r="M1219" s="25">
        <f t="shared" si="164"/>
        <v>-3.5795157947317888E-3</v>
      </c>
      <c r="O1219" t="b">
        <f t="shared" ref="O1219:O1282" si="177">K1219=A1219</f>
        <v>1</v>
      </c>
      <c r="Q1219" s="25">
        <f t="shared" si="175"/>
        <v>0.14497006134104584</v>
      </c>
      <c r="R1219" s="25">
        <f t="shared" si="172"/>
        <v>0.12401855856767163</v>
      </c>
      <c r="S1219" s="25">
        <f t="shared" si="169"/>
        <v>8.0163256228261259E-2</v>
      </c>
      <c r="T1219" s="25">
        <f t="shared" si="166"/>
        <v>0.13903431401339916</v>
      </c>
      <c r="X1219">
        <f t="shared" si="176"/>
        <v>0</v>
      </c>
      <c r="Y1219">
        <f t="shared" si="173"/>
        <v>0</v>
      </c>
      <c r="Z1219">
        <f t="shared" si="170"/>
        <v>0</v>
      </c>
      <c r="AA1219">
        <f t="shared" si="167"/>
        <v>0</v>
      </c>
    </row>
    <row r="1220" spans="1:27">
      <c r="A1220" s="26">
        <v>44176</v>
      </c>
      <c r="B1220" s="23">
        <v>922.6</v>
      </c>
      <c r="C1220" s="25">
        <f t="shared" ref="C1220:C1283" si="178">(B1220-B1219)/B1219</f>
        <v>1.4871421903324951E-3</v>
      </c>
      <c r="E1220" s="25">
        <f t="shared" si="174"/>
        <v>0.13748166048157406</v>
      </c>
      <c r="F1220" s="25">
        <f t="shared" si="171"/>
        <v>0.12080877079713193</v>
      </c>
      <c r="G1220" s="25">
        <f t="shared" si="168"/>
        <v>7.8587876843043247E-2</v>
      </c>
      <c r="H1220" s="25">
        <f t="shared" si="165"/>
        <v>0.13223661296348976</v>
      </c>
      <c r="K1220" s="28">
        <v>44176</v>
      </c>
      <c r="L1220" s="23">
        <v>16941.77</v>
      </c>
      <c r="M1220" s="25">
        <f t="shared" ref="M1220:M1283" si="179">(L1220-L1219)/L1220</f>
        <v>2.6933431394713194E-3</v>
      </c>
      <c r="O1220" t="b">
        <f t="shared" si="177"/>
        <v>1</v>
      </c>
      <c r="Q1220" s="25">
        <f t="shared" si="175"/>
        <v>0.14419698122943081</v>
      </c>
      <c r="R1220" s="25">
        <f t="shared" si="172"/>
        <v>0.12207749991497008</v>
      </c>
      <c r="S1220" s="25">
        <f t="shared" si="169"/>
        <v>8.3296505077355976E-2</v>
      </c>
      <c r="T1220" s="25">
        <f t="shared" si="166"/>
        <v>0.14125465940722504</v>
      </c>
      <c r="X1220">
        <f t="shared" si="176"/>
        <v>0</v>
      </c>
      <c r="Y1220">
        <f t="shared" si="173"/>
        <v>0</v>
      </c>
      <c r="Z1220">
        <f t="shared" si="170"/>
        <v>0</v>
      </c>
      <c r="AA1220">
        <f t="shared" si="167"/>
        <v>0</v>
      </c>
    </row>
    <row r="1221" spans="1:27">
      <c r="A1221" s="27">
        <v>44179</v>
      </c>
      <c r="B1221" s="24">
        <v>927.61</v>
      </c>
      <c r="C1221" s="25">
        <f t="shared" si="178"/>
        <v>5.4303056579232505E-3</v>
      </c>
      <c r="E1221" s="25">
        <f t="shared" si="174"/>
        <v>0.14324977199339406</v>
      </c>
      <c r="F1221" s="25">
        <f t="shared" si="171"/>
        <v>0.12308348251997314</v>
      </c>
      <c r="G1221" s="25">
        <f t="shared" si="168"/>
        <v>7.9212441138101219E-2</v>
      </c>
      <c r="H1221" s="25">
        <f t="shared" si="165"/>
        <v>0.13404845253367981</v>
      </c>
      <c r="K1221" s="29">
        <v>44179</v>
      </c>
      <c r="L1221" s="24">
        <v>17008.25</v>
      </c>
      <c r="M1221" s="25">
        <f t="shared" si="179"/>
        <v>3.9086913703643561E-3</v>
      </c>
      <c r="O1221" t="b">
        <f t="shared" si="177"/>
        <v>1</v>
      </c>
      <c r="Q1221" s="25">
        <f t="shared" si="175"/>
        <v>0.14542926027692471</v>
      </c>
      <c r="R1221" s="25">
        <f t="shared" si="172"/>
        <v>0.12341101944087973</v>
      </c>
      <c r="S1221" s="25">
        <f t="shared" si="169"/>
        <v>8.3448331989034008E-2</v>
      </c>
      <c r="T1221" s="25">
        <f t="shared" si="166"/>
        <v>0.14287187017162628</v>
      </c>
      <c r="X1221">
        <f t="shared" si="176"/>
        <v>0</v>
      </c>
      <c r="Y1221">
        <f t="shared" si="173"/>
        <v>0</v>
      </c>
      <c r="Z1221">
        <f t="shared" si="170"/>
        <v>0</v>
      </c>
      <c r="AA1221">
        <f t="shared" si="167"/>
        <v>0</v>
      </c>
    </row>
    <row r="1222" spans="1:27">
      <c r="A1222" s="26">
        <v>44180</v>
      </c>
      <c r="B1222" s="23">
        <v>927.27</v>
      </c>
      <c r="C1222" s="25">
        <f t="shared" si="178"/>
        <v>-3.6653334914461014E-4</v>
      </c>
      <c r="E1222" s="25">
        <f t="shared" si="174"/>
        <v>0.13912434583916866</v>
      </c>
      <c r="F1222" s="25">
        <f t="shared" si="171"/>
        <v>0.11794809063882106</v>
      </c>
      <c r="G1222" s="25">
        <f t="shared" si="168"/>
        <v>7.5815335248839988E-2</v>
      </c>
      <c r="H1222" s="25">
        <f t="shared" si="165"/>
        <v>0.13692605452795603</v>
      </c>
      <c r="K1222" s="28">
        <v>44180</v>
      </c>
      <c r="L1222" s="23">
        <v>17021.37</v>
      </c>
      <c r="M1222" s="25">
        <f t="shared" si="179"/>
        <v>7.7079577025815089E-4</v>
      </c>
      <c r="O1222" t="b">
        <f t="shared" si="177"/>
        <v>1</v>
      </c>
      <c r="Q1222" s="25">
        <f t="shared" si="175"/>
        <v>0.14480095719717156</v>
      </c>
      <c r="R1222" s="25">
        <f t="shared" si="172"/>
        <v>0.11999058866467149</v>
      </c>
      <c r="S1222" s="25">
        <f t="shared" si="169"/>
        <v>8.0460307253485075E-2</v>
      </c>
      <c r="T1222" s="25">
        <f t="shared" si="166"/>
        <v>0.14641788933636524</v>
      </c>
      <c r="X1222">
        <f t="shared" si="176"/>
        <v>0</v>
      </c>
      <c r="Y1222">
        <f t="shared" si="173"/>
        <v>0</v>
      </c>
      <c r="Z1222">
        <f t="shared" si="170"/>
        <v>0</v>
      </c>
      <c r="AA1222">
        <f t="shared" si="167"/>
        <v>0</v>
      </c>
    </row>
    <row r="1223" spans="1:27">
      <c r="A1223" s="27">
        <v>44181</v>
      </c>
      <c r="B1223" s="24">
        <v>932.42</v>
      </c>
      <c r="C1223" s="25">
        <f t="shared" si="178"/>
        <v>5.5539379037389085E-3</v>
      </c>
      <c r="E1223" s="25">
        <f t="shared" si="174"/>
        <v>0.14523993760516851</v>
      </c>
      <c r="F1223" s="25">
        <f t="shared" si="171"/>
        <v>0.11950273723028171</v>
      </c>
      <c r="G1223" s="25">
        <f t="shared" si="168"/>
        <v>7.5535881718768794E-2</v>
      </c>
      <c r="H1223" s="25">
        <f t="shared" si="165"/>
        <v>0.13864502675681534</v>
      </c>
      <c r="K1223" s="29">
        <v>44181</v>
      </c>
      <c r="L1223" s="24">
        <v>17167.23</v>
      </c>
      <c r="M1223" s="25">
        <f t="shared" si="179"/>
        <v>8.4964202145599837E-3</v>
      </c>
      <c r="O1223" t="b">
        <f t="shared" si="177"/>
        <v>1</v>
      </c>
      <c r="Q1223" s="25">
        <f t="shared" si="175"/>
        <v>0.15550241166754386</v>
      </c>
      <c r="R1223" s="25">
        <f t="shared" si="172"/>
        <v>0.12334369254577293</v>
      </c>
      <c r="S1223" s="25">
        <f t="shared" si="169"/>
        <v>8.1422315956111602E-2</v>
      </c>
      <c r="T1223" s="25">
        <f t="shared" si="166"/>
        <v>0.14892664818604584</v>
      </c>
      <c r="X1223">
        <f t="shared" si="176"/>
        <v>0</v>
      </c>
      <c r="Y1223">
        <f t="shared" si="173"/>
        <v>0</v>
      </c>
      <c r="Z1223">
        <f t="shared" si="170"/>
        <v>0</v>
      </c>
      <c r="AA1223">
        <f t="shared" si="167"/>
        <v>0</v>
      </c>
    </row>
    <row r="1224" spans="1:27">
      <c r="A1224" s="26">
        <v>44182</v>
      </c>
      <c r="B1224" s="23">
        <v>933.1</v>
      </c>
      <c r="C1224" s="25">
        <f t="shared" si="178"/>
        <v>7.2928508612005714E-4</v>
      </c>
      <c r="E1224" s="25">
        <f t="shared" si="174"/>
        <v>0.14821879037716124</v>
      </c>
      <c r="F1224" s="25">
        <f t="shared" si="171"/>
        <v>0.11642738641287487</v>
      </c>
      <c r="G1224" s="25">
        <f t="shared" si="168"/>
        <v>7.2015248531767995E-2</v>
      </c>
      <c r="H1224" s="25">
        <f t="shared" si="165"/>
        <v>0.14299617983987378</v>
      </c>
      <c r="K1224" s="28">
        <v>44182</v>
      </c>
      <c r="L1224" s="23">
        <v>17209.96</v>
      </c>
      <c r="M1224" s="25">
        <f t="shared" si="179"/>
        <v>2.4828645737700475E-3</v>
      </c>
      <c r="O1224" t="b">
        <f t="shared" si="177"/>
        <v>1</v>
      </c>
      <c r="Q1224" s="25">
        <f t="shared" si="175"/>
        <v>0.16181462229123067</v>
      </c>
      <c r="R1224" s="25">
        <f t="shared" si="172"/>
        <v>0.12050912410168513</v>
      </c>
      <c r="S1224" s="25">
        <f t="shared" si="169"/>
        <v>7.8855671554454831E-2</v>
      </c>
      <c r="T1224" s="25">
        <f t="shared" si="166"/>
        <v>0.15348744972888251</v>
      </c>
      <c r="X1224">
        <f t="shared" si="176"/>
        <v>0</v>
      </c>
      <c r="Y1224">
        <f t="shared" si="173"/>
        <v>0</v>
      </c>
      <c r="Z1224">
        <f t="shared" si="170"/>
        <v>0</v>
      </c>
      <c r="AA1224">
        <f t="shared" si="167"/>
        <v>0</v>
      </c>
    </row>
    <row r="1225" spans="1:27">
      <c r="A1225" s="27">
        <v>44183</v>
      </c>
      <c r="B1225" s="24">
        <v>935.93</v>
      </c>
      <c r="C1225" s="25">
        <f t="shared" si="178"/>
        <v>3.0329010824133823E-3</v>
      </c>
      <c r="E1225" s="25">
        <f t="shared" si="174"/>
        <v>0.15721209723286922</v>
      </c>
      <c r="F1225" s="25">
        <f t="shared" si="171"/>
        <v>0.11884418982650358</v>
      </c>
      <c r="G1225" s="25">
        <f t="shared" si="168"/>
        <v>7.2913803652193021E-2</v>
      </c>
      <c r="H1225" s="25">
        <f t="shared" si="165"/>
        <v>0.139273773165973</v>
      </c>
      <c r="K1225" s="29">
        <v>44183</v>
      </c>
      <c r="L1225" s="24">
        <v>17223.02</v>
      </c>
      <c r="M1225" s="25">
        <f t="shared" si="179"/>
        <v>7.5828745481345953E-4</v>
      </c>
      <c r="O1225" t="b">
        <f t="shared" si="177"/>
        <v>1</v>
      </c>
      <c r="Q1225" s="25">
        <f t="shared" si="175"/>
        <v>0.16875664605301632</v>
      </c>
      <c r="R1225" s="25">
        <f t="shared" si="172"/>
        <v>0.12168443839390575</v>
      </c>
      <c r="S1225" s="25">
        <f t="shared" si="169"/>
        <v>7.901199692769123E-2</v>
      </c>
      <c r="T1225" s="25">
        <f t="shared" si="166"/>
        <v>0.14913822748296579</v>
      </c>
      <c r="X1225">
        <f t="shared" si="176"/>
        <v>0</v>
      </c>
      <c r="Y1225">
        <f t="shared" si="173"/>
        <v>0</v>
      </c>
      <c r="Z1225">
        <f t="shared" si="170"/>
        <v>0</v>
      </c>
      <c r="AA1225">
        <f t="shared" si="167"/>
        <v>0</v>
      </c>
    </row>
    <row r="1226" spans="1:27">
      <c r="A1226" s="26">
        <v>44186</v>
      </c>
      <c r="B1226" s="23">
        <v>902.51</v>
      </c>
      <c r="C1226" s="25">
        <f t="shared" si="178"/>
        <v>-3.5707798660156165E-2</v>
      </c>
      <c r="E1226" s="25">
        <f t="shared" si="174"/>
        <v>0.105353402981053</v>
      </c>
      <c r="F1226" s="25">
        <f t="shared" si="171"/>
        <v>0.10764157166563226</v>
      </c>
      <c r="G1226" s="25">
        <f t="shared" si="168"/>
        <v>5.8899434840909093E-2</v>
      </c>
      <c r="H1226" s="25">
        <f t="shared" si="165"/>
        <v>0.12816317794081322</v>
      </c>
      <c r="K1226" s="28">
        <v>44186</v>
      </c>
      <c r="L1226" s="23">
        <v>16630.400000000001</v>
      </c>
      <c r="M1226" s="25">
        <f t="shared" si="179"/>
        <v>-3.5634741196844268E-2</v>
      </c>
      <c r="O1226" t="b">
        <f t="shared" si="177"/>
        <v>1</v>
      </c>
      <c r="Q1226" s="25">
        <f t="shared" si="175"/>
        <v>0.11812283591622696</v>
      </c>
      <c r="R1226" s="25">
        <f t="shared" si="172"/>
        <v>0.11126637856132948</v>
      </c>
      <c r="S1226" s="25">
        <f t="shared" si="169"/>
        <v>6.5571025252662674E-2</v>
      </c>
      <c r="T1226" s="25">
        <f t="shared" si="166"/>
        <v>0.13848380097413049</v>
      </c>
      <c r="X1226">
        <f t="shared" si="176"/>
        <v>0</v>
      </c>
      <c r="Y1226">
        <f t="shared" si="173"/>
        <v>0</v>
      </c>
      <c r="Z1226">
        <f t="shared" si="170"/>
        <v>0</v>
      </c>
      <c r="AA1226">
        <f t="shared" si="167"/>
        <v>0</v>
      </c>
    </row>
    <row r="1227" spans="1:27">
      <c r="A1227" s="27">
        <v>44187</v>
      </c>
      <c r="B1227" s="24">
        <v>913.32</v>
      </c>
      <c r="C1227" s="25">
        <f t="shared" si="178"/>
        <v>1.1977706618209282E-2</v>
      </c>
      <c r="E1227" s="25">
        <f t="shared" si="174"/>
        <v>0.11773056588995501</v>
      </c>
      <c r="F1227" s="25">
        <f t="shared" si="171"/>
        <v>0.11911125911793907</v>
      </c>
      <c r="G1227" s="25">
        <f t="shared" si="168"/>
        <v>6.2328337192388172E-2</v>
      </c>
      <c r="H1227" s="25">
        <f t="shared" si="165"/>
        <v>0.1284551352569534</v>
      </c>
      <c r="K1227" s="29">
        <v>44187</v>
      </c>
      <c r="L1227" s="24">
        <v>16799.490000000002</v>
      </c>
      <c r="M1227" s="25">
        <f t="shared" si="179"/>
        <v>1.0065186502685506E-2</v>
      </c>
      <c r="O1227" t="b">
        <f t="shared" si="177"/>
        <v>1</v>
      </c>
      <c r="Q1227" s="25">
        <f t="shared" si="175"/>
        <v>0.12766872919958594</v>
      </c>
      <c r="R1227" s="25">
        <f t="shared" si="172"/>
        <v>0.12185954065050453</v>
      </c>
      <c r="S1227" s="25">
        <f t="shared" si="169"/>
        <v>6.7513935398280767E-2</v>
      </c>
      <c r="T1227" s="25">
        <f t="shared" si="166"/>
        <v>0.13854839915749273</v>
      </c>
      <c r="X1227">
        <f t="shared" si="176"/>
        <v>0</v>
      </c>
      <c r="Y1227">
        <f t="shared" si="173"/>
        <v>0</v>
      </c>
      <c r="Z1227">
        <f t="shared" si="170"/>
        <v>0</v>
      </c>
      <c r="AA1227">
        <f t="shared" si="167"/>
        <v>0</v>
      </c>
    </row>
    <row r="1228" spans="1:27">
      <c r="A1228" s="26">
        <v>44188</v>
      </c>
      <c r="B1228" s="23">
        <v>928.89</v>
      </c>
      <c r="C1228" s="25">
        <f t="shared" si="178"/>
        <v>1.7047694126921489E-2</v>
      </c>
      <c r="E1228" s="25">
        <f t="shared" si="174"/>
        <v>0.14157725915274844</v>
      </c>
      <c r="F1228" s="25">
        <f t="shared" si="171"/>
        <v>0.12623425118673559</v>
      </c>
      <c r="G1228" s="25">
        <f t="shared" si="168"/>
        <v>6.7286056901468605E-2</v>
      </c>
      <c r="H1228" s="25">
        <f t="shared" si="165"/>
        <v>0.13125586756029484</v>
      </c>
      <c r="K1228" s="28">
        <v>44188</v>
      </c>
      <c r="L1228" s="23">
        <v>17026.8</v>
      </c>
      <c r="M1228" s="25">
        <f t="shared" si="179"/>
        <v>1.3350130382690681E-2</v>
      </c>
      <c r="O1228" t="b">
        <f t="shared" si="177"/>
        <v>1</v>
      </c>
      <c r="Q1228" s="25">
        <f t="shared" si="175"/>
        <v>0.14896192732580293</v>
      </c>
      <c r="R1228" s="25">
        <f t="shared" si="172"/>
        <v>0.12697173124811734</v>
      </c>
      <c r="S1228" s="25">
        <f t="shared" si="169"/>
        <v>7.0839692759649298E-2</v>
      </c>
      <c r="T1228" s="25">
        <f t="shared" si="166"/>
        <v>0.13961535220750609</v>
      </c>
      <c r="X1228">
        <f t="shared" si="176"/>
        <v>0</v>
      </c>
      <c r="Y1228">
        <f t="shared" si="173"/>
        <v>0</v>
      </c>
      <c r="Z1228">
        <f t="shared" si="170"/>
        <v>0</v>
      </c>
      <c r="AA1228">
        <f t="shared" si="167"/>
        <v>0</v>
      </c>
    </row>
    <row r="1229" spans="1:27">
      <c r="A1229" s="27">
        <v>44189</v>
      </c>
      <c r="B1229" s="24">
        <v>936.68</v>
      </c>
      <c r="C1229" s="25">
        <f t="shared" si="178"/>
        <v>8.3863536048401459E-3</v>
      </c>
      <c r="E1229" s="25">
        <f t="shared" si="174"/>
        <v>0.15146225429333593</v>
      </c>
      <c r="F1229" s="25">
        <f t="shared" si="171"/>
        <v>0.12982892350383635</v>
      </c>
      <c r="G1229" s="25">
        <f t="shared" si="168"/>
        <v>7.09485621855932E-2</v>
      </c>
      <c r="H1229" s="25">
        <f t="shared" si="165"/>
        <v>0.13195246716869846</v>
      </c>
      <c r="K1229" s="29">
        <v>44189</v>
      </c>
      <c r="L1229" s="24">
        <v>17178.02</v>
      </c>
      <c r="M1229" s="25">
        <f t="shared" si="179"/>
        <v>8.8031100208290098E-3</v>
      </c>
      <c r="O1229" t="b">
        <f t="shared" si="177"/>
        <v>1</v>
      </c>
      <c r="Q1229" s="25">
        <f t="shared" si="175"/>
        <v>0.15729194807889613</v>
      </c>
      <c r="R1229" s="25">
        <f t="shared" si="172"/>
        <v>0.1296502905284882</v>
      </c>
      <c r="S1229" s="25">
        <f t="shared" si="169"/>
        <v>7.5216958167775738E-2</v>
      </c>
      <c r="T1229" s="25">
        <f t="shared" si="166"/>
        <v>0.14133257561036583</v>
      </c>
      <c r="X1229">
        <f t="shared" si="176"/>
        <v>0</v>
      </c>
      <c r="Y1229">
        <f t="shared" si="173"/>
        <v>1</v>
      </c>
      <c r="Z1229">
        <f t="shared" si="170"/>
        <v>0</v>
      </c>
      <c r="AA1229">
        <f t="shared" si="167"/>
        <v>0</v>
      </c>
    </row>
    <row r="1230" spans="1:27">
      <c r="A1230" s="26">
        <v>44193</v>
      </c>
      <c r="B1230" s="23">
        <v>945.45</v>
      </c>
      <c r="C1230" s="25">
        <f t="shared" si="178"/>
        <v>9.3628560447539134E-3</v>
      </c>
      <c r="E1230" s="25">
        <f t="shared" si="174"/>
        <v>0.15170968802913842</v>
      </c>
      <c r="F1230" s="25">
        <f t="shared" si="171"/>
        <v>0.12960800818964069</v>
      </c>
      <c r="G1230" s="25">
        <f t="shared" si="168"/>
        <v>7.4022418021107539E-2</v>
      </c>
      <c r="H1230" s="25">
        <f t="shared" si="165"/>
        <v>0.13301728809026736</v>
      </c>
      <c r="K1230" s="28">
        <v>44193</v>
      </c>
      <c r="L1230" s="23">
        <v>17343.97</v>
      </c>
      <c r="M1230" s="25">
        <f t="shared" si="179"/>
        <v>9.5681669191079507E-3</v>
      </c>
      <c r="O1230" t="b">
        <f t="shared" si="177"/>
        <v>1</v>
      </c>
      <c r="Q1230" s="25">
        <f t="shared" si="175"/>
        <v>0.15776667596762195</v>
      </c>
      <c r="R1230" s="25">
        <f t="shared" si="172"/>
        <v>0.13040131137554201</v>
      </c>
      <c r="S1230" s="25">
        <f t="shared" si="169"/>
        <v>7.8758320982705632E-2</v>
      </c>
      <c r="T1230" s="25">
        <f t="shared" si="166"/>
        <v>0.14300913987993757</v>
      </c>
      <c r="X1230">
        <f t="shared" si="176"/>
        <v>0</v>
      </c>
      <c r="Y1230">
        <f t="shared" si="173"/>
        <v>0</v>
      </c>
      <c r="Z1230">
        <f t="shared" si="170"/>
        <v>0</v>
      </c>
      <c r="AA1230">
        <f t="shared" si="167"/>
        <v>0</v>
      </c>
    </row>
    <row r="1231" spans="1:27">
      <c r="A1231" s="27">
        <v>44194</v>
      </c>
      <c r="B1231" s="24">
        <v>947.19</v>
      </c>
      <c r="C1231" s="25">
        <f t="shared" si="178"/>
        <v>1.8403934634301222E-3</v>
      </c>
      <c r="E1231" s="25">
        <f t="shared" si="174"/>
        <v>0.15876977281902604</v>
      </c>
      <c r="F1231" s="25">
        <f t="shared" si="171"/>
        <v>0.12914690909735205</v>
      </c>
      <c r="G1231" s="25">
        <f t="shared" si="168"/>
        <v>7.3294993716234158E-2</v>
      </c>
      <c r="H1231" s="25">
        <f t="shared" si="165"/>
        <v>0.13355798700131127</v>
      </c>
      <c r="K1231" s="29">
        <v>44194</v>
      </c>
      <c r="L1231" s="24">
        <v>17392.96</v>
      </c>
      <c r="M1231" s="25">
        <f t="shared" si="179"/>
        <v>2.8166568542673568E-3</v>
      </c>
      <c r="O1231" t="b">
        <f t="shared" si="177"/>
        <v>1</v>
      </c>
      <c r="Q1231" s="25">
        <f t="shared" si="175"/>
        <v>0.16551441768707198</v>
      </c>
      <c r="R1231" s="25">
        <f t="shared" si="172"/>
        <v>0.1309181820494032</v>
      </c>
      <c r="S1231" s="25">
        <f t="shared" si="169"/>
        <v>7.7691247884680514E-2</v>
      </c>
      <c r="T1231" s="25">
        <f t="shared" si="166"/>
        <v>0.14373439292467527</v>
      </c>
      <c r="X1231">
        <f t="shared" si="176"/>
        <v>0</v>
      </c>
      <c r="Y1231">
        <f t="shared" si="173"/>
        <v>0</v>
      </c>
      <c r="Z1231">
        <f t="shared" si="170"/>
        <v>0</v>
      </c>
      <c r="AA1231">
        <f t="shared" si="167"/>
        <v>0</v>
      </c>
    </row>
    <row r="1232" spans="1:27">
      <c r="A1232" s="26">
        <v>44195</v>
      </c>
      <c r="B1232" s="23">
        <v>950.28</v>
      </c>
      <c r="C1232" s="25">
        <f t="shared" si="178"/>
        <v>3.2622810629334325E-3</v>
      </c>
      <c r="E1232" s="25">
        <f t="shared" si="174"/>
        <v>0.18506509702199825</v>
      </c>
      <c r="F1232" s="25">
        <f t="shared" si="171"/>
        <v>0.13041674818675864</v>
      </c>
      <c r="G1232" s="25">
        <f t="shared" si="168"/>
        <v>7.6917114043177248E-2</v>
      </c>
      <c r="H1232" s="25">
        <f t="shared" si="165"/>
        <v>0.13121236015584192</v>
      </c>
      <c r="K1232" s="28">
        <v>44195</v>
      </c>
      <c r="L1232" s="23">
        <v>17457.650000000001</v>
      </c>
      <c r="M1232" s="25">
        <f t="shared" si="179"/>
        <v>3.7055388325463235E-3</v>
      </c>
      <c r="O1232" t="b">
        <f t="shared" si="177"/>
        <v>1</v>
      </c>
      <c r="Q1232" s="25">
        <f t="shared" si="175"/>
        <v>0.19316251817152286</v>
      </c>
      <c r="R1232" s="25">
        <f t="shared" si="172"/>
        <v>0.13130155209336447</v>
      </c>
      <c r="S1232" s="25">
        <f t="shared" si="169"/>
        <v>8.1161987595898877E-2</v>
      </c>
      <c r="T1232" s="25">
        <f t="shared" si="166"/>
        <v>0.1417173380625627</v>
      </c>
      <c r="X1232">
        <f t="shared" si="176"/>
        <v>0</v>
      </c>
      <c r="Y1232">
        <f t="shared" si="173"/>
        <v>0</v>
      </c>
      <c r="Z1232">
        <f t="shared" si="170"/>
        <v>0</v>
      </c>
      <c r="AA1232">
        <f t="shared" si="167"/>
        <v>0</v>
      </c>
    </row>
    <row r="1233" spans="1:28">
      <c r="A1233" s="27">
        <v>44196</v>
      </c>
      <c r="B1233" s="24">
        <v>952.95</v>
      </c>
      <c r="C1233" s="25">
        <f t="shared" si="178"/>
        <v>2.8096981942165181E-3</v>
      </c>
      <c r="E1233" s="25">
        <f t="shared" si="174"/>
        <v>0.18229076201583094</v>
      </c>
      <c r="F1233" s="25">
        <f t="shared" si="171"/>
        <v>0.1386452356254857</v>
      </c>
      <c r="G1233" s="25">
        <f t="shared" si="168"/>
        <v>7.8705098744400903E-2</v>
      </c>
      <c r="H1233" s="25">
        <f t="shared" si="165"/>
        <v>0.132328197714628</v>
      </c>
      <c r="I1233" s="25">
        <f>((B1233/B2)^(1/5))-1</f>
        <v>0.1426966090166073</v>
      </c>
      <c r="K1233" s="29">
        <v>44196</v>
      </c>
      <c r="L1233" s="24">
        <v>17470.79</v>
      </c>
      <c r="M1233" s="25">
        <f t="shared" si="179"/>
        <v>7.5211252610783014E-4</v>
      </c>
      <c r="O1233" t="b">
        <f t="shared" si="177"/>
        <v>1</v>
      </c>
      <c r="Q1233" s="25">
        <f t="shared" si="175"/>
        <v>0.18699769745089001</v>
      </c>
      <c r="R1233" s="25">
        <f t="shared" si="172"/>
        <v>0.13758684711524283</v>
      </c>
      <c r="S1233" s="25">
        <f t="shared" si="169"/>
        <v>8.2070393881248149E-2</v>
      </c>
      <c r="T1233" s="25">
        <f t="shared" si="166"/>
        <v>0.14289024298931796</v>
      </c>
      <c r="U1233" s="25">
        <f>((L1233/L2)^(1/5))-1</f>
        <v>0.12618868195075872</v>
      </c>
      <c r="X1233">
        <f t="shared" si="176"/>
        <v>0</v>
      </c>
      <c r="Y1233">
        <f t="shared" si="173"/>
        <v>1</v>
      </c>
      <c r="Z1233">
        <f t="shared" si="170"/>
        <v>0</v>
      </c>
      <c r="AA1233">
        <f t="shared" si="167"/>
        <v>0</v>
      </c>
      <c r="AB1233">
        <f>IF(I1233&gt;U1233,1,0)</f>
        <v>1</v>
      </c>
    </row>
    <row r="1234" spans="1:28">
      <c r="A1234" s="26">
        <v>44197</v>
      </c>
      <c r="B1234" s="23">
        <v>956.61</v>
      </c>
      <c r="C1234" s="25">
        <f t="shared" si="178"/>
        <v>3.8407051786557198E-3</v>
      </c>
      <c r="E1234" s="25">
        <f t="shared" si="174"/>
        <v>0.18669908573271643</v>
      </c>
      <c r="F1234" s="25">
        <f t="shared" si="171"/>
        <v>0.14630917525540421</v>
      </c>
      <c r="G1234" s="25">
        <f t="shared" si="168"/>
        <v>7.8967498890596843E-2</v>
      </c>
      <c r="H1234" s="25">
        <f t="shared" si="165"/>
        <v>0.13270618909274212</v>
      </c>
      <c r="I1234" s="25">
        <f t="shared" ref="I1234:I1297" si="180">((B1234/B3)^(1/5))-1</f>
        <v>0.14721750760249863</v>
      </c>
      <c r="K1234" s="28">
        <v>44197</v>
      </c>
      <c r="L1234" s="23">
        <v>17556.560000000001</v>
      </c>
      <c r="M1234" s="25">
        <f t="shared" si="179"/>
        <v>4.885353394970338E-3</v>
      </c>
      <c r="O1234" t="b">
        <f t="shared" si="177"/>
        <v>1</v>
      </c>
      <c r="Q1234" s="25">
        <f t="shared" si="175"/>
        <v>0.19443350239647872</v>
      </c>
      <c r="R1234" s="25">
        <f t="shared" si="172"/>
        <v>0.14596594750121406</v>
      </c>
      <c r="S1234" s="25">
        <f t="shared" si="169"/>
        <v>8.3015260676006619E-2</v>
      </c>
      <c r="T1234" s="25">
        <f t="shared" si="166"/>
        <v>0.14420853522050714</v>
      </c>
      <c r="U1234" s="25">
        <f t="shared" ref="U1234:U1297" si="181">((L1234/L3)^(1/5))-1</f>
        <v>0.13143840056140066</v>
      </c>
      <c r="X1234">
        <f t="shared" si="176"/>
        <v>0</v>
      </c>
      <c r="Y1234">
        <f t="shared" si="173"/>
        <v>1</v>
      </c>
      <c r="Z1234">
        <f t="shared" si="170"/>
        <v>0</v>
      </c>
      <c r="AA1234">
        <f t="shared" si="167"/>
        <v>0</v>
      </c>
      <c r="AB1234">
        <f t="shared" ref="AB1234:AB1297" si="182">IF(I1234&gt;U1234,1,0)</f>
        <v>1</v>
      </c>
    </row>
    <row r="1235" spans="1:28">
      <c r="A1235" s="27">
        <v>44200</v>
      </c>
      <c r="B1235" s="24">
        <v>970.18</v>
      </c>
      <c r="C1235" s="25">
        <f t="shared" si="178"/>
        <v>1.4185509246192217E-2</v>
      </c>
      <c r="E1235" s="25">
        <f t="shared" si="174"/>
        <v>0.18446080406304555</v>
      </c>
      <c r="F1235" s="25">
        <f t="shared" si="171"/>
        <v>0.15212645455780227</v>
      </c>
      <c r="G1235" s="25">
        <f t="shared" si="168"/>
        <v>8.1335563306770275E-2</v>
      </c>
      <c r="H1235" s="25">
        <f t="shared" si="165"/>
        <v>0.13537575991900663</v>
      </c>
      <c r="I1235" s="25">
        <f t="shared" si="180"/>
        <v>0.1498383866232782</v>
      </c>
      <c r="K1235" s="29">
        <v>44200</v>
      </c>
      <c r="L1235" s="24">
        <v>17733.95</v>
      </c>
      <c r="M1235" s="25">
        <f t="shared" si="179"/>
        <v>1.0002847645335608E-2</v>
      </c>
      <c r="O1235" t="b">
        <f t="shared" si="177"/>
        <v>1</v>
      </c>
      <c r="Q1235" s="25">
        <f t="shared" si="175"/>
        <v>0.18808892938374489</v>
      </c>
      <c r="R1235" s="25">
        <f t="shared" si="172"/>
        <v>0.14918545353031964</v>
      </c>
      <c r="S1235" s="25">
        <f t="shared" si="169"/>
        <v>8.411455635121845E-2</v>
      </c>
      <c r="T1235" s="25">
        <f t="shared" si="166"/>
        <v>0.14519137531509418</v>
      </c>
      <c r="U1235" s="25">
        <f t="shared" si="181"/>
        <v>0.13341770329997171</v>
      </c>
      <c r="X1235">
        <f t="shared" si="176"/>
        <v>0</v>
      </c>
      <c r="Y1235">
        <f t="shared" si="173"/>
        <v>1</v>
      </c>
      <c r="Z1235">
        <f t="shared" si="170"/>
        <v>0</v>
      </c>
      <c r="AA1235">
        <f t="shared" si="167"/>
        <v>0</v>
      </c>
      <c r="AB1235">
        <f t="shared" si="182"/>
        <v>1</v>
      </c>
    </row>
    <row r="1236" spans="1:28">
      <c r="A1236" s="26">
        <v>44201</v>
      </c>
      <c r="B1236" s="23">
        <v>977.63</v>
      </c>
      <c r="C1236" s="25">
        <f t="shared" si="178"/>
        <v>7.6789874043992311E-3</v>
      </c>
      <c r="E1236" s="25">
        <f t="shared" si="174"/>
        <v>0.18899821217907387</v>
      </c>
      <c r="F1236" s="25">
        <f t="shared" si="171"/>
        <v>0.15569593522891156</v>
      </c>
      <c r="G1236" s="25">
        <f t="shared" si="168"/>
        <v>8.0847532287198431E-2</v>
      </c>
      <c r="H1236" s="25">
        <f t="shared" si="165"/>
        <v>0.13352263303565648</v>
      </c>
      <c r="I1236" s="25">
        <f t="shared" si="180"/>
        <v>0.15223936617067824</v>
      </c>
      <c r="K1236" s="28">
        <v>44201</v>
      </c>
      <c r="L1236" s="23">
        <v>17848.060000000001</v>
      </c>
      <c r="M1236" s="25">
        <f t="shared" si="179"/>
        <v>6.3934119450517633E-3</v>
      </c>
      <c r="O1236" t="b">
        <f t="shared" si="177"/>
        <v>1</v>
      </c>
      <c r="Q1236" s="25">
        <f t="shared" si="175"/>
        <v>0.19164940200739644</v>
      </c>
      <c r="R1236" s="25">
        <f t="shared" si="172"/>
        <v>0.15120925887494696</v>
      </c>
      <c r="S1236" s="25">
        <f t="shared" si="169"/>
        <v>8.3867695974259915E-2</v>
      </c>
      <c r="T1236" s="25">
        <f t="shared" si="166"/>
        <v>0.14375725051508459</v>
      </c>
      <c r="U1236" s="25">
        <f t="shared" si="181"/>
        <v>0.13596522214494389</v>
      </c>
      <c r="X1236">
        <f t="shared" si="176"/>
        <v>0</v>
      </c>
      <c r="Y1236">
        <f t="shared" si="173"/>
        <v>1</v>
      </c>
      <c r="Z1236">
        <f t="shared" si="170"/>
        <v>0</v>
      </c>
      <c r="AA1236">
        <f t="shared" si="167"/>
        <v>0</v>
      </c>
      <c r="AB1236">
        <f t="shared" si="182"/>
        <v>1</v>
      </c>
    </row>
    <row r="1237" spans="1:28">
      <c r="A1237" s="27">
        <v>44202</v>
      </c>
      <c r="B1237" s="24">
        <v>979.64</v>
      </c>
      <c r="C1237" s="25">
        <f t="shared" si="178"/>
        <v>2.0559925534199964E-3</v>
      </c>
      <c r="E1237" s="25">
        <f t="shared" si="174"/>
        <v>0.18276869582015309</v>
      </c>
      <c r="F1237" s="25">
        <f t="shared" si="171"/>
        <v>0.15459054220613799</v>
      </c>
      <c r="G1237" s="25">
        <f t="shared" si="168"/>
        <v>8.0152722341499949E-2</v>
      </c>
      <c r="H1237" s="25">
        <f t="shared" si="165"/>
        <v>0.13343073053839594</v>
      </c>
      <c r="I1237" s="25">
        <f t="shared" si="180"/>
        <v>0.15869590969450176</v>
      </c>
      <c r="K1237" s="29">
        <v>44202</v>
      </c>
      <c r="L1237" s="24">
        <v>17803.919999999998</v>
      </c>
      <c r="M1237" s="25">
        <f t="shared" si="179"/>
        <v>-2.4792292933243387E-3</v>
      </c>
      <c r="O1237" t="b">
        <f t="shared" si="177"/>
        <v>1</v>
      </c>
      <c r="Q1237" s="25">
        <f t="shared" si="175"/>
        <v>0.18106910983580771</v>
      </c>
      <c r="R1237" s="25">
        <f t="shared" si="172"/>
        <v>0.14867955136307565</v>
      </c>
      <c r="S1237" s="25">
        <f t="shared" si="169"/>
        <v>8.0502915680765508E-2</v>
      </c>
      <c r="T1237" s="25">
        <f t="shared" si="166"/>
        <v>0.14234852743203619</v>
      </c>
      <c r="U1237" s="25">
        <f t="shared" si="181"/>
        <v>0.14101111807602895</v>
      </c>
      <c r="X1237">
        <f t="shared" si="176"/>
        <v>1</v>
      </c>
      <c r="Y1237">
        <f t="shared" si="173"/>
        <v>1</v>
      </c>
      <c r="Z1237">
        <f t="shared" si="170"/>
        <v>0</v>
      </c>
      <c r="AA1237">
        <f t="shared" si="167"/>
        <v>0</v>
      </c>
      <c r="AB1237">
        <f t="shared" si="182"/>
        <v>1</v>
      </c>
    </row>
    <row r="1238" spans="1:28">
      <c r="A1238" s="26">
        <v>44203</v>
      </c>
      <c r="B1238" s="23">
        <v>984.06</v>
      </c>
      <c r="C1238" s="25">
        <f t="shared" si="178"/>
        <v>4.5118615001428679E-3</v>
      </c>
      <c r="E1238" s="25">
        <f t="shared" si="174"/>
        <v>0.18357528595311701</v>
      </c>
      <c r="F1238" s="25">
        <f t="shared" si="171"/>
        <v>0.1558090442574831</v>
      </c>
      <c r="G1238" s="25">
        <f t="shared" si="168"/>
        <v>8.2239062197269508E-2</v>
      </c>
      <c r="H1238" s="25">
        <f t="shared" si="165"/>
        <v>0.1351758697533989</v>
      </c>
      <c r="I1238" s="25">
        <f t="shared" si="180"/>
        <v>0.15754660285684219</v>
      </c>
      <c r="K1238" s="28">
        <v>44203</v>
      </c>
      <c r="L1238" s="23">
        <v>17846.66</v>
      </c>
      <c r="M1238" s="25">
        <f t="shared" si="179"/>
        <v>2.3948458703198024E-3</v>
      </c>
      <c r="O1238" t="b">
        <f t="shared" si="177"/>
        <v>1</v>
      </c>
      <c r="Q1238" s="25">
        <f t="shared" si="175"/>
        <v>0.17998581107304923</v>
      </c>
      <c r="R1238" s="25">
        <f t="shared" si="172"/>
        <v>0.14824124220992774</v>
      </c>
      <c r="S1238" s="25">
        <f t="shared" si="169"/>
        <v>8.1310404731246066E-2</v>
      </c>
      <c r="T1238" s="25">
        <f t="shared" si="166"/>
        <v>0.14317429537406112</v>
      </c>
      <c r="U1238" s="25">
        <f t="shared" si="181"/>
        <v>0.14000678840626835</v>
      </c>
      <c r="X1238">
        <f t="shared" si="176"/>
        <v>1</v>
      </c>
      <c r="Y1238">
        <f t="shared" si="173"/>
        <v>1</v>
      </c>
      <c r="Z1238">
        <f t="shared" si="170"/>
        <v>1</v>
      </c>
      <c r="AA1238">
        <f t="shared" si="167"/>
        <v>0</v>
      </c>
      <c r="AB1238">
        <f t="shared" si="182"/>
        <v>1</v>
      </c>
    </row>
    <row r="1239" spans="1:28">
      <c r="A1239" s="27">
        <v>44204</v>
      </c>
      <c r="B1239" s="24">
        <v>994.06</v>
      </c>
      <c r="C1239" s="25">
        <f t="shared" si="178"/>
        <v>1.016198199296791E-2</v>
      </c>
      <c r="E1239" s="25">
        <f t="shared" si="174"/>
        <v>0.19532959765277402</v>
      </c>
      <c r="F1239" s="25">
        <f t="shared" si="171"/>
        <v>0.16232976324848414</v>
      </c>
      <c r="G1239" s="25">
        <f t="shared" si="168"/>
        <v>8.7140346740213204E-2</v>
      </c>
      <c r="H1239" s="25">
        <f t="shared" si="165"/>
        <v>0.13679923001719896</v>
      </c>
      <c r="I1239" s="25">
        <f t="shared" si="180"/>
        <v>0.16123672913615694</v>
      </c>
      <c r="K1239" s="29">
        <v>44204</v>
      </c>
      <c r="L1239" s="24">
        <v>18088.64</v>
      </c>
      <c r="M1239" s="25">
        <f t="shared" si="179"/>
        <v>1.337745679056024E-2</v>
      </c>
      <c r="O1239" t="b">
        <f t="shared" si="177"/>
        <v>1</v>
      </c>
      <c r="Q1239" s="25">
        <f t="shared" si="175"/>
        <v>0.19465488785316465</v>
      </c>
      <c r="R1239" s="25">
        <f t="shared" si="172"/>
        <v>0.15651133862635258</v>
      </c>
      <c r="S1239" s="25">
        <f t="shared" si="169"/>
        <v>8.6558541770197062E-2</v>
      </c>
      <c r="T1239" s="25">
        <f t="shared" si="166"/>
        <v>0.14625148568897139</v>
      </c>
      <c r="U1239" s="25">
        <f t="shared" si="181"/>
        <v>0.14445868795512551</v>
      </c>
      <c r="X1239">
        <f t="shared" si="176"/>
        <v>1</v>
      </c>
      <c r="Y1239">
        <f t="shared" si="173"/>
        <v>1</v>
      </c>
      <c r="Z1239">
        <f t="shared" si="170"/>
        <v>1</v>
      </c>
      <c r="AA1239">
        <f t="shared" si="167"/>
        <v>0</v>
      </c>
      <c r="AB1239">
        <f t="shared" si="182"/>
        <v>1</v>
      </c>
    </row>
    <row r="1240" spans="1:28">
      <c r="A1240" s="26">
        <v>44207</v>
      </c>
      <c r="B1240" s="23">
        <v>1002.15</v>
      </c>
      <c r="C1240" s="25">
        <f t="shared" si="178"/>
        <v>8.1383417499950022E-3</v>
      </c>
      <c r="E1240" s="25">
        <f t="shared" si="174"/>
        <v>0.202123193186589</v>
      </c>
      <c r="F1240" s="25">
        <f t="shared" si="171"/>
        <v>0.16727201755395193</v>
      </c>
      <c r="G1240" s="25">
        <f t="shared" si="168"/>
        <v>8.9654501277600662E-2</v>
      </c>
      <c r="H1240" s="25">
        <f t="shared" ref="H1240:H1303" si="183">((B1240/B259)^(1/4))-1</f>
        <v>0.13945943975673925</v>
      </c>
      <c r="I1240" s="25">
        <f t="shared" si="180"/>
        <v>0.16523723671404067</v>
      </c>
      <c r="K1240" s="28">
        <v>44207</v>
      </c>
      <c r="L1240" s="23">
        <v>18211.34</v>
      </c>
      <c r="M1240" s="25">
        <f t="shared" si="179"/>
        <v>6.7375602234651995E-3</v>
      </c>
      <c r="O1240" t="b">
        <f t="shared" si="177"/>
        <v>1</v>
      </c>
      <c r="Q1240" s="25">
        <f t="shared" si="175"/>
        <v>0.20002424911751016</v>
      </c>
      <c r="R1240" s="25">
        <f t="shared" si="172"/>
        <v>0.16177708634685395</v>
      </c>
      <c r="S1240" s="25">
        <f t="shared" si="169"/>
        <v>8.8267102258022812E-2</v>
      </c>
      <c r="T1240" s="25">
        <f t="shared" ref="T1240:T1303" si="184">((L1240/L259)^(1/4))-1</f>
        <v>0.14836167304460424</v>
      </c>
      <c r="U1240" s="25">
        <f t="shared" si="181"/>
        <v>0.14766418473247667</v>
      </c>
      <c r="X1240">
        <f t="shared" si="176"/>
        <v>1</v>
      </c>
      <c r="Y1240">
        <f t="shared" si="173"/>
        <v>1</v>
      </c>
      <c r="Z1240">
        <f t="shared" si="170"/>
        <v>1</v>
      </c>
      <c r="AA1240">
        <f t="shared" ref="AA1240:AA1303" si="185">IF(H1240&gt;T1240,1,0)</f>
        <v>0</v>
      </c>
      <c r="AB1240">
        <f t="shared" si="182"/>
        <v>1</v>
      </c>
    </row>
    <row r="1241" spans="1:28">
      <c r="A1241" s="27">
        <v>44208</v>
      </c>
      <c r="B1241" s="24">
        <v>1006.03</v>
      </c>
      <c r="C1241" s="25">
        <f t="shared" si="178"/>
        <v>3.8716758968218288E-3</v>
      </c>
      <c r="E1241" s="25">
        <f t="shared" si="174"/>
        <v>0.2025077395680186</v>
      </c>
      <c r="F1241" s="25">
        <f t="shared" si="171"/>
        <v>0.17116274460542114</v>
      </c>
      <c r="G1241" s="25">
        <f t="shared" si="168"/>
        <v>9.0599204478961637E-2</v>
      </c>
      <c r="H1241" s="25">
        <f t="shared" si="183"/>
        <v>0.13858360854652974</v>
      </c>
      <c r="I1241" s="25">
        <f t="shared" si="180"/>
        <v>0.16639827029059417</v>
      </c>
      <c r="K1241" s="29">
        <v>44208</v>
      </c>
      <c r="L1241" s="24">
        <v>18290.03</v>
      </c>
      <c r="M1241" s="25">
        <f t="shared" si="179"/>
        <v>4.3023439546025178E-3</v>
      </c>
      <c r="O1241" t="b">
        <f t="shared" si="177"/>
        <v>1</v>
      </c>
      <c r="Q1241" s="25">
        <f t="shared" si="175"/>
        <v>0.20417952977162757</v>
      </c>
      <c r="R1241" s="25">
        <f t="shared" si="172"/>
        <v>0.16728589349208889</v>
      </c>
      <c r="S1241" s="25">
        <f t="shared" si="169"/>
        <v>8.9271620396641715E-2</v>
      </c>
      <c r="T1241" s="25">
        <f t="shared" si="184"/>
        <v>0.14859541723961867</v>
      </c>
      <c r="U1241" s="25">
        <f t="shared" si="181"/>
        <v>0.14827739919803351</v>
      </c>
      <c r="X1241">
        <f t="shared" si="176"/>
        <v>0</v>
      </c>
      <c r="Y1241">
        <f t="shared" si="173"/>
        <v>1</v>
      </c>
      <c r="Z1241">
        <f t="shared" si="170"/>
        <v>1</v>
      </c>
      <c r="AA1241">
        <f t="shared" si="185"/>
        <v>0</v>
      </c>
      <c r="AB1241">
        <f t="shared" si="182"/>
        <v>1</v>
      </c>
    </row>
    <row r="1242" spans="1:28">
      <c r="A1242" s="26">
        <v>44209</v>
      </c>
      <c r="B1242" s="23">
        <v>1005.96</v>
      </c>
      <c r="C1242" s="25">
        <f t="shared" si="178"/>
        <v>-6.9580430006994159E-5</v>
      </c>
      <c r="E1242" s="25">
        <f t="shared" si="174"/>
        <v>0.20982813984533788</v>
      </c>
      <c r="F1242" s="25">
        <f t="shared" si="171"/>
        <v>0.1649047785482467</v>
      </c>
      <c r="G1242" s="25">
        <f t="shared" si="168"/>
        <v>8.9867051112999752E-2</v>
      </c>
      <c r="H1242" s="25">
        <f t="shared" si="183"/>
        <v>0.13794175406388187</v>
      </c>
      <c r="I1242" s="25">
        <f t="shared" si="180"/>
        <v>0.16811178462853471</v>
      </c>
      <c r="K1242" s="28">
        <v>44209</v>
      </c>
      <c r="L1242" s="23">
        <v>18263.91</v>
      </c>
      <c r="M1242" s="25">
        <f t="shared" si="179"/>
        <v>-1.4301428335991024E-3</v>
      </c>
      <c r="O1242" t="b">
        <f t="shared" si="177"/>
        <v>1</v>
      </c>
      <c r="Q1242" s="25">
        <f t="shared" si="175"/>
        <v>0.21361012250452505</v>
      </c>
      <c r="R1242" s="25">
        <f t="shared" si="172"/>
        <v>0.15970314338289993</v>
      </c>
      <c r="S1242" s="25">
        <f t="shared" si="169"/>
        <v>8.7455995646656959E-2</v>
      </c>
      <c r="T1242" s="25">
        <f t="shared" si="184"/>
        <v>0.14742265201988247</v>
      </c>
      <c r="U1242" s="25">
        <f t="shared" si="181"/>
        <v>0.14930549310276775</v>
      </c>
      <c r="X1242">
        <f t="shared" si="176"/>
        <v>0</v>
      </c>
      <c r="Y1242">
        <f t="shared" si="173"/>
        <v>1</v>
      </c>
      <c r="Z1242">
        <f t="shared" si="170"/>
        <v>1</v>
      </c>
      <c r="AA1242">
        <f t="shared" si="185"/>
        <v>0</v>
      </c>
      <c r="AB1242">
        <f t="shared" si="182"/>
        <v>1</v>
      </c>
    </row>
    <row r="1243" spans="1:28">
      <c r="A1243" s="27">
        <v>44210</v>
      </c>
      <c r="B1243" s="24">
        <v>1004.55</v>
      </c>
      <c r="C1243" s="25">
        <f t="shared" si="178"/>
        <v>-1.4016461887153384E-3</v>
      </c>
      <c r="E1243" s="25">
        <f t="shared" si="174"/>
        <v>0.2116442321609493</v>
      </c>
      <c r="F1243" s="25">
        <f t="shared" si="171"/>
        <v>0.16396249546274655</v>
      </c>
      <c r="G1243" s="25">
        <f t="shared" si="168"/>
        <v>9.263425410799786E-2</v>
      </c>
      <c r="H1243" s="25">
        <f t="shared" si="183"/>
        <v>0.14058738034692198</v>
      </c>
      <c r="I1243" s="25">
        <f t="shared" si="180"/>
        <v>0.1718093583861029</v>
      </c>
      <c r="K1243" s="29">
        <v>44210</v>
      </c>
      <c r="L1243" s="24">
        <v>18308.29</v>
      </c>
      <c r="M1243" s="25">
        <f t="shared" si="179"/>
        <v>2.4240385093310746E-3</v>
      </c>
      <c r="O1243" t="b">
        <f t="shared" si="177"/>
        <v>1</v>
      </c>
      <c r="Q1243" s="25">
        <f t="shared" si="175"/>
        <v>0.22120479002453974</v>
      </c>
      <c r="R1243" s="25">
        <f t="shared" si="172"/>
        <v>0.16100741609664859</v>
      </c>
      <c r="S1243" s="25">
        <f t="shared" si="169"/>
        <v>9.1619522440472334E-2</v>
      </c>
      <c r="T1243" s="25">
        <f t="shared" si="184"/>
        <v>0.15149107429672837</v>
      </c>
      <c r="U1243" s="25">
        <f t="shared" si="181"/>
        <v>0.15408466329212156</v>
      </c>
      <c r="X1243">
        <f t="shared" si="176"/>
        <v>0</v>
      </c>
      <c r="Y1243">
        <f t="shared" si="173"/>
        <v>1</v>
      </c>
      <c r="Z1243">
        <f t="shared" si="170"/>
        <v>1</v>
      </c>
      <c r="AA1243">
        <f t="shared" si="185"/>
        <v>0</v>
      </c>
      <c r="AB1243">
        <f t="shared" si="182"/>
        <v>1</v>
      </c>
    </row>
    <row r="1244" spans="1:28">
      <c r="A1244" s="26">
        <v>44211</v>
      </c>
      <c r="B1244" s="23">
        <v>995.14</v>
      </c>
      <c r="C1244" s="25">
        <f t="shared" si="178"/>
        <v>-9.3673784281518777E-3</v>
      </c>
      <c r="E1244" s="25">
        <f t="shared" si="174"/>
        <v>0.20324043286379312</v>
      </c>
      <c r="F1244" s="25">
        <f t="shared" si="171"/>
        <v>0.15982054787071798</v>
      </c>
      <c r="G1244" s="25">
        <f t="shared" si="168"/>
        <v>8.689741670834672E-2</v>
      </c>
      <c r="H1244" s="25">
        <f t="shared" si="183"/>
        <v>0.13595025884644607</v>
      </c>
      <c r="I1244" s="25">
        <f t="shared" si="180"/>
        <v>0.17410238423419999</v>
      </c>
      <c r="K1244" s="28">
        <v>44211</v>
      </c>
      <c r="L1244" s="23">
        <v>18098.509999999998</v>
      </c>
      <c r="M1244" s="25">
        <f t="shared" si="179"/>
        <v>-1.1591009425637939E-2</v>
      </c>
      <c r="O1244" t="b">
        <f t="shared" si="177"/>
        <v>1</v>
      </c>
      <c r="Q1244" s="25">
        <f t="shared" si="175"/>
        <v>0.21213426195373275</v>
      </c>
      <c r="R1244" s="25">
        <f t="shared" si="172"/>
        <v>0.1541213436237352</v>
      </c>
      <c r="S1244" s="25">
        <f t="shared" si="169"/>
        <v>8.4657935356336145E-2</v>
      </c>
      <c r="T1244" s="25">
        <f t="shared" si="184"/>
        <v>0.1465733564702576</v>
      </c>
      <c r="U1244" s="25">
        <f t="shared" si="181"/>
        <v>0.15563755943032009</v>
      </c>
      <c r="X1244">
        <f t="shared" si="176"/>
        <v>0</v>
      </c>
      <c r="Y1244">
        <f t="shared" si="173"/>
        <v>1</v>
      </c>
      <c r="Z1244">
        <f t="shared" si="170"/>
        <v>1</v>
      </c>
      <c r="AA1244">
        <f t="shared" si="185"/>
        <v>0</v>
      </c>
      <c r="AB1244">
        <f t="shared" si="182"/>
        <v>1</v>
      </c>
    </row>
    <row r="1245" spans="1:28">
      <c r="A1245" s="27">
        <v>44214</v>
      </c>
      <c r="B1245" s="24">
        <v>978.84</v>
      </c>
      <c r="C1245" s="25">
        <f t="shared" si="178"/>
        <v>-1.6379604879715372E-2</v>
      </c>
      <c r="E1245" s="25">
        <f t="shared" si="174"/>
        <v>0.17386611661429985</v>
      </c>
      <c r="F1245" s="25">
        <f t="shared" si="171"/>
        <v>0.1531935261449453</v>
      </c>
      <c r="G1245" s="25">
        <f t="shared" si="168"/>
        <v>8.2515694159931874E-2</v>
      </c>
      <c r="H1245" s="25">
        <f t="shared" si="183"/>
        <v>0.12839679211599275</v>
      </c>
      <c r="I1245" s="25">
        <f t="shared" si="180"/>
        <v>0.16775911969973323</v>
      </c>
      <c r="K1245" s="29">
        <v>44214</v>
      </c>
      <c r="L1245" s="24">
        <v>17863.349999999999</v>
      </c>
      <c r="M1245" s="25">
        <f t="shared" si="179"/>
        <v>-1.3164384060100702E-2</v>
      </c>
      <c r="O1245" t="b">
        <f t="shared" si="177"/>
        <v>1</v>
      </c>
      <c r="Q1245" s="25">
        <f t="shared" si="175"/>
        <v>0.18741798979783098</v>
      </c>
      <c r="R1245" s="25">
        <f t="shared" si="172"/>
        <v>0.14793705894083686</v>
      </c>
      <c r="S1245" s="25">
        <f t="shared" si="169"/>
        <v>8.1393605694496829E-2</v>
      </c>
      <c r="T1245" s="25">
        <f t="shared" si="184"/>
        <v>0.13998025511885559</v>
      </c>
      <c r="U1245" s="25">
        <f t="shared" si="181"/>
        <v>0.14978238017226175</v>
      </c>
      <c r="X1245">
        <f t="shared" si="176"/>
        <v>0</v>
      </c>
      <c r="Y1245">
        <f t="shared" si="173"/>
        <v>1</v>
      </c>
      <c r="Z1245">
        <f t="shared" si="170"/>
        <v>1</v>
      </c>
      <c r="AA1245">
        <f t="shared" si="185"/>
        <v>0</v>
      </c>
      <c r="AB1245">
        <f t="shared" si="182"/>
        <v>1</v>
      </c>
    </row>
    <row r="1246" spans="1:28">
      <c r="A1246" s="26">
        <v>44215</v>
      </c>
      <c r="B1246" s="23">
        <v>993.99</v>
      </c>
      <c r="C1246" s="25">
        <f t="shared" si="178"/>
        <v>1.5477503984307932E-2</v>
      </c>
      <c r="E1246" s="25">
        <f t="shared" si="174"/>
        <v>0.18239240596674056</v>
      </c>
      <c r="F1246" s="25">
        <f t="shared" si="171"/>
        <v>0.16232043213224534</v>
      </c>
      <c r="G1246" s="25">
        <f t="shared" si="168"/>
        <v>8.5419907166076836E-2</v>
      </c>
      <c r="H1246" s="25">
        <f t="shared" si="183"/>
        <v>0.12872587570809846</v>
      </c>
      <c r="I1246" s="25">
        <f t="shared" si="180"/>
        <v>0.17549067791397355</v>
      </c>
      <c r="K1246" s="28">
        <v>44215</v>
      </c>
      <c r="L1246" s="23">
        <v>18175.28</v>
      </c>
      <c r="M1246" s="25">
        <f t="shared" si="179"/>
        <v>1.7162321570836889E-2</v>
      </c>
      <c r="O1246" t="b">
        <f t="shared" si="177"/>
        <v>1</v>
      </c>
      <c r="Q1246" s="25">
        <f t="shared" si="175"/>
        <v>0.20062438111821801</v>
      </c>
      <c r="R1246" s="25">
        <f t="shared" si="172"/>
        <v>0.15695571504327854</v>
      </c>
      <c r="S1246" s="25">
        <f t="shared" si="169"/>
        <v>8.4797604841895469E-2</v>
      </c>
      <c r="T1246" s="25">
        <f t="shared" si="184"/>
        <v>0.14094916707819349</v>
      </c>
      <c r="U1246" s="25">
        <f t="shared" si="181"/>
        <v>0.15786959863926464</v>
      </c>
      <c r="X1246">
        <f t="shared" si="176"/>
        <v>0</v>
      </c>
      <c r="Y1246">
        <f t="shared" si="173"/>
        <v>1</v>
      </c>
      <c r="Z1246">
        <f t="shared" si="170"/>
        <v>1</v>
      </c>
      <c r="AA1246">
        <f t="shared" si="185"/>
        <v>0</v>
      </c>
      <c r="AB1246">
        <f t="shared" si="182"/>
        <v>1</v>
      </c>
    </row>
    <row r="1247" spans="1:28">
      <c r="A1247" s="27">
        <v>44216</v>
      </c>
      <c r="B1247" s="24">
        <v>1000.36</v>
      </c>
      <c r="C1247" s="25">
        <f t="shared" si="178"/>
        <v>6.4085151762090205E-3</v>
      </c>
      <c r="E1247" s="25">
        <f t="shared" si="174"/>
        <v>0.19538746489812997</v>
      </c>
      <c r="F1247" s="25">
        <f t="shared" si="171"/>
        <v>0.16741215878115168</v>
      </c>
      <c r="G1247" s="25">
        <f t="shared" si="168"/>
        <v>8.713720329977992E-2</v>
      </c>
      <c r="H1247" s="25">
        <f t="shared" si="183"/>
        <v>0.12936985263278467</v>
      </c>
      <c r="I1247" s="25">
        <f t="shared" si="180"/>
        <v>0.17728069044802086</v>
      </c>
      <c r="K1247" s="29">
        <v>44216</v>
      </c>
      <c r="L1247" s="24">
        <v>18321.73</v>
      </c>
      <c r="M1247" s="25">
        <f t="shared" si="179"/>
        <v>7.9932408129582046E-3</v>
      </c>
      <c r="O1247" t="b">
        <f t="shared" si="177"/>
        <v>1</v>
      </c>
      <c r="Q1247" s="25">
        <f t="shared" si="175"/>
        <v>0.22047797984669515</v>
      </c>
      <c r="R1247" s="25">
        <f t="shared" si="172"/>
        <v>0.16314274340343116</v>
      </c>
      <c r="S1247" s="25">
        <f t="shared" si="169"/>
        <v>8.5298710948828571E-2</v>
      </c>
      <c r="T1247" s="25">
        <f t="shared" si="184"/>
        <v>0.14180056409000708</v>
      </c>
      <c r="U1247" s="25">
        <f t="shared" si="181"/>
        <v>0.16061384778860943</v>
      </c>
      <c r="X1247">
        <f t="shared" si="176"/>
        <v>0</v>
      </c>
      <c r="Y1247">
        <f t="shared" si="173"/>
        <v>1</v>
      </c>
      <c r="Z1247">
        <f t="shared" si="170"/>
        <v>1</v>
      </c>
      <c r="AA1247">
        <f t="shared" si="185"/>
        <v>0</v>
      </c>
      <c r="AB1247">
        <f t="shared" si="182"/>
        <v>1</v>
      </c>
    </row>
    <row r="1248" spans="1:28">
      <c r="A1248" s="26">
        <v>44217</v>
      </c>
      <c r="B1248" s="23">
        <v>992.16</v>
      </c>
      <c r="C1248" s="25">
        <f t="shared" si="178"/>
        <v>-8.1970490623376035E-3</v>
      </c>
      <c r="E1248" s="25">
        <f t="shared" si="174"/>
        <v>0.18931229996523724</v>
      </c>
      <c r="F1248" s="25">
        <f t="shared" si="171"/>
        <v>0.16566274509413792</v>
      </c>
      <c r="G1248" s="25">
        <f t="shared" si="168"/>
        <v>8.0754593325423674E-2</v>
      </c>
      <c r="H1248" s="25">
        <f t="shared" si="183"/>
        <v>0.12741979072378506</v>
      </c>
      <c r="I1248" s="25">
        <f t="shared" si="180"/>
        <v>0.17001305217392826</v>
      </c>
      <c r="K1248" s="28">
        <v>44217</v>
      </c>
      <c r="L1248" s="23">
        <v>18227.91</v>
      </c>
      <c r="M1248" s="25">
        <f t="shared" si="179"/>
        <v>-5.147051965913794E-3</v>
      </c>
      <c r="O1248" t="b">
        <f t="shared" si="177"/>
        <v>1</v>
      </c>
      <c r="Q1248" s="25">
        <f t="shared" si="175"/>
        <v>0.2194294850781715</v>
      </c>
      <c r="R1248" s="25">
        <f t="shared" si="172"/>
        <v>0.16413606472300946</v>
      </c>
      <c r="S1248" s="25">
        <f t="shared" si="169"/>
        <v>8.0145648547365278E-2</v>
      </c>
      <c r="T1248" s="25">
        <f t="shared" si="184"/>
        <v>0.14045191045725391</v>
      </c>
      <c r="U1248" s="25">
        <f t="shared" si="181"/>
        <v>0.15473646232647331</v>
      </c>
      <c r="X1248">
        <f t="shared" si="176"/>
        <v>0</v>
      </c>
      <c r="Y1248">
        <f t="shared" si="173"/>
        <v>1</v>
      </c>
      <c r="Z1248">
        <f t="shared" si="170"/>
        <v>1</v>
      </c>
      <c r="AA1248">
        <f t="shared" si="185"/>
        <v>0</v>
      </c>
      <c r="AB1248">
        <f t="shared" si="182"/>
        <v>1</v>
      </c>
    </row>
    <row r="1249" spans="1:28">
      <c r="A1249" s="27">
        <v>44218</v>
      </c>
      <c r="B1249" s="24">
        <v>978.89</v>
      </c>
      <c r="C1249" s="25">
        <f t="shared" si="178"/>
        <v>-1.3374858893726801E-2</v>
      </c>
      <c r="E1249" s="25">
        <f t="shared" si="174"/>
        <v>0.16768059929382573</v>
      </c>
      <c r="F1249" s="25">
        <f t="shared" si="171"/>
        <v>0.15810294118544332</v>
      </c>
      <c r="G1249" s="25">
        <f t="shared" si="168"/>
        <v>7.7498105492870506E-2</v>
      </c>
      <c r="H1249" s="25">
        <f t="shared" si="183"/>
        <v>0.12691631490246458</v>
      </c>
      <c r="I1249" s="25">
        <f t="shared" si="180"/>
        <v>0.16620740345151441</v>
      </c>
      <c r="K1249" s="29">
        <v>44218</v>
      </c>
      <c r="L1249" s="24">
        <v>17983.28</v>
      </c>
      <c r="M1249" s="25">
        <f t="shared" si="179"/>
        <v>-1.3603191408908777E-2</v>
      </c>
      <c r="O1249" t="b">
        <f t="shared" si="177"/>
        <v>1</v>
      </c>
      <c r="Q1249" s="25">
        <f t="shared" si="175"/>
        <v>0.1967702413933774</v>
      </c>
      <c r="R1249" s="25">
        <f t="shared" si="172"/>
        <v>0.15594307197042223</v>
      </c>
      <c r="S1249" s="25">
        <f t="shared" si="169"/>
        <v>7.6137401533703297E-2</v>
      </c>
      <c r="T1249" s="25">
        <f t="shared" si="184"/>
        <v>0.13939441575320277</v>
      </c>
      <c r="U1249" s="25">
        <f t="shared" si="181"/>
        <v>0.15094922731674387</v>
      </c>
      <c r="X1249">
        <f t="shared" si="176"/>
        <v>0</v>
      </c>
      <c r="Y1249">
        <f t="shared" si="173"/>
        <v>1</v>
      </c>
      <c r="Z1249">
        <f t="shared" si="170"/>
        <v>1</v>
      </c>
      <c r="AA1249">
        <f t="shared" si="185"/>
        <v>0</v>
      </c>
      <c r="AB1249">
        <f t="shared" si="182"/>
        <v>1</v>
      </c>
    </row>
    <row r="1250" spans="1:28">
      <c r="A1250" s="26">
        <v>44221</v>
      </c>
      <c r="B1250" s="23">
        <v>972.94</v>
      </c>
      <c r="C1250" s="25">
        <f t="shared" si="178"/>
        <v>-6.0783131914719036E-3</v>
      </c>
      <c r="E1250" s="25">
        <f t="shared" si="174"/>
        <v>0.16843002798160178</v>
      </c>
      <c r="F1250" s="25">
        <f t="shared" si="171"/>
        <v>0.16111894824926631</v>
      </c>
      <c r="G1250" s="25">
        <f t="shared" si="168"/>
        <v>7.7158302018501601E-2</v>
      </c>
      <c r="H1250" s="25">
        <f t="shared" si="183"/>
        <v>0.1205127289918726</v>
      </c>
      <c r="I1250" s="25">
        <f t="shared" si="180"/>
        <v>0.1643708529796013</v>
      </c>
      <c r="K1250" s="28">
        <v>44221</v>
      </c>
      <c r="L1250" s="23">
        <v>17815.21</v>
      </c>
      <c r="M1250" s="25">
        <f t="shared" si="179"/>
        <v>-9.4340734686820821E-3</v>
      </c>
      <c r="O1250" t="b">
        <f t="shared" si="177"/>
        <v>1</v>
      </c>
      <c r="Q1250" s="25">
        <f t="shared" si="175"/>
        <v>0.19635423486947023</v>
      </c>
      <c r="R1250" s="25">
        <f t="shared" si="172"/>
        <v>0.15549675454171075</v>
      </c>
      <c r="S1250" s="25">
        <f t="shared" si="169"/>
        <v>7.4368600024425247E-2</v>
      </c>
      <c r="T1250" s="25">
        <f t="shared" si="184"/>
        <v>0.1314960350784784</v>
      </c>
      <c r="U1250" s="25">
        <f t="shared" si="181"/>
        <v>0.14848324659907441</v>
      </c>
      <c r="X1250">
        <f t="shared" si="176"/>
        <v>0</v>
      </c>
      <c r="Y1250">
        <f t="shared" si="173"/>
        <v>1</v>
      </c>
      <c r="Z1250">
        <f t="shared" si="170"/>
        <v>1</v>
      </c>
      <c r="AA1250">
        <f t="shared" si="185"/>
        <v>0</v>
      </c>
      <c r="AB1250">
        <f t="shared" si="182"/>
        <v>1</v>
      </c>
    </row>
    <row r="1251" spans="1:28">
      <c r="A1251" s="27">
        <v>44223</v>
      </c>
      <c r="B1251" s="24">
        <v>954.6</v>
      </c>
      <c r="C1251" s="25">
        <f t="shared" si="178"/>
        <v>-1.8850083252821379E-2</v>
      </c>
      <c r="E1251" s="25">
        <f t="shared" si="174"/>
        <v>0.15048087352664696</v>
      </c>
      <c r="F1251" s="25">
        <f t="shared" si="171"/>
        <v>0.15829774503218541</v>
      </c>
      <c r="G1251" s="25">
        <f t="shared" si="168"/>
        <v>7.0191370721143675E-2</v>
      </c>
      <c r="H1251" s="25">
        <f t="shared" si="183"/>
        <v>0.11302781021559105</v>
      </c>
      <c r="I1251" s="25">
        <f t="shared" si="180"/>
        <v>0.16044331864579919</v>
      </c>
      <c r="K1251" s="29">
        <v>44223</v>
      </c>
      <c r="L1251" s="24">
        <v>17516.93</v>
      </c>
      <c r="M1251" s="25">
        <f t="shared" si="179"/>
        <v>-1.7028097960087689E-2</v>
      </c>
      <c r="O1251" t="b">
        <f t="shared" si="177"/>
        <v>1</v>
      </c>
      <c r="Q1251" s="25">
        <f t="shared" si="175"/>
        <v>0.18321099498330584</v>
      </c>
      <c r="R1251" s="25">
        <f t="shared" si="172"/>
        <v>0.15334619958047635</v>
      </c>
      <c r="S1251" s="25">
        <f t="shared" si="169"/>
        <v>6.7988981707885143E-2</v>
      </c>
      <c r="T1251" s="25">
        <f t="shared" si="184"/>
        <v>0.12552870150022533</v>
      </c>
      <c r="U1251" s="25">
        <f t="shared" si="181"/>
        <v>0.14506641848072288</v>
      </c>
      <c r="X1251">
        <f t="shared" si="176"/>
        <v>0</v>
      </c>
      <c r="Y1251">
        <f t="shared" si="173"/>
        <v>1</v>
      </c>
      <c r="Z1251">
        <f t="shared" si="170"/>
        <v>1</v>
      </c>
      <c r="AA1251">
        <f t="shared" si="185"/>
        <v>0</v>
      </c>
      <c r="AB1251">
        <f t="shared" si="182"/>
        <v>1</v>
      </c>
    </row>
    <row r="1252" spans="1:28">
      <c r="A1252" s="26">
        <v>44224</v>
      </c>
      <c r="B1252" s="23">
        <v>947.44</v>
      </c>
      <c r="C1252" s="25">
        <f t="shared" si="178"/>
        <v>-7.5005237795935133E-3</v>
      </c>
      <c r="E1252" s="25">
        <f t="shared" si="174"/>
        <v>0.16350239469482997</v>
      </c>
      <c r="F1252" s="25">
        <f t="shared" si="171"/>
        <v>0.15213348127246173</v>
      </c>
      <c r="G1252" s="25">
        <f t="shared" ref="G1252:G1315" si="186">((B1252/B515)^(1/3))-1</f>
        <v>6.9789447797826032E-2</v>
      </c>
      <c r="H1252" s="25">
        <f t="shared" si="183"/>
        <v>0.11017261825409297</v>
      </c>
      <c r="I1252" s="25">
        <f t="shared" si="180"/>
        <v>0.15516908200433144</v>
      </c>
      <c r="K1252" s="28">
        <v>44224</v>
      </c>
      <c r="L1252" s="23">
        <v>17359.8</v>
      </c>
      <c r="M1252" s="25">
        <f t="shared" si="179"/>
        <v>-9.0513715595802388E-3</v>
      </c>
      <c r="O1252" t="b">
        <f t="shared" si="177"/>
        <v>1</v>
      </c>
      <c r="Q1252" s="25">
        <f t="shared" si="175"/>
        <v>0.19820432932224752</v>
      </c>
      <c r="R1252" s="25">
        <f t="shared" si="172"/>
        <v>0.14821007913750472</v>
      </c>
      <c r="S1252" s="25">
        <f t="shared" ref="S1252:S1315" si="187">((L1252/L515)^(1/3))-1</f>
        <v>6.754043875005844E-2</v>
      </c>
      <c r="T1252" s="25">
        <f t="shared" si="184"/>
        <v>0.12214995253245475</v>
      </c>
      <c r="U1252" s="25">
        <f t="shared" si="181"/>
        <v>0.13903081444140719</v>
      </c>
      <c r="X1252">
        <f t="shared" si="176"/>
        <v>0</v>
      </c>
      <c r="Y1252">
        <f t="shared" si="173"/>
        <v>1</v>
      </c>
      <c r="Z1252">
        <f t="shared" ref="Z1252:Z1315" si="188">IF(G1252&gt;S1252,1,0)</f>
        <v>1</v>
      </c>
      <c r="AA1252">
        <f t="shared" si="185"/>
        <v>0</v>
      </c>
      <c r="AB1252">
        <f t="shared" si="182"/>
        <v>1</v>
      </c>
    </row>
    <row r="1253" spans="1:28">
      <c r="A1253" s="27">
        <v>44225</v>
      </c>
      <c r="B1253" s="24">
        <v>936.54</v>
      </c>
      <c r="C1253" s="25">
        <f t="shared" si="178"/>
        <v>-1.150468631258981E-2</v>
      </c>
      <c r="E1253" s="25">
        <f t="shared" si="174"/>
        <v>0.12516218943726276</v>
      </c>
      <c r="F1253" s="25">
        <f t="shared" si="171"/>
        <v>0.14089256089219848</v>
      </c>
      <c r="G1253" s="25">
        <f t="shared" si="186"/>
        <v>6.6282299093480379E-2</v>
      </c>
      <c r="H1253" s="25">
        <f t="shared" si="183"/>
        <v>0.10543581851316874</v>
      </c>
      <c r="I1253" s="25">
        <f t="shared" si="180"/>
        <v>0.15183935464484066</v>
      </c>
      <c r="K1253" s="29">
        <v>44225</v>
      </c>
      <c r="L1253" s="24">
        <v>17147.27</v>
      </c>
      <c r="M1253" s="25">
        <f t="shared" si="179"/>
        <v>-1.2394392810050744E-2</v>
      </c>
      <c r="O1253" t="b">
        <f t="shared" si="177"/>
        <v>1</v>
      </c>
      <c r="Q1253" s="25">
        <f t="shared" si="175"/>
        <v>0.15920947579841016</v>
      </c>
      <c r="R1253" s="25">
        <f t="shared" si="172"/>
        <v>0.14056580710939293</v>
      </c>
      <c r="S1253" s="25">
        <f t="shared" si="187"/>
        <v>6.4806554362063507E-2</v>
      </c>
      <c r="T1253" s="25">
        <f t="shared" si="184"/>
        <v>0.11655156948245038</v>
      </c>
      <c r="U1253" s="25">
        <f t="shared" si="181"/>
        <v>0.13614003260196106</v>
      </c>
      <c r="X1253">
        <f t="shared" si="176"/>
        <v>0</v>
      </c>
      <c r="Y1253">
        <f t="shared" si="173"/>
        <v>1</v>
      </c>
      <c r="Z1253">
        <f t="shared" si="188"/>
        <v>1</v>
      </c>
      <c r="AA1253">
        <f t="shared" si="185"/>
        <v>0</v>
      </c>
      <c r="AB1253">
        <f t="shared" si="182"/>
        <v>1</v>
      </c>
    </row>
    <row r="1254" spans="1:28">
      <c r="A1254" s="26">
        <v>44228</v>
      </c>
      <c r="B1254" s="23">
        <v>972.2</v>
      </c>
      <c r="C1254" s="25">
        <f t="shared" si="178"/>
        <v>3.8076323488585737E-2</v>
      </c>
      <c r="E1254" s="25">
        <f t="shared" si="174"/>
        <v>0.1570779081669087</v>
      </c>
      <c r="F1254" s="25">
        <f t="shared" si="171"/>
        <v>0.15802461449048599</v>
      </c>
      <c r="G1254" s="25">
        <f t="shared" si="186"/>
        <v>7.8930980670174788E-2</v>
      </c>
      <c r="H1254" s="25">
        <f t="shared" si="183"/>
        <v>0.11658234065677875</v>
      </c>
      <c r="I1254" s="25">
        <f t="shared" si="180"/>
        <v>0.16412710685646337</v>
      </c>
      <c r="K1254" s="28">
        <v>44228</v>
      </c>
      <c r="L1254" s="23">
        <v>17857.07</v>
      </c>
      <c r="M1254" s="25">
        <f t="shared" si="179"/>
        <v>3.9748962175765637E-2</v>
      </c>
      <c r="O1254" t="b">
        <f t="shared" si="177"/>
        <v>1</v>
      </c>
      <c r="Q1254" s="25">
        <f t="shared" si="175"/>
        <v>0.19525634289271365</v>
      </c>
      <c r="R1254" s="25">
        <f t="shared" si="172"/>
        <v>0.15621242517935463</v>
      </c>
      <c r="S1254" s="25">
        <f t="shared" si="187"/>
        <v>7.9676850272811128E-2</v>
      </c>
      <c r="T1254" s="25">
        <f t="shared" si="184"/>
        <v>0.12881876453243613</v>
      </c>
      <c r="U1254" s="25">
        <f t="shared" si="181"/>
        <v>0.14863365259733463</v>
      </c>
      <c r="X1254">
        <f t="shared" si="176"/>
        <v>0</v>
      </c>
      <c r="Y1254">
        <f t="shared" si="173"/>
        <v>1</v>
      </c>
      <c r="Z1254">
        <f t="shared" si="188"/>
        <v>0</v>
      </c>
      <c r="AA1254">
        <f t="shared" si="185"/>
        <v>0</v>
      </c>
      <c r="AB1254">
        <f t="shared" si="182"/>
        <v>1</v>
      </c>
    </row>
    <row r="1255" spans="1:28">
      <c r="A1255" s="27">
        <v>44229</v>
      </c>
      <c r="B1255" s="24">
        <v>995.61</v>
      </c>
      <c r="C1255" s="25">
        <f t="shared" si="178"/>
        <v>2.4079407529314922E-2</v>
      </c>
      <c r="E1255" s="25">
        <f t="shared" si="174"/>
        <v>0.17806938659598637</v>
      </c>
      <c r="F1255" s="25">
        <f t="shared" si="171"/>
        <v>0.17197286826106661</v>
      </c>
      <c r="G1255" s="25">
        <f t="shared" si="186"/>
        <v>9.6505985002749428E-2</v>
      </c>
      <c r="H1255" s="25">
        <f t="shared" si="183"/>
        <v>0.12231668520919214</v>
      </c>
      <c r="I1255" s="25">
        <f t="shared" si="180"/>
        <v>0.17244686358233641</v>
      </c>
      <c r="K1255" s="29">
        <v>44229</v>
      </c>
      <c r="L1255" s="24">
        <v>18286.87</v>
      </c>
      <c r="M1255" s="25">
        <f t="shared" si="179"/>
        <v>2.3503202024184527E-2</v>
      </c>
      <c r="O1255" t="b">
        <f t="shared" si="177"/>
        <v>1</v>
      </c>
      <c r="Q1255" s="25">
        <f t="shared" si="175"/>
        <v>0.21751105867690024</v>
      </c>
      <c r="R1255" s="25">
        <f t="shared" si="172"/>
        <v>0.16664936183033086</v>
      </c>
      <c r="S1255" s="25">
        <f t="shared" si="187"/>
        <v>9.8850198392128386E-2</v>
      </c>
      <c r="T1255" s="25">
        <f t="shared" si="184"/>
        <v>0.13511870917768198</v>
      </c>
      <c r="U1255" s="25">
        <f t="shared" si="181"/>
        <v>0.15730302777609673</v>
      </c>
      <c r="X1255">
        <f t="shared" si="176"/>
        <v>0</v>
      </c>
      <c r="Y1255">
        <f t="shared" si="173"/>
        <v>1</v>
      </c>
      <c r="Z1255">
        <f t="shared" si="188"/>
        <v>0</v>
      </c>
      <c r="AA1255">
        <f t="shared" si="185"/>
        <v>0</v>
      </c>
      <c r="AB1255">
        <f t="shared" si="182"/>
        <v>1</v>
      </c>
    </row>
    <row r="1256" spans="1:28">
      <c r="A1256" s="26">
        <v>44230</v>
      </c>
      <c r="B1256" s="23">
        <v>1007.04</v>
      </c>
      <c r="C1256" s="25">
        <f t="shared" si="178"/>
        <v>1.1480398951396581E-2</v>
      </c>
      <c r="E1256" s="25">
        <f t="shared" si="174"/>
        <v>0.19074871115735692</v>
      </c>
      <c r="F1256" s="25">
        <f t="shared" si="171"/>
        <v>0.18189752609638443</v>
      </c>
      <c r="G1256" s="25">
        <f t="shared" si="186"/>
        <v>0.1027587039556257</v>
      </c>
      <c r="H1256" s="25">
        <f t="shared" si="183"/>
        <v>0.12559134089820523</v>
      </c>
      <c r="I1256" s="25">
        <f t="shared" si="180"/>
        <v>0.17444269956183933</v>
      </c>
      <c r="K1256" s="28">
        <v>44230</v>
      </c>
      <c r="L1256" s="23">
        <v>18470.150000000001</v>
      </c>
      <c r="M1256" s="25">
        <f t="shared" si="179"/>
        <v>9.9230379829076901E-3</v>
      </c>
      <c r="O1256" t="b">
        <f t="shared" si="177"/>
        <v>1</v>
      </c>
      <c r="Q1256" s="25">
        <f t="shared" si="175"/>
        <v>0.23011649714684568</v>
      </c>
      <c r="R1256" s="25">
        <f t="shared" si="172"/>
        <v>0.17339896303808544</v>
      </c>
      <c r="S1256" s="25">
        <f t="shared" si="187"/>
        <v>0.10507357187367372</v>
      </c>
      <c r="T1256" s="25">
        <f t="shared" si="184"/>
        <v>0.13751567130393005</v>
      </c>
      <c r="U1256" s="25">
        <f t="shared" si="181"/>
        <v>0.15885941787749447</v>
      </c>
      <c r="X1256">
        <f t="shared" si="176"/>
        <v>0</v>
      </c>
      <c r="Y1256">
        <f t="shared" si="173"/>
        <v>1</v>
      </c>
      <c r="Z1256">
        <f t="shared" si="188"/>
        <v>0</v>
      </c>
      <c r="AA1256">
        <f t="shared" si="185"/>
        <v>0</v>
      </c>
      <c r="AB1256">
        <f t="shared" si="182"/>
        <v>1</v>
      </c>
    </row>
    <row r="1257" spans="1:28">
      <c r="A1257" s="27">
        <v>44231</v>
      </c>
      <c r="B1257" s="24">
        <v>1012.33</v>
      </c>
      <c r="C1257" s="25">
        <f t="shared" si="178"/>
        <v>5.2530187480140586E-3</v>
      </c>
      <c r="E1257" s="25">
        <f t="shared" si="174"/>
        <v>0.20674939503391387</v>
      </c>
      <c r="F1257" s="25">
        <f t="shared" si="171"/>
        <v>0.18500594374452528</v>
      </c>
      <c r="G1257" s="25">
        <f t="shared" si="186"/>
        <v>0.10925968146790477</v>
      </c>
      <c r="H1257" s="25">
        <f t="shared" si="183"/>
        <v>0.12724185231586804</v>
      </c>
      <c r="I1257" s="25">
        <f t="shared" si="180"/>
        <v>0.17131955940525989</v>
      </c>
      <c r="K1257" s="29">
        <v>44231</v>
      </c>
      <c r="L1257" s="24">
        <v>18640.59</v>
      </c>
      <c r="M1257" s="25">
        <f t="shared" si="179"/>
        <v>9.1434874110743643E-3</v>
      </c>
      <c r="O1257" t="b">
        <f t="shared" si="177"/>
        <v>1</v>
      </c>
      <c r="Q1257" s="25">
        <f t="shared" si="175"/>
        <v>0.24834101132512143</v>
      </c>
      <c r="R1257" s="25">
        <f t="shared" si="172"/>
        <v>0.17932899147538417</v>
      </c>
      <c r="S1257" s="25">
        <f t="shared" si="187"/>
        <v>0.11460418206814427</v>
      </c>
      <c r="T1257" s="25">
        <f t="shared" si="184"/>
        <v>0.13984216577130071</v>
      </c>
      <c r="U1257" s="25">
        <f t="shared" si="181"/>
        <v>0.15782890235297442</v>
      </c>
      <c r="X1257">
        <f t="shared" si="176"/>
        <v>0</v>
      </c>
      <c r="Y1257">
        <f t="shared" si="173"/>
        <v>1</v>
      </c>
      <c r="Z1257">
        <f t="shared" si="188"/>
        <v>0</v>
      </c>
      <c r="AA1257">
        <f t="shared" si="185"/>
        <v>0</v>
      </c>
      <c r="AB1257">
        <f t="shared" si="182"/>
        <v>1</v>
      </c>
    </row>
    <row r="1258" spans="1:28">
      <c r="A1258" s="26">
        <v>44232</v>
      </c>
      <c r="B1258" s="23">
        <v>1007.53</v>
      </c>
      <c r="C1258" s="25">
        <f t="shared" si="178"/>
        <v>-4.7415368506317779E-3</v>
      </c>
      <c r="E1258" s="25">
        <f t="shared" si="174"/>
        <v>0.19643514505230897</v>
      </c>
      <c r="F1258" s="25">
        <f t="shared" si="171"/>
        <v>0.17614783188055205</v>
      </c>
      <c r="G1258" s="25">
        <f t="shared" si="186"/>
        <v>0.10812657812698867</v>
      </c>
      <c r="H1258" s="25">
        <f t="shared" si="183"/>
        <v>0.12587632040278462</v>
      </c>
      <c r="I1258" s="25">
        <f t="shared" si="180"/>
        <v>0.17210702880113971</v>
      </c>
      <c r="K1258" s="28">
        <v>44232</v>
      </c>
      <c r="L1258" s="23">
        <v>18631.61</v>
      </c>
      <c r="M1258" s="25">
        <f t="shared" si="179"/>
        <v>-4.8197659783559034E-4</v>
      </c>
      <c r="O1258" t="b">
        <f t="shared" si="177"/>
        <v>1</v>
      </c>
      <c r="Q1258" s="25">
        <f t="shared" si="175"/>
        <v>0.24253393665158374</v>
      </c>
      <c r="R1258" s="25">
        <f t="shared" si="172"/>
        <v>0.17341398157981458</v>
      </c>
      <c r="S1258" s="25">
        <f t="shared" si="187"/>
        <v>0.11373669442081247</v>
      </c>
      <c r="T1258" s="25">
        <f t="shared" si="184"/>
        <v>0.13985585390805899</v>
      </c>
      <c r="U1258" s="25">
        <f t="shared" si="181"/>
        <v>0.15997233222162044</v>
      </c>
      <c r="X1258">
        <f t="shared" si="176"/>
        <v>0</v>
      </c>
      <c r="Y1258">
        <f t="shared" si="173"/>
        <v>1</v>
      </c>
      <c r="Z1258">
        <f t="shared" si="188"/>
        <v>0</v>
      </c>
      <c r="AA1258">
        <f t="shared" si="185"/>
        <v>0</v>
      </c>
      <c r="AB1258">
        <f t="shared" si="182"/>
        <v>1</v>
      </c>
    </row>
    <row r="1259" spans="1:28">
      <c r="A1259" s="27">
        <v>44235</v>
      </c>
      <c r="B1259" s="24">
        <v>1022.46</v>
      </c>
      <c r="C1259" s="25">
        <f t="shared" si="178"/>
        <v>1.4818417317598547E-2</v>
      </c>
      <c r="E1259" s="25">
        <f t="shared" si="174"/>
        <v>0.20702640805581463</v>
      </c>
      <c r="F1259" s="25">
        <f t="shared" si="171"/>
        <v>0.18238940786624069</v>
      </c>
      <c r="G1259" s="25">
        <f t="shared" si="186"/>
        <v>0.10913720411201067</v>
      </c>
      <c r="H1259" s="25">
        <f t="shared" si="183"/>
        <v>0.13157492192581155</v>
      </c>
      <c r="I1259" s="25">
        <f t="shared" si="180"/>
        <v>0.17950251382049531</v>
      </c>
      <c r="K1259" s="29">
        <v>44235</v>
      </c>
      <c r="L1259" s="24">
        <v>18876.939999999999</v>
      </c>
      <c r="M1259" s="25">
        <f t="shared" si="179"/>
        <v>1.2996280117434188E-2</v>
      </c>
      <c r="O1259" t="b">
        <f t="shared" si="177"/>
        <v>1</v>
      </c>
      <c r="Q1259" s="25">
        <f t="shared" si="175"/>
        <v>0.25260382106095758</v>
      </c>
      <c r="R1259" s="25">
        <f t="shared" si="172"/>
        <v>0.17935489026840079</v>
      </c>
      <c r="S1259" s="25">
        <f t="shared" si="187"/>
        <v>0.11377863840844027</v>
      </c>
      <c r="T1259" s="25">
        <f t="shared" si="184"/>
        <v>0.14440036593292427</v>
      </c>
      <c r="U1259" s="25">
        <f t="shared" si="181"/>
        <v>0.16618922827639171</v>
      </c>
      <c r="X1259">
        <f t="shared" si="176"/>
        <v>0</v>
      </c>
      <c r="Y1259">
        <f t="shared" si="173"/>
        <v>1</v>
      </c>
      <c r="Z1259">
        <f t="shared" si="188"/>
        <v>0</v>
      </c>
      <c r="AA1259">
        <f t="shared" si="185"/>
        <v>0</v>
      </c>
      <c r="AB1259">
        <f t="shared" si="182"/>
        <v>1</v>
      </c>
    </row>
    <row r="1260" spans="1:28">
      <c r="A1260" s="26">
        <v>44236</v>
      </c>
      <c r="B1260" s="23">
        <v>1022.03</v>
      </c>
      <c r="C1260" s="25">
        <f t="shared" si="178"/>
        <v>-4.2055434931446083E-4</v>
      </c>
      <c r="E1260" s="25">
        <f t="shared" si="174"/>
        <v>0.20627670372730922</v>
      </c>
      <c r="F1260" s="25">
        <f t="shared" si="171"/>
        <v>0.18930943446704052</v>
      </c>
      <c r="G1260" s="25">
        <f t="shared" si="186"/>
        <v>0.11070372218835511</v>
      </c>
      <c r="H1260" s="25">
        <f t="shared" si="183"/>
        <v>0.13484222742203689</v>
      </c>
      <c r="I1260" s="25">
        <f t="shared" si="180"/>
        <v>0.18269605600296557</v>
      </c>
      <c r="K1260" s="28">
        <v>44236</v>
      </c>
      <c r="L1260" s="23">
        <v>18867.87</v>
      </c>
      <c r="M1260" s="25">
        <f t="shared" si="179"/>
        <v>-4.8071138925589953E-4</v>
      </c>
      <c r="O1260" t="b">
        <f t="shared" si="177"/>
        <v>1</v>
      </c>
      <c r="Q1260" s="25">
        <f t="shared" si="175"/>
        <v>0.25435667240841719</v>
      </c>
      <c r="R1260" s="25">
        <f t="shared" si="172"/>
        <v>0.18614465730188101</v>
      </c>
      <c r="S1260" s="25">
        <f t="shared" si="187"/>
        <v>0.11645724140307023</v>
      </c>
      <c r="T1260" s="25">
        <f t="shared" si="184"/>
        <v>0.14700478459400879</v>
      </c>
      <c r="U1260" s="25">
        <f t="shared" si="181"/>
        <v>0.16889500113448408</v>
      </c>
      <c r="X1260">
        <f t="shared" si="176"/>
        <v>0</v>
      </c>
      <c r="Y1260">
        <f t="shared" si="173"/>
        <v>1</v>
      </c>
      <c r="Z1260">
        <f t="shared" si="188"/>
        <v>0</v>
      </c>
      <c r="AA1260">
        <f t="shared" si="185"/>
        <v>0</v>
      </c>
      <c r="AB1260">
        <f t="shared" si="182"/>
        <v>1</v>
      </c>
    </row>
    <row r="1261" spans="1:28">
      <c r="A1261" s="27">
        <v>44237</v>
      </c>
      <c r="B1261" s="24">
        <v>1021.69</v>
      </c>
      <c r="C1261" s="25">
        <f t="shared" si="178"/>
        <v>-3.326712523114959E-4</v>
      </c>
      <c r="E1261" s="25">
        <f t="shared" si="174"/>
        <v>0.20942978562212211</v>
      </c>
      <c r="F1261" s="25">
        <f t="shared" si="171"/>
        <v>0.19531468649635264</v>
      </c>
      <c r="G1261" s="25">
        <f t="shared" si="186"/>
        <v>0.10680946674965974</v>
      </c>
      <c r="H1261" s="25">
        <f t="shared" si="183"/>
        <v>0.13099473818370266</v>
      </c>
      <c r="I1261" s="25">
        <f t="shared" si="180"/>
        <v>0.19025507049663615</v>
      </c>
      <c r="K1261" s="29">
        <v>44237</v>
      </c>
      <c r="L1261" s="24">
        <v>18896</v>
      </c>
      <c r="M1261" s="25">
        <f t="shared" si="179"/>
        <v>1.488674851820545E-3</v>
      </c>
      <c r="O1261" t="b">
        <f t="shared" si="177"/>
        <v>1</v>
      </c>
      <c r="Q1261" s="25">
        <f t="shared" si="175"/>
        <v>0.26335579551768107</v>
      </c>
      <c r="R1261" s="25">
        <f t="shared" si="172"/>
        <v>0.1915324230552462</v>
      </c>
      <c r="S1261" s="25">
        <f t="shared" si="187"/>
        <v>0.11312207894620374</v>
      </c>
      <c r="T1261" s="25">
        <f t="shared" si="184"/>
        <v>0.14484077345635749</v>
      </c>
      <c r="U1261" s="25">
        <f t="shared" si="181"/>
        <v>0.17746052367863907</v>
      </c>
      <c r="X1261">
        <f t="shared" si="176"/>
        <v>0</v>
      </c>
      <c r="Y1261">
        <f t="shared" si="173"/>
        <v>1</v>
      </c>
      <c r="Z1261">
        <f t="shared" si="188"/>
        <v>0</v>
      </c>
      <c r="AA1261">
        <f t="shared" si="185"/>
        <v>0</v>
      </c>
      <c r="AB1261">
        <f t="shared" si="182"/>
        <v>1</v>
      </c>
    </row>
    <row r="1262" spans="1:28">
      <c r="A1262" s="26">
        <v>44238</v>
      </c>
      <c r="B1262" s="23">
        <v>1025.77</v>
      </c>
      <c r="C1262" s="25">
        <f t="shared" si="178"/>
        <v>3.9933835116326153E-3</v>
      </c>
      <c r="E1262" s="25">
        <f t="shared" si="174"/>
        <v>0.22148921728568527</v>
      </c>
      <c r="F1262" s="25">
        <f t="shared" si="171"/>
        <v>0.20025300218517939</v>
      </c>
      <c r="G1262" s="25">
        <f t="shared" si="186"/>
        <v>0.10949933853292504</v>
      </c>
      <c r="H1262" s="25">
        <f t="shared" si="183"/>
        <v>0.13046475998575513</v>
      </c>
      <c r="I1262" s="25">
        <f t="shared" si="180"/>
        <v>0.19109280508666338</v>
      </c>
      <c r="K1262" s="28">
        <v>44238</v>
      </c>
      <c r="L1262" s="23">
        <v>18993.38</v>
      </c>
      <c r="M1262" s="25">
        <f t="shared" si="179"/>
        <v>5.1270495298888887E-3</v>
      </c>
      <c r="O1262" t="b">
        <f t="shared" si="177"/>
        <v>1</v>
      </c>
      <c r="Q1262" s="25">
        <f t="shared" si="175"/>
        <v>0.2785660528756897</v>
      </c>
      <c r="R1262" s="25">
        <f t="shared" si="172"/>
        <v>0.19731276256013208</v>
      </c>
      <c r="S1262" s="25">
        <f t="shared" si="187"/>
        <v>0.11589279469643898</v>
      </c>
      <c r="T1262" s="25">
        <f t="shared" si="184"/>
        <v>0.14485624793851359</v>
      </c>
      <c r="U1262" s="25">
        <f t="shared" si="181"/>
        <v>0.17906590237815112</v>
      </c>
      <c r="X1262">
        <f t="shared" si="176"/>
        <v>0</v>
      </c>
      <c r="Y1262">
        <f t="shared" si="173"/>
        <v>1</v>
      </c>
      <c r="Z1262">
        <f t="shared" si="188"/>
        <v>0</v>
      </c>
      <c r="AA1262">
        <f t="shared" si="185"/>
        <v>0</v>
      </c>
      <c r="AB1262">
        <f t="shared" si="182"/>
        <v>1</v>
      </c>
    </row>
    <row r="1263" spans="1:28">
      <c r="A1263" s="27">
        <v>44239</v>
      </c>
      <c r="B1263" s="24">
        <v>1028.6099999999999</v>
      </c>
      <c r="C1263" s="25">
        <f t="shared" si="178"/>
        <v>2.768651842030785E-3</v>
      </c>
      <c r="E1263" s="25">
        <f t="shared" si="174"/>
        <v>0.22763402873919891</v>
      </c>
      <c r="F1263" s="25">
        <f t="shared" ref="F1263:F1326" si="189">((B1263/B771)^(1/2))-1</f>
        <v>0.20445340281336155</v>
      </c>
      <c r="G1263" s="25">
        <f t="shared" si="186"/>
        <v>0.11067023615989791</v>
      </c>
      <c r="H1263" s="25">
        <f t="shared" si="183"/>
        <v>0.1292426021021702</v>
      </c>
      <c r="I1263" s="25">
        <f t="shared" si="180"/>
        <v>0.18489723591457641</v>
      </c>
      <c r="K1263" s="29">
        <v>44239</v>
      </c>
      <c r="L1263" s="24">
        <v>18984.95</v>
      </c>
      <c r="M1263" s="25">
        <f t="shared" si="179"/>
        <v>-4.4403593372646704E-4</v>
      </c>
      <c r="O1263" t="b">
        <f t="shared" si="177"/>
        <v>1</v>
      </c>
      <c r="Q1263" s="25">
        <f t="shared" si="175"/>
        <v>0.28369149671317317</v>
      </c>
      <c r="R1263" s="25">
        <f t="shared" ref="R1263:R1326" si="190">((L1263/L771)^(1/2))-1</f>
        <v>0.19955575578192741</v>
      </c>
      <c r="S1263" s="25">
        <f t="shared" si="187"/>
        <v>0.11574291516181212</v>
      </c>
      <c r="T1263" s="25">
        <f t="shared" si="184"/>
        <v>0.14272057688067852</v>
      </c>
      <c r="U1263" s="25">
        <f t="shared" si="181"/>
        <v>0.17237479345872275</v>
      </c>
      <c r="X1263">
        <f t="shared" si="176"/>
        <v>0</v>
      </c>
      <c r="Y1263">
        <f t="shared" ref="Y1263:Y1326" si="191">IF(F1263&gt;R1263,1,0)</f>
        <v>1</v>
      </c>
      <c r="Z1263">
        <f t="shared" si="188"/>
        <v>0</v>
      </c>
      <c r="AA1263">
        <f t="shared" si="185"/>
        <v>0</v>
      </c>
      <c r="AB1263">
        <f t="shared" si="182"/>
        <v>1</v>
      </c>
    </row>
    <row r="1264" spans="1:28">
      <c r="A1264" s="26">
        <v>44242</v>
      </c>
      <c r="B1264" s="23">
        <v>1041.58</v>
      </c>
      <c r="C1264" s="25">
        <f t="shared" si="178"/>
        <v>1.2609249375370673E-2</v>
      </c>
      <c r="E1264" s="25">
        <f t="shared" si="174"/>
        <v>0.23236195411682559</v>
      </c>
      <c r="F1264" s="25">
        <f t="shared" si="189"/>
        <v>0.21262197027940366</v>
      </c>
      <c r="G1264" s="25">
        <f t="shared" si="186"/>
        <v>0.1193190332174372</v>
      </c>
      <c r="H1264" s="25">
        <f t="shared" si="183"/>
        <v>0.13182956323510941</v>
      </c>
      <c r="I1264" s="25">
        <f t="shared" si="180"/>
        <v>0.19272508556021228</v>
      </c>
      <c r="K1264" s="28">
        <v>44242</v>
      </c>
      <c r="L1264" s="23">
        <v>19174.53</v>
      </c>
      <c r="M1264" s="25">
        <f t="shared" si="179"/>
        <v>9.8870741551421656E-3</v>
      </c>
      <c r="O1264" t="b">
        <f t="shared" si="177"/>
        <v>1</v>
      </c>
      <c r="Q1264" s="25">
        <f t="shared" si="175"/>
        <v>0.28026250865492019</v>
      </c>
      <c r="R1264" s="25">
        <f t="shared" si="190"/>
        <v>0.20673805605394002</v>
      </c>
      <c r="S1264" s="25">
        <f t="shared" si="187"/>
        <v>0.12295866248799214</v>
      </c>
      <c r="T1264" s="25">
        <f t="shared" si="184"/>
        <v>0.14432213817322692</v>
      </c>
      <c r="U1264" s="25">
        <f t="shared" si="181"/>
        <v>0.17904562752915631</v>
      </c>
      <c r="X1264">
        <f t="shared" si="176"/>
        <v>0</v>
      </c>
      <c r="Y1264">
        <f t="shared" si="191"/>
        <v>1</v>
      </c>
      <c r="Z1264">
        <f t="shared" si="188"/>
        <v>0</v>
      </c>
      <c r="AA1264">
        <f t="shared" si="185"/>
        <v>0</v>
      </c>
      <c r="AB1264">
        <f t="shared" si="182"/>
        <v>1</v>
      </c>
    </row>
    <row r="1265" spans="1:28">
      <c r="A1265" s="27">
        <v>44243</v>
      </c>
      <c r="B1265" s="24">
        <v>1038.98</v>
      </c>
      <c r="C1265" s="25">
        <f t="shared" si="178"/>
        <v>-2.4962076844792618E-3</v>
      </c>
      <c r="E1265" s="25">
        <f t="shared" si="174"/>
        <v>0.22831201380843158</v>
      </c>
      <c r="F1265" s="25">
        <f t="shared" si="189"/>
        <v>0.21714518537961869</v>
      </c>
      <c r="G1265" s="25">
        <f t="shared" si="186"/>
        <v>0.12192262832734668</v>
      </c>
      <c r="H1265" s="25">
        <f t="shared" si="183"/>
        <v>0.13245866452052857</v>
      </c>
      <c r="I1265" s="25">
        <f t="shared" si="180"/>
        <v>0.19025923233905728</v>
      </c>
      <c r="K1265" s="29">
        <v>44243</v>
      </c>
      <c r="L1265" s="24">
        <v>19197.73</v>
      </c>
      <c r="M1265" s="25">
        <f t="shared" si="179"/>
        <v>1.2084762104686716E-3</v>
      </c>
      <c r="O1265" t="b">
        <f t="shared" si="177"/>
        <v>1</v>
      </c>
      <c r="Q1265" s="25">
        <f t="shared" si="175"/>
        <v>0.28333162870697737</v>
      </c>
      <c r="R1265" s="25">
        <f t="shared" si="190"/>
        <v>0.21031239098137378</v>
      </c>
      <c r="S1265" s="25">
        <f t="shared" si="187"/>
        <v>0.12649525094157466</v>
      </c>
      <c r="T1265" s="25">
        <f t="shared" si="184"/>
        <v>0.14478715036252443</v>
      </c>
      <c r="U1265" s="25">
        <f t="shared" si="181"/>
        <v>0.17766405494535631</v>
      </c>
      <c r="X1265">
        <f t="shared" si="176"/>
        <v>0</v>
      </c>
      <c r="Y1265">
        <f t="shared" si="191"/>
        <v>1</v>
      </c>
      <c r="Z1265">
        <f t="shared" si="188"/>
        <v>0</v>
      </c>
      <c r="AA1265">
        <f t="shared" si="185"/>
        <v>0</v>
      </c>
      <c r="AB1265">
        <f t="shared" si="182"/>
        <v>1</v>
      </c>
    </row>
    <row r="1266" spans="1:28">
      <c r="A1266" s="26">
        <v>44244</v>
      </c>
      <c r="B1266" s="23">
        <v>1035.03</v>
      </c>
      <c r="C1266" s="25">
        <f t="shared" si="178"/>
        <v>-3.8018056170475325E-3</v>
      </c>
      <c r="E1266" s="25">
        <f t="shared" si="174"/>
        <v>0.24855846944437743</v>
      </c>
      <c r="F1266" s="25">
        <f t="shared" si="189"/>
        <v>0.21941948512394194</v>
      </c>
      <c r="G1266" s="25">
        <f t="shared" si="186"/>
        <v>0.12074282766837507</v>
      </c>
      <c r="H1266" s="25">
        <f t="shared" si="183"/>
        <v>0.13195013178802006</v>
      </c>
      <c r="I1266" s="25">
        <f t="shared" si="180"/>
        <v>0.18765367362333985</v>
      </c>
      <c r="K1266" s="28">
        <v>44244</v>
      </c>
      <c r="L1266" s="23">
        <v>19127.05</v>
      </c>
      <c r="M1266" s="25">
        <f t="shared" si="179"/>
        <v>-3.6952901780462903E-3</v>
      </c>
      <c r="O1266" t="b">
        <f t="shared" si="177"/>
        <v>1</v>
      </c>
      <c r="Q1266" s="25">
        <f t="shared" si="175"/>
        <v>0.30478752831852907</v>
      </c>
      <c r="R1266" s="25">
        <f t="shared" si="190"/>
        <v>0.21306916405726217</v>
      </c>
      <c r="S1266" s="25">
        <f t="shared" si="187"/>
        <v>0.1254553456281633</v>
      </c>
      <c r="T1266" s="25">
        <f t="shared" si="184"/>
        <v>0.1434275418938451</v>
      </c>
      <c r="U1266" s="25">
        <f t="shared" si="181"/>
        <v>0.17447554563478285</v>
      </c>
      <c r="X1266">
        <f t="shared" si="176"/>
        <v>0</v>
      </c>
      <c r="Y1266">
        <f t="shared" si="191"/>
        <v>1</v>
      </c>
      <c r="Z1266">
        <f t="shared" si="188"/>
        <v>0</v>
      </c>
      <c r="AA1266">
        <f t="shared" si="185"/>
        <v>0</v>
      </c>
      <c r="AB1266">
        <f t="shared" si="182"/>
        <v>1</v>
      </c>
    </row>
    <row r="1267" spans="1:28">
      <c r="A1267" s="27">
        <v>44245</v>
      </c>
      <c r="B1267" s="24">
        <v>1030.1099999999999</v>
      </c>
      <c r="C1267" s="25">
        <f t="shared" si="178"/>
        <v>-4.7534854062201799E-3</v>
      </c>
      <c r="E1267" s="25">
        <f t="shared" si="174"/>
        <v>0.24564373556477248</v>
      </c>
      <c r="F1267" s="25">
        <f t="shared" si="189"/>
        <v>0.21570591015411456</v>
      </c>
      <c r="G1267" s="25">
        <f t="shared" si="186"/>
        <v>0.11877655898045614</v>
      </c>
      <c r="H1267" s="25">
        <f t="shared" si="183"/>
        <v>0.13267436484329065</v>
      </c>
      <c r="I1267" s="25">
        <f t="shared" si="180"/>
        <v>0.18675551324593398</v>
      </c>
      <c r="K1267" s="29">
        <v>44245</v>
      </c>
      <c r="L1267" s="24">
        <v>19079.009999999998</v>
      </c>
      <c r="M1267" s="25">
        <f t="shared" si="179"/>
        <v>-2.5179503548664671E-3</v>
      </c>
      <c r="O1267" t="b">
        <f t="shared" si="177"/>
        <v>1</v>
      </c>
      <c r="Q1267" s="25">
        <f t="shared" si="175"/>
        <v>0.305947846990825</v>
      </c>
      <c r="R1267" s="25">
        <f t="shared" si="190"/>
        <v>0.21238037750843275</v>
      </c>
      <c r="S1267" s="25">
        <f t="shared" si="187"/>
        <v>0.12381391990413926</v>
      </c>
      <c r="T1267" s="25">
        <f t="shared" si="184"/>
        <v>0.14353426199182051</v>
      </c>
      <c r="U1267" s="25">
        <f t="shared" si="181"/>
        <v>0.17343044638099014</v>
      </c>
      <c r="X1267">
        <f t="shared" si="176"/>
        <v>0</v>
      </c>
      <c r="Y1267">
        <f t="shared" si="191"/>
        <v>1</v>
      </c>
      <c r="Z1267">
        <f t="shared" si="188"/>
        <v>0</v>
      </c>
      <c r="AA1267">
        <f t="shared" si="185"/>
        <v>0</v>
      </c>
      <c r="AB1267">
        <f t="shared" si="182"/>
        <v>1</v>
      </c>
    </row>
    <row r="1268" spans="1:28">
      <c r="A1268" s="26">
        <v>44246</v>
      </c>
      <c r="B1268" s="23">
        <v>1016.49</v>
      </c>
      <c r="C1268" s="25">
        <f t="shared" si="178"/>
        <v>-1.3221888924483689E-2</v>
      </c>
      <c r="E1268" s="25">
        <f t="shared" si="174"/>
        <v>0.23972778163989616</v>
      </c>
      <c r="F1268" s="25">
        <f t="shared" si="189"/>
        <v>0.20003895948657147</v>
      </c>
      <c r="G1268" s="25">
        <f t="shared" si="186"/>
        <v>0.11554012838449434</v>
      </c>
      <c r="H1268" s="25">
        <f t="shared" si="183"/>
        <v>0.12828566931793617</v>
      </c>
      <c r="I1268" s="25">
        <f t="shared" si="180"/>
        <v>0.18285006107950408</v>
      </c>
      <c r="K1268" s="28">
        <v>44246</v>
      </c>
      <c r="L1268" s="23">
        <v>18886.34</v>
      </c>
      <c r="M1268" s="25">
        <f t="shared" si="179"/>
        <v>-1.0201553080162608E-2</v>
      </c>
      <c r="O1268" t="b">
        <f t="shared" si="177"/>
        <v>1</v>
      </c>
      <c r="Q1268" s="25">
        <f t="shared" si="175"/>
        <v>0.30646253585858974</v>
      </c>
      <c r="R1268" s="25">
        <f t="shared" si="190"/>
        <v>0.19917848493870727</v>
      </c>
      <c r="S1268" s="25">
        <f t="shared" si="187"/>
        <v>0.12113716299392219</v>
      </c>
      <c r="T1268" s="25">
        <f t="shared" si="184"/>
        <v>0.14048117499615875</v>
      </c>
      <c r="U1268" s="25">
        <f t="shared" si="181"/>
        <v>0.17011902380480537</v>
      </c>
      <c r="X1268">
        <f t="shared" si="176"/>
        <v>0</v>
      </c>
      <c r="Y1268">
        <f t="shared" si="191"/>
        <v>1</v>
      </c>
      <c r="Z1268">
        <f t="shared" si="188"/>
        <v>0</v>
      </c>
      <c r="AA1268">
        <f t="shared" si="185"/>
        <v>0</v>
      </c>
      <c r="AB1268">
        <f t="shared" si="182"/>
        <v>1</v>
      </c>
    </row>
    <row r="1269" spans="1:28">
      <c r="A1269" s="27">
        <v>44249</v>
      </c>
      <c r="B1269" s="24">
        <v>1001.08</v>
      </c>
      <c r="C1269" s="25">
        <f t="shared" si="178"/>
        <v>-1.5160011411819071E-2</v>
      </c>
      <c r="E1269" s="25">
        <f t="shared" si="174"/>
        <v>0.22628774422735343</v>
      </c>
      <c r="F1269" s="25">
        <f t="shared" si="189"/>
        <v>0.18514604837451132</v>
      </c>
      <c r="G1269" s="25">
        <f t="shared" si="186"/>
        <v>0.10482753976204329</v>
      </c>
      <c r="H1269" s="25">
        <f t="shared" si="183"/>
        <v>0.12252474529685942</v>
      </c>
      <c r="I1269" s="25">
        <f t="shared" si="180"/>
        <v>0.18289105359508984</v>
      </c>
      <c r="K1269" s="29">
        <v>44249</v>
      </c>
      <c r="L1269" s="24">
        <v>18551.849999999999</v>
      </c>
      <c r="M1269" s="25">
        <f t="shared" si="179"/>
        <v>-1.8030007788980701E-2</v>
      </c>
      <c r="O1269" t="b">
        <f t="shared" si="177"/>
        <v>1</v>
      </c>
      <c r="Q1269" s="25">
        <f t="shared" si="175"/>
        <v>0.28912145579067028</v>
      </c>
      <c r="R1269" s="25">
        <f t="shared" si="190"/>
        <v>0.18466518330278547</v>
      </c>
      <c r="S1269" s="25">
        <f t="shared" si="187"/>
        <v>0.10992807733965138</v>
      </c>
      <c r="T1269" s="25">
        <f t="shared" si="184"/>
        <v>0.13365999754391122</v>
      </c>
      <c r="U1269" s="25">
        <f t="shared" si="181"/>
        <v>0.16957668118372893</v>
      </c>
      <c r="X1269">
        <f t="shared" si="176"/>
        <v>0</v>
      </c>
      <c r="Y1269">
        <f t="shared" si="191"/>
        <v>1</v>
      </c>
      <c r="Z1269">
        <f t="shared" si="188"/>
        <v>0</v>
      </c>
      <c r="AA1269">
        <f t="shared" si="185"/>
        <v>0</v>
      </c>
      <c r="AB1269">
        <f t="shared" si="182"/>
        <v>1</v>
      </c>
    </row>
    <row r="1270" spans="1:28">
      <c r="A1270" s="26">
        <v>44250</v>
      </c>
      <c r="B1270" s="23">
        <v>1004.99</v>
      </c>
      <c r="C1270" s="25">
        <f t="shared" si="178"/>
        <v>3.9057817557038078E-3</v>
      </c>
      <c r="E1270" s="25">
        <f t="shared" si="174"/>
        <v>0.27656682671544353</v>
      </c>
      <c r="F1270" s="25">
        <f t="shared" si="189"/>
        <v>0.18434664534025602</v>
      </c>
      <c r="G1270" s="25">
        <f t="shared" si="186"/>
        <v>0.10276916887439325</v>
      </c>
      <c r="H1270" s="25">
        <f t="shared" si="183"/>
        <v>0.12592547768606899</v>
      </c>
      <c r="I1270" s="25">
        <f t="shared" si="180"/>
        <v>0.18658257603690109</v>
      </c>
      <c r="K1270" s="28">
        <v>44250</v>
      </c>
      <c r="L1270" s="23">
        <v>18629.78</v>
      </c>
      <c r="M1270" s="25">
        <f t="shared" si="179"/>
        <v>4.1830875082797701E-3</v>
      </c>
      <c r="O1270" t="b">
        <f t="shared" si="177"/>
        <v>1</v>
      </c>
      <c r="Q1270" s="25">
        <f t="shared" si="175"/>
        <v>0.34265394577718444</v>
      </c>
      <c r="R1270" s="25">
        <f t="shared" si="190"/>
        <v>0.18594828155302112</v>
      </c>
      <c r="S1270" s="25">
        <f t="shared" si="187"/>
        <v>0.10824369296272662</v>
      </c>
      <c r="T1270" s="25">
        <f t="shared" si="184"/>
        <v>0.13716534665715652</v>
      </c>
      <c r="U1270" s="25">
        <f t="shared" si="181"/>
        <v>0.17338529463715546</v>
      </c>
      <c r="X1270">
        <f t="shared" si="176"/>
        <v>0</v>
      </c>
      <c r="Y1270">
        <f t="shared" si="191"/>
        <v>0</v>
      </c>
      <c r="Z1270">
        <f t="shared" si="188"/>
        <v>0</v>
      </c>
      <c r="AA1270">
        <f t="shared" si="185"/>
        <v>0</v>
      </c>
      <c r="AB1270">
        <f t="shared" si="182"/>
        <v>1</v>
      </c>
    </row>
    <row r="1271" spans="1:28">
      <c r="A1271" s="27">
        <v>44251</v>
      </c>
      <c r="B1271" s="24">
        <v>1017.94</v>
      </c>
      <c r="C1271" s="25">
        <f t="shared" si="178"/>
        <v>1.288570035522746E-2</v>
      </c>
      <c r="E1271" s="25">
        <f t="shared" si="174"/>
        <v>0.30526882685575818</v>
      </c>
      <c r="F1271" s="25">
        <f t="shared" si="189"/>
        <v>0.18780714165350676</v>
      </c>
      <c r="G1271" s="25">
        <f t="shared" si="186"/>
        <v>0.10874464854054078</v>
      </c>
      <c r="H1271" s="25">
        <f t="shared" si="183"/>
        <v>0.12941327764927357</v>
      </c>
      <c r="I1271" s="25">
        <f t="shared" si="180"/>
        <v>0.19230486802022195</v>
      </c>
      <c r="K1271" s="29">
        <v>44251</v>
      </c>
      <c r="L1271" s="24">
        <v>18920.72</v>
      </c>
      <c r="M1271" s="25">
        <f t="shared" si="179"/>
        <v>1.5376793272137758E-2</v>
      </c>
      <c r="O1271" t="b">
        <f t="shared" si="177"/>
        <v>1</v>
      </c>
      <c r="Q1271" s="25">
        <f t="shared" si="175"/>
        <v>0.37199126947870664</v>
      </c>
      <c r="R1271" s="25">
        <f t="shared" si="190"/>
        <v>0.19090265916698712</v>
      </c>
      <c r="S1271" s="25">
        <f t="shared" si="187"/>
        <v>0.11519541729732707</v>
      </c>
      <c r="T1271" s="25">
        <f t="shared" si="184"/>
        <v>0.14140879128783168</v>
      </c>
      <c r="U1271" s="25">
        <f t="shared" si="181"/>
        <v>0.1787728506181987</v>
      </c>
      <c r="X1271">
        <f t="shared" si="176"/>
        <v>0</v>
      </c>
      <c r="Y1271">
        <f t="shared" si="191"/>
        <v>0</v>
      </c>
      <c r="Z1271">
        <f t="shared" si="188"/>
        <v>0</v>
      </c>
      <c r="AA1271">
        <f t="shared" si="185"/>
        <v>0</v>
      </c>
      <c r="AB1271">
        <f t="shared" si="182"/>
        <v>1</v>
      </c>
    </row>
    <row r="1272" spans="1:28">
      <c r="A1272" s="26">
        <v>44252</v>
      </c>
      <c r="B1272" s="23">
        <v>1028.33</v>
      </c>
      <c r="C1272" s="25">
        <f t="shared" si="178"/>
        <v>1.0206888421714317E-2</v>
      </c>
      <c r="E1272" s="25">
        <f t="shared" ref="E1272:E1335" si="192">(B1272/B1027)-1</f>
        <v>0.29651390027107105</v>
      </c>
      <c r="F1272" s="25">
        <f t="shared" si="189"/>
        <v>0.19715186776454541</v>
      </c>
      <c r="G1272" s="25">
        <f t="shared" si="186"/>
        <v>0.11409264692231225</v>
      </c>
      <c r="H1272" s="25">
        <f t="shared" si="183"/>
        <v>0.13109289400726531</v>
      </c>
      <c r="I1272" s="25">
        <f t="shared" si="180"/>
        <v>0.19326938154256079</v>
      </c>
      <c r="K1272" s="28">
        <v>44252</v>
      </c>
      <c r="L1272" s="23">
        <v>19091.93</v>
      </c>
      <c r="M1272" s="25">
        <f t="shared" si="179"/>
        <v>8.9676633006720175E-3</v>
      </c>
      <c r="O1272" t="b">
        <f t="shared" si="177"/>
        <v>1</v>
      </c>
      <c r="Q1272" s="25">
        <f t="shared" ref="Q1272:Q1335" si="193">(L1272/L1027)-1</f>
        <v>0.36228375307267768</v>
      </c>
      <c r="R1272" s="25">
        <f t="shared" si="190"/>
        <v>0.19832748192531913</v>
      </c>
      <c r="S1272" s="25">
        <f t="shared" si="187"/>
        <v>0.1201035545127993</v>
      </c>
      <c r="T1272" s="25">
        <f t="shared" si="184"/>
        <v>0.14216044314119225</v>
      </c>
      <c r="U1272" s="25">
        <f t="shared" si="181"/>
        <v>0.17942672124994474</v>
      </c>
      <c r="X1272">
        <f t="shared" ref="X1272:X1335" si="194">IF(E1272&gt;Q1272,1,0)</f>
        <v>0</v>
      </c>
      <c r="Y1272">
        <f t="shared" si="191"/>
        <v>0</v>
      </c>
      <c r="Z1272">
        <f t="shared" si="188"/>
        <v>0</v>
      </c>
      <c r="AA1272">
        <f t="shared" si="185"/>
        <v>0</v>
      </c>
      <c r="AB1272">
        <f t="shared" si="182"/>
        <v>1</v>
      </c>
    </row>
    <row r="1273" spans="1:28">
      <c r="A1273" s="27">
        <v>44253</v>
      </c>
      <c r="B1273" s="24">
        <v>999.22</v>
      </c>
      <c r="C1273" s="25">
        <f t="shared" si="178"/>
        <v>-2.8308033413398326E-2</v>
      </c>
      <c r="E1273" s="25">
        <f t="shared" si="192"/>
        <v>0.27203289498809724</v>
      </c>
      <c r="F1273" s="25">
        <f t="shared" si="189"/>
        <v>0.18062059800889041</v>
      </c>
      <c r="G1273" s="25">
        <f t="shared" si="186"/>
        <v>0.10424700202578707</v>
      </c>
      <c r="H1273" s="25">
        <f t="shared" si="183"/>
        <v>0.12363270624447331</v>
      </c>
      <c r="I1273" s="25">
        <f t="shared" si="180"/>
        <v>0.18721884453348636</v>
      </c>
      <c r="K1273" s="29">
        <v>44253</v>
      </c>
      <c r="L1273" s="24">
        <v>18504.86</v>
      </c>
      <c r="M1273" s="25">
        <f t="shared" si="179"/>
        <v>-3.1725179223187835E-2</v>
      </c>
      <c r="O1273" t="b">
        <f t="shared" si="177"/>
        <v>1</v>
      </c>
      <c r="Q1273" s="25">
        <f t="shared" si="193"/>
        <v>0.32975710640364997</v>
      </c>
      <c r="R1273" s="25">
        <f t="shared" si="190"/>
        <v>0.18020925755527095</v>
      </c>
      <c r="S1273" s="25">
        <f t="shared" si="187"/>
        <v>0.10996620704113957</v>
      </c>
      <c r="T1273" s="25">
        <f t="shared" si="184"/>
        <v>0.13364533922945787</v>
      </c>
      <c r="U1273" s="25">
        <f t="shared" si="181"/>
        <v>0.17300427401269136</v>
      </c>
      <c r="X1273">
        <f t="shared" si="194"/>
        <v>0</v>
      </c>
      <c r="Y1273">
        <f t="shared" si="191"/>
        <v>1</v>
      </c>
      <c r="Z1273">
        <f t="shared" si="188"/>
        <v>0</v>
      </c>
      <c r="AA1273">
        <f t="shared" si="185"/>
        <v>0</v>
      </c>
      <c r="AB1273">
        <f t="shared" si="182"/>
        <v>1</v>
      </c>
    </row>
    <row r="1274" spans="1:28">
      <c r="A1274" s="26">
        <v>44256</v>
      </c>
      <c r="B1274" s="23">
        <v>1013.63</v>
      </c>
      <c r="C1274" s="25">
        <f t="shared" si="178"/>
        <v>1.44212485738876E-2</v>
      </c>
      <c r="E1274" s="25">
        <f t="shared" si="192"/>
        <v>0.28832710541701623</v>
      </c>
      <c r="F1274" s="25">
        <f t="shared" si="189"/>
        <v>0.18870523830932306</v>
      </c>
      <c r="G1274" s="25">
        <f t="shared" si="186"/>
        <v>0.11393032518561297</v>
      </c>
      <c r="H1274" s="25">
        <f t="shared" si="183"/>
        <v>0.12906957760143745</v>
      </c>
      <c r="I1274" s="25">
        <f t="shared" si="180"/>
        <v>0.18265282994773346</v>
      </c>
      <c r="K1274" s="28">
        <v>44256</v>
      </c>
      <c r="L1274" s="23">
        <v>18788.79</v>
      </c>
      <c r="M1274" s="25">
        <f t="shared" si="179"/>
        <v>1.5111670309796441E-2</v>
      </c>
      <c r="O1274" t="b">
        <f t="shared" si="177"/>
        <v>1</v>
      </c>
      <c r="Q1274" s="25">
        <f t="shared" si="193"/>
        <v>0.34680584317697494</v>
      </c>
      <c r="R1274" s="25">
        <f t="shared" si="190"/>
        <v>0.18842381481936132</v>
      </c>
      <c r="S1274" s="25">
        <f t="shared" si="187"/>
        <v>0.11923502209006487</v>
      </c>
      <c r="T1274" s="25">
        <f t="shared" si="184"/>
        <v>0.13886513274765888</v>
      </c>
      <c r="U1274" s="25">
        <f t="shared" si="181"/>
        <v>0.16905416820825425</v>
      </c>
      <c r="X1274">
        <f t="shared" si="194"/>
        <v>0</v>
      </c>
      <c r="Y1274">
        <f t="shared" si="191"/>
        <v>1</v>
      </c>
      <c r="Z1274">
        <f t="shared" si="188"/>
        <v>0</v>
      </c>
      <c r="AA1274">
        <f t="shared" si="185"/>
        <v>0</v>
      </c>
      <c r="AB1274">
        <f t="shared" si="182"/>
        <v>1</v>
      </c>
    </row>
    <row r="1275" spans="1:28">
      <c r="A1275" s="27">
        <v>44257</v>
      </c>
      <c r="B1275" s="24">
        <v>1028.4100000000001</v>
      </c>
      <c r="C1275" s="25">
        <f t="shared" si="178"/>
        <v>1.4581257460809256E-2</v>
      </c>
      <c r="E1275" s="25">
        <f t="shared" si="192"/>
        <v>0.33834361416933456</v>
      </c>
      <c r="F1275" s="25">
        <f t="shared" si="189"/>
        <v>0.18953896876626719</v>
      </c>
      <c r="G1275" s="25">
        <f t="shared" si="186"/>
        <v>0.12292327151499038</v>
      </c>
      <c r="H1275" s="25">
        <f t="shared" si="183"/>
        <v>0.13322667078660388</v>
      </c>
      <c r="I1275" s="25">
        <f t="shared" si="180"/>
        <v>0.18102508953069396</v>
      </c>
      <c r="K1275" s="29">
        <v>44257</v>
      </c>
      <c r="L1275" s="24">
        <v>19018.349999999999</v>
      </c>
      <c r="M1275" s="25">
        <f t="shared" si="179"/>
        <v>1.2070447751776452E-2</v>
      </c>
      <c r="O1275" t="b">
        <f t="shared" si="177"/>
        <v>1</v>
      </c>
      <c r="Q1275" s="25">
        <f t="shared" si="193"/>
        <v>0.39634334818147554</v>
      </c>
      <c r="R1275" s="25">
        <f t="shared" si="190"/>
        <v>0.19025481290777724</v>
      </c>
      <c r="S1275" s="25">
        <f t="shared" si="187"/>
        <v>0.12773863841050592</v>
      </c>
      <c r="T1275" s="25">
        <f t="shared" si="184"/>
        <v>0.14232794901233103</v>
      </c>
      <c r="U1275" s="25">
        <f t="shared" si="181"/>
        <v>0.16739123124618205</v>
      </c>
      <c r="X1275">
        <f t="shared" si="194"/>
        <v>0</v>
      </c>
      <c r="Y1275">
        <f t="shared" si="191"/>
        <v>0</v>
      </c>
      <c r="Z1275">
        <f t="shared" si="188"/>
        <v>0</v>
      </c>
      <c r="AA1275">
        <f t="shared" si="185"/>
        <v>0</v>
      </c>
      <c r="AB1275">
        <f t="shared" si="182"/>
        <v>1</v>
      </c>
    </row>
    <row r="1276" spans="1:28">
      <c r="A1276" s="26">
        <v>44258</v>
      </c>
      <c r="B1276" s="23">
        <v>1046.3900000000001</v>
      </c>
      <c r="C1276" s="25">
        <f t="shared" si="178"/>
        <v>1.7483299462276735E-2</v>
      </c>
      <c r="E1276" s="25">
        <f t="shared" si="192"/>
        <v>0.42245996574318267</v>
      </c>
      <c r="F1276" s="25">
        <f t="shared" si="189"/>
        <v>0.19156021122905065</v>
      </c>
      <c r="G1276" s="25">
        <f t="shared" si="186"/>
        <v>0.13222696593911087</v>
      </c>
      <c r="H1276" s="25">
        <f t="shared" si="183"/>
        <v>0.13885600728852343</v>
      </c>
      <c r="I1276" s="25">
        <f t="shared" si="180"/>
        <v>0.18143795570517418</v>
      </c>
      <c r="K1276" s="28">
        <v>44258</v>
      </c>
      <c r="L1276" s="23">
        <v>19391.150000000001</v>
      </c>
      <c r="M1276" s="25">
        <f t="shared" si="179"/>
        <v>1.9225265133836975E-2</v>
      </c>
      <c r="O1276" t="b">
        <f t="shared" si="177"/>
        <v>1</v>
      </c>
      <c r="Q1276" s="25">
        <f t="shared" si="193"/>
        <v>0.49436736291784333</v>
      </c>
      <c r="R1276" s="25">
        <f t="shared" si="190"/>
        <v>0.19290570845317001</v>
      </c>
      <c r="S1276" s="25">
        <f t="shared" si="187"/>
        <v>0.13940149788030731</v>
      </c>
      <c r="T1276" s="25">
        <f t="shared" si="184"/>
        <v>0.14785136279617794</v>
      </c>
      <c r="U1276" s="25">
        <f t="shared" si="181"/>
        <v>0.16884960269285632</v>
      </c>
      <c r="X1276">
        <f t="shared" si="194"/>
        <v>0</v>
      </c>
      <c r="Y1276">
        <f t="shared" si="191"/>
        <v>0</v>
      </c>
      <c r="Z1276">
        <f t="shared" si="188"/>
        <v>0</v>
      </c>
      <c r="AA1276">
        <f t="shared" si="185"/>
        <v>0</v>
      </c>
      <c r="AB1276">
        <f t="shared" si="182"/>
        <v>1</v>
      </c>
    </row>
    <row r="1277" spans="1:28">
      <c r="A1277" s="27">
        <v>44259</v>
      </c>
      <c r="B1277" s="24">
        <v>1040.3</v>
      </c>
      <c r="C1277" s="25">
        <f t="shared" si="178"/>
        <v>-5.8200097477997164E-3</v>
      </c>
      <c r="E1277" s="25">
        <f t="shared" si="192"/>
        <v>0.42206851299997261</v>
      </c>
      <c r="F1277" s="25">
        <f t="shared" si="189"/>
        <v>0.1845329630203536</v>
      </c>
      <c r="G1277" s="25">
        <f t="shared" si="186"/>
        <v>0.12856698432982583</v>
      </c>
      <c r="H1277" s="25">
        <f t="shared" si="183"/>
        <v>0.13319508108728906</v>
      </c>
      <c r="I1277" s="25">
        <f t="shared" si="180"/>
        <v>0.17915829027557506</v>
      </c>
      <c r="K1277" s="29">
        <v>44259</v>
      </c>
      <c r="L1277" s="24">
        <v>19275.759999999998</v>
      </c>
      <c r="M1277" s="25">
        <f t="shared" si="179"/>
        <v>-5.9862749899357052E-3</v>
      </c>
      <c r="O1277" t="b">
        <f t="shared" si="177"/>
        <v>1</v>
      </c>
      <c r="Q1277" s="25">
        <f t="shared" si="193"/>
        <v>0.48774386653051716</v>
      </c>
      <c r="R1277" s="25">
        <f t="shared" si="190"/>
        <v>0.18568403579454973</v>
      </c>
      <c r="S1277" s="25">
        <f t="shared" si="187"/>
        <v>0.13444018662704549</v>
      </c>
      <c r="T1277" s="25">
        <f t="shared" si="184"/>
        <v>0.14141095918641944</v>
      </c>
      <c r="U1277" s="25">
        <f t="shared" si="181"/>
        <v>0.16667052010298478</v>
      </c>
      <c r="X1277">
        <f t="shared" si="194"/>
        <v>0</v>
      </c>
      <c r="Y1277">
        <f t="shared" si="191"/>
        <v>0</v>
      </c>
      <c r="Z1277">
        <f t="shared" si="188"/>
        <v>0</v>
      </c>
      <c r="AA1277">
        <f t="shared" si="185"/>
        <v>0</v>
      </c>
      <c r="AB1277">
        <f t="shared" si="182"/>
        <v>1</v>
      </c>
    </row>
    <row r="1278" spans="1:28">
      <c r="A1278" s="26">
        <v>44260</v>
      </c>
      <c r="B1278" s="23">
        <v>1025.33</v>
      </c>
      <c r="C1278" s="25">
        <f t="shared" si="178"/>
        <v>-1.4390079784677524E-2</v>
      </c>
      <c r="E1278" s="25">
        <f t="shared" si="192"/>
        <v>0.52413301027157977</v>
      </c>
      <c r="F1278" s="25">
        <f t="shared" si="189"/>
        <v>0.17736963228093572</v>
      </c>
      <c r="G1278" s="25">
        <f t="shared" si="186"/>
        <v>0.12428334303507649</v>
      </c>
      <c r="H1278" s="25">
        <f t="shared" si="183"/>
        <v>0.12725137831772093</v>
      </c>
      <c r="I1278" s="25">
        <f t="shared" si="180"/>
        <v>0.17651422767798697</v>
      </c>
      <c r="K1278" s="28">
        <v>44260</v>
      </c>
      <c r="L1278" s="23">
        <v>19048.330000000002</v>
      </c>
      <c r="M1278" s="25">
        <f t="shared" si="179"/>
        <v>-1.1939629353334209E-2</v>
      </c>
      <c r="O1278" t="b">
        <f t="shared" si="177"/>
        <v>1</v>
      </c>
      <c r="Q1278" s="25">
        <f t="shared" si="193"/>
        <v>0.6034325724848737</v>
      </c>
      <c r="R1278" s="25">
        <f t="shared" si="190"/>
        <v>0.17899356150527734</v>
      </c>
      <c r="S1278" s="25">
        <f t="shared" si="187"/>
        <v>0.13056030598555601</v>
      </c>
      <c r="T1278" s="25">
        <f t="shared" si="184"/>
        <v>0.13733800347104297</v>
      </c>
      <c r="U1278" s="25">
        <f t="shared" si="181"/>
        <v>0.1637407903103798</v>
      </c>
      <c r="X1278">
        <f t="shared" si="194"/>
        <v>0</v>
      </c>
      <c r="Y1278">
        <f t="shared" si="191"/>
        <v>0</v>
      </c>
      <c r="Z1278">
        <f t="shared" si="188"/>
        <v>0</v>
      </c>
      <c r="AA1278">
        <f t="shared" si="185"/>
        <v>0</v>
      </c>
      <c r="AB1278">
        <f t="shared" si="182"/>
        <v>1</v>
      </c>
    </row>
    <row r="1279" spans="1:28">
      <c r="A1279" s="27">
        <v>44263</v>
      </c>
      <c r="B1279" s="24">
        <v>1028.04</v>
      </c>
      <c r="C1279" s="25">
        <f t="shared" si="178"/>
        <v>2.6430515053690387E-3</v>
      </c>
      <c r="E1279" s="25">
        <f t="shared" si="192"/>
        <v>0.47420950742095069</v>
      </c>
      <c r="F1279" s="25">
        <f t="shared" si="189"/>
        <v>0.18088987144651369</v>
      </c>
      <c r="G1279" s="25">
        <f t="shared" si="186"/>
        <v>0.11872666807684173</v>
      </c>
      <c r="H1279" s="25">
        <f t="shared" si="183"/>
        <v>0.12496069985001079</v>
      </c>
      <c r="I1279" s="25">
        <f t="shared" si="180"/>
        <v>0.17474850077661208</v>
      </c>
      <c r="K1279" s="29">
        <v>44263</v>
      </c>
      <c r="L1279" s="24">
        <v>19080.72</v>
      </c>
      <c r="M1279" s="25">
        <f t="shared" si="179"/>
        <v>1.6975250409837477E-3</v>
      </c>
      <c r="O1279" t="b">
        <f t="shared" si="177"/>
        <v>1</v>
      </c>
      <c r="Q1279" s="25">
        <f t="shared" si="193"/>
        <v>0.55464518273724561</v>
      </c>
      <c r="R1279" s="25">
        <f t="shared" si="190"/>
        <v>0.18090933401019105</v>
      </c>
      <c r="S1279" s="25">
        <f t="shared" si="187"/>
        <v>0.12557842917065787</v>
      </c>
      <c r="T1279" s="25">
        <f t="shared" si="184"/>
        <v>0.13509426781945821</v>
      </c>
      <c r="U1279" s="25">
        <f t="shared" si="181"/>
        <v>0.16296841399626216</v>
      </c>
      <c r="X1279">
        <f t="shared" si="194"/>
        <v>0</v>
      </c>
      <c r="Y1279">
        <f t="shared" si="191"/>
        <v>0</v>
      </c>
      <c r="Z1279">
        <f t="shared" si="188"/>
        <v>0</v>
      </c>
      <c r="AA1279">
        <f t="shared" si="185"/>
        <v>0</v>
      </c>
      <c r="AB1279">
        <f t="shared" si="182"/>
        <v>1</v>
      </c>
    </row>
    <row r="1280" spans="1:28">
      <c r="A1280" s="26">
        <v>44264</v>
      </c>
      <c r="B1280" s="23">
        <v>1031.43</v>
      </c>
      <c r="C1280" s="25">
        <f t="shared" si="178"/>
        <v>3.2975370608148515E-3</v>
      </c>
      <c r="E1280" s="25">
        <f t="shared" si="192"/>
        <v>0.59001988623225277</v>
      </c>
      <c r="F1280" s="25">
        <f t="shared" si="189"/>
        <v>0.174862163850797</v>
      </c>
      <c r="G1280" s="25">
        <f t="shared" si="186"/>
        <v>0.11852991264484003</v>
      </c>
      <c r="H1280" s="25">
        <f t="shared" si="183"/>
        <v>0.12629952718722981</v>
      </c>
      <c r="I1280" s="25">
        <f t="shared" si="180"/>
        <v>0.17637856459038592</v>
      </c>
      <c r="K1280" s="28">
        <v>44264</v>
      </c>
      <c r="L1280" s="23">
        <v>19169.29</v>
      </c>
      <c r="M1280" s="25">
        <f t="shared" si="179"/>
        <v>4.620411084604579E-3</v>
      </c>
      <c r="O1280" t="b">
        <f t="shared" si="177"/>
        <v>1</v>
      </c>
      <c r="Q1280" s="25">
        <f t="shared" si="193"/>
        <v>0.67878054889487149</v>
      </c>
      <c r="R1280" s="25">
        <f t="shared" si="190"/>
        <v>0.17509655341722241</v>
      </c>
      <c r="S1280" s="25">
        <f t="shared" si="187"/>
        <v>0.12579146223566484</v>
      </c>
      <c r="T1280" s="25">
        <f t="shared" si="184"/>
        <v>0.13624564563827479</v>
      </c>
      <c r="U1280" s="25">
        <f t="shared" si="181"/>
        <v>0.1652414152452053</v>
      </c>
      <c r="X1280">
        <f t="shared" si="194"/>
        <v>0</v>
      </c>
      <c r="Y1280">
        <f t="shared" si="191"/>
        <v>0</v>
      </c>
      <c r="Z1280">
        <f t="shared" si="188"/>
        <v>0</v>
      </c>
      <c r="AA1280">
        <f t="shared" si="185"/>
        <v>0</v>
      </c>
      <c r="AB1280">
        <f t="shared" si="182"/>
        <v>1</v>
      </c>
    </row>
    <row r="1281" spans="1:28">
      <c r="A1281" s="27">
        <v>44265</v>
      </c>
      <c r="B1281" s="24">
        <v>1038.49</v>
      </c>
      <c r="C1281" s="25">
        <f t="shared" si="178"/>
        <v>6.8448658658366978E-3</v>
      </c>
      <c r="E1281" s="25">
        <f t="shared" si="192"/>
        <v>0.64878939430023008</v>
      </c>
      <c r="F1281" s="25">
        <f t="shared" si="189"/>
        <v>0.17233656563309196</v>
      </c>
      <c r="G1281" s="25">
        <f t="shared" si="186"/>
        <v>0.12047348040756556</v>
      </c>
      <c r="H1281" s="25">
        <f t="shared" si="183"/>
        <v>0.12868888673272516</v>
      </c>
      <c r="I1281" s="25">
        <f t="shared" si="180"/>
        <v>0.17711173663866364</v>
      </c>
      <c r="K1281" s="29">
        <v>44265</v>
      </c>
      <c r="L1281" s="24">
        <v>19282.39</v>
      </c>
      <c r="M1281" s="25">
        <f t="shared" si="179"/>
        <v>5.8654554751770161E-3</v>
      </c>
      <c r="O1281" t="b">
        <f t="shared" si="177"/>
        <v>1</v>
      </c>
      <c r="Q1281" s="25">
        <f t="shared" si="193"/>
        <v>0.72827266754682896</v>
      </c>
      <c r="R1281" s="25">
        <f t="shared" si="190"/>
        <v>0.17259918903410654</v>
      </c>
      <c r="S1281" s="25">
        <f t="shared" si="187"/>
        <v>0.12826328179476976</v>
      </c>
      <c r="T1281" s="25">
        <f t="shared" si="184"/>
        <v>0.13843872882270425</v>
      </c>
      <c r="U1281" s="25">
        <f t="shared" si="181"/>
        <v>0.16603539595602257</v>
      </c>
      <c r="X1281">
        <f t="shared" si="194"/>
        <v>0</v>
      </c>
      <c r="Y1281">
        <f t="shared" si="191"/>
        <v>0</v>
      </c>
      <c r="Z1281">
        <f t="shared" si="188"/>
        <v>0</v>
      </c>
      <c r="AA1281">
        <f t="shared" si="185"/>
        <v>0</v>
      </c>
      <c r="AB1281">
        <f t="shared" si="182"/>
        <v>1</v>
      </c>
    </row>
    <row r="1282" spans="1:28">
      <c r="A1282" s="26">
        <v>44267</v>
      </c>
      <c r="B1282" s="23">
        <v>1029.76</v>
      </c>
      <c r="C1282" s="25">
        <f t="shared" si="178"/>
        <v>-8.4064362680430407E-3</v>
      </c>
      <c r="E1282" s="25">
        <f t="shared" si="192"/>
        <v>0.72529571423784467</v>
      </c>
      <c r="F1282" s="25">
        <f t="shared" si="189"/>
        <v>0.16638793498619542</v>
      </c>
      <c r="G1282" s="25">
        <f t="shared" si="186"/>
        <v>0.11817881898478144</v>
      </c>
      <c r="H1282" s="25">
        <f t="shared" si="183"/>
        <v>0.12695268576359897</v>
      </c>
      <c r="I1282" s="25">
        <f t="shared" si="180"/>
        <v>0.17405996840031501</v>
      </c>
      <c r="K1282" s="28">
        <v>44267</v>
      </c>
      <c r="L1282" s="23">
        <v>19134.34</v>
      </c>
      <c r="M1282" s="25">
        <f t="shared" si="179"/>
        <v>-7.7373977884786869E-3</v>
      </c>
      <c r="O1282" t="b">
        <f t="shared" si="177"/>
        <v>1</v>
      </c>
      <c r="Q1282" s="25">
        <f t="shared" si="193"/>
        <v>0.81447610233106826</v>
      </c>
      <c r="R1282" s="25">
        <f t="shared" si="190"/>
        <v>0.16747551840663299</v>
      </c>
      <c r="S1282" s="25">
        <f t="shared" si="187"/>
        <v>0.12609174845574289</v>
      </c>
      <c r="T1282" s="25">
        <f t="shared" si="184"/>
        <v>0.1365829709266444</v>
      </c>
      <c r="U1282" s="25">
        <f t="shared" si="181"/>
        <v>0.16319313674993152</v>
      </c>
      <c r="X1282">
        <f t="shared" si="194"/>
        <v>0</v>
      </c>
      <c r="Y1282">
        <f t="shared" si="191"/>
        <v>0</v>
      </c>
      <c r="Z1282">
        <f t="shared" si="188"/>
        <v>0</v>
      </c>
      <c r="AA1282">
        <f t="shared" si="185"/>
        <v>0</v>
      </c>
      <c r="AB1282">
        <f t="shared" si="182"/>
        <v>1</v>
      </c>
    </row>
    <row r="1283" spans="1:28">
      <c r="A1283" s="27">
        <v>44270</v>
      </c>
      <c r="B1283" s="24">
        <v>1021.89</v>
      </c>
      <c r="C1283" s="25">
        <f t="shared" si="178"/>
        <v>-7.6425574891236837E-3</v>
      </c>
      <c r="E1283" s="25">
        <f t="shared" si="192"/>
        <v>0.75893763877652876</v>
      </c>
      <c r="F1283" s="25">
        <f t="shared" si="189"/>
        <v>0.16198370048117394</v>
      </c>
      <c r="G1283" s="25">
        <f t="shared" si="186"/>
        <v>0.1198979379620555</v>
      </c>
      <c r="H1283" s="25">
        <f t="shared" si="183"/>
        <v>0.12704643051061537</v>
      </c>
      <c r="I1283" s="25">
        <f t="shared" si="180"/>
        <v>0.17403538761396065</v>
      </c>
      <c r="K1283" s="29">
        <v>44270</v>
      </c>
      <c r="L1283" s="24">
        <v>19009.240000000002</v>
      </c>
      <c r="M1283" s="25">
        <f t="shared" si="179"/>
        <v>-6.5810100772044824E-3</v>
      </c>
      <c r="O1283" t="b">
        <f t="shared" ref="O1283:O1346" si="195">K1283=A1283</f>
        <v>1</v>
      </c>
      <c r="Q1283" s="25">
        <f t="shared" si="193"/>
        <v>0.85566978104954483</v>
      </c>
      <c r="R1283" s="25">
        <f t="shared" si="190"/>
        <v>0.16371455051077088</v>
      </c>
      <c r="S1283" s="25">
        <f t="shared" si="187"/>
        <v>0.12885573681970452</v>
      </c>
      <c r="T1283" s="25">
        <f t="shared" si="184"/>
        <v>0.13757409165580126</v>
      </c>
      <c r="U1283" s="25">
        <f t="shared" si="181"/>
        <v>0.16389990464752491</v>
      </c>
      <c r="X1283">
        <f t="shared" si="194"/>
        <v>0</v>
      </c>
      <c r="Y1283">
        <f t="shared" si="191"/>
        <v>0</v>
      </c>
      <c r="Z1283">
        <f t="shared" si="188"/>
        <v>0</v>
      </c>
      <c r="AA1283">
        <f t="shared" si="185"/>
        <v>0</v>
      </c>
      <c r="AB1283">
        <f t="shared" si="182"/>
        <v>1</v>
      </c>
    </row>
    <row r="1284" spans="1:28">
      <c r="A1284" s="26">
        <v>44271</v>
      </c>
      <c r="B1284" s="23">
        <v>1023.28</v>
      </c>
      <c r="C1284" s="25">
        <f t="shared" ref="C1284:C1347" si="196">(B1284-B1283)/B1283</f>
        <v>1.360224681717197E-3</v>
      </c>
      <c r="E1284" s="25">
        <f t="shared" si="192"/>
        <v>0.68983568656593186</v>
      </c>
      <c r="F1284" s="25">
        <f t="shared" si="189"/>
        <v>0.15949217730536058</v>
      </c>
      <c r="G1284" s="25">
        <f t="shared" si="186"/>
        <v>0.12571693664105243</v>
      </c>
      <c r="H1284" s="25">
        <f t="shared" si="183"/>
        <v>0.12506546120903761</v>
      </c>
      <c r="I1284" s="25">
        <f t="shared" si="180"/>
        <v>0.17408820157186189</v>
      </c>
      <c r="K1284" s="28">
        <v>44271</v>
      </c>
      <c r="L1284" s="23">
        <v>19013.09</v>
      </c>
      <c r="M1284" s="25">
        <f t="shared" ref="M1284:M1347" si="197">(L1284-L1283)/L1284</f>
        <v>2.0249207256677084E-4</v>
      </c>
      <c r="O1284" t="b">
        <f t="shared" si="195"/>
        <v>1</v>
      </c>
      <c r="Q1284" s="25">
        <f t="shared" si="193"/>
        <v>0.76455755411373927</v>
      </c>
      <c r="R1284" s="25">
        <f t="shared" si="190"/>
        <v>0.16057933790724066</v>
      </c>
      <c r="S1284" s="25">
        <f t="shared" si="187"/>
        <v>0.13357202325105044</v>
      </c>
      <c r="T1284" s="25">
        <f t="shared" si="184"/>
        <v>0.13561644329128142</v>
      </c>
      <c r="U1284" s="25">
        <f t="shared" si="181"/>
        <v>0.16330492668128382</v>
      </c>
      <c r="X1284">
        <f t="shared" si="194"/>
        <v>0</v>
      </c>
      <c r="Y1284">
        <f t="shared" si="191"/>
        <v>0</v>
      </c>
      <c r="Z1284">
        <f t="shared" si="188"/>
        <v>0</v>
      </c>
      <c r="AA1284">
        <f t="shared" si="185"/>
        <v>0</v>
      </c>
      <c r="AB1284">
        <f t="shared" si="182"/>
        <v>1</v>
      </c>
    </row>
    <row r="1285" spans="1:28">
      <c r="A1285" s="27">
        <v>44272</v>
      </c>
      <c r="B1285" s="24">
        <v>1007.43</v>
      </c>
      <c r="C1285" s="25">
        <f t="shared" si="196"/>
        <v>-1.548940661402551E-2</v>
      </c>
      <c r="E1285" s="25">
        <f t="shared" si="192"/>
        <v>0.93628553306809659</v>
      </c>
      <c r="F1285" s="25">
        <f t="shared" si="189"/>
        <v>0.15031097585404685</v>
      </c>
      <c r="G1285" s="25">
        <f t="shared" si="186"/>
        <v>0.11836931855449762</v>
      </c>
      <c r="H1285" s="25">
        <f t="shared" si="183"/>
        <v>0.12063064086195041</v>
      </c>
      <c r="I1285" s="25">
        <f t="shared" si="180"/>
        <v>0.16949652363259959</v>
      </c>
      <c r="K1285" s="29">
        <v>44272</v>
      </c>
      <c r="L1285" s="24">
        <v>18720.14</v>
      </c>
      <c r="M1285" s="25">
        <f t="shared" si="197"/>
        <v>-1.5648921429006448E-2</v>
      </c>
      <c r="O1285" t="b">
        <f t="shared" si="195"/>
        <v>1</v>
      </c>
      <c r="Q1285" s="25">
        <f t="shared" si="193"/>
        <v>0.99130088841990616</v>
      </c>
      <c r="R1285" s="25">
        <f t="shared" si="190"/>
        <v>0.15055591256885026</v>
      </c>
      <c r="S1285" s="25">
        <f t="shared" si="187"/>
        <v>0.12635871559991751</v>
      </c>
      <c r="T1285" s="25">
        <f t="shared" si="184"/>
        <v>0.13043105824271728</v>
      </c>
      <c r="U1285" s="25">
        <f t="shared" si="181"/>
        <v>0.15892801255259914</v>
      </c>
      <c r="X1285">
        <f t="shared" si="194"/>
        <v>0</v>
      </c>
      <c r="Y1285">
        <f t="shared" si="191"/>
        <v>0</v>
      </c>
      <c r="Z1285">
        <f t="shared" si="188"/>
        <v>0</v>
      </c>
      <c r="AA1285">
        <f t="shared" si="185"/>
        <v>0</v>
      </c>
      <c r="AB1285">
        <f t="shared" si="182"/>
        <v>1</v>
      </c>
    </row>
    <row r="1286" spans="1:28">
      <c r="A1286" s="26">
        <v>44273</v>
      </c>
      <c r="B1286" s="23">
        <v>991.14</v>
      </c>
      <c r="C1286" s="25">
        <f t="shared" si="196"/>
        <v>-1.6169857955391408E-2</v>
      </c>
      <c r="E1286" s="25">
        <f t="shared" si="192"/>
        <v>0.86084148470795863</v>
      </c>
      <c r="F1286" s="25">
        <f t="shared" si="189"/>
        <v>0.13758616650744004</v>
      </c>
      <c r="G1286" s="25">
        <f t="shared" si="186"/>
        <v>0.111897034121754</v>
      </c>
      <c r="H1286" s="25">
        <f t="shared" si="183"/>
        <v>0.1172640268479046</v>
      </c>
      <c r="I1286" s="25">
        <f t="shared" si="180"/>
        <v>0.16327463091003058</v>
      </c>
      <c r="K1286" s="28">
        <v>44273</v>
      </c>
      <c r="L1286" s="23">
        <v>18500.439999999999</v>
      </c>
      <c r="M1286" s="25">
        <f t="shared" si="197"/>
        <v>-1.1875393233890693E-2</v>
      </c>
      <c r="O1286" t="b">
        <f t="shared" si="195"/>
        <v>1</v>
      </c>
      <c r="Q1286" s="25">
        <f t="shared" si="193"/>
        <v>0.92953908058085033</v>
      </c>
      <c r="R1286" s="25">
        <f t="shared" si="190"/>
        <v>0.14057974560133468</v>
      </c>
      <c r="S1286" s="25">
        <f t="shared" si="187"/>
        <v>0.12073632944857127</v>
      </c>
      <c r="T1286" s="25">
        <f t="shared" si="184"/>
        <v>0.12852088937088602</v>
      </c>
      <c r="U1286" s="25">
        <f t="shared" si="181"/>
        <v>0.15371601678073632</v>
      </c>
      <c r="X1286">
        <f t="shared" si="194"/>
        <v>0</v>
      </c>
      <c r="Y1286">
        <f t="shared" si="191"/>
        <v>0</v>
      </c>
      <c r="Z1286">
        <f t="shared" si="188"/>
        <v>0</v>
      </c>
      <c r="AA1286">
        <f t="shared" si="185"/>
        <v>0</v>
      </c>
      <c r="AB1286">
        <f t="shared" si="182"/>
        <v>1</v>
      </c>
    </row>
    <row r="1287" spans="1:28">
      <c r="A1287" s="27">
        <v>44274</v>
      </c>
      <c r="B1287" s="24">
        <v>1001.12</v>
      </c>
      <c r="C1287" s="25">
        <f t="shared" si="196"/>
        <v>1.0069213229210826E-2</v>
      </c>
      <c r="E1287" s="25">
        <f t="shared" si="192"/>
        <v>0.77743058021447342</v>
      </c>
      <c r="F1287" s="25">
        <f t="shared" si="189"/>
        <v>0.14515466486202078</v>
      </c>
      <c r="G1287" s="25">
        <f t="shared" si="186"/>
        <v>0.11738088047249673</v>
      </c>
      <c r="H1287" s="25">
        <f t="shared" si="183"/>
        <v>0.11808058440311364</v>
      </c>
      <c r="I1287" s="25">
        <f t="shared" si="180"/>
        <v>0.16279262146864015</v>
      </c>
      <c r="K1287" s="29">
        <v>44274</v>
      </c>
      <c r="L1287" s="24">
        <v>18713.400000000001</v>
      </c>
      <c r="M1287" s="25">
        <f t="shared" si="197"/>
        <v>1.1380080583966716E-2</v>
      </c>
      <c r="O1287" t="b">
        <f t="shared" si="195"/>
        <v>1</v>
      </c>
      <c r="Q1287" s="25">
        <f t="shared" si="193"/>
        <v>0.84767862749628287</v>
      </c>
      <c r="R1287" s="25">
        <f t="shared" si="190"/>
        <v>0.14814859042139727</v>
      </c>
      <c r="S1287" s="25">
        <f t="shared" si="187"/>
        <v>0.12687621437300822</v>
      </c>
      <c r="T1287" s="25">
        <f t="shared" si="184"/>
        <v>0.1300775143885966</v>
      </c>
      <c r="U1287" s="25">
        <f t="shared" si="181"/>
        <v>0.15328034351365183</v>
      </c>
      <c r="X1287">
        <f t="shared" si="194"/>
        <v>0</v>
      </c>
      <c r="Y1287">
        <f t="shared" si="191"/>
        <v>0</v>
      </c>
      <c r="Z1287">
        <f t="shared" si="188"/>
        <v>0</v>
      </c>
      <c r="AA1287">
        <f t="shared" si="185"/>
        <v>0</v>
      </c>
      <c r="AB1287">
        <f t="shared" si="182"/>
        <v>1</v>
      </c>
    </row>
    <row r="1288" spans="1:28">
      <c r="A1288" s="26">
        <v>44277</v>
      </c>
      <c r="B1288" s="23">
        <v>1004.46</v>
      </c>
      <c r="C1288" s="25">
        <f t="shared" si="196"/>
        <v>3.336263385008822E-3</v>
      </c>
      <c r="E1288" s="25">
        <f t="shared" si="192"/>
        <v>0.71717240789811099</v>
      </c>
      <c r="F1288" s="25">
        <f t="shared" si="189"/>
        <v>0.14999702328774589</v>
      </c>
      <c r="G1288" s="25">
        <f t="shared" si="186"/>
        <v>0.12302652620253496</v>
      </c>
      <c r="H1288" s="25">
        <f t="shared" si="183"/>
        <v>0.11741934168649792</v>
      </c>
      <c r="I1288" s="25">
        <f t="shared" si="180"/>
        <v>0.16310353193622018</v>
      </c>
      <c r="K1288" s="28">
        <v>44277</v>
      </c>
      <c r="L1288" s="23">
        <v>18751.47</v>
      </c>
      <c r="M1288" s="25">
        <f t="shared" si="197"/>
        <v>2.0302408291189814E-3</v>
      </c>
      <c r="O1288" t="b">
        <f t="shared" si="195"/>
        <v>1</v>
      </c>
      <c r="Q1288" s="25">
        <f t="shared" si="193"/>
        <v>0.77980464497341884</v>
      </c>
      <c r="R1288" s="25">
        <f t="shared" si="190"/>
        <v>0.15238608234682194</v>
      </c>
      <c r="S1288" s="25">
        <f t="shared" si="187"/>
        <v>0.13202040730763653</v>
      </c>
      <c r="T1288" s="25">
        <f t="shared" si="184"/>
        <v>0.12942661436894598</v>
      </c>
      <c r="U1288" s="25">
        <f t="shared" si="181"/>
        <v>0.15330192379672503</v>
      </c>
      <c r="X1288">
        <f t="shared" si="194"/>
        <v>0</v>
      </c>
      <c r="Y1288">
        <f t="shared" si="191"/>
        <v>0</v>
      </c>
      <c r="Z1288">
        <f t="shared" si="188"/>
        <v>0</v>
      </c>
      <c r="AA1288">
        <f t="shared" si="185"/>
        <v>0</v>
      </c>
      <c r="AB1288">
        <f t="shared" si="182"/>
        <v>1</v>
      </c>
    </row>
    <row r="1289" spans="1:28">
      <c r="A1289" s="27">
        <v>44278</v>
      </c>
      <c r="B1289" s="24">
        <v>1012.3</v>
      </c>
      <c r="C1289" s="25">
        <f t="shared" si="196"/>
        <v>7.8051888576945996E-3</v>
      </c>
      <c r="E1289" s="25">
        <f t="shared" si="192"/>
        <v>0.74507404023513568</v>
      </c>
      <c r="F1289" s="25">
        <f t="shared" si="189"/>
        <v>0.15984877007100207</v>
      </c>
      <c r="G1289" s="25">
        <f t="shared" si="186"/>
        <v>0.12015815040133404</v>
      </c>
      <c r="H1289" s="25">
        <f t="shared" si="183"/>
        <v>0.11857046214412414</v>
      </c>
      <c r="I1289" s="25">
        <f t="shared" si="180"/>
        <v>0.16438104899106132</v>
      </c>
      <c r="K1289" s="29">
        <v>44278</v>
      </c>
      <c r="L1289" s="24">
        <v>18872.96</v>
      </c>
      <c r="M1289" s="25">
        <f t="shared" si="197"/>
        <v>6.4372520261791457E-3</v>
      </c>
      <c r="O1289" t="b">
        <f t="shared" si="195"/>
        <v>1</v>
      </c>
      <c r="Q1289" s="25">
        <f t="shared" si="193"/>
        <v>0.78887224886731988</v>
      </c>
      <c r="R1289" s="25">
        <f t="shared" si="190"/>
        <v>0.16153074709924131</v>
      </c>
      <c r="S1289" s="25">
        <f t="shared" si="187"/>
        <v>0.12961777207709901</v>
      </c>
      <c r="T1289" s="25">
        <f t="shared" si="184"/>
        <v>0.13010179038658087</v>
      </c>
      <c r="U1289" s="25">
        <f t="shared" si="181"/>
        <v>0.15459607899970695</v>
      </c>
      <c r="X1289">
        <f t="shared" si="194"/>
        <v>0</v>
      </c>
      <c r="Y1289">
        <f t="shared" si="191"/>
        <v>0</v>
      </c>
      <c r="Z1289">
        <f t="shared" si="188"/>
        <v>0</v>
      </c>
      <c r="AA1289">
        <f t="shared" si="185"/>
        <v>0</v>
      </c>
      <c r="AB1289">
        <f t="shared" si="182"/>
        <v>1</v>
      </c>
    </row>
    <row r="1290" spans="1:28">
      <c r="A1290" s="26">
        <v>44279</v>
      </c>
      <c r="B1290" s="23">
        <v>995.34</v>
      </c>
      <c r="C1290" s="25">
        <f t="shared" si="196"/>
        <v>-1.6753926701570606E-2</v>
      </c>
      <c r="E1290" s="25">
        <f t="shared" si="192"/>
        <v>0.7809229007497005</v>
      </c>
      <c r="F1290" s="25">
        <f t="shared" si="189"/>
        <v>0.14435015596673995</v>
      </c>
      <c r="G1290" s="25">
        <f t="shared" si="186"/>
        <v>0.11020039399015835</v>
      </c>
      <c r="H1290" s="25">
        <f t="shared" si="183"/>
        <v>0.11285448939159948</v>
      </c>
      <c r="I1290" s="25">
        <f t="shared" si="180"/>
        <v>0.1631112290748773</v>
      </c>
      <c r="K1290" s="28">
        <v>44279</v>
      </c>
      <c r="L1290" s="23">
        <v>18538.400000000001</v>
      </c>
      <c r="M1290" s="25">
        <f t="shared" si="197"/>
        <v>-1.8046864885858414E-2</v>
      </c>
      <c r="O1290" t="b">
        <f t="shared" si="195"/>
        <v>1</v>
      </c>
      <c r="Q1290" s="25">
        <f t="shared" si="193"/>
        <v>0.82330690260891148</v>
      </c>
      <c r="R1290" s="25">
        <f t="shared" si="190"/>
        <v>0.14506342143157114</v>
      </c>
      <c r="S1290" s="25">
        <f t="shared" si="187"/>
        <v>0.12020851041984071</v>
      </c>
      <c r="T1290" s="25">
        <f t="shared" si="184"/>
        <v>0.12438799830030867</v>
      </c>
      <c r="U1290" s="25">
        <f t="shared" si="181"/>
        <v>0.15368296644038271</v>
      </c>
      <c r="X1290">
        <f t="shared" si="194"/>
        <v>0</v>
      </c>
      <c r="Y1290">
        <f t="shared" si="191"/>
        <v>0</v>
      </c>
      <c r="Z1290">
        <f t="shared" si="188"/>
        <v>0</v>
      </c>
      <c r="AA1290">
        <f t="shared" si="185"/>
        <v>0</v>
      </c>
      <c r="AB1290">
        <f t="shared" si="182"/>
        <v>1</v>
      </c>
    </row>
    <row r="1291" spans="1:28">
      <c r="A1291" s="27">
        <v>44280</v>
      </c>
      <c r="B1291" s="24">
        <v>981.45</v>
      </c>
      <c r="C1291" s="25">
        <f t="shared" si="196"/>
        <v>-1.395503044185905E-2</v>
      </c>
      <c r="E1291" s="25">
        <f t="shared" si="192"/>
        <v>0.70559407747249914</v>
      </c>
      <c r="F1291" s="25">
        <f t="shared" si="189"/>
        <v>0.13501657579231963</v>
      </c>
      <c r="G1291" s="25">
        <f t="shared" si="186"/>
        <v>0.10779065347516381</v>
      </c>
      <c r="H1291" s="25">
        <f t="shared" si="183"/>
        <v>0.1082733101954696</v>
      </c>
      <c r="I1291" s="25">
        <f t="shared" si="180"/>
        <v>0.15985166574056331</v>
      </c>
      <c r="K1291" s="29">
        <v>44280</v>
      </c>
      <c r="L1291" s="24">
        <v>18229.330000000002</v>
      </c>
      <c r="M1291" s="25">
        <f t="shared" si="197"/>
        <v>-1.6954545230131863E-2</v>
      </c>
      <c r="O1291" t="b">
        <f t="shared" si="195"/>
        <v>1</v>
      </c>
      <c r="Q1291" s="25">
        <f t="shared" si="193"/>
        <v>0.72946739364523094</v>
      </c>
      <c r="R1291" s="25">
        <f t="shared" si="190"/>
        <v>0.13608614923800433</v>
      </c>
      <c r="S1291" s="25">
        <f t="shared" si="187"/>
        <v>0.11669057120983228</v>
      </c>
      <c r="T1291" s="25">
        <f t="shared" si="184"/>
        <v>0.11764600072638287</v>
      </c>
      <c r="U1291" s="25">
        <f t="shared" si="181"/>
        <v>0.15023409102515006</v>
      </c>
      <c r="X1291">
        <f t="shared" si="194"/>
        <v>0</v>
      </c>
      <c r="Y1291">
        <f t="shared" si="191"/>
        <v>0</v>
      </c>
      <c r="Z1291">
        <f t="shared" si="188"/>
        <v>0</v>
      </c>
      <c r="AA1291">
        <f t="shared" si="185"/>
        <v>0</v>
      </c>
      <c r="AB1291">
        <f t="shared" si="182"/>
        <v>1</v>
      </c>
    </row>
    <row r="1292" spans="1:28">
      <c r="A1292" s="26">
        <v>44281</v>
      </c>
      <c r="B1292" s="23">
        <v>997.09</v>
      </c>
      <c r="C1292" s="25">
        <f t="shared" si="196"/>
        <v>1.5935605481685246E-2</v>
      </c>
      <c r="E1292" s="25">
        <f t="shared" si="192"/>
        <v>0.79258580083778285</v>
      </c>
      <c r="F1292" s="25">
        <f t="shared" si="189"/>
        <v>0.1398279590802487</v>
      </c>
      <c r="G1292" s="25">
        <f t="shared" si="186"/>
        <v>0.10936311547659217</v>
      </c>
      <c r="H1292" s="25">
        <f t="shared" si="183"/>
        <v>0.11160878291871512</v>
      </c>
      <c r="I1292" s="25">
        <f t="shared" si="180"/>
        <v>0.15985223728423703</v>
      </c>
      <c r="K1292" s="28">
        <v>44281</v>
      </c>
      <c r="L1292" s="23">
        <v>18465.849999999999</v>
      </c>
      <c r="M1292" s="25">
        <f t="shared" si="197"/>
        <v>1.2808508679535294E-2</v>
      </c>
      <c r="O1292" t="b">
        <f t="shared" si="195"/>
        <v>1</v>
      </c>
      <c r="Q1292" s="25">
        <f t="shared" si="193"/>
        <v>0.81273400518713523</v>
      </c>
      <c r="R1292" s="25">
        <f t="shared" si="190"/>
        <v>0.13744449655813717</v>
      </c>
      <c r="S1292" s="25">
        <f t="shared" si="187"/>
        <v>0.11686161067627587</v>
      </c>
      <c r="T1292" s="25">
        <f t="shared" si="184"/>
        <v>0.11979946762172911</v>
      </c>
      <c r="U1292" s="25">
        <f t="shared" si="181"/>
        <v>0.14907557411857564</v>
      </c>
      <c r="X1292">
        <f t="shared" si="194"/>
        <v>0</v>
      </c>
      <c r="Y1292">
        <f t="shared" si="191"/>
        <v>1</v>
      </c>
      <c r="Z1292">
        <f t="shared" si="188"/>
        <v>0</v>
      </c>
      <c r="AA1292">
        <f t="shared" si="185"/>
        <v>0</v>
      </c>
      <c r="AB1292">
        <f t="shared" si="182"/>
        <v>1</v>
      </c>
    </row>
    <row r="1293" spans="1:28">
      <c r="A1293" s="27">
        <v>44285</v>
      </c>
      <c r="B1293" s="24">
        <v>1016.92</v>
      </c>
      <c r="C1293" s="25">
        <f t="shared" si="196"/>
        <v>1.988787371250331E-2</v>
      </c>
      <c r="E1293" s="25">
        <f t="shared" si="192"/>
        <v>0.86204749784849755</v>
      </c>
      <c r="F1293" s="25">
        <f t="shared" si="189"/>
        <v>0.14604794665337395</v>
      </c>
      <c r="G1293" s="25">
        <f t="shared" si="186"/>
        <v>0.11455696832625217</v>
      </c>
      <c r="H1293" s="25">
        <f t="shared" si="183"/>
        <v>0.11720613975780014</v>
      </c>
      <c r="I1293" s="25">
        <f t="shared" si="180"/>
        <v>0.16381751472495454</v>
      </c>
      <c r="K1293" s="29">
        <v>44285</v>
      </c>
      <c r="L1293" s="24">
        <v>18830.03</v>
      </c>
      <c r="M1293" s="25">
        <f t="shared" si="197"/>
        <v>1.9340383419463501E-2</v>
      </c>
      <c r="O1293" t="b">
        <f t="shared" si="195"/>
        <v>1</v>
      </c>
      <c r="Q1293" s="25">
        <f t="shared" si="193"/>
        <v>0.88284107566749226</v>
      </c>
      <c r="R1293" s="25">
        <f t="shared" si="190"/>
        <v>0.14492987743982133</v>
      </c>
      <c r="S1293" s="25">
        <f t="shared" si="187"/>
        <v>0.1220355791159935</v>
      </c>
      <c r="T1293" s="25">
        <f t="shared" si="184"/>
        <v>0.12538348583228021</v>
      </c>
      <c r="U1293" s="25">
        <f t="shared" si="181"/>
        <v>0.15301925568233976</v>
      </c>
      <c r="X1293">
        <f t="shared" si="194"/>
        <v>0</v>
      </c>
      <c r="Y1293">
        <f t="shared" si="191"/>
        <v>1</v>
      </c>
      <c r="Z1293">
        <f t="shared" si="188"/>
        <v>0</v>
      </c>
      <c r="AA1293">
        <f t="shared" si="185"/>
        <v>0</v>
      </c>
      <c r="AB1293">
        <f t="shared" si="182"/>
        <v>1</v>
      </c>
    </row>
    <row r="1294" spans="1:28">
      <c r="A1294" s="26">
        <v>44286</v>
      </c>
      <c r="B1294" s="23">
        <v>1009.97</v>
      </c>
      <c r="C1294" s="25">
        <f t="shared" si="196"/>
        <v>-6.8343625850607048E-3</v>
      </c>
      <c r="E1294" s="25">
        <f t="shared" si="192"/>
        <v>0.71050893386400205</v>
      </c>
      <c r="F1294" s="25">
        <f t="shared" si="189"/>
        <v>0.13984535935215225</v>
      </c>
      <c r="G1294" s="25">
        <f t="shared" si="186"/>
        <v>0.11624804349242046</v>
      </c>
      <c r="H1294" s="25">
        <f t="shared" si="183"/>
        <v>0.11651307581755144</v>
      </c>
      <c r="I1294" s="25">
        <f t="shared" si="180"/>
        <v>0.16227604983670618</v>
      </c>
      <c r="K1294" s="28">
        <v>44286</v>
      </c>
      <c r="L1294" s="23">
        <v>18717.240000000002</v>
      </c>
      <c r="M1294" s="25">
        <f t="shared" si="197"/>
        <v>-6.0259952856295705E-3</v>
      </c>
      <c r="O1294" t="b">
        <f t="shared" si="195"/>
        <v>1</v>
      </c>
      <c r="Q1294" s="25">
        <f t="shared" si="193"/>
        <v>0.73789722424686999</v>
      </c>
      <c r="R1294" s="25">
        <f t="shared" si="190"/>
        <v>0.13924160759180348</v>
      </c>
      <c r="S1294" s="25">
        <f t="shared" si="187"/>
        <v>0.12390034615618672</v>
      </c>
      <c r="T1294" s="25">
        <f t="shared" si="184"/>
        <v>0.12532350008448545</v>
      </c>
      <c r="U1294" s="25">
        <f t="shared" si="181"/>
        <v>0.15187359306229986</v>
      </c>
      <c r="X1294">
        <f t="shared" si="194"/>
        <v>0</v>
      </c>
      <c r="Y1294">
        <f t="shared" si="191"/>
        <v>1</v>
      </c>
      <c r="Z1294">
        <f t="shared" si="188"/>
        <v>0</v>
      </c>
      <c r="AA1294">
        <f t="shared" si="185"/>
        <v>0</v>
      </c>
      <c r="AB1294">
        <f t="shared" si="182"/>
        <v>1</v>
      </c>
    </row>
    <row r="1295" spans="1:28">
      <c r="A1295" s="27">
        <v>44287</v>
      </c>
      <c r="B1295" s="24">
        <v>1023.76</v>
      </c>
      <c r="C1295" s="25">
        <f t="shared" si="196"/>
        <v>1.3653870907056609E-2</v>
      </c>
      <c r="E1295" s="25">
        <f t="shared" si="192"/>
        <v>0.72565148501500176</v>
      </c>
      <c r="F1295" s="25">
        <f t="shared" si="189"/>
        <v>0.14616393882793899</v>
      </c>
      <c r="G1295" s="25">
        <f t="shared" si="186"/>
        <v>0.11401498150924372</v>
      </c>
      <c r="H1295" s="25">
        <f t="shared" si="183"/>
        <v>0.11904148544372006</v>
      </c>
      <c r="I1295" s="25">
        <f t="shared" si="180"/>
        <v>0.16405725535938576</v>
      </c>
      <c r="K1295" s="29">
        <v>44287</v>
      </c>
      <c r="L1295" s="24">
        <v>18968.55</v>
      </c>
      <c r="M1295" s="25">
        <f t="shared" si="197"/>
        <v>1.324877230995504E-2</v>
      </c>
      <c r="O1295" t="b">
        <f t="shared" si="195"/>
        <v>1</v>
      </c>
      <c r="Q1295" s="25">
        <f t="shared" si="193"/>
        <v>0.75816888053455389</v>
      </c>
      <c r="R1295" s="25">
        <f t="shared" si="190"/>
        <v>0.14575288040818379</v>
      </c>
      <c r="S1295" s="25">
        <f t="shared" si="187"/>
        <v>0.12183901067407321</v>
      </c>
      <c r="T1295" s="25">
        <f t="shared" si="184"/>
        <v>0.12884169865593709</v>
      </c>
      <c r="U1295" s="25">
        <f t="shared" si="181"/>
        <v>0.1537306728083061</v>
      </c>
      <c r="X1295">
        <f t="shared" si="194"/>
        <v>0</v>
      </c>
      <c r="Y1295">
        <f t="shared" si="191"/>
        <v>1</v>
      </c>
      <c r="Z1295">
        <f t="shared" si="188"/>
        <v>0</v>
      </c>
      <c r="AA1295">
        <f t="shared" si="185"/>
        <v>0</v>
      </c>
      <c r="AB1295">
        <f t="shared" si="182"/>
        <v>1</v>
      </c>
    </row>
    <row r="1296" spans="1:28">
      <c r="A1296" s="26">
        <v>44291</v>
      </c>
      <c r="B1296" s="23">
        <v>1011.77</v>
      </c>
      <c r="C1296" s="25">
        <f t="shared" si="196"/>
        <v>-1.1711729311557405E-2</v>
      </c>
      <c r="E1296" s="25">
        <f t="shared" si="192"/>
        <v>0.64371121291873812</v>
      </c>
      <c r="F1296" s="25">
        <f t="shared" si="189"/>
        <v>0.14313490891850456</v>
      </c>
      <c r="G1296" s="25">
        <f t="shared" si="186"/>
        <v>0.10855711540754687</v>
      </c>
      <c r="H1296" s="25">
        <f t="shared" si="183"/>
        <v>0.11414977353853839</v>
      </c>
      <c r="I1296" s="25">
        <f t="shared" si="180"/>
        <v>0.16516213884160824</v>
      </c>
      <c r="K1296" s="28">
        <v>44291</v>
      </c>
      <c r="L1296" s="23">
        <v>18694.759999999998</v>
      </c>
      <c r="M1296" s="25">
        <f t="shared" si="197"/>
        <v>-1.4645280281747447E-2</v>
      </c>
      <c r="O1296" t="b">
        <f t="shared" si="195"/>
        <v>1</v>
      </c>
      <c r="Q1296" s="25">
        <f t="shared" si="193"/>
        <v>0.66754467730210165</v>
      </c>
      <c r="R1296" s="25">
        <f t="shared" si="190"/>
        <v>0.14111988426591004</v>
      </c>
      <c r="S1296" s="25">
        <f t="shared" si="187"/>
        <v>0.11536199433623495</v>
      </c>
      <c r="T1296" s="25">
        <f t="shared" si="184"/>
        <v>0.12273076458116994</v>
      </c>
      <c r="U1296" s="25">
        <f t="shared" si="181"/>
        <v>0.15473584356556169</v>
      </c>
      <c r="X1296">
        <f t="shared" si="194"/>
        <v>0</v>
      </c>
      <c r="Y1296">
        <f t="shared" si="191"/>
        <v>1</v>
      </c>
      <c r="Z1296">
        <f t="shared" si="188"/>
        <v>0</v>
      </c>
      <c r="AA1296">
        <f t="shared" si="185"/>
        <v>0</v>
      </c>
      <c r="AB1296">
        <f t="shared" si="182"/>
        <v>1</v>
      </c>
    </row>
    <row r="1297" spans="1:28">
      <c r="A1297" s="27">
        <v>44292</v>
      </c>
      <c r="B1297" s="24">
        <v>1012.68</v>
      </c>
      <c r="C1297" s="25">
        <f t="shared" si="196"/>
        <v>8.9941389841561637E-4</v>
      </c>
      <c r="E1297" s="25">
        <f t="shared" si="192"/>
        <v>0.65673619631901836</v>
      </c>
      <c r="F1297" s="25">
        <f t="shared" si="189"/>
        <v>0.14358979021577745</v>
      </c>
      <c r="G1297" s="25">
        <f t="shared" si="186"/>
        <v>0.10824312264528313</v>
      </c>
      <c r="H1297" s="25">
        <f t="shared" si="183"/>
        <v>0.11464219221206351</v>
      </c>
      <c r="I1297" s="25">
        <f t="shared" si="180"/>
        <v>0.16465072970677963</v>
      </c>
      <c r="K1297" s="29">
        <v>44292</v>
      </c>
      <c r="L1297" s="24">
        <v>18785.23</v>
      </c>
      <c r="M1297" s="25">
        <f t="shared" si="197"/>
        <v>4.8160176904941364E-3</v>
      </c>
      <c r="O1297" t="b">
        <f t="shared" si="195"/>
        <v>1</v>
      </c>
      <c r="Q1297" s="25">
        <f t="shared" si="193"/>
        <v>0.69412281405820653</v>
      </c>
      <c r="R1297" s="25">
        <f t="shared" si="190"/>
        <v>0.14576105468412703</v>
      </c>
      <c r="S1297" s="25">
        <f t="shared" si="187"/>
        <v>0.11581634328254986</v>
      </c>
      <c r="T1297" s="25">
        <f t="shared" si="184"/>
        <v>0.12506755816197512</v>
      </c>
      <c r="U1297" s="25">
        <f t="shared" si="181"/>
        <v>0.15513544087254183</v>
      </c>
      <c r="X1297">
        <f t="shared" si="194"/>
        <v>0</v>
      </c>
      <c r="Y1297">
        <f t="shared" si="191"/>
        <v>0</v>
      </c>
      <c r="Z1297">
        <f t="shared" si="188"/>
        <v>0</v>
      </c>
      <c r="AA1297">
        <f t="shared" si="185"/>
        <v>0</v>
      </c>
      <c r="AB1297">
        <f t="shared" si="182"/>
        <v>1</v>
      </c>
    </row>
    <row r="1298" spans="1:28">
      <c r="A1298" s="26">
        <v>44293</v>
      </c>
      <c r="B1298" s="23">
        <v>1025.92</v>
      </c>
      <c r="C1298" s="25">
        <f t="shared" si="196"/>
        <v>1.307421890429368E-2</v>
      </c>
      <c r="E1298" s="25">
        <f t="shared" si="192"/>
        <v>0.68122972042869789</v>
      </c>
      <c r="F1298" s="25">
        <f t="shared" si="189"/>
        <v>0.14729882139687134</v>
      </c>
      <c r="G1298" s="25">
        <f t="shared" si="186"/>
        <v>0.11163935543617209</v>
      </c>
      <c r="H1298" s="25">
        <f t="shared" si="183"/>
        <v>0.12003036745920515</v>
      </c>
      <c r="I1298" s="25">
        <f t="shared" ref="I1298:I1361" si="198">((B1298/B67)^(1/5))-1</f>
        <v>0.16870589756682719</v>
      </c>
      <c r="K1298" s="28">
        <v>44293</v>
      </c>
      <c r="L1298" s="23">
        <v>18972.599999999999</v>
      </c>
      <c r="M1298" s="25">
        <f t="shared" si="197"/>
        <v>9.8758209206961083E-3</v>
      </c>
      <c r="O1298" t="b">
        <f t="shared" si="195"/>
        <v>1</v>
      </c>
      <c r="Q1298" s="25">
        <f t="shared" si="193"/>
        <v>0.71475207739458457</v>
      </c>
      <c r="R1298" s="25">
        <f t="shared" si="190"/>
        <v>0.14798369212304796</v>
      </c>
      <c r="S1298" s="25">
        <f t="shared" si="187"/>
        <v>0.1189484620817689</v>
      </c>
      <c r="T1298" s="25">
        <f t="shared" si="184"/>
        <v>0.12904985567881599</v>
      </c>
      <c r="U1298" s="25">
        <f t="shared" ref="U1298:U1361" si="199">((L1298/L67)^(1/5))-1</f>
        <v>0.1591878504958224</v>
      </c>
      <c r="X1298">
        <f t="shared" si="194"/>
        <v>0</v>
      </c>
      <c r="Y1298">
        <f t="shared" si="191"/>
        <v>0</v>
      </c>
      <c r="Z1298">
        <f t="shared" si="188"/>
        <v>0</v>
      </c>
      <c r="AA1298">
        <f t="shared" si="185"/>
        <v>0</v>
      </c>
      <c r="AB1298">
        <f t="shared" ref="AB1298:AB1361" si="200">IF(I1298&gt;U1298,1,0)</f>
        <v>1</v>
      </c>
    </row>
    <row r="1299" spans="1:28">
      <c r="A1299" s="27">
        <v>44294</v>
      </c>
      <c r="B1299" s="24">
        <v>1031.74</v>
      </c>
      <c r="C1299" s="25">
        <f t="shared" si="196"/>
        <v>5.6729569557079848E-3</v>
      </c>
      <c r="E1299" s="25">
        <f t="shared" si="192"/>
        <v>0.67037414800783601</v>
      </c>
      <c r="F1299" s="25">
        <f t="shared" si="189"/>
        <v>0.1537057571001339</v>
      </c>
      <c r="G1299" s="25">
        <f t="shared" si="186"/>
        <v>0.11305233901680034</v>
      </c>
      <c r="H1299" s="25">
        <f t="shared" si="183"/>
        <v>0.12171011674227605</v>
      </c>
      <c r="I1299" s="25">
        <f t="shared" si="198"/>
        <v>0.16880436677390165</v>
      </c>
      <c r="K1299" s="29">
        <v>44294</v>
      </c>
      <c r="L1299" s="24">
        <v>19065.82</v>
      </c>
      <c r="M1299" s="25">
        <f t="shared" si="197"/>
        <v>4.8893779548952613E-3</v>
      </c>
      <c r="O1299" t="b">
        <f t="shared" si="195"/>
        <v>1</v>
      </c>
      <c r="Q1299" s="25">
        <f t="shared" si="193"/>
        <v>0.70738635600407274</v>
      </c>
      <c r="R1299" s="25">
        <f t="shared" si="190"/>
        <v>0.15381389565703096</v>
      </c>
      <c r="S1299" s="25">
        <f t="shared" si="187"/>
        <v>0.12030399103305411</v>
      </c>
      <c r="T1299" s="25">
        <f t="shared" si="184"/>
        <v>0.13051503667409214</v>
      </c>
      <c r="U1299" s="25">
        <f t="shared" si="199"/>
        <v>0.15970796925040132</v>
      </c>
      <c r="X1299">
        <f t="shared" si="194"/>
        <v>0</v>
      </c>
      <c r="Y1299">
        <f t="shared" si="191"/>
        <v>0</v>
      </c>
      <c r="Z1299">
        <f t="shared" si="188"/>
        <v>0</v>
      </c>
      <c r="AA1299">
        <f t="shared" si="185"/>
        <v>0</v>
      </c>
      <c r="AB1299">
        <f t="shared" si="200"/>
        <v>1</v>
      </c>
    </row>
    <row r="1300" spans="1:28">
      <c r="A1300" s="26">
        <v>44295</v>
      </c>
      <c r="B1300" s="23">
        <v>1030.6600000000001</v>
      </c>
      <c r="C1300" s="25">
        <f t="shared" si="196"/>
        <v>-1.0467753503789008E-3</v>
      </c>
      <c r="E1300" s="25">
        <f t="shared" si="192"/>
        <v>0.6212228461768361</v>
      </c>
      <c r="F1300" s="25">
        <f t="shared" si="189"/>
        <v>0.15083244540598795</v>
      </c>
      <c r="G1300" s="25">
        <f t="shared" si="186"/>
        <v>0.11290186947929071</v>
      </c>
      <c r="H1300" s="25">
        <f t="shared" si="183"/>
        <v>0.12278864490277464</v>
      </c>
      <c r="I1300" s="25">
        <f t="shared" si="198"/>
        <v>0.1663096206113821</v>
      </c>
      <c r="K1300" s="28">
        <v>44295</v>
      </c>
      <c r="L1300" s="23">
        <v>19044.22</v>
      </c>
      <c r="M1300" s="25">
        <f t="shared" si="197"/>
        <v>-1.1342023984179212E-3</v>
      </c>
      <c r="O1300" t="b">
        <f t="shared" si="195"/>
        <v>1</v>
      </c>
      <c r="Q1300" s="25">
        <f t="shared" si="193"/>
        <v>0.66018547415514073</v>
      </c>
      <c r="R1300" s="25">
        <f t="shared" si="190"/>
        <v>0.1505740793582524</v>
      </c>
      <c r="S1300" s="25">
        <f t="shared" si="187"/>
        <v>0.11921890189326612</v>
      </c>
      <c r="T1300" s="25">
        <f t="shared" si="184"/>
        <v>0.13158555801187877</v>
      </c>
      <c r="U1300" s="25">
        <f t="shared" si="199"/>
        <v>0.15640021217676647</v>
      </c>
      <c r="X1300">
        <f t="shared" si="194"/>
        <v>0</v>
      </c>
      <c r="Y1300">
        <f t="shared" si="191"/>
        <v>1</v>
      </c>
      <c r="Z1300">
        <f t="shared" si="188"/>
        <v>0</v>
      </c>
      <c r="AA1300">
        <f t="shared" si="185"/>
        <v>0</v>
      </c>
      <c r="AB1300">
        <f t="shared" si="200"/>
        <v>1</v>
      </c>
    </row>
    <row r="1301" spans="1:28">
      <c r="A1301" s="27">
        <v>44298</v>
      </c>
      <c r="B1301" s="24">
        <v>993.38</v>
      </c>
      <c r="C1301" s="25">
        <f t="shared" si="196"/>
        <v>-3.6170997225079153E-2</v>
      </c>
      <c r="E1301" s="25">
        <f t="shared" si="192"/>
        <v>0.56487082545683687</v>
      </c>
      <c r="F1301" s="25">
        <f t="shared" si="189"/>
        <v>0.13324009642457457</v>
      </c>
      <c r="G1301" s="25">
        <f t="shared" si="186"/>
        <v>9.8691923433452455E-2</v>
      </c>
      <c r="H1301" s="25">
        <f t="shared" si="183"/>
        <v>0.11134420114732291</v>
      </c>
      <c r="I1301" s="25">
        <f t="shared" si="198"/>
        <v>0.15564511471176568</v>
      </c>
      <c r="K1301" s="29">
        <v>44298</v>
      </c>
      <c r="L1301" s="24">
        <v>18279.05</v>
      </c>
      <c r="M1301" s="25">
        <f t="shared" si="197"/>
        <v>-4.1860490561599316E-2</v>
      </c>
      <c r="O1301" t="b">
        <f t="shared" si="195"/>
        <v>1</v>
      </c>
      <c r="Q1301" s="25">
        <f t="shared" si="193"/>
        <v>0.59343988200260811</v>
      </c>
      <c r="R1301" s="25">
        <f t="shared" si="190"/>
        <v>0.13042995501282051</v>
      </c>
      <c r="S1301" s="25">
        <f t="shared" si="187"/>
        <v>0.10321324504004914</v>
      </c>
      <c r="T1301" s="25">
        <f t="shared" si="184"/>
        <v>0.11939935005768354</v>
      </c>
      <c r="U1301" s="25">
        <f t="shared" si="199"/>
        <v>0.1455514740800512</v>
      </c>
      <c r="X1301">
        <f t="shared" si="194"/>
        <v>0</v>
      </c>
      <c r="Y1301">
        <f t="shared" si="191"/>
        <v>1</v>
      </c>
      <c r="Z1301">
        <f t="shared" si="188"/>
        <v>0</v>
      </c>
      <c r="AA1301">
        <f t="shared" si="185"/>
        <v>0</v>
      </c>
      <c r="AB1301">
        <f t="shared" si="200"/>
        <v>1</v>
      </c>
    </row>
    <row r="1302" spans="1:28">
      <c r="A1302" s="26">
        <v>44299</v>
      </c>
      <c r="B1302" s="23">
        <v>1003.08</v>
      </c>
      <c r="C1302" s="25">
        <f t="shared" si="196"/>
        <v>9.7646419295738234E-3</v>
      </c>
      <c r="E1302" s="25">
        <f t="shared" si="192"/>
        <v>0.6343196037539105</v>
      </c>
      <c r="F1302" s="25">
        <f t="shared" si="189"/>
        <v>0.13873741525927863</v>
      </c>
      <c r="G1302" s="25">
        <f t="shared" si="186"/>
        <v>0.10070094320717948</v>
      </c>
      <c r="H1302" s="25">
        <f t="shared" si="183"/>
        <v>0.11311688834339551</v>
      </c>
      <c r="I1302" s="25">
        <f t="shared" si="198"/>
        <v>0.15431322944129122</v>
      </c>
      <c r="K1302" s="28">
        <v>44299</v>
      </c>
      <c r="L1302" s="23">
        <v>18526.240000000002</v>
      </c>
      <c r="M1302" s="25">
        <f t="shared" si="197"/>
        <v>1.3342696629213608E-2</v>
      </c>
      <c r="O1302" t="b">
        <f t="shared" si="195"/>
        <v>1</v>
      </c>
      <c r="Q1302" s="25">
        <f t="shared" si="193"/>
        <v>0.66274813901349328</v>
      </c>
      <c r="R1302" s="25">
        <f t="shared" si="190"/>
        <v>0.13735106174745493</v>
      </c>
      <c r="S1302" s="25">
        <f t="shared" si="187"/>
        <v>0.10642932768212754</v>
      </c>
      <c r="T1302" s="25">
        <f t="shared" si="184"/>
        <v>0.12169538320948337</v>
      </c>
      <c r="U1302" s="25">
        <f t="shared" si="199"/>
        <v>0.14492774351093485</v>
      </c>
      <c r="X1302">
        <f t="shared" si="194"/>
        <v>0</v>
      </c>
      <c r="Y1302">
        <f t="shared" si="191"/>
        <v>1</v>
      </c>
      <c r="Z1302">
        <f t="shared" si="188"/>
        <v>0</v>
      </c>
      <c r="AA1302">
        <f t="shared" si="185"/>
        <v>0</v>
      </c>
      <c r="AB1302">
        <f t="shared" si="200"/>
        <v>1</v>
      </c>
    </row>
    <row r="1303" spans="1:28">
      <c r="A1303" s="27">
        <v>44301</v>
      </c>
      <c r="B1303" s="24">
        <v>1006.43</v>
      </c>
      <c r="C1303" s="25">
        <f t="shared" si="196"/>
        <v>3.3397136818597807E-3</v>
      </c>
      <c r="E1303" s="25">
        <f t="shared" si="192"/>
        <v>0.62120846018782516</v>
      </c>
      <c r="F1303" s="25">
        <f t="shared" si="189"/>
        <v>0.13899678287591577</v>
      </c>
      <c r="G1303" s="25">
        <f t="shared" si="186"/>
        <v>0.10138342271563361</v>
      </c>
      <c r="H1303" s="25">
        <f t="shared" si="183"/>
        <v>0.11433941036737694</v>
      </c>
      <c r="I1303" s="25">
        <f t="shared" si="198"/>
        <v>0.15385995767713867</v>
      </c>
      <c r="K1303" s="29">
        <v>44301</v>
      </c>
      <c r="L1303" s="24">
        <v>18603.68</v>
      </c>
      <c r="M1303" s="25">
        <f t="shared" si="197"/>
        <v>4.1626172886223955E-3</v>
      </c>
      <c r="O1303" t="b">
        <f t="shared" si="195"/>
        <v>1</v>
      </c>
      <c r="Q1303" s="25">
        <f t="shared" si="193"/>
        <v>0.6391297414123509</v>
      </c>
      <c r="R1303" s="25">
        <f t="shared" si="190"/>
        <v>0.13736393089393961</v>
      </c>
      <c r="S1303" s="25">
        <f t="shared" si="187"/>
        <v>0.10721541594029027</v>
      </c>
      <c r="T1303" s="25">
        <f t="shared" si="184"/>
        <v>0.12305434564278572</v>
      </c>
      <c r="U1303" s="25">
        <f t="shared" si="199"/>
        <v>0.14381444951424283</v>
      </c>
      <c r="X1303">
        <f t="shared" si="194"/>
        <v>0</v>
      </c>
      <c r="Y1303">
        <f t="shared" si="191"/>
        <v>1</v>
      </c>
      <c r="Z1303">
        <f t="shared" si="188"/>
        <v>0</v>
      </c>
      <c r="AA1303">
        <f t="shared" si="185"/>
        <v>0</v>
      </c>
      <c r="AB1303">
        <f t="shared" si="200"/>
        <v>1</v>
      </c>
    </row>
    <row r="1304" spans="1:28">
      <c r="A1304" s="26">
        <v>44302</v>
      </c>
      <c r="B1304" s="23">
        <v>1012.83</v>
      </c>
      <c r="C1304" s="25">
        <f t="shared" si="196"/>
        <v>6.359110916805035E-3</v>
      </c>
      <c r="E1304" s="25">
        <f t="shared" si="192"/>
        <v>0.60736050276137887</v>
      </c>
      <c r="F1304" s="25">
        <f t="shared" si="189"/>
        <v>0.14003642258607307</v>
      </c>
      <c r="G1304" s="25">
        <f t="shared" si="186"/>
        <v>0.10428021287209988</v>
      </c>
      <c r="H1304" s="25">
        <f t="shared" ref="H1304:H1367" si="201">((B1304/B323)^(1/4))-1</f>
        <v>0.11422517763282602</v>
      </c>
      <c r="I1304" s="25">
        <f t="shared" si="198"/>
        <v>0.15525331863788638</v>
      </c>
      <c r="K1304" s="28">
        <v>44302</v>
      </c>
      <c r="L1304" s="23">
        <v>18695.580000000002</v>
      </c>
      <c r="M1304" s="25">
        <f t="shared" si="197"/>
        <v>4.9156003718526754E-3</v>
      </c>
      <c r="O1304" t="b">
        <f t="shared" si="195"/>
        <v>1</v>
      </c>
      <c r="Q1304" s="25">
        <f t="shared" si="193"/>
        <v>0.62745743236185114</v>
      </c>
      <c r="R1304" s="25">
        <f t="shared" si="190"/>
        <v>0.13770768795490063</v>
      </c>
      <c r="S1304" s="25">
        <f t="shared" si="187"/>
        <v>0.10977806151364122</v>
      </c>
      <c r="T1304" s="25">
        <f t="shared" ref="T1304:T1367" si="202">((L1304/L323)^(1/4))-1</f>
        <v>0.12167732489822347</v>
      </c>
      <c r="U1304" s="25">
        <f t="shared" si="199"/>
        <v>0.14465668895372108</v>
      </c>
      <c r="X1304">
        <f t="shared" si="194"/>
        <v>0</v>
      </c>
      <c r="Y1304">
        <f t="shared" si="191"/>
        <v>1</v>
      </c>
      <c r="Z1304">
        <f t="shared" si="188"/>
        <v>0</v>
      </c>
      <c r="AA1304">
        <f t="shared" ref="AA1304:AA1367" si="203">IF(H1304&gt;T1304,1,0)</f>
        <v>0</v>
      </c>
      <c r="AB1304">
        <f t="shared" si="200"/>
        <v>1</v>
      </c>
    </row>
    <row r="1305" spans="1:28">
      <c r="A1305" s="27">
        <v>44305</v>
      </c>
      <c r="B1305" s="24">
        <v>998.27</v>
      </c>
      <c r="C1305" s="25">
        <f t="shared" si="196"/>
        <v>-1.4375561545372924E-2</v>
      </c>
      <c r="E1305" s="25">
        <f t="shared" si="192"/>
        <v>0.61705057180807965</v>
      </c>
      <c r="F1305" s="25">
        <f t="shared" si="189"/>
        <v>0.12725068654190075</v>
      </c>
      <c r="G1305" s="25">
        <f t="shared" si="186"/>
        <v>9.5377671611448944E-2</v>
      </c>
      <c r="H1305" s="25">
        <f t="shared" si="201"/>
        <v>0.10828548119393377</v>
      </c>
      <c r="I1305" s="25">
        <f t="shared" si="198"/>
        <v>0.15205772255220484</v>
      </c>
      <c r="K1305" s="29">
        <v>44305</v>
      </c>
      <c r="L1305" s="24">
        <v>18359.48</v>
      </c>
      <c r="M1305" s="25">
        <f t="shared" si="197"/>
        <v>-1.8306618705976541E-2</v>
      </c>
      <c r="O1305" t="b">
        <f t="shared" si="195"/>
        <v>1</v>
      </c>
      <c r="Q1305" s="25">
        <f t="shared" si="193"/>
        <v>0.62631876396273189</v>
      </c>
      <c r="R1305" s="25">
        <f t="shared" si="190"/>
        <v>0.12368916383193485</v>
      </c>
      <c r="S1305" s="25">
        <f t="shared" si="187"/>
        <v>0.10132428708930741</v>
      </c>
      <c r="T1305" s="25">
        <f t="shared" si="202"/>
        <v>0.11389373141135861</v>
      </c>
      <c r="U1305" s="25">
        <f t="shared" si="199"/>
        <v>0.14082117004911199</v>
      </c>
      <c r="X1305">
        <f t="shared" si="194"/>
        <v>0</v>
      </c>
      <c r="Y1305">
        <f t="shared" si="191"/>
        <v>1</v>
      </c>
      <c r="Z1305">
        <f t="shared" si="188"/>
        <v>0</v>
      </c>
      <c r="AA1305">
        <f t="shared" si="203"/>
        <v>0</v>
      </c>
      <c r="AB1305">
        <f t="shared" si="200"/>
        <v>1</v>
      </c>
    </row>
    <row r="1306" spans="1:28">
      <c r="A1306" s="26">
        <v>44306</v>
      </c>
      <c r="B1306" s="23">
        <v>1001.13</v>
      </c>
      <c r="C1306" s="25">
        <f t="shared" si="196"/>
        <v>2.864956374527947E-3</v>
      </c>
      <c r="E1306" s="25">
        <f t="shared" si="192"/>
        <v>0.59456230886850148</v>
      </c>
      <c r="F1306" s="25">
        <f t="shared" si="189"/>
        <v>0.13440829967526757</v>
      </c>
      <c r="G1306" s="25">
        <f t="shared" si="186"/>
        <v>9.6138999366217615E-2</v>
      </c>
      <c r="H1306" s="25">
        <f t="shared" si="201"/>
        <v>0.10856778042168624</v>
      </c>
      <c r="I1306" s="25">
        <f t="shared" si="198"/>
        <v>0.15216016597056181</v>
      </c>
      <c r="K1306" s="28">
        <v>44306</v>
      </c>
      <c r="L1306" s="23">
        <v>18327.47</v>
      </c>
      <c r="M1306" s="25">
        <f t="shared" si="197"/>
        <v>-1.7465585811897875E-3</v>
      </c>
      <c r="O1306" t="b">
        <f t="shared" si="195"/>
        <v>1</v>
      </c>
      <c r="Q1306" s="25">
        <f t="shared" si="193"/>
        <v>0.59989507150327093</v>
      </c>
      <c r="R1306" s="25">
        <f t="shared" si="190"/>
        <v>0.12516838620531856</v>
      </c>
      <c r="S1306" s="25">
        <f t="shared" si="187"/>
        <v>0.10102790079484514</v>
      </c>
      <c r="T1306" s="25">
        <f t="shared" si="202"/>
        <v>0.11292946012167127</v>
      </c>
      <c r="U1306" s="25">
        <f t="shared" si="199"/>
        <v>0.14064118632089606</v>
      </c>
      <c r="X1306">
        <f t="shared" si="194"/>
        <v>0</v>
      </c>
      <c r="Y1306">
        <f t="shared" si="191"/>
        <v>1</v>
      </c>
      <c r="Z1306">
        <f t="shared" si="188"/>
        <v>0</v>
      </c>
      <c r="AA1306">
        <f t="shared" si="203"/>
        <v>0</v>
      </c>
      <c r="AB1306">
        <f t="shared" si="200"/>
        <v>1</v>
      </c>
    </row>
    <row r="1307" spans="1:28">
      <c r="A1307" s="27">
        <v>44308</v>
      </c>
      <c r="B1307" s="24">
        <v>1008.73</v>
      </c>
      <c r="C1307" s="25">
        <f t="shared" si="196"/>
        <v>7.591421693486383E-3</v>
      </c>
      <c r="E1307" s="25">
        <f t="shared" si="192"/>
        <v>0.59181000473410128</v>
      </c>
      <c r="F1307" s="25">
        <f t="shared" si="189"/>
        <v>0.14734419658359066</v>
      </c>
      <c r="G1307" s="25">
        <f t="shared" si="186"/>
        <v>9.767009442596386E-2</v>
      </c>
      <c r="H1307" s="25">
        <f t="shared" si="201"/>
        <v>0.1105987093293308</v>
      </c>
      <c r="I1307" s="25">
        <f t="shared" si="198"/>
        <v>0.15477669612861411</v>
      </c>
      <c r="K1307" s="29">
        <v>44308</v>
      </c>
      <c r="L1307" s="24">
        <v>18444.73</v>
      </c>
      <c r="M1307" s="25">
        <f t="shared" si="197"/>
        <v>6.3573714551526861E-3</v>
      </c>
      <c r="O1307" t="b">
        <f t="shared" si="195"/>
        <v>1</v>
      </c>
      <c r="Q1307" s="25">
        <f t="shared" si="193"/>
        <v>0.59574847279141974</v>
      </c>
      <c r="R1307" s="25">
        <f t="shared" si="190"/>
        <v>0.13689700183656228</v>
      </c>
      <c r="S1307" s="25">
        <f t="shared" si="187"/>
        <v>0.10235562802753329</v>
      </c>
      <c r="T1307" s="25">
        <f t="shared" si="202"/>
        <v>0.11499853451642794</v>
      </c>
      <c r="U1307" s="25">
        <f t="shared" si="199"/>
        <v>0.1432893076877837</v>
      </c>
      <c r="X1307">
        <f t="shared" si="194"/>
        <v>0</v>
      </c>
      <c r="Y1307">
        <f t="shared" si="191"/>
        <v>1</v>
      </c>
      <c r="Z1307">
        <f t="shared" si="188"/>
        <v>0</v>
      </c>
      <c r="AA1307">
        <f t="shared" si="203"/>
        <v>0</v>
      </c>
      <c r="AB1307">
        <f t="shared" si="200"/>
        <v>1</v>
      </c>
    </row>
    <row r="1308" spans="1:28">
      <c r="A1308" s="26">
        <v>44309</v>
      </c>
      <c r="B1308" s="23">
        <v>1004.78</v>
      </c>
      <c r="C1308" s="25">
        <f t="shared" si="196"/>
        <v>-3.9158149356121512E-3</v>
      </c>
      <c r="E1308" s="25">
        <f t="shared" si="192"/>
        <v>0.55252707860133787</v>
      </c>
      <c r="F1308" s="25">
        <f t="shared" si="189"/>
        <v>0.14636791990156217</v>
      </c>
      <c r="G1308" s="25">
        <f t="shared" si="186"/>
        <v>9.7262651412140855E-2</v>
      </c>
      <c r="H1308" s="25">
        <f t="shared" si="201"/>
        <v>0.10885823869677269</v>
      </c>
      <c r="I1308" s="25">
        <f t="shared" si="198"/>
        <v>0.1510217185452245</v>
      </c>
      <c r="K1308" s="28">
        <v>44309</v>
      </c>
      <c r="L1308" s="23">
        <v>18404.47</v>
      </c>
      <c r="M1308" s="25">
        <f t="shared" si="197"/>
        <v>-2.1875120554951267E-3</v>
      </c>
      <c r="O1308" t="b">
        <f t="shared" si="195"/>
        <v>1</v>
      </c>
      <c r="Q1308" s="25">
        <f t="shared" si="193"/>
        <v>0.56668187567993655</v>
      </c>
      <c r="R1308" s="25">
        <f t="shared" si="190"/>
        <v>0.13639479534878762</v>
      </c>
      <c r="S1308" s="25">
        <f t="shared" si="187"/>
        <v>0.10088738534104547</v>
      </c>
      <c r="T1308" s="25">
        <f t="shared" si="202"/>
        <v>0.11465496066050851</v>
      </c>
      <c r="U1308" s="25">
        <f t="shared" si="199"/>
        <v>0.14017098086093593</v>
      </c>
      <c r="X1308">
        <f t="shared" si="194"/>
        <v>0</v>
      </c>
      <c r="Y1308">
        <f t="shared" si="191"/>
        <v>1</v>
      </c>
      <c r="Z1308">
        <f t="shared" si="188"/>
        <v>0</v>
      </c>
      <c r="AA1308">
        <f t="shared" si="203"/>
        <v>0</v>
      </c>
      <c r="AB1308">
        <f t="shared" si="200"/>
        <v>1</v>
      </c>
    </row>
    <row r="1309" spans="1:28">
      <c r="A1309" s="27">
        <v>44312</v>
      </c>
      <c r="B1309" s="24">
        <v>1014.8</v>
      </c>
      <c r="C1309" s="25">
        <f t="shared" si="196"/>
        <v>9.9723322518362051E-3</v>
      </c>
      <c r="E1309" s="25">
        <f t="shared" si="192"/>
        <v>0.53325476686912632</v>
      </c>
      <c r="F1309" s="25">
        <f t="shared" si="189"/>
        <v>0.14688388242157968</v>
      </c>
      <c r="G1309" s="25">
        <f t="shared" si="186"/>
        <v>0.10299515445586782</v>
      </c>
      <c r="H1309" s="25">
        <f t="shared" si="201"/>
        <v>0.11195557927217847</v>
      </c>
      <c r="I1309" s="25">
        <f t="shared" si="198"/>
        <v>0.1530811666789953</v>
      </c>
      <c r="K1309" s="29">
        <v>44312</v>
      </c>
      <c r="L1309" s="24">
        <v>18573.669999999998</v>
      </c>
      <c r="M1309" s="25">
        <f t="shared" si="197"/>
        <v>9.1096697637029784E-3</v>
      </c>
      <c r="O1309" t="b">
        <f t="shared" si="195"/>
        <v>1</v>
      </c>
      <c r="Q1309" s="25">
        <f t="shared" si="193"/>
        <v>0.53851958553497492</v>
      </c>
      <c r="R1309" s="25">
        <f t="shared" si="190"/>
        <v>0.13568519883380725</v>
      </c>
      <c r="S1309" s="25">
        <f t="shared" si="187"/>
        <v>0.10583335958200046</v>
      </c>
      <c r="T1309" s="25">
        <f t="shared" si="202"/>
        <v>0.11662875274942874</v>
      </c>
      <c r="U1309" s="25">
        <f t="shared" si="199"/>
        <v>0.14175000465380294</v>
      </c>
      <c r="X1309">
        <f t="shared" si="194"/>
        <v>0</v>
      </c>
      <c r="Y1309">
        <f t="shared" si="191"/>
        <v>1</v>
      </c>
      <c r="Z1309">
        <f t="shared" si="188"/>
        <v>0</v>
      </c>
      <c r="AA1309">
        <f t="shared" si="203"/>
        <v>0</v>
      </c>
      <c r="AB1309">
        <f t="shared" si="200"/>
        <v>1</v>
      </c>
    </row>
    <row r="1310" spans="1:28">
      <c r="A1310" s="26">
        <v>44313</v>
      </c>
      <c r="B1310" s="23">
        <v>1028.01</v>
      </c>
      <c r="C1310" s="25">
        <f t="shared" si="196"/>
        <v>1.3017343318880605E-2</v>
      </c>
      <c r="E1310" s="25">
        <f t="shared" si="192"/>
        <v>0.63116639956841136</v>
      </c>
      <c r="F1310" s="25">
        <f t="shared" si="189"/>
        <v>0.15786417695218913</v>
      </c>
      <c r="G1310" s="25">
        <f t="shared" si="186"/>
        <v>0.10606655369051454</v>
      </c>
      <c r="H1310" s="25">
        <f t="shared" si="201"/>
        <v>0.11582578056022652</v>
      </c>
      <c r="I1310" s="25">
        <f t="shared" si="198"/>
        <v>0.15877100757696883</v>
      </c>
      <c r="K1310" s="28">
        <v>44313</v>
      </c>
      <c r="L1310" s="23">
        <v>18795.169999999998</v>
      </c>
      <c r="M1310" s="25">
        <f t="shared" si="197"/>
        <v>1.1784942620896752E-2</v>
      </c>
      <c r="O1310" t="b">
        <f t="shared" si="195"/>
        <v>1</v>
      </c>
      <c r="Q1310" s="25">
        <f t="shared" si="193"/>
        <v>0.64211481856520902</v>
      </c>
      <c r="R1310" s="25">
        <f t="shared" si="190"/>
        <v>0.14590800370565438</v>
      </c>
      <c r="S1310" s="25">
        <f t="shared" si="187"/>
        <v>0.10896851378632988</v>
      </c>
      <c r="T1310" s="25">
        <f t="shared" si="202"/>
        <v>0.12006729451536491</v>
      </c>
      <c r="U1310" s="25">
        <f t="shared" si="199"/>
        <v>0.14795600643009554</v>
      </c>
      <c r="X1310">
        <f t="shared" si="194"/>
        <v>0</v>
      </c>
      <c r="Y1310">
        <f t="shared" si="191"/>
        <v>1</v>
      </c>
      <c r="Z1310">
        <f t="shared" si="188"/>
        <v>0</v>
      </c>
      <c r="AA1310">
        <f t="shared" si="203"/>
        <v>0</v>
      </c>
      <c r="AB1310">
        <f t="shared" si="200"/>
        <v>1</v>
      </c>
    </row>
    <row r="1311" spans="1:28">
      <c r="A1311" s="27">
        <v>44314</v>
      </c>
      <c r="B1311" s="24">
        <v>1041.04</v>
      </c>
      <c r="C1311" s="25">
        <f t="shared" si="196"/>
        <v>1.2674973978852319E-2</v>
      </c>
      <c r="E1311" s="25">
        <f t="shared" si="192"/>
        <v>0.6758531873792657</v>
      </c>
      <c r="F1311" s="25">
        <f t="shared" si="189"/>
        <v>0.16024920438904644</v>
      </c>
      <c r="G1311" s="25">
        <f t="shared" si="186"/>
        <v>0.10841965145117571</v>
      </c>
      <c r="H1311" s="25">
        <f t="shared" si="201"/>
        <v>0.11806570634279612</v>
      </c>
      <c r="I1311" s="25">
        <f t="shared" si="198"/>
        <v>0.16090205516477996</v>
      </c>
      <c r="K1311" s="29">
        <v>44314</v>
      </c>
      <c r="L1311" s="24">
        <v>19031.439999999999</v>
      </c>
      <c r="M1311" s="25">
        <f t="shared" si="197"/>
        <v>1.2414720063221724E-2</v>
      </c>
      <c r="O1311" t="b">
        <f t="shared" si="195"/>
        <v>1</v>
      </c>
      <c r="Q1311" s="25">
        <f t="shared" si="193"/>
        <v>0.67897705718676615</v>
      </c>
      <c r="R1311" s="25">
        <f t="shared" si="190"/>
        <v>0.14945628605125139</v>
      </c>
      <c r="S1311" s="25">
        <f t="shared" si="187"/>
        <v>0.1111418061542262</v>
      </c>
      <c r="T1311" s="25">
        <f t="shared" si="202"/>
        <v>0.12225911508991638</v>
      </c>
      <c r="U1311" s="25">
        <f t="shared" si="199"/>
        <v>0.15063839263970169</v>
      </c>
      <c r="X1311">
        <f t="shared" si="194"/>
        <v>0</v>
      </c>
      <c r="Y1311">
        <f t="shared" si="191"/>
        <v>1</v>
      </c>
      <c r="Z1311">
        <f t="shared" si="188"/>
        <v>0</v>
      </c>
      <c r="AA1311">
        <f t="shared" si="203"/>
        <v>0</v>
      </c>
      <c r="AB1311">
        <f t="shared" si="200"/>
        <v>1</v>
      </c>
    </row>
    <row r="1312" spans="1:28">
      <c r="A1312" s="26">
        <v>44315</v>
      </c>
      <c r="B1312" s="23">
        <v>1046.0999999999999</v>
      </c>
      <c r="C1312" s="25">
        <f t="shared" si="196"/>
        <v>4.8605240912932696E-3</v>
      </c>
      <c r="E1312" s="25">
        <f t="shared" si="192"/>
        <v>0.66438617705084946</v>
      </c>
      <c r="F1312" s="25">
        <f t="shared" si="189"/>
        <v>0.1626896855840867</v>
      </c>
      <c r="G1312" s="25">
        <f t="shared" si="186"/>
        <v>0.10707411549649648</v>
      </c>
      <c r="H1312" s="25">
        <f t="shared" si="201"/>
        <v>0.1220246072486848</v>
      </c>
      <c r="I1312" s="25">
        <f t="shared" si="198"/>
        <v>0.16180727658850147</v>
      </c>
      <c r="K1312" s="28">
        <v>44315</v>
      </c>
      <c r="L1312" s="23">
        <v>19058.16</v>
      </c>
      <c r="M1312" s="25">
        <f t="shared" si="197"/>
        <v>1.4020241198521349E-3</v>
      </c>
      <c r="O1312" t="b">
        <f t="shared" si="195"/>
        <v>1</v>
      </c>
      <c r="Q1312" s="25">
        <f t="shared" si="193"/>
        <v>0.66969594757384487</v>
      </c>
      <c r="R1312" s="25">
        <f t="shared" si="190"/>
        <v>0.15177478152413171</v>
      </c>
      <c r="S1312" s="25">
        <f t="shared" si="187"/>
        <v>0.10959518098761678</v>
      </c>
      <c r="T1312" s="25">
        <f t="shared" si="202"/>
        <v>0.12512875995237116</v>
      </c>
      <c r="U1312" s="25">
        <f t="shared" si="199"/>
        <v>0.15125550259343812</v>
      </c>
      <c r="X1312">
        <f t="shared" si="194"/>
        <v>0</v>
      </c>
      <c r="Y1312">
        <f t="shared" si="191"/>
        <v>1</v>
      </c>
      <c r="Z1312">
        <f t="shared" si="188"/>
        <v>0</v>
      </c>
      <c r="AA1312">
        <f t="shared" si="203"/>
        <v>0</v>
      </c>
      <c r="AB1312">
        <f t="shared" si="200"/>
        <v>1</v>
      </c>
    </row>
    <row r="1313" spans="1:28">
      <c r="A1313" s="27">
        <v>44316</v>
      </c>
      <c r="B1313" s="24">
        <v>1035.49</v>
      </c>
      <c r="C1313" s="25">
        <f t="shared" si="196"/>
        <v>-1.01424338017397E-2</v>
      </c>
      <c r="E1313" s="25">
        <f t="shared" si="192"/>
        <v>0.66029053360697798</v>
      </c>
      <c r="F1313" s="25">
        <f t="shared" si="189"/>
        <v>0.16042815167285185</v>
      </c>
      <c r="G1313" s="25">
        <f t="shared" si="186"/>
        <v>0.10664427857878844</v>
      </c>
      <c r="H1313" s="25">
        <f t="shared" si="201"/>
        <v>0.11793009033269897</v>
      </c>
      <c r="I1313" s="25">
        <f t="shared" si="198"/>
        <v>0.16107130014313542</v>
      </c>
      <c r="K1313" s="29">
        <v>44316</v>
      </c>
      <c r="L1313" s="24">
        <v>18802.03</v>
      </c>
      <c r="M1313" s="25">
        <f t="shared" si="197"/>
        <v>-1.3622465233807255E-2</v>
      </c>
      <c r="O1313" t="b">
        <f t="shared" si="195"/>
        <v>1</v>
      </c>
      <c r="Q1313" s="25">
        <f t="shared" si="193"/>
        <v>0.65921834544373104</v>
      </c>
      <c r="R1313" s="25">
        <f t="shared" si="190"/>
        <v>0.14559738981487369</v>
      </c>
      <c r="S1313" s="25">
        <f t="shared" si="187"/>
        <v>0.10660616971751247</v>
      </c>
      <c r="T1313" s="25">
        <f t="shared" si="202"/>
        <v>0.1202084145166249</v>
      </c>
      <c r="U1313" s="25">
        <f t="shared" si="199"/>
        <v>0.14977775194443099</v>
      </c>
      <c r="X1313">
        <f t="shared" si="194"/>
        <v>1</v>
      </c>
      <c r="Y1313">
        <f t="shared" si="191"/>
        <v>1</v>
      </c>
      <c r="Z1313">
        <f t="shared" si="188"/>
        <v>1</v>
      </c>
      <c r="AA1313">
        <f t="shared" si="203"/>
        <v>0</v>
      </c>
      <c r="AB1313">
        <f t="shared" si="200"/>
        <v>1</v>
      </c>
    </row>
    <row r="1314" spans="1:28">
      <c r="A1314" s="26">
        <v>44319</v>
      </c>
      <c r="B1314" s="23">
        <v>1039.29</v>
      </c>
      <c r="C1314" s="25">
        <f t="shared" si="196"/>
        <v>3.6697602101420142E-3</v>
      </c>
      <c r="E1314" s="25">
        <f t="shared" si="192"/>
        <v>0.65920048532839481</v>
      </c>
      <c r="F1314" s="25">
        <f t="shared" si="189"/>
        <v>0.16270666127847067</v>
      </c>
      <c r="G1314" s="25">
        <f t="shared" si="186"/>
        <v>0.11065803231759763</v>
      </c>
      <c r="H1314" s="25">
        <f t="shared" si="201"/>
        <v>0.11857487909703224</v>
      </c>
      <c r="I1314" s="25">
        <f t="shared" si="198"/>
        <v>0.16364883923117124</v>
      </c>
      <c r="K1314" s="28">
        <v>44319</v>
      </c>
      <c r="L1314" s="23">
        <v>18848.97</v>
      </c>
      <c r="M1314" s="25">
        <f t="shared" si="197"/>
        <v>2.4903217523292959E-3</v>
      </c>
      <c r="O1314" t="b">
        <f t="shared" si="195"/>
        <v>1</v>
      </c>
      <c r="Q1314" s="25">
        <f t="shared" si="193"/>
        <v>0.6565047509570463</v>
      </c>
      <c r="R1314" s="25">
        <f t="shared" si="190"/>
        <v>0.14780030479888739</v>
      </c>
      <c r="S1314" s="25">
        <f t="shared" si="187"/>
        <v>0.10971542605540674</v>
      </c>
      <c r="T1314" s="25">
        <f t="shared" si="202"/>
        <v>0.12034108779047981</v>
      </c>
      <c r="U1314" s="25">
        <f t="shared" si="199"/>
        <v>0.15208963715964319</v>
      </c>
      <c r="X1314">
        <f t="shared" si="194"/>
        <v>1</v>
      </c>
      <c r="Y1314">
        <f t="shared" si="191"/>
        <v>1</v>
      </c>
      <c r="Z1314">
        <f t="shared" si="188"/>
        <v>1</v>
      </c>
      <c r="AA1314">
        <f t="shared" si="203"/>
        <v>0</v>
      </c>
      <c r="AB1314">
        <f t="shared" si="200"/>
        <v>1</v>
      </c>
    </row>
    <row r="1315" spans="1:28">
      <c r="A1315" s="27">
        <v>44320</v>
      </c>
      <c r="B1315" s="24">
        <v>1029.6099999999999</v>
      </c>
      <c r="C1315" s="25">
        <f t="shared" si="196"/>
        <v>-9.3140509386216205E-3</v>
      </c>
      <c r="E1315" s="25">
        <f t="shared" si="192"/>
        <v>0.65035985060990242</v>
      </c>
      <c r="F1315" s="25">
        <f t="shared" si="189"/>
        <v>0.16094711281964447</v>
      </c>
      <c r="G1315" s="25">
        <f t="shared" si="186"/>
        <v>0.10914711512061492</v>
      </c>
      <c r="H1315" s="25">
        <f t="shared" si="201"/>
        <v>0.11386551527674738</v>
      </c>
      <c r="I1315" s="25">
        <f t="shared" si="198"/>
        <v>0.16090164542917562</v>
      </c>
      <c r="K1315" s="29">
        <v>44320</v>
      </c>
      <c r="L1315" s="24">
        <v>18704.849999999999</v>
      </c>
      <c r="M1315" s="25">
        <f t="shared" si="197"/>
        <v>-7.704953528095795E-3</v>
      </c>
      <c r="O1315" t="b">
        <f t="shared" si="195"/>
        <v>1</v>
      </c>
      <c r="Q1315" s="25">
        <f t="shared" si="193"/>
        <v>0.64288179851546579</v>
      </c>
      <c r="R1315" s="25">
        <f t="shared" si="190"/>
        <v>0.14891053919973363</v>
      </c>
      <c r="S1315" s="25">
        <f t="shared" si="187"/>
        <v>0.1088075007699032</v>
      </c>
      <c r="T1315" s="25">
        <f t="shared" si="202"/>
        <v>0.11558104971497918</v>
      </c>
      <c r="U1315" s="25">
        <f t="shared" si="199"/>
        <v>0.14974533501176168</v>
      </c>
      <c r="X1315">
        <f t="shared" si="194"/>
        <v>1</v>
      </c>
      <c r="Y1315">
        <f t="shared" si="191"/>
        <v>1</v>
      </c>
      <c r="Z1315">
        <f t="shared" si="188"/>
        <v>1</v>
      </c>
      <c r="AA1315">
        <f t="shared" si="203"/>
        <v>0</v>
      </c>
      <c r="AB1315">
        <f t="shared" si="200"/>
        <v>1</v>
      </c>
    </row>
    <row r="1316" spans="1:28">
      <c r="A1316" s="26">
        <v>44321</v>
      </c>
      <c r="B1316" s="23">
        <v>1043.18</v>
      </c>
      <c r="C1316" s="25">
        <f t="shared" si="196"/>
        <v>1.3179747671448572E-2</v>
      </c>
      <c r="E1316" s="25">
        <f t="shared" si="192"/>
        <v>0.66994301082154095</v>
      </c>
      <c r="F1316" s="25">
        <f t="shared" si="189"/>
        <v>0.17262431419648516</v>
      </c>
      <c r="G1316" s="25">
        <f t="shared" ref="G1316:G1379" si="204">((B1316/B579)^(1/3))-1</f>
        <v>0.11162696719412923</v>
      </c>
      <c r="H1316" s="25">
        <f t="shared" si="201"/>
        <v>0.11624314567240956</v>
      </c>
      <c r="I1316" s="25">
        <f t="shared" si="198"/>
        <v>0.16458079884550436</v>
      </c>
      <c r="K1316" s="28">
        <v>44321</v>
      </c>
      <c r="L1316" s="23">
        <v>18876.03</v>
      </c>
      <c r="M1316" s="25">
        <f t="shared" si="197"/>
        <v>9.0686442011376489E-3</v>
      </c>
      <c r="O1316" t="b">
        <f t="shared" si="195"/>
        <v>1</v>
      </c>
      <c r="Q1316" s="25">
        <f t="shared" si="193"/>
        <v>0.66573831642094494</v>
      </c>
      <c r="R1316" s="25">
        <f t="shared" si="190"/>
        <v>0.15904547617790277</v>
      </c>
      <c r="S1316" s="25">
        <f t="shared" ref="S1316:S1379" si="205">((L1316/L579)^(1/3))-1</f>
        <v>0.10906038573902088</v>
      </c>
      <c r="T1316" s="25">
        <f t="shared" si="202"/>
        <v>0.11776158405923853</v>
      </c>
      <c r="U1316" s="25">
        <f t="shared" si="199"/>
        <v>0.15168230161431651</v>
      </c>
      <c r="X1316">
        <f t="shared" si="194"/>
        <v>1</v>
      </c>
      <c r="Y1316">
        <f t="shared" si="191"/>
        <v>1</v>
      </c>
      <c r="Z1316">
        <f t="shared" ref="Z1316:Z1379" si="206">IF(G1316&gt;S1316,1,0)</f>
        <v>1</v>
      </c>
      <c r="AA1316">
        <f t="shared" si="203"/>
        <v>0</v>
      </c>
      <c r="AB1316">
        <f t="shared" si="200"/>
        <v>1</v>
      </c>
    </row>
    <row r="1317" spans="1:28">
      <c r="A1317" s="27">
        <v>44322</v>
      </c>
      <c r="B1317" s="24">
        <v>1052.8599999999999</v>
      </c>
      <c r="C1317" s="25">
        <f t="shared" si="196"/>
        <v>9.2793190053488718E-3</v>
      </c>
      <c r="E1317" s="25">
        <f t="shared" si="192"/>
        <v>0.65802113352545621</v>
      </c>
      <c r="F1317" s="25">
        <f t="shared" si="189"/>
        <v>0.1834070508232919</v>
      </c>
      <c r="G1317" s="25">
        <f t="shared" si="204"/>
        <v>0.1145120253876859</v>
      </c>
      <c r="H1317" s="25">
        <f t="shared" si="201"/>
        <v>0.1201932318659773</v>
      </c>
      <c r="I1317" s="25">
        <f t="shared" si="198"/>
        <v>0.16372440292731061</v>
      </c>
      <c r="K1317" s="29">
        <v>44322</v>
      </c>
      <c r="L1317" s="24">
        <v>19011.169999999998</v>
      </c>
      <c r="M1317" s="25">
        <f t="shared" si="197"/>
        <v>7.1084525571019266E-3</v>
      </c>
      <c r="O1317" t="b">
        <f t="shared" si="195"/>
        <v>1</v>
      </c>
      <c r="Q1317" s="25">
        <f t="shared" si="193"/>
        <v>0.6457693086809202</v>
      </c>
      <c r="R1317" s="25">
        <f t="shared" si="190"/>
        <v>0.17004580321652529</v>
      </c>
      <c r="S1317" s="25">
        <f t="shared" si="205"/>
        <v>0.11165930263426893</v>
      </c>
      <c r="T1317" s="25">
        <f t="shared" si="202"/>
        <v>0.12082684005341449</v>
      </c>
      <c r="U1317" s="25">
        <f t="shared" si="199"/>
        <v>0.14985870819635005</v>
      </c>
      <c r="X1317">
        <f t="shared" si="194"/>
        <v>1</v>
      </c>
      <c r="Y1317">
        <f t="shared" si="191"/>
        <v>1</v>
      </c>
      <c r="Z1317">
        <f t="shared" si="206"/>
        <v>1</v>
      </c>
      <c r="AA1317">
        <f t="shared" si="203"/>
        <v>0</v>
      </c>
      <c r="AB1317">
        <f t="shared" si="200"/>
        <v>1</v>
      </c>
    </row>
    <row r="1318" spans="1:28">
      <c r="A1318" s="26">
        <v>44323</v>
      </c>
      <c r="B1318" s="23">
        <v>1055.32</v>
      </c>
      <c r="C1318" s="25">
        <f t="shared" si="196"/>
        <v>2.3364929810231528E-3</v>
      </c>
      <c r="E1318" s="25">
        <f t="shared" si="192"/>
        <v>0.69355201078409334</v>
      </c>
      <c r="F1318" s="25">
        <f t="shared" si="189"/>
        <v>0.1849306150649892</v>
      </c>
      <c r="G1318" s="25">
        <f t="shared" si="204"/>
        <v>0.11619205811982991</v>
      </c>
      <c r="H1318" s="25">
        <f t="shared" si="201"/>
        <v>0.11864930179507205</v>
      </c>
      <c r="I1318" s="25">
        <f t="shared" si="198"/>
        <v>0.16348572254215155</v>
      </c>
      <c r="K1318" s="28">
        <v>44323</v>
      </c>
      <c r="L1318" s="23">
        <v>19104.240000000002</v>
      </c>
      <c r="M1318" s="25">
        <f t="shared" si="197"/>
        <v>4.8716934041868895E-3</v>
      </c>
      <c r="O1318" t="b">
        <f t="shared" si="195"/>
        <v>1</v>
      </c>
      <c r="Q1318" s="25">
        <f t="shared" si="193"/>
        <v>0.6873690039931426</v>
      </c>
      <c r="R1318" s="25">
        <f t="shared" si="190"/>
        <v>0.17544287939818171</v>
      </c>
      <c r="S1318" s="25">
        <f t="shared" si="205"/>
        <v>0.11350179055159337</v>
      </c>
      <c r="T1318" s="25">
        <f t="shared" si="202"/>
        <v>0.12044161203432857</v>
      </c>
      <c r="U1318" s="25">
        <f t="shared" si="199"/>
        <v>0.15049277375321912</v>
      </c>
      <c r="X1318">
        <f t="shared" si="194"/>
        <v>1</v>
      </c>
      <c r="Y1318">
        <f t="shared" si="191"/>
        <v>1</v>
      </c>
      <c r="Z1318">
        <f t="shared" si="206"/>
        <v>1</v>
      </c>
      <c r="AA1318">
        <f t="shared" si="203"/>
        <v>0</v>
      </c>
      <c r="AB1318">
        <f t="shared" si="200"/>
        <v>1</v>
      </c>
    </row>
    <row r="1319" spans="1:28">
      <c r="A1319" s="27">
        <v>44326</v>
      </c>
      <c r="B1319" s="24">
        <v>1066.07</v>
      </c>
      <c r="C1319" s="25">
        <f t="shared" si="196"/>
        <v>1.0186483720577646E-2</v>
      </c>
      <c r="E1319" s="25">
        <f t="shared" si="192"/>
        <v>0.71311264663345653</v>
      </c>
      <c r="F1319" s="25">
        <f t="shared" si="189"/>
        <v>0.19208500666353978</v>
      </c>
      <c r="G1319" s="25">
        <f t="shared" si="204"/>
        <v>0.12140946393174579</v>
      </c>
      <c r="H1319" s="25">
        <f t="shared" si="201"/>
        <v>0.12012681277345272</v>
      </c>
      <c r="I1319" s="25">
        <f t="shared" si="198"/>
        <v>0.16621899668775497</v>
      </c>
      <c r="K1319" s="29">
        <v>44326</v>
      </c>
      <c r="L1319" s="24">
        <v>19266.669999999998</v>
      </c>
      <c r="M1319" s="25">
        <f t="shared" si="197"/>
        <v>8.4306213787850564E-3</v>
      </c>
      <c r="O1319" t="b">
        <f t="shared" si="195"/>
        <v>1</v>
      </c>
      <c r="Q1319" s="25">
        <f t="shared" si="193"/>
        <v>0.7040906127914679</v>
      </c>
      <c r="R1319" s="25">
        <f t="shared" si="190"/>
        <v>0.18102734265094189</v>
      </c>
      <c r="S1319" s="25">
        <f t="shared" si="205"/>
        <v>0.11894477039051421</v>
      </c>
      <c r="T1319" s="25">
        <f t="shared" si="202"/>
        <v>0.12121245454257679</v>
      </c>
      <c r="U1319" s="25">
        <f t="shared" si="199"/>
        <v>0.15329019022019486</v>
      </c>
      <c r="X1319">
        <f t="shared" si="194"/>
        <v>1</v>
      </c>
      <c r="Y1319">
        <f t="shared" si="191"/>
        <v>1</v>
      </c>
      <c r="Z1319">
        <f t="shared" si="206"/>
        <v>1</v>
      </c>
      <c r="AA1319">
        <f t="shared" si="203"/>
        <v>0</v>
      </c>
      <c r="AB1319">
        <f t="shared" si="200"/>
        <v>1</v>
      </c>
    </row>
    <row r="1320" spans="1:28">
      <c r="A1320" s="26">
        <v>44327</v>
      </c>
      <c r="B1320" s="23">
        <v>1064.5999999999999</v>
      </c>
      <c r="C1320" s="25">
        <f t="shared" si="196"/>
        <v>-1.3788963201290978E-3</v>
      </c>
      <c r="E1320" s="25">
        <f t="shared" si="192"/>
        <v>0.78065465736698592</v>
      </c>
      <c r="F1320" s="25">
        <f t="shared" si="189"/>
        <v>0.20309228002192103</v>
      </c>
      <c r="G1320" s="25">
        <f t="shared" si="204"/>
        <v>0.11847255961076053</v>
      </c>
      <c r="H1320" s="25">
        <f t="shared" si="201"/>
        <v>0.11953388788141783</v>
      </c>
      <c r="I1320" s="25">
        <f t="shared" si="198"/>
        <v>0.16440716170930481</v>
      </c>
      <c r="K1320" s="28">
        <v>44327</v>
      </c>
      <c r="L1320" s="23">
        <v>19225.099999999999</v>
      </c>
      <c r="M1320" s="25">
        <f t="shared" si="197"/>
        <v>-2.1622774393891169E-3</v>
      </c>
      <c r="O1320" t="b">
        <f t="shared" si="195"/>
        <v>1</v>
      </c>
      <c r="Q1320" s="25">
        <f t="shared" si="193"/>
        <v>0.76115153519399126</v>
      </c>
      <c r="R1320" s="25">
        <f t="shared" si="190"/>
        <v>0.18811114551951569</v>
      </c>
      <c r="S1320" s="25">
        <f t="shared" si="205"/>
        <v>0.11594230984449561</v>
      </c>
      <c r="T1320" s="25">
        <f t="shared" si="202"/>
        <v>0.12068233439478027</v>
      </c>
      <c r="U1320" s="25">
        <f t="shared" si="199"/>
        <v>0.15112419955316647</v>
      </c>
      <c r="X1320">
        <f t="shared" si="194"/>
        <v>1</v>
      </c>
      <c r="Y1320">
        <f t="shared" si="191"/>
        <v>1</v>
      </c>
      <c r="Z1320">
        <f t="shared" si="206"/>
        <v>1</v>
      </c>
      <c r="AA1320">
        <f t="shared" si="203"/>
        <v>0</v>
      </c>
      <c r="AB1320">
        <f t="shared" si="200"/>
        <v>1</v>
      </c>
    </row>
    <row r="1321" spans="1:28">
      <c r="A1321" s="27">
        <v>44328</v>
      </c>
      <c r="B1321" s="24">
        <v>1055.52</v>
      </c>
      <c r="C1321" s="25">
        <f t="shared" si="196"/>
        <v>-8.5290249859101327E-3</v>
      </c>
      <c r="E1321" s="25">
        <f t="shared" si="192"/>
        <v>0.74336443967297039</v>
      </c>
      <c r="F1321" s="25">
        <f t="shared" si="189"/>
        <v>0.19394786874007108</v>
      </c>
      <c r="G1321" s="25">
        <f t="shared" si="204"/>
        <v>0.11630179392832662</v>
      </c>
      <c r="H1321" s="25">
        <f t="shared" si="201"/>
        <v>0.12203028834885643</v>
      </c>
      <c r="I1321" s="25">
        <f t="shared" si="198"/>
        <v>0.16359094706091071</v>
      </c>
      <c r="K1321" s="29">
        <v>44328</v>
      </c>
      <c r="L1321" s="24">
        <v>19066.54</v>
      </c>
      <c r="M1321" s="25">
        <f t="shared" si="197"/>
        <v>-8.3161391631621506E-3</v>
      </c>
      <c r="O1321" t="b">
        <f t="shared" si="195"/>
        <v>1</v>
      </c>
      <c r="Q1321" s="25">
        <f t="shared" si="193"/>
        <v>0.7371482820795261</v>
      </c>
      <c r="R1321" s="25">
        <f t="shared" si="190"/>
        <v>0.17983295169170943</v>
      </c>
      <c r="S1321" s="25">
        <f t="shared" si="205"/>
        <v>0.11390854794084726</v>
      </c>
      <c r="T1321" s="25">
        <f t="shared" si="202"/>
        <v>0.12228847190605907</v>
      </c>
      <c r="U1321" s="25">
        <f t="shared" si="199"/>
        <v>0.15125608073381813</v>
      </c>
      <c r="X1321">
        <f t="shared" si="194"/>
        <v>1</v>
      </c>
      <c r="Y1321">
        <f t="shared" si="191"/>
        <v>1</v>
      </c>
      <c r="Z1321">
        <f t="shared" si="206"/>
        <v>1</v>
      </c>
      <c r="AA1321">
        <f t="shared" si="203"/>
        <v>0</v>
      </c>
      <c r="AB1321">
        <f t="shared" si="200"/>
        <v>1</v>
      </c>
    </row>
    <row r="1322" spans="1:28">
      <c r="A1322" s="26">
        <v>44330</v>
      </c>
      <c r="B1322" s="23">
        <v>1045.6099999999999</v>
      </c>
      <c r="C1322" s="25">
        <f t="shared" si="196"/>
        <v>-9.3887373048356093E-3</v>
      </c>
      <c r="E1322" s="25">
        <f t="shared" si="192"/>
        <v>0.6954921355602397</v>
      </c>
      <c r="F1322" s="25">
        <f t="shared" si="189"/>
        <v>0.19233001816092998</v>
      </c>
      <c r="G1322" s="25">
        <f t="shared" si="204"/>
        <v>0.11379628798140939</v>
      </c>
      <c r="H1322" s="25">
        <f t="shared" si="201"/>
        <v>0.12011550872293242</v>
      </c>
      <c r="I1322" s="25">
        <f t="shared" si="198"/>
        <v>0.16026513029586931</v>
      </c>
      <c r="K1322" s="28">
        <v>44330</v>
      </c>
      <c r="L1322" s="23">
        <v>18966.490000000002</v>
      </c>
      <c r="M1322" s="25">
        <f t="shared" si="197"/>
        <v>-5.2750930720443928E-3</v>
      </c>
      <c r="O1322" t="b">
        <f t="shared" si="195"/>
        <v>1</v>
      </c>
      <c r="Q1322" s="25">
        <f t="shared" si="193"/>
        <v>0.69491057401704714</v>
      </c>
      <c r="R1322" s="25">
        <f t="shared" si="190"/>
        <v>0.18008567613720405</v>
      </c>
      <c r="S1322" s="25">
        <f t="shared" si="205"/>
        <v>0.11289604595994551</v>
      </c>
      <c r="T1322" s="25">
        <f t="shared" si="202"/>
        <v>0.12152386233082813</v>
      </c>
      <c r="U1322" s="25">
        <f t="shared" si="199"/>
        <v>0.14914038093830095</v>
      </c>
      <c r="X1322">
        <f t="shared" si="194"/>
        <v>1</v>
      </c>
      <c r="Y1322">
        <f t="shared" si="191"/>
        <v>1</v>
      </c>
      <c r="Z1322">
        <f t="shared" si="206"/>
        <v>1</v>
      </c>
      <c r="AA1322">
        <f t="shared" si="203"/>
        <v>0</v>
      </c>
      <c r="AB1322">
        <f t="shared" si="200"/>
        <v>1</v>
      </c>
    </row>
    <row r="1323" spans="1:28">
      <c r="A1323" s="27">
        <v>44333</v>
      </c>
      <c r="B1323" s="24">
        <v>1058.6500000000001</v>
      </c>
      <c r="C1323" s="25">
        <f t="shared" si="196"/>
        <v>1.2471189066669401E-2</v>
      </c>
      <c r="E1323" s="25">
        <f t="shared" si="192"/>
        <v>0.70934719777824418</v>
      </c>
      <c r="F1323" s="25">
        <f t="shared" si="189"/>
        <v>0.19380778523268694</v>
      </c>
      <c r="G1323" s="25">
        <f t="shared" si="204"/>
        <v>0.1201814718558909</v>
      </c>
      <c r="H1323" s="25">
        <f t="shared" si="201"/>
        <v>0.1248766173090845</v>
      </c>
      <c r="I1323" s="25">
        <f t="shared" si="198"/>
        <v>0.16287363122903131</v>
      </c>
      <c r="K1323" s="29">
        <v>44333</v>
      </c>
      <c r="L1323" s="24">
        <v>19270.53</v>
      </c>
      <c r="M1323" s="25">
        <f t="shared" si="197"/>
        <v>1.5777459156546148E-2</v>
      </c>
      <c r="O1323" t="b">
        <f t="shared" si="195"/>
        <v>1</v>
      </c>
      <c r="Q1323" s="25">
        <f t="shared" si="193"/>
        <v>0.7119955437812826</v>
      </c>
      <c r="R1323" s="25">
        <f t="shared" si="190"/>
        <v>0.18552014564932851</v>
      </c>
      <c r="S1323" s="25">
        <f t="shared" si="205"/>
        <v>0.12029772289731544</v>
      </c>
      <c r="T1323" s="25">
        <f t="shared" si="202"/>
        <v>0.12677711477254894</v>
      </c>
      <c r="U1323" s="25">
        <f t="shared" si="199"/>
        <v>0.15205459473326077</v>
      </c>
      <c r="X1323">
        <f t="shared" si="194"/>
        <v>0</v>
      </c>
      <c r="Y1323">
        <f t="shared" si="191"/>
        <v>1</v>
      </c>
      <c r="Z1323">
        <f t="shared" si="206"/>
        <v>0</v>
      </c>
      <c r="AA1323">
        <f t="shared" si="203"/>
        <v>0</v>
      </c>
      <c r="AB1323">
        <f t="shared" si="200"/>
        <v>1</v>
      </c>
    </row>
    <row r="1324" spans="1:28">
      <c r="A1324" s="26">
        <v>44334</v>
      </c>
      <c r="B1324" s="23">
        <v>1070.48</v>
      </c>
      <c r="C1324" s="25">
        <f t="shared" si="196"/>
        <v>1.1174609172058684E-2</v>
      </c>
      <c r="E1324" s="25">
        <f t="shared" si="192"/>
        <v>0.74319725121724822</v>
      </c>
      <c r="F1324" s="25">
        <f t="shared" si="189"/>
        <v>0.19414226788984523</v>
      </c>
      <c r="G1324" s="25">
        <f t="shared" si="204"/>
        <v>0.12504106180895147</v>
      </c>
      <c r="H1324" s="25">
        <f t="shared" si="201"/>
        <v>0.12950375474259035</v>
      </c>
      <c r="I1324" s="25">
        <f t="shared" si="198"/>
        <v>0.16553595094312268</v>
      </c>
      <c r="K1324" s="28">
        <v>44334</v>
      </c>
      <c r="L1324" s="23">
        <v>19524.650000000001</v>
      </c>
      <c r="M1324" s="25">
        <f t="shared" si="197"/>
        <v>1.3015342144417574E-2</v>
      </c>
      <c r="O1324" t="b">
        <f t="shared" si="195"/>
        <v>1</v>
      </c>
      <c r="Q1324" s="25">
        <f t="shared" si="193"/>
        <v>0.74733800253088889</v>
      </c>
      <c r="R1324" s="25">
        <f t="shared" si="190"/>
        <v>0.18637998309837567</v>
      </c>
      <c r="S1324" s="25">
        <f t="shared" si="205"/>
        <v>0.12616864561162222</v>
      </c>
      <c r="T1324" s="25">
        <f t="shared" si="202"/>
        <v>0.13309341237227756</v>
      </c>
      <c r="U1324" s="25">
        <f t="shared" si="199"/>
        <v>0.15536148140326378</v>
      </c>
      <c r="X1324">
        <f t="shared" si="194"/>
        <v>0</v>
      </c>
      <c r="Y1324">
        <f t="shared" si="191"/>
        <v>1</v>
      </c>
      <c r="Z1324">
        <f t="shared" si="206"/>
        <v>0</v>
      </c>
      <c r="AA1324">
        <f t="shared" si="203"/>
        <v>0</v>
      </c>
      <c r="AB1324">
        <f t="shared" si="200"/>
        <v>1</v>
      </c>
    </row>
    <row r="1325" spans="1:28">
      <c r="A1325" s="27">
        <v>44335</v>
      </c>
      <c r="B1325" s="24">
        <v>1067.1400000000001</v>
      </c>
      <c r="C1325" s="25">
        <f t="shared" si="196"/>
        <v>-3.1200956580224926E-3</v>
      </c>
      <c r="E1325" s="25">
        <f t="shared" si="192"/>
        <v>0.73773001139879502</v>
      </c>
      <c r="F1325" s="25">
        <f t="shared" si="189"/>
        <v>0.17501504371104337</v>
      </c>
      <c r="G1325" s="25">
        <f t="shared" si="204"/>
        <v>0.12721345573723708</v>
      </c>
      <c r="H1325" s="25">
        <f t="shared" si="201"/>
        <v>0.13119312166363817</v>
      </c>
      <c r="I1325" s="25">
        <f t="shared" si="198"/>
        <v>0.16666083094688799</v>
      </c>
      <c r="K1325" s="29">
        <v>44335</v>
      </c>
      <c r="L1325" s="24">
        <v>19478.900000000001</v>
      </c>
      <c r="M1325" s="25">
        <f t="shared" si="197"/>
        <v>-2.3486952548655211E-3</v>
      </c>
      <c r="O1325" t="b">
        <f t="shared" si="195"/>
        <v>1</v>
      </c>
      <c r="Q1325" s="25">
        <f t="shared" si="193"/>
        <v>0.74125212752263425</v>
      </c>
      <c r="R1325" s="25">
        <f t="shared" si="190"/>
        <v>0.16383387239265645</v>
      </c>
      <c r="S1325" s="25">
        <f t="shared" si="205"/>
        <v>0.12915347636440155</v>
      </c>
      <c r="T1325" s="25">
        <f t="shared" si="202"/>
        <v>0.13424063333395897</v>
      </c>
      <c r="U1325" s="25">
        <f t="shared" si="199"/>
        <v>0.15745541442923794</v>
      </c>
      <c r="X1325">
        <f t="shared" si="194"/>
        <v>0</v>
      </c>
      <c r="Y1325">
        <f t="shared" si="191"/>
        <v>1</v>
      </c>
      <c r="Z1325">
        <f t="shared" si="206"/>
        <v>0</v>
      </c>
      <c r="AA1325">
        <f t="shared" si="203"/>
        <v>0</v>
      </c>
      <c r="AB1325">
        <f t="shared" si="200"/>
        <v>1</v>
      </c>
    </row>
    <row r="1326" spans="1:28">
      <c r="A1326" s="26">
        <v>44336</v>
      </c>
      <c r="B1326" s="23">
        <v>1062.28</v>
      </c>
      <c r="C1326" s="25">
        <f t="shared" si="196"/>
        <v>-4.5542290608543649E-3</v>
      </c>
      <c r="E1326" s="25">
        <f t="shared" si="192"/>
        <v>0.6920405855274685</v>
      </c>
      <c r="F1326" s="25">
        <f t="shared" si="189"/>
        <v>0.17830457341641992</v>
      </c>
      <c r="G1326" s="25">
        <f t="shared" si="204"/>
        <v>0.13015523262920548</v>
      </c>
      <c r="H1326" s="25">
        <f t="shared" si="201"/>
        <v>0.12609946582430998</v>
      </c>
      <c r="I1326" s="25">
        <f t="shared" si="198"/>
        <v>0.1665096341853094</v>
      </c>
      <c r="K1326" s="28">
        <v>44336</v>
      </c>
      <c r="L1326" s="23">
        <v>19368.54</v>
      </c>
      <c r="M1326" s="25">
        <f t="shared" si="197"/>
        <v>-5.6978997900719716E-3</v>
      </c>
      <c r="O1326" t="b">
        <f t="shared" si="195"/>
        <v>1</v>
      </c>
      <c r="Q1326" s="25">
        <f t="shared" si="193"/>
        <v>0.69239439868722519</v>
      </c>
      <c r="R1326" s="25">
        <f t="shared" si="190"/>
        <v>0.16615122000203386</v>
      </c>
      <c r="S1326" s="25">
        <f t="shared" si="205"/>
        <v>0.13114634321712337</v>
      </c>
      <c r="T1326" s="25">
        <f t="shared" si="202"/>
        <v>0.12822454832982078</v>
      </c>
      <c r="U1326" s="25">
        <f t="shared" si="199"/>
        <v>0.15732426404278121</v>
      </c>
      <c r="X1326">
        <f t="shared" si="194"/>
        <v>0</v>
      </c>
      <c r="Y1326">
        <f t="shared" si="191"/>
        <v>1</v>
      </c>
      <c r="Z1326">
        <f t="shared" si="206"/>
        <v>0</v>
      </c>
      <c r="AA1326">
        <f t="shared" si="203"/>
        <v>0</v>
      </c>
      <c r="AB1326">
        <f t="shared" si="200"/>
        <v>1</v>
      </c>
    </row>
    <row r="1327" spans="1:28">
      <c r="A1327" s="27">
        <v>44337</v>
      </c>
      <c r="B1327" s="24">
        <v>1075.72</v>
      </c>
      <c r="C1327" s="25">
        <f t="shared" si="196"/>
        <v>1.2652031479459327E-2</v>
      </c>
      <c r="E1327" s="25">
        <f t="shared" si="192"/>
        <v>0.68690115887029735</v>
      </c>
      <c r="F1327" s="25">
        <f t="shared" ref="F1327:F1390" si="207">((B1327/B835)^(1/2))-1</f>
        <v>0.18333256636284467</v>
      </c>
      <c r="G1327" s="25">
        <f t="shared" si="204"/>
        <v>0.13280678388348766</v>
      </c>
      <c r="H1327" s="25">
        <f t="shared" si="201"/>
        <v>0.12600176858285073</v>
      </c>
      <c r="I1327" s="25">
        <f t="shared" si="198"/>
        <v>0.17042869232519697</v>
      </c>
      <c r="K1327" s="29">
        <v>44337</v>
      </c>
      <c r="L1327" s="24">
        <v>19644.37</v>
      </c>
      <c r="M1327" s="25">
        <f t="shared" si="197"/>
        <v>1.4041173119830165E-2</v>
      </c>
      <c r="O1327" t="b">
        <f t="shared" si="195"/>
        <v>1</v>
      </c>
      <c r="Q1327" s="25">
        <f t="shared" si="193"/>
        <v>0.68615267617191145</v>
      </c>
      <c r="R1327" s="25">
        <f t="shared" ref="R1327:R1390" si="208">((L1327/L835)^(1/2))-1</f>
        <v>0.17280690678496846</v>
      </c>
      <c r="S1327" s="25">
        <f t="shared" si="205"/>
        <v>0.13495656811379497</v>
      </c>
      <c r="T1327" s="25">
        <f t="shared" si="202"/>
        <v>0.12883486203501859</v>
      </c>
      <c r="U1327" s="25">
        <f t="shared" si="199"/>
        <v>0.16123751097268735</v>
      </c>
      <c r="X1327">
        <f t="shared" si="194"/>
        <v>1</v>
      </c>
      <c r="Y1327">
        <f t="shared" ref="Y1327:Y1390" si="209">IF(F1327&gt;R1327,1,0)</f>
        <v>1</v>
      </c>
      <c r="Z1327">
        <f t="shared" si="206"/>
        <v>0</v>
      </c>
      <c r="AA1327">
        <f t="shared" si="203"/>
        <v>0</v>
      </c>
      <c r="AB1327">
        <f t="shared" si="200"/>
        <v>1</v>
      </c>
    </row>
    <row r="1328" spans="1:28">
      <c r="A1328" s="26">
        <v>44340</v>
      </c>
      <c r="B1328" s="23">
        <v>1079.49</v>
      </c>
      <c r="C1328" s="25">
        <f t="shared" si="196"/>
        <v>3.5046294574796245E-3</v>
      </c>
      <c r="E1328" s="25">
        <f t="shared" si="192"/>
        <v>0.67274614931663912</v>
      </c>
      <c r="F1328" s="25">
        <f t="shared" si="207"/>
        <v>0.18789647664082509</v>
      </c>
      <c r="G1328" s="25">
        <f t="shared" si="204"/>
        <v>0.13835412166939109</v>
      </c>
      <c r="H1328" s="25">
        <f t="shared" si="201"/>
        <v>0.12791098196730855</v>
      </c>
      <c r="I1328" s="25">
        <f t="shared" si="198"/>
        <v>0.1713723272303409</v>
      </c>
      <c r="K1328" s="28">
        <v>44340</v>
      </c>
      <c r="L1328" s="23">
        <v>19712.23</v>
      </c>
      <c r="M1328" s="25">
        <f t="shared" si="197"/>
        <v>3.4425328844073242E-3</v>
      </c>
      <c r="O1328" t="b">
        <f t="shared" si="195"/>
        <v>1</v>
      </c>
      <c r="Q1328" s="25">
        <f t="shared" si="193"/>
        <v>0.67144442758020695</v>
      </c>
      <c r="R1328" s="25">
        <f t="shared" si="208"/>
        <v>0.17761991172611058</v>
      </c>
      <c r="S1328" s="25">
        <f t="shared" si="205"/>
        <v>0.13941693260719412</v>
      </c>
      <c r="T1328" s="25">
        <f t="shared" si="202"/>
        <v>0.13088475071968864</v>
      </c>
      <c r="U1328" s="25">
        <f t="shared" si="199"/>
        <v>0.16191931167613061</v>
      </c>
      <c r="X1328">
        <f t="shared" si="194"/>
        <v>1</v>
      </c>
      <c r="Y1328">
        <f t="shared" si="209"/>
        <v>1</v>
      </c>
      <c r="Z1328">
        <f t="shared" si="206"/>
        <v>0</v>
      </c>
      <c r="AA1328">
        <f t="shared" si="203"/>
        <v>0</v>
      </c>
      <c r="AB1328">
        <f t="shared" si="200"/>
        <v>1</v>
      </c>
    </row>
    <row r="1329" spans="1:28">
      <c r="A1329" s="27">
        <v>44341</v>
      </c>
      <c r="B1329" s="24">
        <v>1080.93</v>
      </c>
      <c r="C1329" s="25">
        <f t="shared" si="196"/>
        <v>1.3339632604285863E-3</v>
      </c>
      <c r="E1329" s="25">
        <f t="shared" si="192"/>
        <v>0.64070611092559426</v>
      </c>
      <c r="F1329" s="25">
        <f t="shared" si="207"/>
        <v>0.1750585509662439</v>
      </c>
      <c r="G1329" s="25">
        <f t="shared" si="204"/>
        <v>0.1378968176357096</v>
      </c>
      <c r="H1329" s="25">
        <f t="shared" si="201"/>
        <v>0.12655127921141651</v>
      </c>
      <c r="I1329" s="25">
        <f t="shared" si="198"/>
        <v>0.1679388479316124</v>
      </c>
      <c r="K1329" s="29">
        <v>44341</v>
      </c>
      <c r="L1329" s="24">
        <v>19717.29</v>
      </c>
      <c r="M1329" s="25">
        <f t="shared" si="197"/>
        <v>2.5662755885830707E-4</v>
      </c>
      <c r="O1329" t="b">
        <f t="shared" si="195"/>
        <v>1</v>
      </c>
      <c r="Q1329" s="25">
        <f t="shared" si="193"/>
        <v>0.63060214041811014</v>
      </c>
      <c r="R1329" s="25">
        <f t="shared" si="208"/>
        <v>0.16746206303153577</v>
      </c>
      <c r="S1329" s="25">
        <f t="shared" si="205"/>
        <v>0.13760420905217408</v>
      </c>
      <c r="T1329" s="25">
        <f t="shared" si="202"/>
        <v>0.12995779628652793</v>
      </c>
      <c r="U1329" s="25">
        <f t="shared" si="199"/>
        <v>0.15744599276042637</v>
      </c>
      <c r="X1329">
        <f t="shared" si="194"/>
        <v>1</v>
      </c>
      <c r="Y1329">
        <f t="shared" si="209"/>
        <v>1</v>
      </c>
      <c r="Z1329">
        <f t="shared" si="206"/>
        <v>1</v>
      </c>
      <c r="AA1329">
        <f t="shared" si="203"/>
        <v>0</v>
      </c>
      <c r="AB1329">
        <f t="shared" si="200"/>
        <v>1</v>
      </c>
    </row>
    <row r="1330" spans="1:28">
      <c r="A1330" s="26">
        <v>44342</v>
      </c>
      <c r="B1330" s="23">
        <v>1085.42</v>
      </c>
      <c r="C1330" s="25">
        <f t="shared" si="196"/>
        <v>4.153830497812077E-3</v>
      </c>
      <c r="E1330" s="25">
        <f t="shared" si="192"/>
        <v>0.62843940348666272</v>
      </c>
      <c r="F1330" s="25">
        <f t="shared" si="207"/>
        <v>0.17233395253753758</v>
      </c>
      <c r="G1330" s="25">
        <f t="shared" si="204"/>
        <v>0.1340041796335123</v>
      </c>
      <c r="H1330" s="25">
        <f t="shared" si="201"/>
        <v>0.1265294133274899</v>
      </c>
      <c r="I1330" s="25">
        <f t="shared" si="198"/>
        <v>0.16700389260990023</v>
      </c>
      <c r="K1330" s="28">
        <v>44342</v>
      </c>
      <c r="L1330" s="23">
        <v>19807.349999999999</v>
      </c>
      <c r="M1330" s="25">
        <f t="shared" si="197"/>
        <v>4.5467970223173554E-3</v>
      </c>
      <c r="O1330" t="b">
        <f t="shared" si="195"/>
        <v>1</v>
      </c>
      <c r="Q1330" s="25">
        <f t="shared" si="193"/>
        <v>0.61442910762534675</v>
      </c>
      <c r="R1330" s="25">
        <f t="shared" si="208"/>
        <v>0.16516392610137443</v>
      </c>
      <c r="S1330" s="25">
        <f t="shared" si="205"/>
        <v>0.13493003937895343</v>
      </c>
      <c r="T1330" s="25">
        <f t="shared" si="202"/>
        <v>0.13049956166769427</v>
      </c>
      <c r="U1330" s="25">
        <f t="shared" si="199"/>
        <v>0.15509222355423447</v>
      </c>
      <c r="X1330">
        <f t="shared" si="194"/>
        <v>1</v>
      </c>
      <c r="Y1330">
        <f t="shared" si="209"/>
        <v>1</v>
      </c>
      <c r="Z1330">
        <f t="shared" si="206"/>
        <v>0</v>
      </c>
      <c r="AA1330">
        <f t="shared" si="203"/>
        <v>0</v>
      </c>
      <c r="AB1330">
        <f t="shared" si="200"/>
        <v>1</v>
      </c>
    </row>
    <row r="1331" spans="1:28">
      <c r="A1331" s="27">
        <v>44343</v>
      </c>
      <c r="B1331" s="24">
        <v>1087.6500000000001</v>
      </c>
      <c r="C1331" s="25">
        <f t="shared" si="196"/>
        <v>2.0545042472038641E-3</v>
      </c>
      <c r="E1331" s="25">
        <f t="shared" si="192"/>
        <v>0.62200250536864732</v>
      </c>
      <c r="F1331" s="25">
        <f t="shared" si="207"/>
        <v>0.17342618738027626</v>
      </c>
      <c r="G1331" s="25">
        <f t="shared" si="204"/>
        <v>0.13239162993379572</v>
      </c>
      <c r="H1331" s="25">
        <f t="shared" si="201"/>
        <v>0.12690698536401235</v>
      </c>
      <c r="I1331" s="25">
        <f t="shared" si="198"/>
        <v>0.16558323394660013</v>
      </c>
      <c r="K1331" s="29">
        <v>44343</v>
      </c>
      <c r="L1331" s="24">
        <v>19874.32</v>
      </c>
      <c r="M1331" s="25">
        <f t="shared" si="197"/>
        <v>3.3696750379384635E-3</v>
      </c>
      <c r="O1331" t="b">
        <f t="shared" si="195"/>
        <v>1</v>
      </c>
      <c r="Q1331" s="25">
        <f t="shared" si="193"/>
        <v>0.60676521830521901</v>
      </c>
      <c r="R1331" s="25">
        <f t="shared" si="208"/>
        <v>0.1664773980809755</v>
      </c>
      <c r="S1331" s="25">
        <f t="shared" si="205"/>
        <v>0.13245183420171958</v>
      </c>
      <c r="T1331" s="25">
        <f t="shared" si="202"/>
        <v>0.13075221665876668</v>
      </c>
      <c r="U1331" s="25">
        <f t="shared" si="199"/>
        <v>0.15341963093813682</v>
      </c>
      <c r="X1331">
        <f t="shared" si="194"/>
        <v>1</v>
      </c>
      <c r="Y1331">
        <f t="shared" si="209"/>
        <v>1</v>
      </c>
      <c r="Z1331">
        <f t="shared" si="206"/>
        <v>0</v>
      </c>
      <c r="AA1331">
        <f t="shared" si="203"/>
        <v>0</v>
      </c>
      <c r="AB1331">
        <f t="shared" si="200"/>
        <v>1</v>
      </c>
    </row>
    <row r="1332" spans="1:28">
      <c r="A1332" s="26">
        <v>44344</v>
      </c>
      <c r="B1332" s="23">
        <v>1087.78</v>
      </c>
      <c r="C1332" s="25">
        <f t="shared" si="196"/>
        <v>1.1952374385131408E-4</v>
      </c>
      <c r="E1332" s="25">
        <f t="shared" si="192"/>
        <v>0.62060129316766477</v>
      </c>
      <c r="F1332" s="25">
        <f t="shared" si="207"/>
        <v>0.17865548209906423</v>
      </c>
      <c r="G1332" s="25">
        <f t="shared" si="204"/>
        <v>0.13425175216537411</v>
      </c>
      <c r="H1332" s="25">
        <f t="shared" si="201"/>
        <v>0.12591951572122806</v>
      </c>
      <c r="I1332" s="25">
        <f t="shared" si="198"/>
        <v>0.16505394406974072</v>
      </c>
      <c r="K1332" s="28">
        <v>44344</v>
      </c>
      <c r="L1332" s="23">
        <v>19952.29</v>
      </c>
      <c r="M1332" s="25">
        <f t="shared" si="197"/>
        <v>3.9078221096426101E-3</v>
      </c>
      <c r="O1332" t="b">
        <f t="shared" si="195"/>
        <v>1</v>
      </c>
      <c r="Q1332" s="25">
        <f t="shared" si="193"/>
        <v>0.61643781236404638</v>
      </c>
      <c r="R1332" s="25">
        <f t="shared" si="208"/>
        <v>0.17225081600269965</v>
      </c>
      <c r="S1332" s="25">
        <f t="shared" si="205"/>
        <v>0.1354246083210433</v>
      </c>
      <c r="T1332" s="25">
        <f t="shared" si="202"/>
        <v>0.13052796112532361</v>
      </c>
      <c r="U1332" s="25">
        <f t="shared" si="199"/>
        <v>0.15325999259264078</v>
      </c>
      <c r="X1332">
        <f t="shared" si="194"/>
        <v>1</v>
      </c>
      <c r="Y1332">
        <f t="shared" si="209"/>
        <v>1</v>
      </c>
      <c r="Z1332">
        <f t="shared" si="206"/>
        <v>0</v>
      </c>
      <c r="AA1332">
        <f t="shared" si="203"/>
        <v>0</v>
      </c>
      <c r="AB1332">
        <f t="shared" si="200"/>
        <v>1</v>
      </c>
    </row>
    <row r="1333" spans="1:28">
      <c r="A1333" s="27">
        <v>44347</v>
      </c>
      <c r="B1333" s="24">
        <v>1097.18</v>
      </c>
      <c r="C1333" s="25">
        <f t="shared" si="196"/>
        <v>8.6414532350292256E-3</v>
      </c>
      <c r="E1333" s="25">
        <f t="shared" si="192"/>
        <v>0.60945269982837269</v>
      </c>
      <c r="F1333" s="25">
        <f t="shared" si="207"/>
        <v>0.18194225067267289</v>
      </c>
      <c r="G1333" s="25">
        <f t="shared" si="204"/>
        <v>0.13797283124007187</v>
      </c>
      <c r="H1333" s="25">
        <f t="shared" si="201"/>
        <v>0.1273211990187646</v>
      </c>
      <c r="I1333" s="25">
        <f t="shared" si="198"/>
        <v>0.16690403490155181</v>
      </c>
      <c r="K1333" s="29">
        <v>44347</v>
      </c>
      <c r="L1333" s="24">
        <v>20138.099999999999</v>
      </c>
      <c r="M1333" s="25">
        <f t="shared" si="197"/>
        <v>9.2267890218043248E-3</v>
      </c>
      <c r="O1333" t="b">
        <f t="shared" si="195"/>
        <v>1</v>
      </c>
      <c r="Q1333" s="25">
        <f t="shared" si="193"/>
        <v>0.6091929223990582</v>
      </c>
      <c r="R1333" s="25">
        <f t="shared" si="208"/>
        <v>0.17419245935093319</v>
      </c>
      <c r="S1333" s="25">
        <f t="shared" si="205"/>
        <v>0.13957800172112722</v>
      </c>
      <c r="T1333" s="25">
        <f t="shared" si="202"/>
        <v>0.1319556571660756</v>
      </c>
      <c r="U1333" s="25">
        <f t="shared" si="199"/>
        <v>0.155951562704298</v>
      </c>
      <c r="X1333">
        <f t="shared" si="194"/>
        <v>1</v>
      </c>
      <c r="Y1333">
        <f t="shared" si="209"/>
        <v>1</v>
      </c>
      <c r="Z1333">
        <f t="shared" si="206"/>
        <v>0</v>
      </c>
      <c r="AA1333">
        <f t="shared" si="203"/>
        <v>0</v>
      </c>
      <c r="AB1333">
        <f t="shared" si="200"/>
        <v>1</v>
      </c>
    </row>
    <row r="1334" spans="1:28">
      <c r="A1334" s="26">
        <v>44348</v>
      </c>
      <c r="B1334" s="23">
        <v>1093.47</v>
      </c>
      <c r="C1334" s="25">
        <f t="shared" si="196"/>
        <v>-3.3813959423249023E-3</v>
      </c>
      <c r="E1334" s="25">
        <f t="shared" si="192"/>
        <v>0.60147336662809958</v>
      </c>
      <c r="F1334" s="25">
        <f t="shared" si="207"/>
        <v>0.18132686010485988</v>
      </c>
      <c r="G1334" s="25">
        <f t="shared" si="204"/>
        <v>0.13530787301836988</v>
      </c>
      <c r="H1334" s="25">
        <f t="shared" si="201"/>
        <v>0.12777658895444066</v>
      </c>
      <c r="I1334" s="25">
        <f t="shared" si="198"/>
        <v>0.1663531106369105</v>
      </c>
      <c r="K1334" s="28">
        <v>44348</v>
      </c>
      <c r="L1334" s="23">
        <v>20113.79</v>
      </c>
      <c r="M1334" s="25">
        <f t="shared" si="197"/>
        <v>-1.2086235363895949E-3</v>
      </c>
      <c r="O1334" t="b">
        <f t="shared" si="195"/>
        <v>1</v>
      </c>
      <c r="Q1334" s="25">
        <f t="shared" si="193"/>
        <v>0.60250089630721426</v>
      </c>
      <c r="R1334" s="25">
        <f t="shared" si="208"/>
        <v>0.17409781061954299</v>
      </c>
      <c r="S1334" s="25">
        <f t="shared" si="205"/>
        <v>0.13640135185826963</v>
      </c>
      <c r="T1334" s="25">
        <f t="shared" si="202"/>
        <v>0.13290801891206594</v>
      </c>
      <c r="U1334" s="25">
        <f t="shared" si="199"/>
        <v>0.15528470972021768</v>
      </c>
      <c r="X1334">
        <f t="shared" si="194"/>
        <v>0</v>
      </c>
      <c r="Y1334">
        <f t="shared" si="209"/>
        <v>1</v>
      </c>
      <c r="Z1334">
        <f t="shared" si="206"/>
        <v>0</v>
      </c>
      <c r="AA1334">
        <f t="shared" si="203"/>
        <v>0</v>
      </c>
      <c r="AB1334">
        <f t="shared" si="200"/>
        <v>1</v>
      </c>
    </row>
    <row r="1335" spans="1:28">
      <c r="A1335" s="27">
        <v>44349</v>
      </c>
      <c r="B1335" s="24">
        <v>1096.06</v>
      </c>
      <c r="C1335" s="25">
        <f t="shared" si="196"/>
        <v>2.3686063632289119E-3</v>
      </c>
      <c r="E1335" s="25">
        <f t="shared" si="192"/>
        <v>0.61825456585610739</v>
      </c>
      <c r="F1335" s="25">
        <f t="shared" si="207"/>
        <v>0.17634681815360054</v>
      </c>
      <c r="G1335" s="25">
        <f t="shared" si="204"/>
        <v>0.13869794956973536</v>
      </c>
      <c r="H1335" s="25">
        <f t="shared" si="201"/>
        <v>0.12753165068176853</v>
      </c>
      <c r="I1335" s="25">
        <f t="shared" si="198"/>
        <v>0.16578884774919156</v>
      </c>
      <c r="K1335" s="29">
        <v>44349</v>
      </c>
      <c r="L1335" s="24">
        <v>20210.990000000002</v>
      </c>
      <c r="M1335" s="25">
        <f t="shared" si="197"/>
        <v>4.8092646624435876E-3</v>
      </c>
      <c r="O1335" t="b">
        <f t="shared" si="195"/>
        <v>1</v>
      </c>
      <c r="Q1335" s="25">
        <f t="shared" si="193"/>
        <v>0.62701616149256334</v>
      </c>
      <c r="R1335" s="25">
        <f t="shared" si="208"/>
        <v>0.16990856534170851</v>
      </c>
      <c r="S1335" s="25">
        <f t="shared" si="205"/>
        <v>0.14068697890346593</v>
      </c>
      <c r="T1335" s="25">
        <f t="shared" si="202"/>
        <v>0.13311899291386098</v>
      </c>
      <c r="U1335" s="25">
        <f t="shared" si="199"/>
        <v>0.15525366403485741</v>
      </c>
      <c r="X1335">
        <f t="shared" si="194"/>
        <v>0</v>
      </c>
      <c r="Y1335">
        <f t="shared" si="209"/>
        <v>1</v>
      </c>
      <c r="Z1335">
        <f t="shared" si="206"/>
        <v>0</v>
      </c>
      <c r="AA1335">
        <f t="shared" si="203"/>
        <v>0</v>
      </c>
      <c r="AB1335">
        <f t="shared" si="200"/>
        <v>1</v>
      </c>
    </row>
    <row r="1336" spans="1:28">
      <c r="A1336" s="26">
        <v>44350</v>
      </c>
      <c r="B1336" s="23">
        <v>1102.79</v>
      </c>
      <c r="C1336" s="25">
        <f t="shared" si="196"/>
        <v>6.1401748079484867E-3</v>
      </c>
      <c r="E1336" s="25">
        <f t="shared" ref="E1336:E1399" si="210">(B1336/B1091)-1</f>
        <v>0.62246579373252886</v>
      </c>
      <c r="F1336" s="25">
        <f t="shared" si="207"/>
        <v>0.18356696070395451</v>
      </c>
      <c r="G1336" s="25">
        <f t="shared" si="204"/>
        <v>0.14378844729893925</v>
      </c>
      <c r="H1336" s="25">
        <f t="shared" si="201"/>
        <v>0.12917524383801382</v>
      </c>
      <c r="I1336" s="25">
        <f t="shared" si="198"/>
        <v>0.16727201532276514</v>
      </c>
      <c r="K1336" s="28">
        <v>44350</v>
      </c>
      <c r="L1336" s="23">
        <v>20376.14</v>
      </c>
      <c r="M1336" s="25">
        <f t="shared" si="197"/>
        <v>8.1050679863800424E-3</v>
      </c>
      <c r="O1336" t="b">
        <f t="shared" si="195"/>
        <v>1</v>
      </c>
      <c r="Q1336" s="25">
        <f t="shared" ref="Q1336:Q1399" si="211">(L1336/L1091)-1</f>
        <v>0.62938730468437631</v>
      </c>
      <c r="R1336" s="25">
        <f t="shared" si="208"/>
        <v>0.17724456245586095</v>
      </c>
      <c r="S1336" s="25">
        <f t="shared" si="205"/>
        <v>0.14704285336447054</v>
      </c>
      <c r="T1336" s="25">
        <f t="shared" si="202"/>
        <v>0.13549500910209322</v>
      </c>
      <c r="U1336" s="25">
        <f t="shared" si="199"/>
        <v>0.15724368756932861</v>
      </c>
      <c r="X1336">
        <f t="shared" ref="X1336:X1399" si="212">IF(E1336&gt;Q1336,1,0)</f>
        <v>0</v>
      </c>
      <c r="Y1336">
        <f t="shared" si="209"/>
        <v>1</v>
      </c>
      <c r="Z1336">
        <f t="shared" si="206"/>
        <v>0</v>
      </c>
      <c r="AA1336">
        <f t="shared" si="203"/>
        <v>0</v>
      </c>
      <c r="AB1336">
        <f t="shared" si="200"/>
        <v>1</v>
      </c>
    </row>
    <row r="1337" spans="1:28">
      <c r="A1337" s="27">
        <v>44351</v>
      </c>
      <c r="B1337" s="24">
        <v>1104.5899999999999</v>
      </c>
      <c r="C1337" s="25">
        <f t="shared" si="196"/>
        <v>1.6322237234649884E-3</v>
      </c>
      <c r="E1337" s="25">
        <f t="shared" si="210"/>
        <v>0.65717500562598463</v>
      </c>
      <c r="F1337" s="25">
        <f t="shared" si="207"/>
        <v>0.19594263294140579</v>
      </c>
      <c r="G1337" s="25">
        <f t="shared" si="204"/>
        <v>0.14681182851919905</v>
      </c>
      <c r="H1337" s="25">
        <f t="shared" si="201"/>
        <v>0.12810883162872022</v>
      </c>
      <c r="I1337" s="25">
        <f t="shared" si="198"/>
        <v>0.16803866879961182</v>
      </c>
      <c r="K1337" s="29">
        <v>44351</v>
      </c>
      <c r="L1337" s="24">
        <v>20396.669999999998</v>
      </c>
      <c r="M1337" s="25">
        <f t="shared" si="197"/>
        <v>1.0065368513585227E-3</v>
      </c>
      <c r="O1337" t="b">
        <f t="shared" si="195"/>
        <v>1</v>
      </c>
      <c r="Q1337" s="25">
        <f t="shared" si="211"/>
        <v>0.66230945519507611</v>
      </c>
      <c r="R1337" s="25">
        <f t="shared" si="208"/>
        <v>0.18704750164993644</v>
      </c>
      <c r="S1337" s="25">
        <f t="shared" si="205"/>
        <v>0.15016730647688603</v>
      </c>
      <c r="T1337" s="25">
        <f t="shared" si="202"/>
        <v>0.13498539828389311</v>
      </c>
      <c r="U1337" s="25">
        <f t="shared" si="199"/>
        <v>0.15780034350342143</v>
      </c>
      <c r="X1337">
        <f t="shared" si="212"/>
        <v>0</v>
      </c>
      <c r="Y1337">
        <f t="shared" si="209"/>
        <v>1</v>
      </c>
      <c r="Z1337">
        <f t="shared" si="206"/>
        <v>0</v>
      </c>
      <c r="AA1337">
        <f t="shared" si="203"/>
        <v>0</v>
      </c>
      <c r="AB1337">
        <f t="shared" si="200"/>
        <v>1</v>
      </c>
    </row>
    <row r="1338" spans="1:28">
      <c r="A1338" s="26">
        <v>44354</v>
      </c>
      <c r="B1338" s="23">
        <v>1114.8900000000001</v>
      </c>
      <c r="C1338" s="25">
        <f t="shared" si="196"/>
        <v>9.3247268217168198E-3</v>
      </c>
      <c r="E1338" s="25">
        <f t="shared" si="210"/>
        <v>0.65975406419341409</v>
      </c>
      <c r="F1338" s="25">
        <f t="shared" si="207"/>
        <v>0.19983664504577048</v>
      </c>
      <c r="G1338" s="25">
        <f t="shared" si="204"/>
        <v>0.14701827457271999</v>
      </c>
      <c r="H1338" s="25">
        <f t="shared" si="201"/>
        <v>0.13184304962531312</v>
      </c>
      <c r="I1338" s="25">
        <f t="shared" si="198"/>
        <v>0.1686032459225657</v>
      </c>
      <c r="K1338" s="28">
        <v>44354</v>
      </c>
      <c r="L1338" s="23">
        <v>20527.27</v>
      </c>
      <c r="M1338" s="25">
        <f t="shared" si="197"/>
        <v>6.3622683386540041E-3</v>
      </c>
      <c r="O1338" t="b">
        <f t="shared" si="195"/>
        <v>1</v>
      </c>
      <c r="Q1338" s="25">
        <f t="shared" si="211"/>
        <v>0.660809236395411</v>
      </c>
      <c r="R1338" s="25">
        <f t="shared" si="208"/>
        <v>0.1900236396359205</v>
      </c>
      <c r="S1338" s="25">
        <f t="shared" si="205"/>
        <v>0.1486213942721728</v>
      </c>
      <c r="T1338" s="25">
        <f t="shared" si="202"/>
        <v>0.13827088688751421</v>
      </c>
      <c r="U1338" s="25">
        <f t="shared" si="199"/>
        <v>0.15752743042997586</v>
      </c>
      <c r="X1338">
        <f t="shared" si="212"/>
        <v>0</v>
      </c>
      <c r="Y1338">
        <f t="shared" si="209"/>
        <v>1</v>
      </c>
      <c r="Z1338">
        <f t="shared" si="206"/>
        <v>0</v>
      </c>
      <c r="AA1338">
        <f t="shared" si="203"/>
        <v>0</v>
      </c>
      <c r="AB1338">
        <f t="shared" si="200"/>
        <v>1</v>
      </c>
    </row>
    <row r="1339" spans="1:28">
      <c r="A1339" s="27">
        <v>44355</v>
      </c>
      <c r="B1339" s="24">
        <v>1119.68</v>
      </c>
      <c r="C1339" s="25">
        <f t="shared" si="196"/>
        <v>4.2963879844648018E-3</v>
      </c>
      <c r="E1339" s="25">
        <f t="shared" si="210"/>
        <v>0.68852829847234998</v>
      </c>
      <c r="F1339" s="25">
        <f t="shared" si="207"/>
        <v>0.19982684514479798</v>
      </c>
      <c r="G1339" s="25">
        <f t="shared" si="204"/>
        <v>0.14513030389483439</v>
      </c>
      <c r="H1339" s="25">
        <f t="shared" si="201"/>
        <v>0.1326318946188727</v>
      </c>
      <c r="I1339" s="25">
        <f t="shared" si="198"/>
        <v>0.16908052666062146</v>
      </c>
      <c r="K1339" s="29">
        <v>44355</v>
      </c>
      <c r="L1339" s="24">
        <v>20553.02</v>
      </c>
      <c r="M1339" s="25">
        <f t="shared" si="197"/>
        <v>1.252857244336842E-3</v>
      </c>
      <c r="O1339" t="b">
        <f t="shared" si="195"/>
        <v>1</v>
      </c>
      <c r="Q1339" s="25">
        <f t="shared" si="211"/>
        <v>0.68550408848949362</v>
      </c>
      <c r="R1339" s="25">
        <f t="shared" si="208"/>
        <v>0.18893839674460522</v>
      </c>
      <c r="S1339" s="25">
        <f t="shared" si="205"/>
        <v>0.14520236697257172</v>
      </c>
      <c r="T1339" s="25">
        <f t="shared" si="202"/>
        <v>0.13857438530709487</v>
      </c>
      <c r="U1339" s="25">
        <f t="shared" si="199"/>
        <v>0.15722551802283213</v>
      </c>
      <c r="X1339">
        <f t="shared" si="212"/>
        <v>1</v>
      </c>
      <c r="Y1339">
        <f t="shared" si="209"/>
        <v>1</v>
      </c>
      <c r="Z1339">
        <f t="shared" si="206"/>
        <v>0</v>
      </c>
      <c r="AA1339">
        <f t="shared" si="203"/>
        <v>0</v>
      </c>
      <c r="AB1339">
        <f t="shared" si="200"/>
        <v>1</v>
      </c>
    </row>
    <row r="1340" spans="1:28">
      <c r="A1340" s="26">
        <v>44356</v>
      </c>
      <c r="B1340" s="23">
        <v>1110.1300000000001</v>
      </c>
      <c r="C1340" s="25">
        <f t="shared" si="196"/>
        <v>-8.5292226350385421E-3</v>
      </c>
      <c r="E1340" s="25">
        <f t="shared" si="210"/>
        <v>0.66042956714230172</v>
      </c>
      <c r="F1340" s="25">
        <f t="shared" si="207"/>
        <v>0.19106762897352803</v>
      </c>
      <c r="G1340" s="25">
        <f t="shared" si="204"/>
        <v>0.14187552262468373</v>
      </c>
      <c r="H1340" s="25">
        <f t="shared" si="201"/>
        <v>0.1305997316230727</v>
      </c>
      <c r="I1340" s="25">
        <f t="shared" si="198"/>
        <v>0.1676721570479327</v>
      </c>
      <c r="K1340" s="28">
        <v>44356</v>
      </c>
      <c r="L1340" s="23">
        <v>20400.55</v>
      </c>
      <c r="M1340" s="25">
        <f t="shared" si="197"/>
        <v>-7.4738181078451886E-3</v>
      </c>
      <c r="O1340" t="b">
        <f t="shared" si="195"/>
        <v>1</v>
      </c>
      <c r="Q1340" s="25">
        <f t="shared" si="211"/>
        <v>0.65949334756337619</v>
      </c>
      <c r="R1340" s="25">
        <f t="shared" si="208"/>
        <v>0.18214645287988751</v>
      </c>
      <c r="S1340" s="25">
        <f t="shared" si="205"/>
        <v>0.14169921547850017</v>
      </c>
      <c r="T1340" s="25">
        <f t="shared" si="202"/>
        <v>0.13602289263753797</v>
      </c>
      <c r="U1340" s="25">
        <f t="shared" si="199"/>
        <v>0.15682526246755013</v>
      </c>
      <c r="X1340">
        <f t="shared" si="212"/>
        <v>1</v>
      </c>
      <c r="Y1340">
        <f t="shared" si="209"/>
        <v>1</v>
      </c>
      <c r="Z1340">
        <f t="shared" si="206"/>
        <v>1</v>
      </c>
      <c r="AA1340">
        <f t="shared" si="203"/>
        <v>0</v>
      </c>
      <c r="AB1340">
        <f t="shared" si="200"/>
        <v>1</v>
      </c>
    </row>
    <row r="1341" spans="1:28">
      <c r="A1341" s="27">
        <v>44357</v>
      </c>
      <c r="B1341" s="24">
        <v>1122.8499999999999</v>
      </c>
      <c r="C1341" s="25">
        <f t="shared" si="196"/>
        <v>1.1458117517768008E-2</v>
      </c>
      <c r="E1341" s="25">
        <f t="shared" si="210"/>
        <v>0.67772348977243846</v>
      </c>
      <c r="F1341" s="25">
        <f t="shared" si="207"/>
        <v>0.20118438463132748</v>
      </c>
      <c r="G1341" s="25">
        <f t="shared" si="204"/>
        <v>0.14539129248059823</v>
      </c>
      <c r="H1341" s="25">
        <f t="shared" si="201"/>
        <v>0.13402071458659526</v>
      </c>
      <c r="I1341" s="25">
        <f t="shared" si="198"/>
        <v>0.1713499670541454</v>
      </c>
      <c r="K1341" s="29">
        <v>44357</v>
      </c>
      <c r="L1341" s="24">
        <v>20596.64</v>
      </c>
      <c r="M1341" s="25">
        <f t="shared" si="197"/>
        <v>9.5204848946235966E-3</v>
      </c>
      <c r="O1341" t="b">
        <f t="shared" si="195"/>
        <v>1</v>
      </c>
      <c r="Q1341" s="25">
        <f t="shared" si="211"/>
        <v>0.67787660218550561</v>
      </c>
      <c r="R1341" s="25">
        <f t="shared" si="208"/>
        <v>0.191166074696413</v>
      </c>
      <c r="S1341" s="25">
        <f t="shared" si="205"/>
        <v>0.14468488049884898</v>
      </c>
      <c r="T1341" s="25">
        <f t="shared" si="202"/>
        <v>0.13942148121878417</v>
      </c>
      <c r="U1341" s="25">
        <f t="shared" si="199"/>
        <v>0.15990913552079555</v>
      </c>
      <c r="X1341">
        <f t="shared" si="212"/>
        <v>0</v>
      </c>
      <c r="Y1341">
        <f t="shared" si="209"/>
        <v>1</v>
      </c>
      <c r="Z1341">
        <f t="shared" si="206"/>
        <v>1</v>
      </c>
      <c r="AA1341">
        <f t="shared" si="203"/>
        <v>0</v>
      </c>
      <c r="AB1341">
        <f t="shared" si="200"/>
        <v>1</v>
      </c>
    </row>
    <row r="1342" spans="1:28">
      <c r="A1342" s="26">
        <v>44358</v>
      </c>
      <c r="B1342" s="23">
        <v>1127.8399999999999</v>
      </c>
      <c r="C1342" s="25">
        <f t="shared" si="196"/>
        <v>4.444048626263534E-3</v>
      </c>
      <c r="E1342" s="25">
        <f t="shared" si="210"/>
        <v>0.66429087904142126</v>
      </c>
      <c r="F1342" s="25">
        <f t="shared" si="207"/>
        <v>0.20492704423616304</v>
      </c>
      <c r="G1342" s="25">
        <f t="shared" si="204"/>
        <v>0.14567159711182409</v>
      </c>
      <c r="H1342" s="25">
        <f t="shared" si="201"/>
        <v>0.13491513838416602</v>
      </c>
      <c r="I1342" s="25">
        <f t="shared" si="198"/>
        <v>0.17367821622111368</v>
      </c>
      <c r="K1342" s="28">
        <v>44358</v>
      </c>
      <c r="L1342" s="23">
        <v>20672.330000000002</v>
      </c>
      <c r="M1342" s="25">
        <f t="shared" si="197"/>
        <v>3.6614160087422329E-3</v>
      </c>
      <c r="O1342" t="b">
        <f t="shared" si="195"/>
        <v>1</v>
      </c>
      <c r="Q1342" s="25">
        <f t="shared" si="211"/>
        <v>0.65489849178648063</v>
      </c>
      <c r="R1342" s="25">
        <f t="shared" si="208"/>
        <v>0.19313825205122059</v>
      </c>
      <c r="S1342" s="25">
        <f t="shared" si="205"/>
        <v>0.14387995536001674</v>
      </c>
      <c r="T1342" s="25">
        <f t="shared" si="202"/>
        <v>0.14008195158831693</v>
      </c>
      <c r="U1342" s="25">
        <f t="shared" si="199"/>
        <v>0.16236007040211597</v>
      </c>
      <c r="X1342">
        <f t="shared" si="212"/>
        <v>1</v>
      </c>
      <c r="Y1342">
        <f t="shared" si="209"/>
        <v>1</v>
      </c>
      <c r="Z1342">
        <f t="shared" si="206"/>
        <v>1</v>
      </c>
      <c r="AA1342">
        <f t="shared" si="203"/>
        <v>0</v>
      </c>
      <c r="AB1342">
        <f t="shared" si="200"/>
        <v>1</v>
      </c>
    </row>
    <row r="1343" spans="1:28">
      <c r="A1343" s="27">
        <v>44361</v>
      </c>
      <c r="B1343" s="24">
        <v>1127.45</v>
      </c>
      <c r="C1343" s="25">
        <f t="shared" si="196"/>
        <v>-3.457937296069236E-4</v>
      </c>
      <c r="E1343" s="25">
        <f t="shared" si="210"/>
        <v>0.64370480522509932</v>
      </c>
      <c r="F1343" s="25">
        <f t="shared" si="207"/>
        <v>0.21021494830433363</v>
      </c>
      <c r="G1343" s="25">
        <f t="shared" si="204"/>
        <v>0.14605930219231489</v>
      </c>
      <c r="H1343" s="25">
        <f t="shared" si="201"/>
        <v>0.13345645690910346</v>
      </c>
      <c r="I1343" s="25">
        <f t="shared" si="198"/>
        <v>0.17345803524501413</v>
      </c>
      <c r="K1343" s="29">
        <v>44361</v>
      </c>
      <c r="L1343" s="24">
        <v>20660.97</v>
      </c>
      <c r="M1343" s="25">
        <f t="shared" si="197"/>
        <v>-5.4982897705192844E-4</v>
      </c>
      <c r="O1343" t="b">
        <f t="shared" si="195"/>
        <v>1</v>
      </c>
      <c r="Q1343" s="25">
        <f t="shared" si="211"/>
        <v>0.63013525700250672</v>
      </c>
      <c r="R1343" s="25">
        <f t="shared" si="208"/>
        <v>0.19755718984531678</v>
      </c>
      <c r="S1343" s="25">
        <f t="shared" si="205"/>
        <v>0.14366900599022991</v>
      </c>
      <c r="T1343" s="25">
        <f t="shared" si="202"/>
        <v>0.13851710836348885</v>
      </c>
      <c r="U1343" s="25">
        <f t="shared" si="199"/>
        <v>0.16193215115965698</v>
      </c>
      <c r="X1343">
        <f t="shared" si="212"/>
        <v>1</v>
      </c>
      <c r="Y1343">
        <f t="shared" si="209"/>
        <v>1</v>
      </c>
      <c r="Z1343">
        <f t="shared" si="206"/>
        <v>1</v>
      </c>
      <c r="AA1343">
        <f t="shared" si="203"/>
        <v>0</v>
      </c>
      <c r="AB1343">
        <f t="shared" si="200"/>
        <v>1</v>
      </c>
    </row>
    <row r="1344" spans="1:28">
      <c r="A1344" s="26">
        <v>44362</v>
      </c>
      <c r="B1344" s="23">
        <v>1134.43</v>
      </c>
      <c r="C1344" s="25">
        <f t="shared" si="196"/>
        <v>6.1909619051842809E-3</v>
      </c>
      <c r="E1344" s="25">
        <f t="shared" si="210"/>
        <v>0.63455470224630073</v>
      </c>
      <c r="F1344" s="25">
        <f t="shared" si="207"/>
        <v>0.2236666842596462</v>
      </c>
      <c r="G1344" s="25">
        <f t="shared" si="204"/>
        <v>0.1489310603927636</v>
      </c>
      <c r="H1344" s="25">
        <f t="shared" si="201"/>
        <v>0.1344725063959884</v>
      </c>
      <c r="I1344" s="25">
        <f t="shared" si="198"/>
        <v>0.17292801814666769</v>
      </c>
      <c r="K1344" s="28">
        <v>44362</v>
      </c>
      <c r="L1344" s="23">
        <v>20742.75</v>
      </c>
      <c r="M1344" s="25">
        <f t="shared" si="197"/>
        <v>3.9425823480492622E-3</v>
      </c>
      <c r="O1344" t="b">
        <f t="shared" si="195"/>
        <v>1</v>
      </c>
      <c r="Q1344" s="25">
        <f t="shared" si="211"/>
        <v>0.62057925292919536</v>
      </c>
      <c r="R1344" s="25">
        <f t="shared" si="208"/>
        <v>0.20783935778980678</v>
      </c>
      <c r="S1344" s="25">
        <f t="shared" si="205"/>
        <v>0.14602293546595924</v>
      </c>
      <c r="T1344" s="25">
        <f t="shared" si="202"/>
        <v>0.13953619622588853</v>
      </c>
      <c r="U1344" s="25">
        <f t="shared" si="199"/>
        <v>0.16042809605154229</v>
      </c>
      <c r="X1344">
        <f t="shared" si="212"/>
        <v>1</v>
      </c>
      <c r="Y1344">
        <f t="shared" si="209"/>
        <v>1</v>
      </c>
      <c r="Z1344">
        <f t="shared" si="206"/>
        <v>1</v>
      </c>
      <c r="AA1344">
        <f t="shared" si="203"/>
        <v>0</v>
      </c>
      <c r="AB1344">
        <f t="shared" si="200"/>
        <v>1</v>
      </c>
    </row>
    <row r="1345" spans="1:28">
      <c r="A1345" s="27">
        <v>44363</v>
      </c>
      <c r="B1345" s="24">
        <v>1128.7</v>
      </c>
      <c r="C1345" s="25">
        <f t="shared" si="196"/>
        <v>-5.050994772705251E-3</v>
      </c>
      <c r="E1345" s="25">
        <f t="shared" si="210"/>
        <v>0.60493124973338852</v>
      </c>
      <c r="F1345" s="25">
        <f t="shared" si="207"/>
        <v>0.2190367442836727</v>
      </c>
      <c r="G1345" s="25">
        <f t="shared" si="204"/>
        <v>0.14772524930093134</v>
      </c>
      <c r="H1345" s="25">
        <f t="shared" si="201"/>
        <v>0.13327310698442418</v>
      </c>
      <c r="I1345" s="25">
        <f t="shared" si="198"/>
        <v>0.17353290137235877</v>
      </c>
      <c r="K1345" s="29">
        <v>44363</v>
      </c>
      <c r="L1345" s="24">
        <v>20595.05</v>
      </c>
      <c r="M1345" s="25">
        <f t="shared" si="197"/>
        <v>-7.1716261917305728E-3</v>
      </c>
      <c r="O1345" t="b">
        <f t="shared" si="195"/>
        <v>1</v>
      </c>
      <c r="Q1345" s="25">
        <f t="shared" si="211"/>
        <v>0.58388616042932084</v>
      </c>
      <c r="R1345" s="25">
        <f t="shared" si="208"/>
        <v>0.20304331523861596</v>
      </c>
      <c r="S1345" s="25">
        <f t="shared" si="205"/>
        <v>0.14382390862716266</v>
      </c>
      <c r="T1345" s="25">
        <f t="shared" si="202"/>
        <v>0.13783882959310101</v>
      </c>
      <c r="U1345" s="25">
        <f t="shared" si="199"/>
        <v>0.16012428717001592</v>
      </c>
      <c r="X1345">
        <f t="shared" si="212"/>
        <v>1</v>
      </c>
      <c r="Y1345">
        <f t="shared" si="209"/>
        <v>1</v>
      </c>
      <c r="Z1345">
        <f t="shared" si="206"/>
        <v>1</v>
      </c>
      <c r="AA1345">
        <f t="shared" si="203"/>
        <v>0</v>
      </c>
      <c r="AB1345">
        <f t="shared" si="200"/>
        <v>1</v>
      </c>
    </row>
    <row r="1346" spans="1:28">
      <c r="A1346" s="26">
        <v>44364</v>
      </c>
      <c r="B1346" s="23">
        <v>1121.4000000000001</v>
      </c>
      <c r="C1346" s="25">
        <f t="shared" si="196"/>
        <v>-6.4676176131832673E-3</v>
      </c>
      <c r="E1346" s="25">
        <f t="shared" si="210"/>
        <v>0.62764706736142362</v>
      </c>
      <c r="F1346" s="25">
        <f t="shared" si="207"/>
        <v>0.2176238000485522</v>
      </c>
      <c r="G1346" s="25">
        <f t="shared" si="204"/>
        <v>0.14647027178804883</v>
      </c>
      <c r="H1346" s="25">
        <f t="shared" si="201"/>
        <v>0.13246786873704686</v>
      </c>
      <c r="I1346" s="25">
        <f t="shared" si="198"/>
        <v>0.17157695155091401</v>
      </c>
      <c r="K1346" s="28">
        <v>44364</v>
      </c>
      <c r="L1346" s="23">
        <v>20470.400000000001</v>
      </c>
      <c r="M1346" s="25">
        <f t="shared" si="197"/>
        <v>-6.0892801313114451E-3</v>
      </c>
      <c r="O1346" t="b">
        <f t="shared" si="195"/>
        <v>1</v>
      </c>
      <c r="Q1346" s="25">
        <f t="shared" si="211"/>
        <v>0.59742793376305148</v>
      </c>
      <c r="R1346" s="25">
        <f t="shared" si="208"/>
        <v>0.20096202792066764</v>
      </c>
      <c r="S1346" s="25">
        <f t="shared" si="205"/>
        <v>0.14253005611763547</v>
      </c>
      <c r="T1346" s="25">
        <f t="shared" si="202"/>
        <v>0.136719465586429</v>
      </c>
      <c r="U1346" s="25">
        <f t="shared" si="199"/>
        <v>0.15795098906390304</v>
      </c>
      <c r="X1346">
        <f t="shared" si="212"/>
        <v>1</v>
      </c>
      <c r="Y1346">
        <f t="shared" si="209"/>
        <v>1</v>
      </c>
      <c r="Z1346">
        <f t="shared" si="206"/>
        <v>1</v>
      </c>
      <c r="AA1346">
        <f t="shared" si="203"/>
        <v>0</v>
      </c>
      <c r="AB1346">
        <f t="shared" si="200"/>
        <v>1</v>
      </c>
    </row>
    <row r="1347" spans="1:28">
      <c r="A1347" s="27">
        <v>44365</v>
      </c>
      <c r="B1347" s="24">
        <v>1120.0999999999999</v>
      </c>
      <c r="C1347" s="25">
        <f t="shared" si="196"/>
        <v>-1.1592652042091865E-3</v>
      </c>
      <c r="E1347" s="25">
        <f t="shared" si="210"/>
        <v>0.62201691380908253</v>
      </c>
      <c r="F1347" s="25">
        <f t="shared" si="207"/>
        <v>0.20793605029499451</v>
      </c>
      <c r="G1347" s="25">
        <f t="shared" si="204"/>
        <v>0.14912894270904919</v>
      </c>
      <c r="H1347" s="25">
        <f t="shared" si="201"/>
        <v>0.13433368636293141</v>
      </c>
      <c r="I1347" s="25">
        <f t="shared" si="198"/>
        <v>0.16978946918768023</v>
      </c>
      <c r="K1347" s="29">
        <v>44365</v>
      </c>
      <c r="L1347" s="24">
        <v>20411.66</v>
      </c>
      <c r="M1347" s="25">
        <f t="shared" si="197"/>
        <v>-2.8777669234154204E-3</v>
      </c>
      <c r="O1347" t="b">
        <f t="shared" ref="O1347:O1410" si="213">K1347=A1347</f>
        <v>1</v>
      </c>
      <c r="Q1347" s="25">
        <f t="shared" si="211"/>
        <v>0.59216198950241372</v>
      </c>
      <c r="R1347" s="25">
        <f t="shared" si="208"/>
        <v>0.19139547052652195</v>
      </c>
      <c r="S1347" s="25">
        <f t="shared" si="205"/>
        <v>0.14488066571921876</v>
      </c>
      <c r="T1347" s="25">
        <f t="shared" si="202"/>
        <v>0.1382330393915725</v>
      </c>
      <c r="U1347" s="25">
        <f t="shared" si="199"/>
        <v>0.15563815106346568</v>
      </c>
      <c r="X1347">
        <f t="shared" si="212"/>
        <v>1</v>
      </c>
      <c r="Y1347">
        <f t="shared" si="209"/>
        <v>1</v>
      </c>
      <c r="Z1347">
        <f t="shared" si="206"/>
        <v>1</v>
      </c>
      <c r="AA1347">
        <f t="shared" si="203"/>
        <v>0</v>
      </c>
      <c r="AB1347">
        <f t="shared" si="200"/>
        <v>1</v>
      </c>
    </row>
    <row r="1348" spans="1:28">
      <c r="A1348" s="26">
        <v>44368</v>
      </c>
      <c r="B1348" s="23">
        <v>1124.01</v>
      </c>
      <c r="C1348" s="25">
        <f t="shared" ref="C1348:C1411" si="214">(B1348-B1347)/B1347</f>
        <v>3.4907597535935027E-3</v>
      </c>
      <c r="E1348" s="25">
        <f t="shared" si="210"/>
        <v>0.62438580264755172</v>
      </c>
      <c r="F1348" s="25">
        <f t="shared" si="207"/>
        <v>0.21262799184543746</v>
      </c>
      <c r="G1348" s="25">
        <f t="shared" si="204"/>
        <v>0.14945839626506352</v>
      </c>
      <c r="H1348" s="25">
        <f t="shared" si="201"/>
        <v>0.13715042164593538</v>
      </c>
      <c r="I1348" s="25">
        <f t="shared" si="198"/>
        <v>0.17066913139087969</v>
      </c>
      <c r="K1348" s="28">
        <v>44368</v>
      </c>
      <c r="L1348" s="23">
        <v>20518.07</v>
      </c>
      <c r="M1348" s="25">
        <f t="shared" ref="M1348:M1411" si="215">(L1348-L1347)/L1348</f>
        <v>5.1861602967530505E-3</v>
      </c>
      <c r="O1348" t="b">
        <f t="shared" si="213"/>
        <v>1</v>
      </c>
      <c r="Q1348" s="25">
        <f t="shared" si="211"/>
        <v>0.58936897201068672</v>
      </c>
      <c r="R1348" s="25">
        <f t="shared" si="208"/>
        <v>0.19850580082913316</v>
      </c>
      <c r="S1348" s="25">
        <f t="shared" si="205"/>
        <v>0.1451319534539639</v>
      </c>
      <c r="T1348" s="25">
        <f t="shared" si="202"/>
        <v>0.14209505587358651</v>
      </c>
      <c r="U1348" s="25">
        <f t="shared" si="199"/>
        <v>0.15701259087323427</v>
      </c>
      <c r="X1348">
        <f t="shared" si="212"/>
        <v>1</v>
      </c>
      <c r="Y1348">
        <f t="shared" si="209"/>
        <v>1</v>
      </c>
      <c r="Z1348">
        <f t="shared" si="206"/>
        <v>1</v>
      </c>
      <c r="AA1348">
        <f t="shared" si="203"/>
        <v>0</v>
      </c>
      <c r="AB1348">
        <f t="shared" si="200"/>
        <v>1</v>
      </c>
    </row>
    <row r="1349" spans="1:28">
      <c r="A1349" s="27">
        <v>44369</v>
      </c>
      <c r="B1349" s="24">
        <v>1125.67</v>
      </c>
      <c r="C1349" s="25">
        <f t="shared" si="214"/>
        <v>1.4768551881211749E-3</v>
      </c>
      <c r="E1349" s="25">
        <f t="shared" si="210"/>
        <v>0.64070311475170905</v>
      </c>
      <c r="F1349" s="25">
        <f t="shared" si="207"/>
        <v>0.21503410898832898</v>
      </c>
      <c r="G1349" s="25">
        <f t="shared" si="204"/>
        <v>0.15198334154520809</v>
      </c>
      <c r="H1349" s="25">
        <f t="shared" si="201"/>
        <v>0.13656955162028472</v>
      </c>
      <c r="I1349" s="25">
        <f t="shared" si="198"/>
        <v>0.17114302889523958</v>
      </c>
      <c r="K1349" s="29">
        <v>44369</v>
      </c>
      <c r="L1349" s="24">
        <v>20571.439999999999</v>
      </c>
      <c r="M1349" s="25">
        <f t="shared" si="215"/>
        <v>2.594373558681307E-3</v>
      </c>
      <c r="O1349" t="b">
        <f t="shared" si="213"/>
        <v>1</v>
      </c>
      <c r="Q1349" s="25">
        <f t="shared" si="211"/>
        <v>0.60673202491861433</v>
      </c>
      <c r="R1349" s="25">
        <f t="shared" si="208"/>
        <v>0.20115971169030655</v>
      </c>
      <c r="S1349" s="25">
        <f t="shared" si="205"/>
        <v>0.1475520941002082</v>
      </c>
      <c r="T1349" s="25">
        <f t="shared" si="202"/>
        <v>0.14303563762404536</v>
      </c>
      <c r="U1349" s="25">
        <f t="shared" si="199"/>
        <v>0.15808776081322717</v>
      </c>
      <c r="X1349">
        <f t="shared" si="212"/>
        <v>1</v>
      </c>
      <c r="Y1349">
        <f t="shared" si="209"/>
        <v>1</v>
      </c>
      <c r="Z1349">
        <f t="shared" si="206"/>
        <v>1</v>
      </c>
      <c r="AA1349">
        <f t="shared" si="203"/>
        <v>0</v>
      </c>
      <c r="AB1349">
        <f t="shared" si="200"/>
        <v>1</v>
      </c>
    </row>
    <row r="1350" spans="1:28">
      <c r="A1350" s="26">
        <v>44370</v>
      </c>
      <c r="B1350" s="23">
        <v>1122.07</v>
      </c>
      <c r="C1350" s="25">
        <f t="shared" si="214"/>
        <v>-3.1980953565433354E-3</v>
      </c>
      <c r="E1350" s="25">
        <f t="shared" si="210"/>
        <v>0.63293312959324743</v>
      </c>
      <c r="F1350" s="25">
        <f t="shared" si="207"/>
        <v>0.20861215631768348</v>
      </c>
      <c r="G1350" s="25">
        <f t="shared" si="204"/>
        <v>0.14886397843699717</v>
      </c>
      <c r="H1350" s="25">
        <f t="shared" si="201"/>
        <v>0.1346099686900768</v>
      </c>
      <c r="I1350" s="25">
        <f t="shared" si="198"/>
        <v>0.16869610004780888</v>
      </c>
      <c r="K1350" s="28">
        <v>44370</v>
      </c>
      <c r="L1350" s="23">
        <v>20468.099999999999</v>
      </c>
      <c r="M1350" s="25">
        <f t="shared" si="215"/>
        <v>-5.0488320850494255E-3</v>
      </c>
      <c r="O1350" t="b">
        <f t="shared" si="213"/>
        <v>1</v>
      </c>
      <c r="Q1350" s="25">
        <f t="shared" si="211"/>
        <v>0.60114053717893046</v>
      </c>
      <c r="R1350" s="25">
        <f t="shared" si="208"/>
        <v>0.19385619860850767</v>
      </c>
      <c r="S1350" s="25">
        <f t="shared" si="205"/>
        <v>0.14330556633647906</v>
      </c>
      <c r="T1350" s="25">
        <f t="shared" si="202"/>
        <v>0.14074313970412833</v>
      </c>
      <c r="U1350" s="25">
        <f t="shared" si="199"/>
        <v>0.15558213210671812</v>
      </c>
      <c r="X1350">
        <f t="shared" si="212"/>
        <v>1</v>
      </c>
      <c r="Y1350">
        <f t="shared" si="209"/>
        <v>1</v>
      </c>
      <c r="Z1350">
        <f t="shared" si="206"/>
        <v>1</v>
      </c>
      <c r="AA1350">
        <f t="shared" si="203"/>
        <v>0</v>
      </c>
      <c r="AB1350">
        <f t="shared" si="200"/>
        <v>1</v>
      </c>
    </row>
    <row r="1351" spans="1:28">
      <c r="A1351" s="27">
        <v>44371</v>
      </c>
      <c r="B1351" s="24">
        <v>1127.3900000000001</v>
      </c>
      <c r="C1351" s="25">
        <f t="shared" si="214"/>
        <v>4.7412371777163318E-3</v>
      </c>
      <c r="E1351" s="25">
        <f t="shared" si="210"/>
        <v>0.63023642542115565</v>
      </c>
      <c r="F1351" s="25">
        <f t="shared" si="207"/>
        <v>0.20589806912025099</v>
      </c>
      <c r="G1351" s="25">
        <f t="shared" si="204"/>
        <v>0.15185584809705732</v>
      </c>
      <c r="H1351" s="25">
        <f t="shared" si="201"/>
        <v>0.13461420068966201</v>
      </c>
      <c r="I1351" s="25">
        <f t="shared" si="198"/>
        <v>0.17437407055612031</v>
      </c>
      <c r="K1351" s="29">
        <v>44371</v>
      </c>
      <c r="L1351" s="24">
        <v>20537.580000000002</v>
      </c>
      <c r="M1351" s="25">
        <f t="shared" si="215"/>
        <v>3.383066554092702E-3</v>
      </c>
      <c r="O1351" t="b">
        <f t="shared" si="213"/>
        <v>1</v>
      </c>
      <c r="Q1351" s="25">
        <f t="shared" si="211"/>
        <v>0.59155708892071357</v>
      </c>
      <c r="R1351" s="25">
        <f t="shared" si="208"/>
        <v>0.19279287575353399</v>
      </c>
      <c r="S1351" s="25">
        <f t="shared" si="205"/>
        <v>0.1471626390653944</v>
      </c>
      <c r="T1351" s="25">
        <f t="shared" si="202"/>
        <v>0.14064065602015718</v>
      </c>
      <c r="U1351" s="25">
        <f t="shared" si="199"/>
        <v>0.16093801325907364</v>
      </c>
      <c r="X1351">
        <f t="shared" si="212"/>
        <v>1</v>
      </c>
      <c r="Y1351">
        <f t="shared" si="209"/>
        <v>1</v>
      </c>
      <c r="Z1351">
        <f t="shared" si="206"/>
        <v>1</v>
      </c>
      <c r="AA1351">
        <f t="shared" si="203"/>
        <v>0</v>
      </c>
      <c r="AB1351">
        <f t="shared" si="200"/>
        <v>1</v>
      </c>
    </row>
    <row r="1352" spans="1:28">
      <c r="A1352" s="26">
        <v>44372</v>
      </c>
      <c r="B1352" s="23">
        <v>1137.24</v>
      </c>
      <c r="C1352" s="25">
        <f t="shared" si="214"/>
        <v>8.7369942965610028E-3</v>
      </c>
      <c r="E1352" s="25">
        <f t="shared" si="210"/>
        <v>0.63185535944898841</v>
      </c>
      <c r="F1352" s="25">
        <f t="shared" si="207"/>
        <v>0.21020273423952562</v>
      </c>
      <c r="G1352" s="25">
        <f t="shared" si="204"/>
        <v>0.15461147233448025</v>
      </c>
      <c r="H1352" s="25">
        <f t="shared" si="201"/>
        <v>0.13457432115343337</v>
      </c>
      <c r="I1352" s="25">
        <f t="shared" si="198"/>
        <v>0.17526631536136605</v>
      </c>
      <c r="K1352" s="28">
        <v>44372</v>
      </c>
      <c r="L1352" s="23">
        <v>20646.099999999999</v>
      </c>
      <c r="M1352" s="25">
        <f t="shared" si="215"/>
        <v>5.2561985072239695E-3</v>
      </c>
      <c r="O1352" t="b">
        <f t="shared" si="213"/>
        <v>1</v>
      </c>
      <c r="Q1352" s="25">
        <f t="shared" si="211"/>
        <v>0.58196752714372191</v>
      </c>
      <c r="R1352" s="25">
        <f t="shared" si="208"/>
        <v>0.19533944514910906</v>
      </c>
      <c r="S1352" s="25">
        <f t="shared" si="205"/>
        <v>0.14928663381347729</v>
      </c>
      <c r="T1352" s="25">
        <f t="shared" si="202"/>
        <v>0.13924303815896777</v>
      </c>
      <c r="U1352" s="25">
        <f t="shared" si="199"/>
        <v>0.16119691626706167</v>
      </c>
      <c r="X1352">
        <f t="shared" si="212"/>
        <v>1</v>
      </c>
      <c r="Y1352">
        <f t="shared" si="209"/>
        <v>1</v>
      </c>
      <c r="Z1352">
        <f t="shared" si="206"/>
        <v>1</v>
      </c>
      <c r="AA1352">
        <f t="shared" si="203"/>
        <v>0</v>
      </c>
      <c r="AB1352">
        <f t="shared" si="200"/>
        <v>1</v>
      </c>
    </row>
    <row r="1353" spans="1:28">
      <c r="A1353" s="27">
        <v>44375</v>
      </c>
      <c r="B1353" s="24">
        <v>1139.1400000000001</v>
      </c>
      <c r="C1353" s="25">
        <f t="shared" si="214"/>
        <v>1.670711547254837E-3</v>
      </c>
      <c r="E1353" s="25">
        <f t="shared" si="210"/>
        <v>0.62634381736933054</v>
      </c>
      <c r="F1353" s="25">
        <f t="shared" si="207"/>
        <v>0.21415648641209528</v>
      </c>
      <c r="G1353" s="25">
        <f t="shared" si="204"/>
        <v>0.15789302471030275</v>
      </c>
      <c r="H1353" s="25">
        <f t="shared" si="201"/>
        <v>0.13547831763357543</v>
      </c>
      <c r="I1353" s="25">
        <f t="shared" si="198"/>
        <v>0.17450779103376357</v>
      </c>
      <c r="K1353" s="29">
        <v>44375</v>
      </c>
      <c r="L1353" s="24">
        <v>20636.45</v>
      </c>
      <c r="M1353" s="25">
        <f t="shared" si="215"/>
        <v>-4.6761918837774023E-4</v>
      </c>
      <c r="O1353" t="b">
        <f t="shared" si="213"/>
        <v>1</v>
      </c>
      <c r="Q1353" s="25">
        <f t="shared" si="211"/>
        <v>0.57242554838631032</v>
      </c>
      <c r="R1353" s="25">
        <f t="shared" si="208"/>
        <v>0.19716591974915487</v>
      </c>
      <c r="S1353" s="25">
        <f t="shared" si="205"/>
        <v>0.1532659491304289</v>
      </c>
      <c r="T1353" s="25">
        <f t="shared" si="202"/>
        <v>0.13929979899756639</v>
      </c>
      <c r="U1353" s="25">
        <f t="shared" si="199"/>
        <v>0.15992946887697523</v>
      </c>
      <c r="X1353">
        <f t="shared" si="212"/>
        <v>1</v>
      </c>
      <c r="Y1353">
        <f t="shared" si="209"/>
        <v>1</v>
      </c>
      <c r="Z1353">
        <f t="shared" si="206"/>
        <v>1</v>
      </c>
      <c r="AA1353">
        <f t="shared" si="203"/>
        <v>0</v>
      </c>
      <c r="AB1353">
        <f t="shared" si="200"/>
        <v>1</v>
      </c>
    </row>
    <row r="1354" spans="1:28">
      <c r="A1354" s="26">
        <v>44376</v>
      </c>
      <c r="B1354" s="23">
        <v>1134.28</v>
      </c>
      <c r="C1354" s="25">
        <f t="shared" si="214"/>
        <v>-4.2663763892060039E-3</v>
      </c>
      <c r="E1354" s="25">
        <f t="shared" si="210"/>
        <v>0.60059831230773586</v>
      </c>
      <c r="F1354" s="25">
        <f t="shared" si="207"/>
        <v>0.20827668848013614</v>
      </c>
      <c r="G1354" s="25">
        <f t="shared" si="204"/>
        <v>0.1600772632287113</v>
      </c>
      <c r="H1354" s="25">
        <f t="shared" si="201"/>
        <v>0.1321892511843763</v>
      </c>
      <c r="I1354" s="25">
        <f t="shared" si="198"/>
        <v>0.17099203746849545</v>
      </c>
      <c r="K1354" s="28">
        <v>44376</v>
      </c>
      <c r="L1354" s="23">
        <v>20564.62</v>
      </c>
      <c r="M1354" s="25">
        <f t="shared" si="215"/>
        <v>-3.4928921613918344E-3</v>
      </c>
      <c r="O1354" t="b">
        <f t="shared" si="213"/>
        <v>1</v>
      </c>
      <c r="Q1354" s="25">
        <f t="shared" si="211"/>
        <v>0.54566581734274333</v>
      </c>
      <c r="R1354" s="25">
        <f t="shared" si="208"/>
        <v>0.19167936220353599</v>
      </c>
      <c r="S1354" s="25">
        <f t="shared" si="205"/>
        <v>0.15581911075570365</v>
      </c>
      <c r="T1354" s="25">
        <f t="shared" si="202"/>
        <v>0.13692034050162816</v>
      </c>
      <c r="U1354" s="25">
        <f t="shared" si="199"/>
        <v>0.15667739474549092</v>
      </c>
      <c r="X1354">
        <f t="shared" si="212"/>
        <v>1</v>
      </c>
      <c r="Y1354">
        <f t="shared" si="209"/>
        <v>1</v>
      </c>
      <c r="Z1354">
        <f t="shared" si="206"/>
        <v>1</v>
      </c>
      <c r="AA1354">
        <f t="shared" si="203"/>
        <v>0</v>
      </c>
      <c r="AB1354">
        <f t="shared" si="200"/>
        <v>1</v>
      </c>
    </row>
    <row r="1355" spans="1:28">
      <c r="A1355" s="27">
        <v>44377</v>
      </c>
      <c r="B1355" s="24">
        <v>1133.0899999999999</v>
      </c>
      <c r="C1355" s="25">
        <f t="shared" si="214"/>
        <v>-1.0491236731671673E-3</v>
      </c>
      <c r="E1355" s="25">
        <f t="shared" si="210"/>
        <v>0.58871861022700167</v>
      </c>
      <c r="F1355" s="25">
        <f t="shared" si="207"/>
        <v>0.20664914485221564</v>
      </c>
      <c r="G1355" s="25">
        <f t="shared" si="204"/>
        <v>0.15628090186158938</v>
      </c>
      <c r="H1355" s="25">
        <f t="shared" si="201"/>
        <v>0.13157266933656242</v>
      </c>
      <c r="I1355" s="25">
        <f t="shared" si="198"/>
        <v>0.16820847891975332</v>
      </c>
      <c r="K1355" s="29">
        <v>44377</v>
      </c>
      <c r="L1355" s="24">
        <v>20552.2</v>
      </c>
      <c r="M1355" s="25">
        <f t="shared" si="215"/>
        <v>-6.0431486653488454E-4</v>
      </c>
      <c r="O1355" t="b">
        <f t="shared" si="213"/>
        <v>1</v>
      </c>
      <c r="Q1355" s="25">
        <f t="shared" si="211"/>
        <v>0.5386884440770956</v>
      </c>
      <c r="R1355" s="25">
        <f t="shared" si="208"/>
        <v>0.18936671574599906</v>
      </c>
      <c r="S1355" s="25">
        <f t="shared" si="205"/>
        <v>0.15028707758573967</v>
      </c>
      <c r="T1355" s="25">
        <f t="shared" si="202"/>
        <v>0.13562721187097893</v>
      </c>
      <c r="U1355" s="25">
        <f t="shared" si="199"/>
        <v>0.15407998385868438</v>
      </c>
      <c r="X1355">
        <f t="shared" si="212"/>
        <v>1</v>
      </c>
      <c r="Y1355">
        <f t="shared" si="209"/>
        <v>1</v>
      </c>
      <c r="Z1355">
        <f t="shared" si="206"/>
        <v>1</v>
      </c>
      <c r="AA1355">
        <f t="shared" si="203"/>
        <v>0</v>
      </c>
      <c r="AB1355">
        <f t="shared" si="200"/>
        <v>1</v>
      </c>
    </row>
    <row r="1356" spans="1:28">
      <c r="A1356" s="26">
        <v>44378</v>
      </c>
      <c r="B1356" s="23">
        <v>1133.3699999999999</v>
      </c>
      <c r="C1356" s="25">
        <f t="shared" si="214"/>
        <v>2.4711187990360229E-4</v>
      </c>
      <c r="E1356" s="25">
        <f t="shared" si="210"/>
        <v>0.59629577464788719</v>
      </c>
      <c r="F1356" s="25">
        <f t="shared" si="207"/>
        <v>0.20603135147643936</v>
      </c>
      <c r="G1356" s="25">
        <f t="shared" si="204"/>
        <v>0.15906543097827863</v>
      </c>
      <c r="H1356" s="25">
        <f t="shared" si="201"/>
        <v>0.13215485930134774</v>
      </c>
      <c r="I1356" s="25">
        <f t="shared" si="198"/>
        <v>0.16586731215031381</v>
      </c>
      <c r="K1356" s="28">
        <v>44378</v>
      </c>
      <c r="L1356" s="23">
        <v>20524.09</v>
      </c>
      <c r="M1356" s="25">
        <f t="shared" si="215"/>
        <v>-1.3696100533568398E-3</v>
      </c>
      <c r="O1356" t="b">
        <f t="shared" si="213"/>
        <v>1</v>
      </c>
      <c r="Q1356" s="25">
        <f t="shared" si="211"/>
        <v>0.54799603876459546</v>
      </c>
      <c r="R1356" s="25">
        <f t="shared" si="208"/>
        <v>0.18778564091506844</v>
      </c>
      <c r="S1356" s="25">
        <f t="shared" si="205"/>
        <v>0.15200624231448456</v>
      </c>
      <c r="T1356" s="25">
        <f t="shared" si="202"/>
        <v>0.13531083189490345</v>
      </c>
      <c r="U1356" s="25">
        <f t="shared" si="199"/>
        <v>0.15221512377006374</v>
      </c>
      <c r="X1356">
        <f t="shared" si="212"/>
        <v>1</v>
      </c>
      <c r="Y1356">
        <f t="shared" si="209"/>
        <v>1</v>
      </c>
      <c r="Z1356">
        <f t="shared" si="206"/>
        <v>1</v>
      </c>
      <c r="AA1356">
        <f t="shared" si="203"/>
        <v>0</v>
      </c>
      <c r="AB1356">
        <f t="shared" si="200"/>
        <v>1</v>
      </c>
    </row>
    <row r="1357" spans="1:28">
      <c r="A1357" s="27">
        <v>44379</v>
      </c>
      <c r="B1357" s="24">
        <v>1138.55</v>
      </c>
      <c r="C1357" s="25">
        <f t="shared" si="214"/>
        <v>4.5704403681057944E-3</v>
      </c>
      <c r="E1357" s="25">
        <f t="shared" si="210"/>
        <v>0.58990937146527767</v>
      </c>
      <c r="F1357" s="25">
        <f t="shared" si="207"/>
        <v>0.2082416691918656</v>
      </c>
      <c r="G1357" s="25">
        <f t="shared" si="204"/>
        <v>0.15931739491746688</v>
      </c>
      <c r="H1357" s="25">
        <f t="shared" si="201"/>
        <v>0.13182952282592408</v>
      </c>
      <c r="I1357" s="25">
        <f t="shared" si="198"/>
        <v>0.16569306591975352</v>
      </c>
      <c r="K1357" s="29">
        <v>44379</v>
      </c>
      <c r="L1357" s="24">
        <v>20585.64</v>
      </c>
      <c r="M1357" s="25">
        <f t="shared" si="215"/>
        <v>2.9899483329155312E-3</v>
      </c>
      <c r="O1357" t="b">
        <f t="shared" si="213"/>
        <v>1</v>
      </c>
      <c r="Q1357" s="25">
        <f t="shared" si="211"/>
        <v>0.54007473824780328</v>
      </c>
      <c r="R1357" s="25">
        <f t="shared" si="208"/>
        <v>0.18827138200387328</v>
      </c>
      <c r="S1357" s="25">
        <f t="shared" si="205"/>
        <v>0.15145205515219629</v>
      </c>
      <c r="T1357" s="25">
        <f t="shared" si="202"/>
        <v>0.13357226131720989</v>
      </c>
      <c r="U1357" s="25">
        <f t="shared" si="199"/>
        <v>0.15145750683371406</v>
      </c>
      <c r="X1357">
        <f t="shared" si="212"/>
        <v>1</v>
      </c>
      <c r="Y1357">
        <f t="shared" si="209"/>
        <v>1</v>
      </c>
      <c r="Z1357">
        <f t="shared" si="206"/>
        <v>1</v>
      </c>
      <c r="AA1357">
        <f t="shared" si="203"/>
        <v>0</v>
      </c>
      <c r="AB1357">
        <f t="shared" si="200"/>
        <v>1</v>
      </c>
    </row>
    <row r="1358" spans="1:28">
      <c r="A1358" s="26">
        <v>44382</v>
      </c>
      <c r="B1358" s="23">
        <v>1145.99</v>
      </c>
      <c r="C1358" s="25">
        <f t="shared" si="214"/>
        <v>6.5346273769268408E-3</v>
      </c>
      <c r="E1358" s="25">
        <f t="shared" si="210"/>
        <v>0.60870053483442588</v>
      </c>
      <c r="F1358" s="25">
        <f t="shared" si="207"/>
        <v>0.21939642370798929</v>
      </c>
      <c r="G1358" s="25">
        <f t="shared" si="204"/>
        <v>0.16020404027299717</v>
      </c>
      <c r="H1358" s="25">
        <f t="shared" si="201"/>
        <v>0.13427533276666903</v>
      </c>
      <c r="I1358" s="25">
        <f t="shared" si="198"/>
        <v>0.16762785248911749</v>
      </c>
      <c r="K1358" s="28">
        <v>44382</v>
      </c>
      <c r="L1358" s="23">
        <v>20726.43</v>
      </c>
      <c r="M1358" s="25">
        <f t="shared" si="215"/>
        <v>6.7927761799789384E-3</v>
      </c>
      <c r="O1358" t="b">
        <f t="shared" si="213"/>
        <v>1</v>
      </c>
      <c r="Q1358" s="25">
        <f t="shared" si="211"/>
        <v>0.5572108727517795</v>
      </c>
      <c r="R1358" s="25">
        <f t="shared" si="208"/>
        <v>0.19966182714435909</v>
      </c>
      <c r="S1358" s="25">
        <f t="shared" si="205"/>
        <v>0.15214926246225446</v>
      </c>
      <c r="T1358" s="25">
        <f t="shared" si="202"/>
        <v>0.13588949928195704</v>
      </c>
      <c r="U1358" s="25">
        <f t="shared" si="199"/>
        <v>0.1537083209127128</v>
      </c>
      <c r="X1358">
        <f t="shared" si="212"/>
        <v>1</v>
      </c>
      <c r="Y1358">
        <f t="shared" si="209"/>
        <v>1</v>
      </c>
      <c r="Z1358">
        <f t="shared" si="206"/>
        <v>1</v>
      </c>
      <c r="AA1358">
        <f t="shared" si="203"/>
        <v>0</v>
      </c>
      <c r="AB1358">
        <f t="shared" si="200"/>
        <v>1</v>
      </c>
    </row>
    <row r="1359" spans="1:28">
      <c r="A1359" s="27">
        <v>44383</v>
      </c>
      <c r="B1359" s="24">
        <v>1147.74</v>
      </c>
      <c r="C1359" s="25">
        <f t="shared" si="214"/>
        <v>1.5270639359854798E-3</v>
      </c>
      <c r="E1359" s="25">
        <f t="shared" si="210"/>
        <v>0.60554514170606821</v>
      </c>
      <c r="F1359" s="25">
        <f t="shared" si="207"/>
        <v>0.23489774071057834</v>
      </c>
      <c r="G1359" s="25">
        <f t="shared" si="204"/>
        <v>0.16174500041283801</v>
      </c>
      <c r="H1359" s="25">
        <f t="shared" si="201"/>
        <v>0.1330343348390941</v>
      </c>
      <c r="I1359" s="25">
        <f t="shared" si="198"/>
        <v>0.16866228409633144</v>
      </c>
      <c r="K1359" s="29">
        <v>44383</v>
      </c>
      <c r="L1359" s="24">
        <v>20709.59</v>
      </c>
      <c r="M1359" s="25">
        <f t="shared" si="215"/>
        <v>-8.131498499004638E-4</v>
      </c>
      <c r="O1359" t="b">
        <f t="shared" si="213"/>
        <v>1</v>
      </c>
      <c r="Q1359" s="25">
        <f t="shared" si="211"/>
        <v>0.55229524625466686</v>
      </c>
      <c r="R1359" s="25">
        <f t="shared" si="208"/>
        <v>0.21235237314120625</v>
      </c>
      <c r="S1359" s="25">
        <f t="shared" si="205"/>
        <v>0.15288732404225169</v>
      </c>
      <c r="T1359" s="25">
        <f t="shared" si="202"/>
        <v>0.13430070149810169</v>
      </c>
      <c r="U1359" s="25">
        <f t="shared" si="199"/>
        <v>0.15350713440316222</v>
      </c>
      <c r="X1359">
        <f t="shared" si="212"/>
        <v>1</v>
      </c>
      <c r="Y1359">
        <f t="shared" si="209"/>
        <v>1</v>
      </c>
      <c r="Z1359">
        <f t="shared" si="206"/>
        <v>1</v>
      </c>
      <c r="AA1359">
        <f t="shared" si="203"/>
        <v>0</v>
      </c>
      <c r="AB1359">
        <f t="shared" si="200"/>
        <v>1</v>
      </c>
    </row>
    <row r="1360" spans="1:28">
      <c r="A1360" s="26">
        <v>44384</v>
      </c>
      <c r="B1360" s="23">
        <v>1153.25</v>
      </c>
      <c r="C1360" s="25">
        <f t="shared" si="214"/>
        <v>4.8007388432920271E-3</v>
      </c>
      <c r="E1360" s="25">
        <f t="shared" si="210"/>
        <v>0.63430879331113155</v>
      </c>
      <c r="F1360" s="25">
        <f t="shared" si="207"/>
        <v>0.23553767980536855</v>
      </c>
      <c r="G1360" s="25">
        <f t="shared" si="204"/>
        <v>0.16289194692262288</v>
      </c>
      <c r="H1360" s="25">
        <f t="shared" si="201"/>
        <v>0.13243737800690281</v>
      </c>
      <c r="I1360" s="25">
        <f t="shared" si="198"/>
        <v>0.16983110994239992</v>
      </c>
      <c r="K1360" s="28">
        <v>44384</v>
      </c>
      <c r="L1360" s="23">
        <v>20796.330000000002</v>
      </c>
      <c r="M1360" s="25">
        <f t="shared" si="215"/>
        <v>4.1709282358955444E-3</v>
      </c>
      <c r="O1360" t="b">
        <f t="shared" si="213"/>
        <v>1</v>
      </c>
      <c r="Q1360" s="25">
        <f t="shared" si="211"/>
        <v>0.58398627172748196</v>
      </c>
      <c r="R1360" s="25">
        <f t="shared" si="208"/>
        <v>0.21436602260417104</v>
      </c>
      <c r="S1360" s="25">
        <f t="shared" si="205"/>
        <v>0.15330318331788217</v>
      </c>
      <c r="T1360" s="25">
        <f t="shared" si="202"/>
        <v>0.1333414961125361</v>
      </c>
      <c r="U1360" s="25">
        <f t="shared" si="199"/>
        <v>0.15480792455369174</v>
      </c>
      <c r="X1360">
        <f t="shared" si="212"/>
        <v>1</v>
      </c>
      <c r="Y1360">
        <f t="shared" si="209"/>
        <v>1</v>
      </c>
      <c r="Z1360">
        <f t="shared" si="206"/>
        <v>1</v>
      </c>
      <c r="AA1360">
        <f t="shared" si="203"/>
        <v>0</v>
      </c>
      <c r="AB1360">
        <f t="shared" si="200"/>
        <v>1</v>
      </c>
    </row>
    <row r="1361" spans="1:28">
      <c r="A1361" s="27">
        <v>44385</v>
      </c>
      <c r="B1361" s="24">
        <v>1144.8900000000001</v>
      </c>
      <c r="C1361" s="25">
        <f t="shared" si="214"/>
        <v>-7.2490786906567522E-3</v>
      </c>
      <c r="E1361" s="25">
        <f t="shared" si="210"/>
        <v>0.62124387549916471</v>
      </c>
      <c r="F1361" s="25">
        <f t="shared" si="207"/>
        <v>0.23433978230448993</v>
      </c>
      <c r="G1361" s="25">
        <f t="shared" si="204"/>
        <v>0.15660007573513868</v>
      </c>
      <c r="H1361" s="25">
        <f t="shared" si="201"/>
        <v>0.13000904351757114</v>
      </c>
      <c r="I1361" s="25">
        <f t="shared" si="198"/>
        <v>0.16466820738955468</v>
      </c>
      <c r="K1361" s="29">
        <v>44385</v>
      </c>
      <c r="L1361" s="24">
        <v>20651.57</v>
      </c>
      <c r="M1361" s="25">
        <f t="shared" si="215"/>
        <v>-7.0096365554774788E-3</v>
      </c>
      <c r="O1361" t="b">
        <f t="shared" si="213"/>
        <v>1</v>
      </c>
      <c r="Q1361" s="25">
        <f t="shared" si="211"/>
        <v>0.57346374184661086</v>
      </c>
      <c r="R1361" s="25">
        <f t="shared" si="208"/>
        <v>0.21368227163735365</v>
      </c>
      <c r="S1361" s="25">
        <f t="shared" si="205"/>
        <v>0.14712652047885544</v>
      </c>
      <c r="T1361" s="25">
        <f t="shared" si="202"/>
        <v>0.13142017754062274</v>
      </c>
      <c r="U1361" s="25">
        <f t="shared" si="199"/>
        <v>0.14955049844024004</v>
      </c>
      <c r="X1361">
        <f t="shared" si="212"/>
        <v>1</v>
      </c>
      <c r="Y1361">
        <f t="shared" si="209"/>
        <v>1</v>
      </c>
      <c r="Z1361">
        <f t="shared" si="206"/>
        <v>1</v>
      </c>
      <c r="AA1361">
        <f t="shared" si="203"/>
        <v>0</v>
      </c>
      <c r="AB1361">
        <f t="shared" si="200"/>
        <v>1</v>
      </c>
    </row>
    <row r="1362" spans="1:28">
      <c r="A1362" s="26">
        <v>44386</v>
      </c>
      <c r="B1362" s="23">
        <v>1149.02</v>
      </c>
      <c r="C1362" s="25">
        <f t="shared" si="214"/>
        <v>3.60733345561572E-3</v>
      </c>
      <c r="E1362" s="25">
        <f t="shared" si="210"/>
        <v>0.61042201011927277</v>
      </c>
      <c r="F1362" s="25">
        <f t="shared" si="207"/>
        <v>0.23051191931667914</v>
      </c>
      <c r="G1362" s="25">
        <f t="shared" si="204"/>
        <v>0.15521693437610096</v>
      </c>
      <c r="H1362" s="25">
        <f t="shared" si="201"/>
        <v>0.13012650397531278</v>
      </c>
      <c r="I1362" s="25">
        <f t="shared" ref="I1362:I1425" si="216">((B1362/B131)^(1/5))-1</f>
        <v>0.1642720913467679</v>
      </c>
      <c r="K1362" s="28">
        <v>44386</v>
      </c>
      <c r="L1362" s="23">
        <v>20645.03</v>
      </c>
      <c r="M1362" s="25">
        <f t="shared" si="215"/>
        <v>-3.1678326454361526E-4</v>
      </c>
      <c r="O1362" t="b">
        <f t="shared" si="213"/>
        <v>1</v>
      </c>
      <c r="Q1362" s="25">
        <f t="shared" si="211"/>
        <v>0.55892611327701713</v>
      </c>
      <c r="R1362" s="25">
        <f t="shared" si="208"/>
        <v>0.20908215518487849</v>
      </c>
      <c r="S1362" s="25">
        <f t="shared" si="205"/>
        <v>0.14365972965564344</v>
      </c>
      <c r="T1362" s="25">
        <f t="shared" si="202"/>
        <v>0.13070083332904314</v>
      </c>
      <c r="U1362" s="25">
        <f t="shared" ref="U1362:U1425" si="217">((L1362/L131)^(1/5))-1</f>
        <v>0.14816528365220161</v>
      </c>
      <c r="X1362">
        <f t="shared" si="212"/>
        <v>1</v>
      </c>
      <c r="Y1362">
        <f t="shared" si="209"/>
        <v>1</v>
      </c>
      <c r="Z1362">
        <f t="shared" si="206"/>
        <v>1</v>
      </c>
      <c r="AA1362">
        <f t="shared" si="203"/>
        <v>0</v>
      </c>
      <c r="AB1362">
        <f t="shared" ref="AB1362:AB1425" si="218">IF(I1362&gt;U1362,1,0)</f>
        <v>1</v>
      </c>
    </row>
    <row r="1363" spans="1:28">
      <c r="A1363" s="27">
        <v>44389</v>
      </c>
      <c r="B1363" s="24">
        <v>1149.92</v>
      </c>
      <c r="C1363" s="25">
        <f t="shared" si="214"/>
        <v>7.8327618318226923E-4</v>
      </c>
      <c r="E1363" s="25">
        <f t="shared" si="210"/>
        <v>0.59209160009414785</v>
      </c>
      <c r="F1363" s="25">
        <f t="shared" si="207"/>
        <v>0.22987595821869111</v>
      </c>
      <c r="G1363" s="25">
        <f t="shared" si="204"/>
        <v>0.15818708102565093</v>
      </c>
      <c r="H1363" s="25">
        <f t="shared" si="201"/>
        <v>0.13152624438006666</v>
      </c>
      <c r="I1363" s="25">
        <f t="shared" si="216"/>
        <v>0.16526261458231484</v>
      </c>
      <c r="K1363" s="29">
        <v>44389</v>
      </c>
      <c r="L1363" s="24">
        <v>20677.41</v>
      </c>
      <c r="M1363" s="25">
        <f t="shared" si="215"/>
        <v>1.5659601468462935E-3</v>
      </c>
      <c r="O1363" t="b">
        <f t="shared" si="213"/>
        <v>1</v>
      </c>
      <c r="Q1363" s="25">
        <f t="shared" si="211"/>
        <v>0.53873247035448113</v>
      </c>
      <c r="R1363" s="25">
        <f t="shared" si="208"/>
        <v>0.21056711418341223</v>
      </c>
      <c r="S1363" s="25">
        <f t="shared" si="205"/>
        <v>0.14482803124618404</v>
      </c>
      <c r="T1363" s="25">
        <f t="shared" si="202"/>
        <v>0.13341182698473597</v>
      </c>
      <c r="U1363" s="25">
        <f t="shared" si="217"/>
        <v>0.14900536632834283</v>
      </c>
      <c r="X1363">
        <f t="shared" si="212"/>
        <v>1</v>
      </c>
      <c r="Y1363">
        <f t="shared" si="209"/>
        <v>1</v>
      </c>
      <c r="Z1363">
        <f t="shared" si="206"/>
        <v>1</v>
      </c>
      <c r="AA1363">
        <f t="shared" si="203"/>
        <v>0</v>
      </c>
      <c r="AB1363">
        <f t="shared" si="218"/>
        <v>1</v>
      </c>
    </row>
    <row r="1364" spans="1:28">
      <c r="A1364" s="26">
        <v>44390</v>
      </c>
      <c r="B1364" s="23">
        <v>1154.94</v>
      </c>
      <c r="C1364" s="25">
        <f t="shared" si="214"/>
        <v>4.3655210797272689E-3</v>
      </c>
      <c r="E1364" s="25">
        <f t="shared" si="210"/>
        <v>0.58395391894671889</v>
      </c>
      <c r="F1364" s="25">
        <f t="shared" si="207"/>
        <v>0.23289005956576414</v>
      </c>
      <c r="G1364" s="25">
        <f t="shared" si="204"/>
        <v>0.15934290984720589</v>
      </c>
      <c r="H1364" s="25">
        <f t="shared" si="201"/>
        <v>0.13000252505753629</v>
      </c>
      <c r="I1364" s="25">
        <f t="shared" si="216"/>
        <v>0.16454714592567199</v>
      </c>
      <c r="K1364" s="28">
        <v>44390</v>
      </c>
      <c r="L1364" s="23">
        <v>20799.349999999999</v>
      </c>
      <c r="M1364" s="25">
        <f t="shared" si="215"/>
        <v>5.8626832088502136E-3</v>
      </c>
      <c r="O1364" t="b">
        <f t="shared" si="213"/>
        <v>1</v>
      </c>
      <c r="Q1364" s="25">
        <f t="shared" si="211"/>
        <v>0.53231818992204061</v>
      </c>
      <c r="R1364" s="25">
        <f t="shared" si="208"/>
        <v>0.21333277046428356</v>
      </c>
      <c r="S1364" s="25">
        <f t="shared" si="205"/>
        <v>0.14550850481013611</v>
      </c>
      <c r="T1364" s="25">
        <f t="shared" si="202"/>
        <v>0.13269717452109897</v>
      </c>
      <c r="U1364" s="25">
        <f t="shared" si="217"/>
        <v>0.1491131214218977</v>
      </c>
      <c r="X1364">
        <f t="shared" si="212"/>
        <v>1</v>
      </c>
      <c r="Y1364">
        <f t="shared" si="209"/>
        <v>1</v>
      </c>
      <c r="Z1364">
        <f t="shared" si="206"/>
        <v>1</v>
      </c>
      <c r="AA1364">
        <f t="shared" si="203"/>
        <v>0</v>
      </c>
      <c r="AB1364">
        <f t="shared" si="218"/>
        <v>1</v>
      </c>
    </row>
    <row r="1365" spans="1:28">
      <c r="A1365" s="27">
        <v>44391</v>
      </c>
      <c r="B1365" s="24">
        <v>1157.97</v>
      </c>
      <c r="C1365" s="25">
        <f t="shared" si="214"/>
        <v>2.6235129097615223E-3</v>
      </c>
      <c r="E1365" s="25">
        <f t="shared" si="210"/>
        <v>0.58190461878936084</v>
      </c>
      <c r="F1365" s="25">
        <f t="shared" si="207"/>
        <v>0.23003823314867455</v>
      </c>
      <c r="G1365" s="25">
        <f t="shared" si="204"/>
        <v>0.16325614728445714</v>
      </c>
      <c r="H1365" s="25">
        <f t="shared" si="201"/>
        <v>0.13233286985325332</v>
      </c>
      <c r="I1365" s="25">
        <f t="shared" si="216"/>
        <v>0.16503658058770299</v>
      </c>
      <c r="K1365" s="29">
        <v>44391</v>
      </c>
      <c r="L1365" s="24">
        <v>20849.7</v>
      </c>
      <c r="M1365" s="25">
        <f t="shared" si="215"/>
        <v>2.4149028523193228E-3</v>
      </c>
      <c r="O1365" t="b">
        <f t="shared" si="213"/>
        <v>1</v>
      </c>
      <c r="Q1365" s="25">
        <f t="shared" si="211"/>
        <v>0.52154494861701628</v>
      </c>
      <c r="R1365" s="25">
        <f t="shared" si="208"/>
        <v>0.21083591739467478</v>
      </c>
      <c r="S1365" s="25">
        <f t="shared" si="205"/>
        <v>0.14771665517844257</v>
      </c>
      <c r="T1365" s="25">
        <f t="shared" si="202"/>
        <v>0.13398944126878964</v>
      </c>
      <c r="U1365" s="25">
        <f t="shared" si="217"/>
        <v>0.15021813797205863</v>
      </c>
      <c r="X1365">
        <f t="shared" si="212"/>
        <v>1</v>
      </c>
      <c r="Y1365">
        <f t="shared" si="209"/>
        <v>1</v>
      </c>
      <c r="Z1365">
        <f t="shared" si="206"/>
        <v>1</v>
      </c>
      <c r="AA1365">
        <f t="shared" si="203"/>
        <v>0</v>
      </c>
      <c r="AB1365">
        <f t="shared" si="218"/>
        <v>1</v>
      </c>
    </row>
    <row r="1366" spans="1:28">
      <c r="A1366" s="26">
        <v>44392</v>
      </c>
      <c r="B1366" s="23">
        <v>1162.53</v>
      </c>
      <c r="C1366" s="25">
        <f t="shared" si="214"/>
        <v>3.9379258530013259E-3</v>
      </c>
      <c r="E1366" s="25">
        <f t="shared" si="210"/>
        <v>0.59233234714003924</v>
      </c>
      <c r="F1366" s="25">
        <f t="shared" si="207"/>
        <v>0.22991329878638966</v>
      </c>
      <c r="G1366" s="25">
        <f t="shared" si="204"/>
        <v>0.17224348340540274</v>
      </c>
      <c r="H1366" s="25">
        <f t="shared" si="201"/>
        <v>0.13324895137388926</v>
      </c>
      <c r="I1366" s="25">
        <f t="shared" si="216"/>
        <v>0.16656310111836481</v>
      </c>
      <c r="K1366" s="28">
        <v>44392</v>
      </c>
      <c r="L1366" s="23">
        <v>20944.04</v>
      </c>
      <c r="M1366" s="25">
        <f t="shared" si="215"/>
        <v>4.5043840634376242E-3</v>
      </c>
      <c r="O1366" t="b">
        <f t="shared" si="213"/>
        <v>1</v>
      </c>
      <c r="Q1366" s="25">
        <f t="shared" si="211"/>
        <v>0.53246456767811301</v>
      </c>
      <c r="R1366" s="25">
        <f t="shared" si="208"/>
        <v>0.21267502579406639</v>
      </c>
      <c r="S1366" s="25">
        <f t="shared" si="205"/>
        <v>0.15427313385129482</v>
      </c>
      <c r="T1366" s="25">
        <f t="shared" si="202"/>
        <v>0.1343359881997106</v>
      </c>
      <c r="U1366" s="25">
        <f t="shared" si="217"/>
        <v>0.15226674862079359</v>
      </c>
      <c r="X1366">
        <f t="shared" si="212"/>
        <v>1</v>
      </c>
      <c r="Y1366">
        <f t="shared" si="209"/>
        <v>1</v>
      </c>
      <c r="Z1366">
        <f t="shared" si="206"/>
        <v>1</v>
      </c>
      <c r="AA1366">
        <f t="shared" si="203"/>
        <v>0</v>
      </c>
      <c r="AB1366">
        <f t="shared" si="218"/>
        <v>1</v>
      </c>
    </row>
    <row r="1367" spans="1:28">
      <c r="A1367" s="27">
        <v>44393</v>
      </c>
      <c r="B1367" s="24">
        <v>1163.32</v>
      </c>
      <c r="C1367" s="25">
        <f t="shared" si="214"/>
        <v>6.7955235563810278E-4</v>
      </c>
      <c r="E1367" s="25">
        <f t="shared" si="210"/>
        <v>0.5816293234718295</v>
      </c>
      <c r="F1367" s="25">
        <f t="shared" si="207"/>
        <v>0.23663073060680118</v>
      </c>
      <c r="G1367" s="25">
        <f t="shared" si="204"/>
        <v>0.16924001806152522</v>
      </c>
      <c r="H1367" s="25">
        <f t="shared" si="201"/>
        <v>0.13363045103765114</v>
      </c>
      <c r="I1367" s="25">
        <f t="shared" si="216"/>
        <v>0.16645726256197202</v>
      </c>
      <c r="K1367" s="29">
        <v>44393</v>
      </c>
      <c r="L1367" s="24">
        <v>20977.88</v>
      </c>
      <c r="M1367" s="25">
        <f t="shared" si="215"/>
        <v>1.6131277326402926E-3</v>
      </c>
      <c r="O1367" t="b">
        <f t="shared" si="213"/>
        <v>1</v>
      </c>
      <c r="Q1367" s="25">
        <f t="shared" si="211"/>
        <v>0.52343369307334076</v>
      </c>
      <c r="R1367" s="25">
        <f t="shared" si="208"/>
        <v>0.21910072051068652</v>
      </c>
      <c r="S1367" s="25">
        <f t="shared" si="205"/>
        <v>0.15138110835137453</v>
      </c>
      <c r="T1367" s="25">
        <f t="shared" si="202"/>
        <v>0.13367400020956421</v>
      </c>
      <c r="U1367" s="25">
        <f t="shared" si="217"/>
        <v>0.15211773740895684</v>
      </c>
      <c r="X1367">
        <f t="shared" si="212"/>
        <v>1</v>
      </c>
      <c r="Y1367">
        <f t="shared" si="209"/>
        <v>1</v>
      </c>
      <c r="Z1367">
        <f t="shared" si="206"/>
        <v>1</v>
      </c>
      <c r="AA1367">
        <f t="shared" si="203"/>
        <v>0</v>
      </c>
      <c r="AB1367">
        <f t="shared" si="218"/>
        <v>1</v>
      </c>
    </row>
    <row r="1368" spans="1:28">
      <c r="A1368" s="26">
        <v>44396</v>
      </c>
      <c r="B1368" s="23">
        <v>1154.32</v>
      </c>
      <c r="C1368" s="25">
        <f t="shared" si="214"/>
        <v>-7.7364783550527803E-3</v>
      </c>
      <c r="E1368" s="25">
        <f t="shared" si="210"/>
        <v>0.57508937586987963</v>
      </c>
      <c r="F1368" s="25">
        <f t="shared" si="207"/>
        <v>0.24289103174943261</v>
      </c>
      <c r="G1368" s="25">
        <f t="shared" si="204"/>
        <v>0.16979088783158036</v>
      </c>
      <c r="H1368" s="25">
        <f t="shared" ref="H1368:H1431" si="219">((B1368/B387)^(1/4))-1</f>
        <v>0.1302299879200628</v>
      </c>
      <c r="I1368" s="25">
        <f t="shared" si="216"/>
        <v>0.16257810127527272</v>
      </c>
      <c r="K1368" s="28">
        <v>44396</v>
      </c>
      <c r="L1368" s="23">
        <v>20791.939999999999</v>
      </c>
      <c r="M1368" s="25">
        <f t="shared" si="215"/>
        <v>-8.94288844619609E-3</v>
      </c>
      <c r="O1368" t="b">
        <f t="shared" si="213"/>
        <v>1</v>
      </c>
      <c r="Q1368" s="25">
        <f t="shared" si="211"/>
        <v>0.51459528603438875</v>
      </c>
      <c r="R1368" s="25">
        <f t="shared" si="208"/>
        <v>0.22321181227041542</v>
      </c>
      <c r="S1368" s="25">
        <f t="shared" si="205"/>
        <v>0.1498146620274281</v>
      </c>
      <c r="T1368" s="25">
        <f t="shared" ref="T1368:T1431" si="220">((L1368/L387)^(1/4))-1</f>
        <v>0.13089534789551549</v>
      </c>
      <c r="U1368" s="25">
        <f t="shared" si="217"/>
        <v>0.14868310735198409</v>
      </c>
      <c r="X1368">
        <f t="shared" si="212"/>
        <v>1</v>
      </c>
      <c r="Y1368">
        <f t="shared" si="209"/>
        <v>1</v>
      </c>
      <c r="Z1368">
        <f t="shared" si="206"/>
        <v>1</v>
      </c>
      <c r="AA1368">
        <f t="shared" ref="AA1368:AA1431" si="221">IF(H1368&gt;T1368,1,0)</f>
        <v>0</v>
      </c>
      <c r="AB1368">
        <f t="shared" si="218"/>
        <v>1</v>
      </c>
    </row>
    <row r="1369" spans="1:28">
      <c r="A1369" s="27">
        <v>44397</v>
      </c>
      <c r="B1369" s="24">
        <v>1139.1099999999999</v>
      </c>
      <c r="C1369" s="25">
        <f t="shared" si="214"/>
        <v>-1.317658881419367E-2</v>
      </c>
      <c r="E1369" s="25">
        <f t="shared" si="210"/>
        <v>0.56993026268640246</v>
      </c>
      <c r="F1369" s="25">
        <f t="shared" si="207"/>
        <v>0.23582530934332091</v>
      </c>
      <c r="G1369" s="25">
        <f t="shared" si="204"/>
        <v>0.1656170549332685</v>
      </c>
      <c r="H1369" s="25">
        <f t="shared" si="219"/>
        <v>0.12473942928227033</v>
      </c>
      <c r="I1369" s="25">
        <f t="shared" si="216"/>
        <v>0.16006207838171127</v>
      </c>
      <c r="K1369" s="29">
        <v>44397</v>
      </c>
      <c r="L1369" s="24">
        <v>20602.8</v>
      </c>
      <c r="M1369" s="25">
        <f t="shared" si="215"/>
        <v>-9.1803055895314928E-3</v>
      </c>
      <c r="O1369" t="b">
        <f t="shared" si="213"/>
        <v>1</v>
      </c>
      <c r="Q1369" s="25">
        <f t="shared" si="211"/>
        <v>0.51096215407519319</v>
      </c>
      <c r="R1369" s="25">
        <f t="shared" si="208"/>
        <v>0.22128867921790629</v>
      </c>
      <c r="S1369" s="25">
        <f t="shared" si="205"/>
        <v>0.14742227389096318</v>
      </c>
      <c r="T1369" s="25">
        <f t="shared" si="220"/>
        <v>0.12707186455810526</v>
      </c>
      <c r="U1369" s="25">
        <f t="shared" si="217"/>
        <v>0.14764859463645785</v>
      </c>
      <c r="X1369">
        <f t="shared" si="212"/>
        <v>1</v>
      </c>
      <c r="Y1369">
        <f t="shared" si="209"/>
        <v>1</v>
      </c>
      <c r="Z1369">
        <f t="shared" si="206"/>
        <v>1</v>
      </c>
      <c r="AA1369">
        <f t="shared" si="221"/>
        <v>0</v>
      </c>
      <c r="AB1369">
        <f t="shared" si="218"/>
        <v>1</v>
      </c>
    </row>
    <row r="1370" spans="1:28">
      <c r="A1370" s="26">
        <v>44399</v>
      </c>
      <c r="B1370" s="23">
        <v>1156.82</v>
      </c>
      <c r="C1370" s="25">
        <f t="shared" si="214"/>
        <v>1.5547225465495026E-2</v>
      </c>
      <c r="E1370" s="25">
        <f t="shared" si="210"/>
        <v>0.57493328976746705</v>
      </c>
      <c r="F1370" s="25">
        <f t="shared" si="207"/>
        <v>0.24753790269377784</v>
      </c>
      <c r="G1370" s="25">
        <f t="shared" si="204"/>
        <v>0.16881146868119967</v>
      </c>
      <c r="H1370" s="25">
        <f t="shared" si="219"/>
        <v>0.1291215079904986</v>
      </c>
      <c r="I1370" s="25">
        <f t="shared" si="216"/>
        <v>0.16138532205443523</v>
      </c>
      <c r="K1370" s="28">
        <v>44399</v>
      </c>
      <c r="L1370" s="23">
        <v>20871.080000000002</v>
      </c>
      <c r="M1370" s="25">
        <f t="shared" si="215"/>
        <v>1.2854150336254878E-2</v>
      </c>
      <c r="O1370" t="b">
        <f t="shared" si="213"/>
        <v>1</v>
      </c>
      <c r="Q1370" s="25">
        <f t="shared" si="211"/>
        <v>0.51106123571914686</v>
      </c>
      <c r="R1370" s="25">
        <f t="shared" si="208"/>
        <v>0.23010044146683661</v>
      </c>
      <c r="S1370" s="25">
        <f t="shared" si="205"/>
        <v>0.15030474508715397</v>
      </c>
      <c r="T1370" s="25">
        <f t="shared" si="220"/>
        <v>0.13105082053015105</v>
      </c>
      <c r="U1370" s="25">
        <f t="shared" si="217"/>
        <v>0.14931798133270191</v>
      </c>
      <c r="X1370">
        <f t="shared" si="212"/>
        <v>1</v>
      </c>
      <c r="Y1370">
        <f t="shared" si="209"/>
        <v>1</v>
      </c>
      <c r="Z1370">
        <f t="shared" si="206"/>
        <v>1</v>
      </c>
      <c r="AA1370">
        <f t="shared" si="221"/>
        <v>0</v>
      </c>
      <c r="AB1370">
        <f t="shared" si="218"/>
        <v>1</v>
      </c>
    </row>
    <row r="1371" spans="1:28">
      <c r="A1371" s="27">
        <v>44400</v>
      </c>
      <c r="B1371" s="24">
        <v>1162.5899999999999</v>
      </c>
      <c r="C1371" s="25">
        <f t="shared" si="214"/>
        <v>4.9878114140488429E-3</v>
      </c>
      <c r="E1371" s="25">
        <f t="shared" si="210"/>
        <v>0.58199186272775516</v>
      </c>
      <c r="F1371" s="25">
        <f t="shared" si="207"/>
        <v>0.25667010628801279</v>
      </c>
      <c r="G1371" s="25">
        <f t="shared" si="204"/>
        <v>0.1660281727742281</v>
      </c>
      <c r="H1371" s="25">
        <f t="shared" si="219"/>
        <v>0.13064203651358675</v>
      </c>
      <c r="I1371" s="25">
        <f t="shared" si="216"/>
        <v>0.16003949913848547</v>
      </c>
      <c r="K1371" s="29">
        <v>44400</v>
      </c>
      <c r="L1371" s="24">
        <v>20900.63</v>
      </c>
      <c r="M1371" s="25">
        <f t="shared" si="215"/>
        <v>1.4138329801541519E-3</v>
      </c>
      <c r="O1371" t="b">
        <f t="shared" si="213"/>
        <v>1</v>
      </c>
      <c r="Q1371" s="25">
        <f t="shared" si="211"/>
        <v>0.52076140554864736</v>
      </c>
      <c r="R1371" s="25">
        <f t="shared" si="208"/>
        <v>0.2356385449429963</v>
      </c>
      <c r="S1371" s="25">
        <f t="shared" si="205"/>
        <v>0.14762832415218208</v>
      </c>
      <c r="T1371" s="25">
        <f t="shared" si="220"/>
        <v>0.13109967504536635</v>
      </c>
      <c r="U1371" s="25">
        <f t="shared" si="217"/>
        <v>0.14714720256263303</v>
      </c>
      <c r="X1371">
        <f t="shared" si="212"/>
        <v>1</v>
      </c>
      <c r="Y1371">
        <f t="shared" si="209"/>
        <v>1</v>
      </c>
      <c r="Z1371">
        <f t="shared" si="206"/>
        <v>1</v>
      </c>
      <c r="AA1371">
        <f t="shared" si="221"/>
        <v>0</v>
      </c>
      <c r="AB1371">
        <f t="shared" si="218"/>
        <v>1</v>
      </c>
    </row>
    <row r="1372" spans="1:28">
      <c r="A1372" s="26">
        <v>44403</v>
      </c>
      <c r="B1372" s="23">
        <v>1162.99</v>
      </c>
      <c r="C1372" s="25">
        <f t="shared" si="214"/>
        <v>3.4405938464986883E-4</v>
      </c>
      <c r="E1372" s="25">
        <f t="shared" si="210"/>
        <v>0.58622712021604539</v>
      </c>
      <c r="F1372" s="25">
        <f t="shared" si="207"/>
        <v>0.25554817507152983</v>
      </c>
      <c r="G1372" s="25">
        <f t="shared" si="204"/>
        <v>0.16222889602967339</v>
      </c>
      <c r="H1372" s="25">
        <f t="shared" si="219"/>
        <v>0.12966105129178906</v>
      </c>
      <c r="I1372" s="25">
        <f t="shared" si="216"/>
        <v>0.16067351203265723</v>
      </c>
      <c r="K1372" s="28">
        <v>44403</v>
      </c>
      <c r="L1372" s="23">
        <v>20882.53</v>
      </c>
      <c r="M1372" s="25">
        <f t="shared" si="215"/>
        <v>-8.6675321428975245E-4</v>
      </c>
      <c r="O1372" t="b">
        <f t="shared" si="213"/>
        <v>1</v>
      </c>
      <c r="Q1372" s="25">
        <f t="shared" si="211"/>
        <v>0.52999915010345289</v>
      </c>
      <c r="R1372" s="25">
        <f t="shared" si="208"/>
        <v>0.23506234563623707</v>
      </c>
      <c r="S1372" s="25">
        <f t="shared" si="205"/>
        <v>0.14377722305535268</v>
      </c>
      <c r="T1372" s="25">
        <f t="shared" si="220"/>
        <v>0.12935259701031243</v>
      </c>
      <c r="U1372" s="25">
        <f t="shared" si="217"/>
        <v>0.14806034090671005</v>
      </c>
      <c r="X1372">
        <f t="shared" si="212"/>
        <v>1</v>
      </c>
      <c r="Y1372">
        <f t="shared" si="209"/>
        <v>1</v>
      </c>
      <c r="Z1372">
        <f t="shared" si="206"/>
        <v>1</v>
      </c>
      <c r="AA1372">
        <f t="shared" si="221"/>
        <v>1</v>
      </c>
      <c r="AB1372">
        <f t="shared" si="218"/>
        <v>1</v>
      </c>
    </row>
    <row r="1373" spans="1:28">
      <c r="A1373" s="27">
        <v>44404</v>
      </c>
      <c r="B1373" s="24">
        <v>1152.8800000000001</v>
      </c>
      <c r="C1373" s="25">
        <f t="shared" si="214"/>
        <v>-8.6931100009457526E-3</v>
      </c>
      <c r="E1373" s="25">
        <f t="shared" si="210"/>
        <v>0.57265237081901033</v>
      </c>
      <c r="F1373" s="25">
        <f t="shared" si="207"/>
        <v>0.24619146079520537</v>
      </c>
      <c r="G1373" s="25">
        <f t="shared" si="204"/>
        <v>0.15939932657402944</v>
      </c>
      <c r="H1373" s="25">
        <f t="shared" si="219"/>
        <v>0.1263983227627512</v>
      </c>
      <c r="I1373" s="25">
        <f t="shared" si="216"/>
        <v>0.15824597767508086</v>
      </c>
      <c r="K1373" s="29">
        <v>44404</v>
      </c>
      <c r="L1373" s="24">
        <v>20785.77</v>
      </c>
      <c r="M1373" s="25">
        <f t="shared" si="215"/>
        <v>-4.6551077973054833E-3</v>
      </c>
      <c r="O1373" t="b">
        <f t="shared" si="213"/>
        <v>1</v>
      </c>
      <c r="Q1373" s="25">
        <f t="shared" si="211"/>
        <v>0.5222328574807813</v>
      </c>
      <c r="R1373" s="25">
        <f t="shared" si="208"/>
        <v>0.22994469412627527</v>
      </c>
      <c r="S1373" s="25">
        <f t="shared" si="205"/>
        <v>0.14201745597450488</v>
      </c>
      <c r="T1373" s="25">
        <f t="shared" si="220"/>
        <v>0.12742277331983476</v>
      </c>
      <c r="U1373" s="25">
        <f t="shared" si="217"/>
        <v>0.14611287488781111</v>
      </c>
      <c r="X1373">
        <f t="shared" si="212"/>
        <v>1</v>
      </c>
      <c r="Y1373">
        <f t="shared" si="209"/>
        <v>1</v>
      </c>
      <c r="Z1373">
        <f t="shared" si="206"/>
        <v>1</v>
      </c>
      <c r="AA1373">
        <f t="shared" si="221"/>
        <v>0</v>
      </c>
      <c r="AB1373">
        <f t="shared" si="218"/>
        <v>1</v>
      </c>
    </row>
    <row r="1374" spans="1:28">
      <c r="A1374" s="26">
        <v>44405</v>
      </c>
      <c r="B1374" s="23">
        <v>1153.92</v>
      </c>
      <c r="C1374" s="25">
        <f t="shared" si="214"/>
        <v>9.0208868225657795E-4</v>
      </c>
      <c r="E1374" s="25">
        <f t="shared" si="210"/>
        <v>0.58970614572857416</v>
      </c>
      <c r="F1374" s="25">
        <f t="shared" si="207"/>
        <v>0.25193302311446875</v>
      </c>
      <c r="G1374" s="25">
        <f t="shared" si="204"/>
        <v>0.1581427387571166</v>
      </c>
      <c r="H1374" s="25">
        <f t="shared" si="219"/>
        <v>0.12714835668907454</v>
      </c>
      <c r="I1374" s="25">
        <f t="shared" si="216"/>
        <v>0.15642130389264808</v>
      </c>
      <c r="K1374" s="28">
        <v>44405</v>
      </c>
      <c r="L1374" s="23">
        <v>20742.919999999998</v>
      </c>
      <c r="M1374" s="25">
        <f t="shared" si="215"/>
        <v>-2.0657650899681525E-3</v>
      </c>
      <c r="O1374" t="b">
        <f t="shared" si="213"/>
        <v>1</v>
      </c>
      <c r="Q1374" s="25">
        <f t="shared" si="211"/>
        <v>0.5366207251621411</v>
      </c>
      <c r="R1374" s="25">
        <f t="shared" si="208"/>
        <v>0.23425731397627825</v>
      </c>
      <c r="S1374" s="25">
        <f t="shared" si="205"/>
        <v>0.13961567359351457</v>
      </c>
      <c r="T1374" s="25">
        <f t="shared" si="220"/>
        <v>0.12763094839033395</v>
      </c>
      <c r="U1374" s="25">
        <f t="shared" si="217"/>
        <v>0.14427624392403438</v>
      </c>
      <c r="X1374">
        <f t="shared" si="212"/>
        <v>1</v>
      </c>
      <c r="Y1374">
        <f t="shared" si="209"/>
        <v>1</v>
      </c>
      <c r="Z1374">
        <f t="shared" si="206"/>
        <v>1</v>
      </c>
      <c r="AA1374">
        <f t="shared" si="221"/>
        <v>0</v>
      </c>
      <c r="AB1374">
        <f t="shared" si="218"/>
        <v>1</v>
      </c>
    </row>
    <row r="1375" spans="1:28">
      <c r="A1375" s="27">
        <v>44406</v>
      </c>
      <c r="B1375" s="24">
        <v>1165.31</v>
      </c>
      <c r="C1375" s="25">
        <f t="shared" si="214"/>
        <v>9.8707016084302827E-3</v>
      </c>
      <c r="E1375" s="25">
        <f t="shared" si="210"/>
        <v>0.58098171161882006</v>
      </c>
      <c r="F1375" s="25">
        <f t="shared" si="207"/>
        <v>0.26713016694000769</v>
      </c>
      <c r="G1375" s="25">
        <f t="shared" si="204"/>
        <v>0.15712161027053861</v>
      </c>
      <c r="H1375" s="25">
        <f t="shared" si="219"/>
        <v>0.13182017798944123</v>
      </c>
      <c r="I1375" s="25">
        <f t="shared" si="216"/>
        <v>0.1582928208859129</v>
      </c>
      <c r="K1375" s="29">
        <v>44406</v>
      </c>
      <c r="L1375" s="24">
        <v>20845.169999999998</v>
      </c>
      <c r="M1375" s="25">
        <f t="shared" si="215"/>
        <v>4.9052130541511535E-3</v>
      </c>
      <c r="O1375" t="b">
        <f t="shared" si="213"/>
        <v>1</v>
      </c>
      <c r="Q1375" s="25">
        <f t="shared" si="211"/>
        <v>0.51986674570346758</v>
      </c>
      <c r="R1375" s="25">
        <f t="shared" si="208"/>
        <v>0.24446247037413271</v>
      </c>
      <c r="S1375" s="25">
        <f t="shared" si="205"/>
        <v>0.13783614774240771</v>
      </c>
      <c r="T1375" s="25">
        <f t="shared" si="220"/>
        <v>0.13086415198039836</v>
      </c>
      <c r="U1375" s="25">
        <f t="shared" si="217"/>
        <v>0.14565992251066606</v>
      </c>
      <c r="X1375">
        <f t="shared" si="212"/>
        <v>1</v>
      </c>
      <c r="Y1375">
        <f t="shared" si="209"/>
        <v>1</v>
      </c>
      <c r="Z1375">
        <f t="shared" si="206"/>
        <v>1</v>
      </c>
      <c r="AA1375">
        <f t="shared" si="221"/>
        <v>1</v>
      </c>
      <c r="AB1375">
        <f t="shared" si="218"/>
        <v>1</v>
      </c>
    </row>
    <row r="1376" spans="1:28">
      <c r="A1376" s="26">
        <v>44407</v>
      </c>
      <c r="B1376" s="23">
        <v>1166.6600000000001</v>
      </c>
      <c r="C1376" s="25">
        <f t="shared" si="214"/>
        <v>1.1584900155324647E-3</v>
      </c>
      <c r="E1376" s="25">
        <f t="shared" si="210"/>
        <v>0.57161909123974519</v>
      </c>
      <c r="F1376" s="25">
        <f t="shared" si="207"/>
        <v>0.26278486897991549</v>
      </c>
      <c r="G1376" s="25">
        <f t="shared" si="204"/>
        <v>0.15662588459702564</v>
      </c>
      <c r="H1376" s="25">
        <f t="shared" si="219"/>
        <v>0.13001754083005568</v>
      </c>
      <c r="I1376" s="25">
        <f t="shared" si="216"/>
        <v>0.15720192751020345</v>
      </c>
      <c r="K1376" s="28">
        <v>44407</v>
      </c>
      <c r="L1376" s="23">
        <v>20876.599999999999</v>
      </c>
      <c r="M1376" s="25">
        <f t="shared" si="215"/>
        <v>1.5055133498749938E-3</v>
      </c>
      <c r="O1376" t="b">
        <f t="shared" si="213"/>
        <v>1</v>
      </c>
      <c r="Q1376" s="25">
        <f t="shared" si="211"/>
        <v>0.51956135172729034</v>
      </c>
      <c r="R1376" s="25">
        <f t="shared" si="208"/>
        <v>0.24253266111486349</v>
      </c>
      <c r="S1376" s="25">
        <f t="shared" si="205"/>
        <v>0.13682564407680964</v>
      </c>
      <c r="T1376" s="25">
        <f t="shared" si="220"/>
        <v>0.12976337812207106</v>
      </c>
      <c r="U1376" s="25">
        <f t="shared" si="217"/>
        <v>0.14584423843779004</v>
      </c>
      <c r="X1376">
        <f t="shared" si="212"/>
        <v>1</v>
      </c>
      <c r="Y1376">
        <f t="shared" si="209"/>
        <v>1</v>
      </c>
      <c r="Z1376">
        <f t="shared" si="206"/>
        <v>1</v>
      </c>
      <c r="AA1376">
        <f t="shared" si="221"/>
        <v>1</v>
      </c>
      <c r="AB1376">
        <f t="shared" si="218"/>
        <v>1</v>
      </c>
    </row>
    <row r="1377" spans="1:28">
      <c r="A1377" s="27">
        <v>44410</v>
      </c>
      <c r="B1377" s="24">
        <v>1173.28</v>
      </c>
      <c r="C1377" s="25">
        <f t="shared" si="214"/>
        <v>5.6743181389607E-3</v>
      </c>
      <c r="E1377" s="25">
        <f t="shared" si="210"/>
        <v>0.56656652647039185</v>
      </c>
      <c r="F1377" s="25">
        <f t="shared" si="207"/>
        <v>0.27534538736514147</v>
      </c>
      <c r="G1377" s="25">
        <f t="shared" si="204"/>
        <v>0.1565284712763555</v>
      </c>
      <c r="H1377" s="25">
        <f t="shared" si="219"/>
        <v>0.13048520107504236</v>
      </c>
      <c r="I1377" s="25">
        <f t="shared" si="216"/>
        <v>0.15871014604702927</v>
      </c>
      <c r="K1377" s="29">
        <v>44410</v>
      </c>
      <c r="L1377" s="24">
        <v>21060.19</v>
      </c>
      <c r="M1377" s="25">
        <f t="shared" si="215"/>
        <v>8.7173952371749804E-3</v>
      </c>
      <c r="O1377" t="b">
        <f t="shared" si="213"/>
        <v>1</v>
      </c>
      <c r="Q1377" s="25">
        <f t="shared" si="211"/>
        <v>0.51919937616725176</v>
      </c>
      <c r="R1377" s="25">
        <f t="shared" si="208"/>
        <v>0.25543464329865073</v>
      </c>
      <c r="S1377" s="25">
        <f t="shared" si="205"/>
        <v>0.1388796740897591</v>
      </c>
      <c r="T1377" s="25">
        <f t="shared" si="220"/>
        <v>0.13126195326012668</v>
      </c>
      <c r="U1377" s="25">
        <f t="shared" si="217"/>
        <v>0.14858635523238539</v>
      </c>
      <c r="X1377">
        <f t="shared" si="212"/>
        <v>1</v>
      </c>
      <c r="Y1377">
        <f t="shared" si="209"/>
        <v>1</v>
      </c>
      <c r="Z1377">
        <f t="shared" si="206"/>
        <v>1</v>
      </c>
      <c r="AA1377">
        <f t="shared" si="221"/>
        <v>0</v>
      </c>
      <c r="AB1377">
        <f t="shared" si="218"/>
        <v>1</v>
      </c>
    </row>
    <row r="1378" spans="1:28">
      <c r="A1378" s="26">
        <v>44411</v>
      </c>
      <c r="B1378" s="23">
        <v>1183.02</v>
      </c>
      <c r="C1378" s="25">
        <f t="shared" si="214"/>
        <v>8.3015137051684253E-3</v>
      </c>
      <c r="E1378" s="25">
        <f t="shared" si="210"/>
        <v>0.57425347314632447</v>
      </c>
      <c r="F1378" s="25">
        <f t="shared" si="207"/>
        <v>0.2817124166772409</v>
      </c>
      <c r="G1378" s="25">
        <f t="shared" si="204"/>
        <v>0.1602403105077399</v>
      </c>
      <c r="H1378" s="25">
        <f t="shared" si="219"/>
        <v>0.13454955227434628</v>
      </c>
      <c r="I1378" s="25">
        <f t="shared" si="216"/>
        <v>0.16245859164212506</v>
      </c>
      <c r="K1378" s="28">
        <v>44411</v>
      </c>
      <c r="L1378" s="23">
        <v>21297.96</v>
      </c>
      <c r="M1378" s="25">
        <f t="shared" si="215"/>
        <v>1.1163980024377943E-2</v>
      </c>
      <c r="O1378" t="b">
        <f t="shared" si="213"/>
        <v>1</v>
      </c>
      <c r="Q1378" s="25">
        <f t="shared" si="211"/>
        <v>0.53141315516426868</v>
      </c>
      <c r="R1378" s="25">
        <f t="shared" si="208"/>
        <v>0.26169416012574254</v>
      </c>
      <c r="S1378" s="25">
        <f t="shared" si="205"/>
        <v>0.14309966144727393</v>
      </c>
      <c r="T1378" s="25">
        <f t="shared" si="220"/>
        <v>0.13701043621710962</v>
      </c>
      <c r="U1378" s="25">
        <f t="shared" si="217"/>
        <v>0.15363689557847393</v>
      </c>
      <c r="X1378">
        <f t="shared" si="212"/>
        <v>1</v>
      </c>
      <c r="Y1378">
        <f t="shared" si="209"/>
        <v>1</v>
      </c>
      <c r="Z1378">
        <f t="shared" si="206"/>
        <v>1</v>
      </c>
      <c r="AA1378">
        <f t="shared" si="221"/>
        <v>0</v>
      </c>
      <c r="AB1378">
        <f t="shared" si="218"/>
        <v>1</v>
      </c>
    </row>
    <row r="1379" spans="1:28">
      <c r="A1379" s="27">
        <v>44412</v>
      </c>
      <c r="B1379" s="24">
        <v>1183.9100000000001</v>
      </c>
      <c r="C1379" s="25">
        <f t="shared" si="214"/>
        <v>7.5231187976543094E-4</v>
      </c>
      <c r="E1379" s="25">
        <f t="shared" si="210"/>
        <v>0.55818636483285089</v>
      </c>
      <c r="F1379" s="25">
        <f t="shared" si="207"/>
        <v>0.28955745778347497</v>
      </c>
      <c r="G1379" s="25">
        <f t="shared" si="204"/>
        <v>0.16218040331426176</v>
      </c>
      <c r="H1379" s="25">
        <f t="shared" si="219"/>
        <v>0.13757741646501254</v>
      </c>
      <c r="I1379" s="25">
        <f t="shared" si="216"/>
        <v>0.16170526532210117</v>
      </c>
      <c r="K1379" s="29">
        <v>44412</v>
      </c>
      <c r="L1379" s="24">
        <v>21344.42</v>
      </c>
      <c r="M1379" s="25">
        <f t="shared" si="215"/>
        <v>2.176681305933782E-3</v>
      </c>
      <c r="O1379" t="b">
        <f t="shared" si="213"/>
        <v>1</v>
      </c>
      <c r="Q1379" s="25">
        <f t="shared" si="211"/>
        <v>0.52317290997799915</v>
      </c>
      <c r="R1379" s="25">
        <f t="shared" si="208"/>
        <v>0.27103805609732001</v>
      </c>
      <c r="S1379" s="25">
        <f t="shared" si="205"/>
        <v>0.14635205949058738</v>
      </c>
      <c r="T1379" s="25">
        <f t="shared" si="220"/>
        <v>0.14056991987976142</v>
      </c>
      <c r="U1379" s="25">
        <f t="shared" si="217"/>
        <v>0.153636167082708</v>
      </c>
      <c r="X1379">
        <f t="shared" si="212"/>
        <v>1</v>
      </c>
      <c r="Y1379">
        <f t="shared" si="209"/>
        <v>1</v>
      </c>
      <c r="Z1379">
        <f t="shared" si="206"/>
        <v>1</v>
      </c>
      <c r="AA1379">
        <f t="shared" si="221"/>
        <v>0</v>
      </c>
      <c r="AB1379">
        <f t="shared" si="218"/>
        <v>1</v>
      </c>
    </row>
    <row r="1380" spans="1:28">
      <c r="A1380" s="26">
        <v>44413</v>
      </c>
      <c r="B1380" s="23">
        <v>1185.31</v>
      </c>
      <c r="C1380" s="25">
        <f t="shared" si="214"/>
        <v>1.1825223201086766E-3</v>
      </c>
      <c r="E1380" s="25">
        <f t="shared" si="210"/>
        <v>0.56385729741140445</v>
      </c>
      <c r="F1380" s="25">
        <f t="shared" si="207"/>
        <v>0.28080207207190289</v>
      </c>
      <c r="G1380" s="25">
        <f t="shared" ref="G1380:G1443" si="222">((B1380/B643)^(1/3))-1</f>
        <v>0.15905848599048311</v>
      </c>
      <c r="H1380" s="25">
        <f t="shared" si="219"/>
        <v>0.14209231639578856</v>
      </c>
      <c r="I1380" s="25">
        <f t="shared" si="216"/>
        <v>0.15840394894516852</v>
      </c>
      <c r="K1380" s="28">
        <v>44413</v>
      </c>
      <c r="L1380" s="23">
        <v>21365.73</v>
      </c>
      <c r="M1380" s="25">
        <f t="shared" si="215"/>
        <v>9.9739161732369133E-4</v>
      </c>
      <c r="O1380" t="b">
        <f t="shared" si="213"/>
        <v>1</v>
      </c>
      <c r="Q1380" s="25">
        <f t="shared" si="211"/>
        <v>0.52101080226040186</v>
      </c>
      <c r="R1380" s="25">
        <f t="shared" si="208"/>
        <v>0.26547321397002777</v>
      </c>
      <c r="S1380" s="25">
        <f t="shared" ref="S1380:S1443" si="223">((L1380/L643)^(1/3))-1</f>
        <v>0.14289120967138613</v>
      </c>
      <c r="T1380" s="25">
        <f t="shared" si="220"/>
        <v>0.14548168819276519</v>
      </c>
      <c r="U1380" s="25">
        <f t="shared" si="217"/>
        <v>0.15020350507121849</v>
      </c>
      <c r="X1380">
        <f t="shared" si="212"/>
        <v>1</v>
      </c>
      <c r="Y1380">
        <f t="shared" si="209"/>
        <v>1</v>
      </c>
      <c r="Z1380">
        <f t="shared" ref="Z1380:Z1443" si="224">IF(G1380&gt;S1380,1,0)</f>
        <v>1</v>
      </c>
      <c r="AA1380">
        <f t="shared" si="221"/>
        <v>0</v>
      </c>
      <c r="AB1380">
        <f t="shared" si="218"/>
        <v>1</v>
      </c>
    </row>
    <row r="1381" spans="1:28">
      <c r="A1381" s="27">
        <v>44414</v>
      </c>
      <c r="B1381" s="24">
        <v>1183.21</v>
      </c>
      <c r="C1381" s="25">
        <f t="shared" si="214"/>
        <v>-1.7716884190632908E-3</v>
      </c>
      <c r="E1381" s="25">
        <f t="shared" si="210"/>
        <v>0.55855737186664389</v>
      </c>
      <c r="F1381" s="25">
        <f t="shared" si="207"/>
        <v>0.28363478162081712</v>
      </c>
      <c r="G1381" s="25">
        <f t="shared" si="222"/>
        <v>0.15748727662216755</v>
      </c>
      <c r="H1381" s="25">
        <f t="shared" si="219"/>
        <v>0.14372220279003511</v>
      </c>
      <c r="I1381" s="25">
        <f t="shared" si="216"/>
        <v>0.1574518809367409</v>
      </c>
      <c r="K1381" s="29">
        <v>44414</v>
      </c>
      <c r="L1381" s="24">
        <v>21324.85</v>
      </c>
      <c r="M1381" s="25">
        <f t="shared" si="215"/>
        <v>-1.9170123119272126E-3</v>
      </c>
      <c r="O1381" t="b">
        <f t="shared" si="213"/>
        <v>1</v>
      </c>
      <c r="Q1381" s="25">
        <f t="shared" si="211"/>
        <v>0.51911281762681893</v>
      </c>
      <c r="R1381" s="25">
        <f t="shared" si="208"/>
        <v>0.26880834699458878</v>
      </c>
      <c r="S1381" s="25">
        <f t="shared" si="223"/>
        <v>0.14120896587287635</v>
      </c>
      <c r="T1381" s="25">
        <f t="shared" si="220"/>
        <v>0.14721452177880834</v>
      </c>
      <c r="U1381" s="25">
        <f t="shared" si="217"/>
        <v>0.1486904906268165</v>
      </c>
      <c r="X1381">
        <f t="shared" si="212"/>
        <v>1</v>
      </c>
      <c r="Y1381">
        <f t="shared" si="209"/>
        <v>1</v>
      </c>
      <c r="Z1381">
        <f t="shared" si="224"/>
        <v>1</v>
      </c>
      <c r="AA1381">
        <f t="shared" si="221"/>
        <v>0</v>
      </c>
      <c r="AB1381">
        <f t="shared" si="218"/>
        <v>1</v>
      </c>
    </row>
    <row r="1382" spans="1:28">
      <c r="A1382" s="26">
        <v>44417</v>
      </c>
      <c r="B1382" s="23">
        <v>1180.48</v>
      </c>
      <c r="C1382" s="25">
        <f t="shared" si="214"/>
        <v>-2.3072827308761911E-3</v>
      </c>
      <c r="E1382" s="25">
        <f t="shared" si="210"/>
        <v>0.54896274815971458</v>
      </c>
      <c r="F1382" s="25">
        <f t="shared" si="207"/>
        <v>0.27436832889988727</v>
      </c>
      <c r="G1382" s="25">
        <f t="shared" si="222"/>
        <v>0.15635393300593425</v>
      </c>
      <c r="H1382" s="25">
        <f t="shared" si="219"/>
        <v>0.13842696850983871</v>
      </c>
      <c r="I1382" s="25">
        <f t="shared" si="216"/>
        <v>0.1578334916250137</v>
      </c>
      <c r="K1382" s="28">
        <v>44417</v>
      </c>
      <c r="L1382" s="23">
        <v>21296.21</v>
      </c>
      <c r="M1382" s="25">
        <f t="shared" si="215"/>
        <v>-1.3448402321351743E-3</v>
      </c>
      <c r="O1382" t="b">
        <f t="shared" si="213"/>
        <v>1</v>
      </c>
      <c r="Q1382" s="25">
        <f t="shared" si="211"/>
        <v>0.5128189827927061</v>
      </c>
      <c r="R1382" s="25">
        <f t="shared" si="208"/>
        <v>0.25896383195610739</v>
      </c>
      <c r="S1382" s="25">
        <f t="shared" si="223"/>
        <v>0.14087545343605434</v>
      </c>
      <c r="T1382" s="25">
        <f t="shared" si="220"/>
        <v>0.14296925744718059</v>
      </c>
      <c r="U1382" s="25">
        <f t="shared" si="217"/>
        <v>0.14929358014941396</v>
      </c>
      <c r="X1382">
        <f t="shared" si="212"/>
        <v>1</v>
      </c>
      <c r="Y1382">
        <f t="shared" si="209"/>
        <v>1</v>
      </c>
      <c r="Z1382">
        <f t="shared" si="224"/>
        <v>1</v>
      </c>
      <c r="AA1382">
        <f t="shared" si="221"/>
        <v>0</v>
      </c>
      <c r="AB1382">
        <f t="shared" si="218"/>
        <v>1</v>
      </c>
    </row>
    <row r="1383" spans="1:28">
      <c r="A1383" s="27">
        <v>44418</v>
      </c>
      <c r="B1383" s="24">
        <v>1177.1199999999999</v>
      </c>
      <c r="C1383" s="25">
        <f t="shared" si="214"/>
        <v>-2.8462998102467872E-3</v>
      </c>
      <c r="E1383" s="25">
        <f t="shared" si="210"/>
        <v>0.56137418755803137</v>
      </c>
      <c r="F1383" s="25">
        <f t="shared" si="207"/>
        <v>0.26885813132204528</v>
      </c>
      <c r="G1383" s="25">
        <f t="shared" si="222"/>
        <v>0.15412814104506478</v>
      </c>
      <c r="H1383" s="25">
        <f t="shared" si="219"/>
        <v>0.13426990108702475</v>
      </c>
      <c r="I1383" s="25">
        <f t="shared" si="216"/>
        <v>0.15861496436615585</v>
      </c>
      <c r="K1383" s="29">
        <v>44418</v>
      </c>
      <c r="L1383" s="24">
        <v>21232.02</v>
      </c>
      <c r="M1383" s="25">
        <f t="shared" si="215"/>
        <v>-3.023263919306721E-3</v>
      </c>
      <c r="O1383" t="b">
        <f t="shared" si="213"/>
        <v>1</v>
      </c>
      <c r="Q1383" s="25">
        <f t="shared" si="211"/>
        <v>0.52354634641989906</v>
      </c>
      <c r="R1383" s="25">
        <f t="shared" si="208"/>
        <v>0.25240290893337458</v>
      </c>
      <c r="S1383" s="25">
        <f t="shared" si="223"/>
        <v>0.13815909350011557</v>
      </c>
      <c r="T1383" s="25">
        <f t="shared" si="220"/>
        <v>0.13897350611557013</v>
      </c>
      <c r="U1383" s="25">
        <f t="shared" si="217"/>
        <v>0.15145501131580241</v>
      </c>
      <c r="X1383">
        <f t="shared" si="212"/>
        <v>1</v>
      </c>
      <c r="Y1383">
        <f t="shared" si="209"/>
        <v>1</v>
      </c>
      <c r="Z1383">
        <f t="shared" si="224"/>
        <v>1</v>
      </c>
      <c r="AA1383">
        <f t="shared" si="221"/>
        <v>0</v>
      </c>
      <c r="AB1383">
        <f t="shared" si="218"/>
        <v>1</v>
      </c>
    </row>
    <row r="1384" spans="1:28">
      <c r="A1384" s="26">
        <v>44419</v>
      </c>
      <c r="B1384" s="23">
        <v>1175.1099999999999</v>
      </c>
      <c r="C1384" s="25">
        <f t="shared" si="214"/>
        <v>-1.7075574282995711E-3</v>
      </c>
      <c r="E1384" s="25">
        <f t="shared" si="210"/>
        <v>0.5553658407454467</v>
      </c>
      <c r="F1384" s="25">
        <f t="shared" si="207"/>
        <v>0.28214716283796903</v>
      </c>
      <c r="G1384" s="25">
        <f t="shared" si="222"/>
        <v>0.15222822294048988</v>
      </c>
      <c r="H1384" s="25">
        <f t="shared" si="219"/>
        <v>0.13336328108711326</v>
      </c>
      <c r="I1384" s="25">
        <f t="shared" si="216"/>
        <v>0.15845334682268941</v>
      </c>
      <c r="K1384" s="28">
        <v>44419</v>
      </c>
      <c r="L1384" s="23">
        <v>21208.2</v>
      </c>
      <c r="M1384" s="25">
        <f t="shared" si="215"/>
        <v>-1.1231504795314881E-3</v>
      </c>
      <c r="O1384" t="b">
        <f t="shared" si="213"/>
        <v>1</v>
      </c>
      <c r="Q1384" s="25">
        <f t="shared" si="211"/>
        <v>0.51302553741578127</v>
      </c>
      <c r="R1384" s="25">
        <f t="shared" si="208"/>
        <v>0.26254893384820788</v>
      </c>
      <c r="S1384" s="25">
        <f t="shared" si="223"/>
        <v>0.13675164391597572</v>
      </c>
      <c r="T1384" s="25">
        <f t="shared" si="220"/>
        <v>0.13840451171917501</v>
      </c>
      <c r="U1384" s="25">
        <f t="shared" si="217"/>
        <v>0.15078892765324858</v>
      </c>
      <c r="X1384">
        <f t="shared" si="212"/>
        <v>1</v>
      </c>
      <c r="Y1384">
        <f t="shared" si="209"/>
        <v>1</v>
      </c>
      <c r="Z1384">
        <f t="shared" si="224"/>
        <v>1</v>
      </c>
      <c r="AA1384">
        <f t="shared" si="221"/>
        <v>0</v>
      </c>
      <c r="AB1384">
        <f t="shared" si="218"/>
        <v>1</v>
      </c>
    </row>
    <row r="1385" spans="1:28">
      <c r="A1385" s="27">
        <v>44420</v>
      </c>
      <c r="B1385" s="24">
        <v>1184.57</v>
      </c>
      <c r="C1385" s="25">
        <f t="shared" si="214"/>
        <v>8.0503101837275121E-3</v>
      </c>
      <c r="E1385" s="25">
        <f t="shared" si="210"/>
        <v>0.54657736346663532</v>
      </c>
      <c r="F1385" s="25">
        <f t="shared" si="207"/>
        <v>0.27991516279495143</v>
      </c>
      <c r="G1385" s="25">
        <f t="shared" si="222"/>
        <v>0.15642194118475761</v>
      </c>
      <c r="H1385" s="25">
        <f t="shared" si="219"/>
        <v>0.13729378860160635</v>
      </c>
      <c r="I1385" s="25">
        <f t="shared" si="216"/>
        <v>0.15897400824875985</v>
      </c>
      <c r="K1385" s="29">
        <v>44420</v>
      </c>
      <c r="L1385" s="24">
        <v>21355.83</v>
      </c>
      <c r="M1385" s="25">
        <f t="shared" si="215"/>
        <v>6.9128664163369442E-3</v>
      </c>
      <c r="O1385" t="b">
        <f t="shared" si="213"/>
        <v>1</v>
      </c>
      <c r="Q1385" s="25">
        <f t="shared" si="211"/>
        <v>0.50500427064922349</v>
      </c>
      <c r="R1385" s="25">
        <f t="shared" si="208"/>
        <v>0.26103181028104783</v>
      </c>
      <c r="S1385" s="25">
        <f t="shared" si="223"/>
        <v>0.14112304965847899</v>
      </c>
      <c r="T1385" s="25">
        <f t="shared" si="220"/>
        <v>0.14198661162110415</v>
      </c>
      <c r="U1385" s="25">
        <f t="shared" si="217"/>
        <v>0.15054735534497632</v>
      </c>
      <c r="X1385">
        <f t="shared" si="212"/>
        <v>1</v>
      </c>
      <c r="Y1385">
        <f t="shared" si="209"/>
        <v>1</v>
      </c>
      <c r="Z1385">
        <f t="shared" si="224"/>
        <v>1</v>
      </c>
      <c r="AA1385">
        <f t="shared" si="221"/>
        <v>0</v>
      </c>
      <c r="AB1385">
        <f t="shared" si="218"/>
        <v>1</v>
      </c>
    </row>
    <row r="1386" spans="1:28">
      <c r="A1386" s="26">
        <v>44421</v>
      </c>
      <c r="B1386" s="23">
        <v>1191.3399999999999</v>
      </c>
      <c r="C1386" s="25">
        <f t="shared" si="214"/>
        <v>5.7151540221345989E-3</v>
      </c>
      <c r="E1386" s="25">
        <f t="shared" si="210"/>
        <v>0.54753646909057818</v>
      </c>
      <c r="F1386" s="25">
        <f t="shared" si="207"/>
        <v>0.28238859928685889</v>
      </c>
      <c r="G1386" s="25">
        <f t="shared" si="222"/>
        <v>0.16138692281889422</v>
      </c>
      <c r="H1386" s="25">
        <f t="shared" si="219"/>
        <v>0.14142218120925087</v>
      </c>
      <c r="I1386" s="25">
        <f t="shared" si="216"/>
        <v>0.1594292328472946</v>
      </c>
      <c r="K1386" s="28">
        <v>44421</v>
      </c>
      <c r="L1386" s="23">
        <v>21498.959999999999</v>
      </c>
      <c r="M1386" s="25">
        <f t="shared" si="215"/>
        <v>6.6575313410507948E-3</v>
      </c>
      <c r="O1386" t="b">
        <f t="shared" si="213"/>
        <v>1</v>
      </c>
      <c r="Q1386" s="25">
        <f t="shared" si="211"/>
        <v>0.51007443973528166</v>
      </c>
      <c r="R1386" s="25">
        <f t="shared" si="208"/>
        <v>0.26397731394214641</v>
      </c>
      <c r="S1386" s="25">
        <f t="shared" si="223"/>
        <v>0.14631446171040774</v>
      </c>
      <c r="T1386" s="25">
        <f t="shared" si="220"/>
        <v>0.14673574107543086</v>
      </c>
      <c r="U1386" s="25">
        <f t="shared" si="217"/>
        <v>0.15234232388297397</v>
      </c>
      <c r="X1386">
        <f t="shared" si="212"/>
        <v>1</v>
      </c>
      <c r="Y1386">
        <f t="shared" si="209"/>
        <v>1</v>
      </c>
      <c r="Z1386">
        <f t="shared" si="224"/>
        <v>1</v>
      </c>
      <c r="AA1386">
        <f t="shared" si="221"/>
        <v>0</v>
      </c>
      <c r="AB1386">
        <f t="shared" si="218"/>
        <v>1</v>
      </c>
    </row>
    <row r="1387" spans="1:28">
      <c r="A1387" s="27">
        <v>44424</v>
      </c>
      <c r="B1387" s="24">
        <v>1190.3499999999999</v>
      </c>
      <c r="C1387" s="25">
        <f t="shared" si="214"/>
        <v>-8.3099702855608738E-4</v>
      </c>
      <c r="E1387" s="25">
        <f t="shared" si="210"/>
        <v>0.55209732309337234</v>
      </c>
      <c r="F1387" s="25">
        <f t="shared" si="207"/>
        <v>0.28066293388300667</v>
      </c>
      <c r="G1387" s="25">
        <f t="shared" si="222"/>
        <v>0.15693195057013098</v>
      </c>
      <c r="H1387" s="25">
        <f t="shared" si="219"/>
        <v>0.14185258993180128</v>
      </c>
      <c r="I1387" s="25">
        <f t="shared" si="216"/>
        <v>0.15861362924834399</v>
      </c>
      <c r="K1387" s="29">
        <v>44424</v>
      </c>
      <c r="L1387" s="24">
        <v>21507.33</v>
      </c>
      <c r="M1387" s="25">
        <f t="shared" si="215"/>
        <v>3.8916964588364147E-4</v>
      </c>
      <c r="O1387" t="b">
        <f t="shared" si="213"/>
        <v>1</v>
      </c>
      <c r="Q1387" s="25">
        <f t="shared" si="211"/>
        <v>0.51769809089253993</v>
      </c>
      <c r="R1387" s="25">
        <f t="shared" si="208"/>
        <v>0.26342225728321256</v>
      </c>
      <c r="S1387" s="25">
        <f t="shared" si="223"/>
        <v>0.14353880519562856</v>
      </c>
      <c r="T1387" s="25">
        <f t="shared" si="220"/>
        <v>0.14718358464607273</v>
      </c>
      <c r="U1387" s="25">
        <f t="shared" si="217"/>
        <v>0.15229179912214863</v>
      </c>
      <c r="X1387">
        <f t="shared" si="212"/>
        <v>1</v>
      </c>
      <c r="Y1387">
        <f t="shared" si="209"/>
        <v>1</v>
      </c>
      <c r="Z1387">
        <f t="shared" si="224"/>
        <v>1</v>
      </c>
      <c r="AA1387">
        <f t="shared" si="221"/>
        <v>0</v>
      </c>
      <c r="AB1387">
        <f t="shared" si="218"/>
        <v>1</v>
      </c>
    </row>
    <row r="1388" spans="1:28">
      <c r="A1388" s="26">
        <v>44425</v>
      </c>
      <c r="B1388" s="23">
        <v>1194.8800000000001</v>
      </c>
      <c r="C1388" s="25">
        <f t="shared" si="214"/>
        <v>3.8056033939599283E-3</v>
      </c>
      <c r="E1388" s="25">
        <f t="shared" si="210"/>
        <v>0.55050347762898388</v>
      </c>
      <c r="F1388" s="25">
        <f t="shared" si="207"/>
        <v>0.28729014316280077</v>
      </c>
      <c r="G1388" s="25">
        <f t="shared" si="222"/>
        <v>0.15901118714345897</v>
      </c>
      <c r="H1388" s="25">
        <f t="shared" si="219"/>
        <v>0.14021557733584711</v>
      </c>
      <c r="I1388" s="25">
        <f t="shared" si="216"/>
        <v>0.15731415529291204</v>
      </c>
      <c r="K1388" s="28">
        <v>44425</v>
      </c>
      <c r="L1388" s="23">
        <v>21573.22</v>
      </c>
      <c r="M1388" s="25">
        <f t="shared" si="215"/>
        <v>3.0542496669481614E-3</v>
      </c>
      <c r="O1388" t="b">
        <f t="shared" si="213"/>
        <v>1</v>
      </c>
      <c r="Q1388" s="25">
        <f t="shared" si="211"/>
        <v>0.51344499024159607</v>
      </c>
      <c r="R1388" s="25">
        <f t="shared" si="208"/>
        <v>0.26816163899232071</v>
      </c>
      <c r="S1388" s="25">
        <f t="shared" si="223"/>
        <v>0.1462973773335392</v>
      </c>
      <c r="T1388" s="25">
        <f t="shared" si="220"/>
        <v>0.14517578264622233</v>
      </c>
      <c r="U1388" s="25">
        <f t="shared" si="217"/>
        <v>0.15146252249784031</v>
      </c>
      <c r="X1388">
        <f t="shared" si="212"/>
        <v>1</v>
      </c>
      <c r="Y1388">
        <f t="shared" si="209"/>
        <v>1</v>
      </c>
      <c r="Z1388">
        <f t="shared" si="224"/>
        <v>1</v>
      </c>
      <c r="AA1388">
        <f t="shared" si="221"/>
        <v>0</v>
      </c>
      <c r="AB1388">
        <f t="shared" si="218"/>
        <v>1</v>
      </c>
    </row>
    <row r="1389" spans="1:28">
      <c r="A1389" s="27">
        <v>44426</v>
      </c>
      <c r="B1389" s="24">
        <v>1195.04</v>
      </c>
      <c r="C1389" s="25">
        <f t="shared" si="214"/>
        <v>1.3390465988204211E-4</v>
      </c>
      <c r="E1389" s="25">
        <f t="shared" si="210"/>
        <v>0.53752331939530396</v>
      </c>
      <c r="F1389" s="25">
        <f t="shared" si="207"/>
        <v>0.29458696225743175</v>
      </c>
      <c r="G1389" s="25">
        <f t="shared" si="222"/>
        <v>0.15405723531780624</v>
      </c>
      <c r="H1389" s="25">
        <f t="shared" si="219"/>
        <v>0.13945270392809817</v>
      </c>
      <c r="I1389" s="25">
        <f t="shared" si="216"/>
        <v>0.15614235439985347</v>
      </c>
      <c r="K1389" s="29">
        <v>44426</v>
      </c>
      <c r="L1389" s="24">
        <v>21547.14</v>
      </c>
      <c r="M1389" s="25">
        <f t="shared" si="215"/>
        <v>-1.2103694504236641E-3</v>
      </c>
      <c r="O1389" t="b">
        <f t="shared" si="213"/>
        <v>1</v>
      </c>
      <c r="Q1389" s="25">
        <f t="shared" si="211"/>
        <v>0.49971602535726523</v>
      </c>
      <c r="R1389" s="25">
        <f t="shared" si="208"/>
        <v>0.27392691115486012</v>
      </c>
      <c r="S1389" s="25">
        <f t="shared" si="223"/>
        <v>0.14252165692340757</v>
      </c>
      <c r="T1389" s="25">
        <f t="shared" si="220"/>
        <v>0.14408644686613159</v>
      </c>
      <c r="U1389" s="25">
        <f t="shared" si="217"/>
        <v>0.15094434507043086</v>
      </c>
      <c r="X1389">
        <f t="shared" si="212"/>
        <v>1</v>
      </c>
      <c r="Y1389">
        <f t="shared" si="209"/>
        <v>1</v>
      </c>
      <c r="Z1389">
        <f t="shared" si="224"/>
        <v>1</v>
      </c>
      <c r="AA1389">
        <f t="shared" si="221"/>
        <v>0</v>
      </c>
      <c r="AB1389">
        <f t="shared" si="218"/>
        <v>1</v>
      </c>
    </row>
    <row r="1390" spans="1:28">
      <c r="A1390" s="26">
        <v>44428</v>
      </c>
      <c r="B1390" s="23">
        <v>1174.46</v>
      </c>
      <c r="C1390" s="25">
        <f t="shared" si="214"/>
        <v>-1.7221180880974636E-2</v>
      </c>
      <c r="E1390" s="25">
        <f t="shared" si="210"/>
        <v>0.50879356637247741</v>
      </c>
      <c r="F1390" s="25">
        <f t="shared" si="207"/>
        <v>0.29379372357605837</v>
      </c>
      <c r="G1390" s="25">
        <f t="shared" si="222"/>
        <v>0.14592213257216113</v>
      </c>
      <c r="H1390" s="25">
        <f t="shared" si="219"/>
        <v>0.13196486685084241</v>
      </c>
      <c r="I1390" s="25">
        <f t="shared" si="216"/>
        <v>0.15344348551347298</v>
      </c>
      <c r="K1390" s="28">
        <v>44428</v>
      </c>
      <c r="L1390" s="23">
        <v>21315.55</v>
      </c>
      <c r="M1390" s="25">
        <f t="shared" si="215"/>
        <v>-1.0864838111144219E-2</v>
      </c>
      <c r="O1390" t="b">
        <f t="shared" si="213"/>
        <v>1</v>
      </c>
      <c r="Q1390" s="25">
        <f t="shared" si="211"/>
        <v>0.48189719659954555</v>
      </c>
      <c r="R1390" s="25">
        <f t="shared" si="208"/>
        <v>0.27745299261868439</v>
      </c>
      <c r="S1390" s="25">
        <f t="shared" si="223"/>
        <v>0.13568646454556177</v>
      </c>
      <c r="T1390" s="25">
        <f t="shared" si="220"/>
        <v>0.13889202774019593</v>
      </c>
      <c r="U1390" s="25">
        <f t="shared" si="217"/>
        <v>0.14950766066335985</v>
      </c>
      <c r="X1390">
        <f t="shared" si="212"/>
        <v>1</v>
      </c>
      <c r="Y1390">
        <f t="shared" si="209"/>
        <v>1</v>
      </c>
      <c r="Z1390">
        <f t="shared" si="224"/>
        <v>1</v>
      </c>
      <c r="AA1390">
        <f t="shared" si="221"/>
        <v>0</v>
      </c>
      <c r="AB1390">
        <f t="shared" si="218"/>
        <v>1</v>
      </c>
    </row>
    <row r="1391" spans="1:28">
      <c r="A1391" s="27">
        <v>44431</v>
      </c>
      <c r="B1391" s="24">
        <v>1173.18</v>
      </c>
      <c r="C1391" s="25">
        <f t="shared" si="214"/>
        <v>-1.0898625751408926E-3</v>
      </c>
      <c r="E1391" s="25">
        <f t="shared" si="210"/>
        <v>0.50153586238673009</v>
      </c>
      <c r="F1391" s="25">
        <f t="shared" ref="F1391:F1454" si="225">((B1391/B899)^(1/2))-1</f>
        <v>0.28822299627508152</v>
      </c>
      <c r="G1391" s="25">
        <f t="shared" si="222"/>
        <v>0.14471424255333187</v>
      </c>
      <c r="H1391" s="25">
        <f t="shared" si="219"/>
        <v>0.13429779148063936</v>
      </c>
      <c r="I1391" s="25">
        <f t="shared" si="216"/>
        <v>0.15268344163580605</v>
      </c>
      <c r="K1391" s="29">
        <v>44431</v>
      </c>
      <c r="L1391" s="24">
        <v>21296</v>
      </c>
      <c r="M1391" s="25">
        <f t="shared" si="215"/>
        <v>-9.1801277235158119E-4</v>
      </c>
      <c r="O1391" t="b">
        <f t="shared" si="213"/>
        <v>1</v>
      </c>
      <c r="Q1391" s="25">
        <f t="shared" si="211"/>
        <v>0.47131773305421398</v>
      </c>
      <c r="R1391" s="25">
        <f t="shared" ref="R1391:R1454" si="226">((L1391/L899)^(1/2))-1</f>
        <v>0.27167243788934847</v>
      </c>
      <c r="S1391" s="25">
        <f t="shared" si="223"/>
        <v>0.13445889601868699</v>
      </c>
      <c r="T1391" s="25">
        <f t="shared" si="220"/>
        <v>0.14186561084991611</v>
      </c>
      <c r="U1391" s="25">
        <f t="shared" si="217"/>
        <v>0.1494190484052067</v>
      </c>
      <c r="X1391">
        <f t="shared" si="212"/>
        <v>1</v>
      </c>
      <c r="Y1391">
        <f t="shared" ref="Y1391:Y1454" si="227">IF(F1391&gt;R1391,1,0)</f>
        <v>1</v>
      </c>
      <c r="Z1391">
        <f t="shared" si="224"/>
        <v>1</v>
      </c>
      <c r="AA1391">
        <f t="shared" si="221"/>
        <v>0</v>
      </c>
      <c r="AB1391">
        <f t="shared" si="218"/>
        <v>1</v>
      </c>
    </row>
    <row r="1392" spans="1:28">
      <c r="A1392" s="26">
        <v>44432</v>
      </c>
      <c r="B1392" s="23">
        <v>1184.93</v>
      </c>
      <c r="C1392" s="25">
        <f t="shared" si="214"/>
        <v>1.00155133909545E-2</v>
      </c>
      <c r="E1392" s="25">
        <f t="shared" si="210"/>
        <v>0.51121682459921702</v>
      </c>
      <c r="F1392" s="25">
        <f t="shared" si="225"/>
        <v>0.28218593696766758</v>
      </c>
      <c r="G1392" s="25">
        <f t="shared" si="222"/>
        <v>0.14795105361874983</v>
      </c>
      <c r="H1392" s="25">
        <f t="shared" si="219"/>
        <v>0.13462204908931041</v>
      </c>
      <c r="I1392" s="25">
        <f t="shared" si="216"/>
        <v>0.15411169669971314</v>
      </c>
      <c r="K1392" s="28">
        <v>44432</v>
      </c>
      <c r="L1392" s="23">
        <v>21499</v>
      </c>
      <c r="M1392" s="25">
        <f t="shared" si="215"/>
        <v>9.4422996418438068E-3</v>
      </c>
      <c r="O1392" t="b">
        <f t="shared" si="213"/>
        <v>1</v>
      </c>
      <c r="Q1392" s="25">
        <f t="shared" si="211"/>
        <v>0.48322361567405636</v>
      </c>
      <c r="R1392" s="25">
        <f t="shared" si="226"/>
        <v>0.2652470326725993</v>
      </c>
      <c r="S1392" s="25">
        <f t="shared" si="223"/>
        <v>0.13765011110845782</v>
      </c>
      <c r="T1392" s="25">
        <f t="shared" si="220"/>
        <v>0.14154594105291163</v>
      </c>
      <c r="U1392" s="25">
        <f t="shared" si="217"/>
        <v>0.15077994148274998</v>
      </c>
      <c r="X1392">
        <f t="shared" si="212"/>
        <v>1</v>
      </c>
      <c r="Y1392">
        <f t="shared" si="227"/>
        <v>1</v>
      </c>
      <c r="Z1392">
        <f t="shared" si="224"/>
        <v>1</v>
      </c>
      <c r="AA1392">
        <f t="shared" si="221"/>
        <v>0</v>
      </c>
      <c r="AB1392">
        <f t="shared" si="218"/>
        <v>1</v>
      </c>
    </row>
    <row r="1393" spans="1:28">
      <c r="A1393" s="27">
        <v>44433</v>
      </c>
      <c r="B1393" s="24">
        <v>1182.8800000000001</v>
      </c>
      <c r="C1393" s="25">
        <f t="shared" si="214"/>
        <v>-1.7300600035444747E-3</v>
      </c>
      <c r="E1393" s="25">
        <f t="shared" si="210"/>
        <v>0.49378054478639188</v>
      </c>
      <c r="F1393" s="25">
        <f t="shared" si="225"/>
        <v>0.2776508534619524</v>
      </c>
      <c r="G1393" s="25">
        <f t="shared" si="222"/>
        <v>0.14872767646508955</v>
      </c>
      <c r="H1393" s="25">
        <f t="shared" si="219"/>
        <v>0.13355669647675095</v>
      </c>
      <c r="I1393" s="25">
        <f t="shared" si="216"/>
        <v>0.15452720834902234</v>
      </c>
      <c r="K1393" s="29">
        <v>44433</v>
      </c>
      <c r="L1393" s="24">
        <v>21545.48</v>
      </c>
      <c r="M1393" s="25">
        <f t="shared" si="215"/>
        <v>2.1572970293537003E-3</v>
      </c>
      <c r="O1393" t="b">
        <f t="shared" si="213"/>
        <v>1</v>
      </c>
      <c r="Q1393" s="25">
        <f t="shared" si="211"/>
        <v>0.47709879442081116</v>
      </c>
      <c r="R1393" s="25">
        <f t="shared" si="226"/>
        <v>0.26256525824120236</v>
      </c>
      <c r="S1393" s="25">
        <f t="shared" si="223"/>
        <v>0.13924832117147457</v>
      </c>
      <c r="T1393" s="25">
        <f t="shared" si="220"/>
        <v>0.14110283108815058</v>
      </c>
      <c r="U1393" s="25">
        <f t="shared" si="217"/>
        <v>0.15260646923773669</v>
      </c>
      <c r="X1393">
        <f t="shared" si="212"/>
        <v>1</v>
      </c>
      <c r="Y1393">
        <f t="shared" si="227"/>
        <v>1</v>
      </c>
      <c r="Z1393">
        <f t="shared" si="224"/>
        <v>1</v>
      </c>
      <c r="AA1393">
        <f t="shared" si="221"/>
        <v>0</v>
      </c>
      <c r="AB1393">
        <f t="shared" si="218"/>
        <v>1</v>
      </c>
    </row>
    <row r="1394" spans="1:28">
      <c r="A1394" s="26">
        <v>44434</v>
      </c>
      <c r="B1394" s="23">
        <v>1180.1600000000001</v>
      </c>
      <c r="C1394" s="25">
        <f t="shared" si="214"/>
        <v>-2.2994724739618787E-3</v>
      </c>
      <c r="E1394" s="25">
        <f t="shared" si="210"/>
        <v>0.53842945041193047</v>
      </c>
      <c r="F1394" s="25">
        <f t="shared" si="225"/>
        <v>0.28111430372354884</v>
      </c>
      <c r="G1394" s="25">
        <f t="shared" si="222"/>
        <v>0.14335145933493831</v>
      </c>
      <c r="H1394" s="25">
        <f t="shared" si="219"/>
        <v>0.13047440346102479</v>
      </c>
      <c r="I1394" s="25">
        <f t="shared" si="216"/>
        <v>0.15318499448801659</v>
      </c>
      <c r="K1394" s="28">
        <v>44434</v>
      </c>
      <c r="L1394" s="23">
        <v>21566.38</v>
      </c>
      <c r="M1394" s="25">
        <f t="shared" si="215"/>
        <v>9.6910098032221704E-4</v>
      </c>
      <c r="O1394" t="b">
        <f t="shared" si="213"/>
        <v>1</v>
      </c>
      <c r="Q1394" s="25">
        <f t="shared" si="211"/>
        <v>0.52097206216932523</v>
      </c>
      <c r="R1394" s="25">
        <f t="shared" si="226"/>
        <v>0.266784927903293</v>
      </c>
      <c r="S1394" s="25">
        <f t="shared" si="223"/>
        <v>0.13548134611649565</v>
      </c>
      <c r="T1394" s="25">
        <f t="shared" si="220"/>
        <v>0.13940970210034886</v>
      </c>
      <c r="U1394" s="25">
        <f t="shared" si="217"/>
        <v>0.15310296068596529</v>
      </c>
      <c r="X1394">
        <f t="shared" si="212"/>
        <v>1</v>
      </c>
      <c r="Y1394">
        <f t="shared" si="227"/>
        <v>1</v>
      </c>
      <c r="Z1394">
        <f t="shared" si="224"/>
        <v>1</v>
      </c>
      <c r="AA1394">
        <f t="shared" si="221"/>
        <v>0</v>
      </c>
      <c r="AB1394">
        <f t="shared" si="218"/>
        <v>1</v>
      </c>
    </row>
    <row r="1395" spans="1:28">
      <c r="A1395" s="27">
        <v>44435</v>
      </c>
      <c r="B1395" s="24">
        <v>1188.17</v>
      </c>
      <c r="C1395" s="25">
        <f t="shared" si="214"/>
        <v>6.7872152928416408E-3</v>
      </c>
      <c r="E1395" s="25">
        <f t="shared" si="210"/>
        <v>0.53274681045937133</v>
      </c>
      <c r="F1395" s="25">
        <f t="shared" si="225"/>
        <v>0.2891080116603082</v>
      </c>
      <c r="G1395" s="25">
        <f t="shared" si="222"/>
        <v>0.14585012469570424</v>
      </c>
      <c r="H1395" s="25">
        <f t="shared" si="219"/>
        <v>0.13439464919288557</v>
      </c>
      <c r="I1395" s="25">
        <f t="shared" si="216"/>
        <v>0.15447894032232923</v>
      </c>
      <c r="K1395" s="29">
        <v>44435</v>
      </c>
      <c r="L1395" s="24">
        <v>21697.34</v>
      </c>
      <c r="M1395" s="25">
        <f t="shared" si="215"/>
        <v>6.0357629091860624E-3</v>
      </c>
      <c r="O1395" t="b">
        <f t="shared" si="213"/>
        <v>1</v>
      </c>
      <c r="Q1395" s="25">
        <f t="shared" si="211"/>
        <v>0.51883126655956557</v>
      </c>
      <c r="R1395" s="25">
        <f t="shared" si="226"/>
        <v>0.27523294512109664</v>
      </c>
      <c r="S1395" s="25">
        <f t="shared" si="223"/>
        <v>0.13674405075417195</v>
      </c>
      <c r="T1395" s="25">
        <f t="shared" si="220"/>
        <v>0.14293066598198156</v>
      </c>
      <c r="U1395" s="25">
        <f t="shared" si="217"/>
        <v>0.15367671206584288</v>
      </c>
      <c r="X1395">
        <f t="shared" si="212"/>
        <v>1</v>
      </c>
      <c r="Y1395">
        <f t="shared" si="227"/>
        <v>1</v>
      </c>
      <c r="Z1395">
        <f t="shared" si="224"/>
        <v>1</v>
      </c>
      <c r="AA1395">
        <f t="shared" si="221"/>
        <v>0</v>
      </c>
      <c r="AB1395">
        <f t="shared" si="218"/>
        <v>1</v>
      </c>
    </row>
    <row r="1396" spans="1:28">
      <c r="A1396" s="26">
        <v>44438</v>
      </c>
      <c r="B1396" s="23">
        <v>1207.71</v>
      </c>
      <c r="C1396" s="25">
        <f t="shared" si="214"/>
        <v>1.6445458141511705E-2</v>
      </c>
      <c r="E1396" s="25">
        <f t="shared" si="210"/>
        <v>0.54652205091430628</v>
      </c>
      <c r="F1396" s="25">
        <f t="shared" si="225"/>
        <v>0.29336693892323895</v>
      </c>
      <c r="G1396" s="25">
        <f t="shared" si="222"/>
        <v>0.15222380270261571</v>
      </c>
      <c r="H1396" s="25">
        <f t="shared" si="219"/>
        <v>0.137597896647627</v>
      </c>
      <c r="I1396" s="25">
        <f t="shared" si="216"/>
        <v>0.1556737414857432</v>
      </c>
      <c r="K1396" s="28">
        <v>44438</v>
      </c>
      <c r="L1396" s="23">
        <v>22011.32</v>
      </c>
      <c r="M1396" s="25">
        <f t="shared" si="215"/>
        <v>1.4264478459265486E-2</v>
      </c>
      <c r="O1396" t="b">
        <f t="shared" si="213"/>
        <v>1</v>
      </c>
      <c r="Q1396" s="25">
        <f t="shared" si="211"/>
        <v>0.52824762653284263</v>
      </c>
      <c r="R1396" s="25">
        <f t="shared" si="226"/>
        <v>0.27930236652439078</v>
      </c>
      <c r="S1396" s="25">
        <f t="shared" si="223"/>
        <v>0.14266150728856331</v>
      </c>
      <c r="T1396" s="25">
        <f t="shared" si="220"/>
        <v>0.14549012439647679</v>
      </c>
      <c r="U1396" s="25">
        <f t="shared" si="217"/>
        <v>0.15383577991489217</v>
      </c>
      <c r="X1396">
        <f t="shared" si="212"/>
        <v>1</v>
      </c>
      <c r="Y1396">
        <f t="shared" si="227"/>
        <v>1</v>
      </c>
      <c r="Z1396">
        <f t="shared" si="224"/>
        <v>1</v>
      </c>
      <c r="AA1396">
        <f t="shared" si="221"/>
        <v>0</v>
      </c>
      <c r="AB1396">
        <f t="shared" si="218"/>
        <v>1</v>
      </c>
    </row>
    <row r="1397" spans="1:28">
      <c r="A1397" s="27">
        <v>44439</v>
      </c>
      <c r="B1397" s="24">
        <v>1222.45</v>
      </c>
      <c r="C1397" s="25">
        <f t="shared" si="214"/>
        <v>1.2204916743257908E-2</v>
      </c>
      <c r="E1397" s="25">
        <f t="shared" si="210"/>
        <v>0.56617939092667813</v>
      </c>
      <c r="F1397" s="25">
        <f t="shared" si="225"/>
        <v>0.31295415203767218</v>
      </c>
      <c r="G1397" s="25">
        <f t="shared" si="222"/>
        <v>0.15631666222769325</v>
      </c>
      <c r="H1397" s="25">
        <f t="shared" si="219"/>
        <v>0.1411916904629229</v>
      </c>
      <c r="I1397" s="25">
        <f t="shared" si="216"/>
        <v>0.15725891679977111</v>
      </c>
      <c r="K1397" s="29">
        <v>44439</v>
      </c>
      <c r="L1397" s="24">
        <v>22253.61</v>
      </c>
      <c r="M1397" s="25">
        <f t="shared" si="215"/>
        <v>1.0887671708095939E-2</v>
      </c>
      <c r="O1397" t="b">
        <f t="shared" si="213"/>
        <v>1</v>
      </c>
      <c r="Q1397" s="25">
        <f t="shared" si="211"/>
        <v>0.54239904296669228</v>
      </c>
      <c r="R1397" s="25">
        <f t="shared" si="226"/>
        <v>0.29906196681449582</v>
      </c>
      <c r="S1397" s="25">
        <f t="shared" si="223"/>
        <v>0.1467717373696531</v>
      </c>
      <c r="T1397" s="25">
        <f t="shared" si="220"/>
        <v>0.14911400266866992</v>
      </c>
      <c r="U1397" s="25">
        <f t="shared" si="217"/>
        <v>0.15542680858375468</v>
      </c>
      <c r="X1397">
        <f t="shared" si="212"/>
        <v>1</v>
      </c>
      <c r="Y1397">
        <f t="shared" si="227"/>
        <v>1</v>
      </c>
      <c r="Z1397">
        <f t="shared" si="224"/>
        <v>1</v>
      </c>
      <c r="AA1397">
        <f t="shared" si="221"/>
        <v>0</v>
      </c>
      <c r="AB1397">
        <f t="shared" si="218"/>
        <v>1</v>
      </c>
    </row>
    <row r="1398" spans="1:28">
      <c r="A1398" s="26">
        <v>44440</v>
      </c>
      <c r="B1398" s="23">
        <v>1224.99</v>
      </c>
      <c r="C1398" s="25">
        <f t="shared" si="214"/>
        <v>2.0777945928258526E-3</v>
      </c>
      <c r="E1398" s="25">
        <f t="shared" si="210"/>
        <v>0.59435398852055754</v>
      </c>
      <c r="F1398" s="25">
        <f t="shared" si="225"/>
        <v>0.31072737630534131</v>
      </c>
      <c r="G1398" s="25">
        <f t="shared" si="222"/>
        <v>0.15587085308070248</v>
      </c>
      <c r="H1398" s="25">
        <f t="shared" si="219"/>
        <v>0.14016211557598579</v>
      </c>
      <c r="I1398" s="25">
        <f t="shared" si="216"/>
        <v>0.1583024571987548</v>
      </c>
      <c r="K1398" s="28">
        <v>44440</v>
      </c>
      <c r="L1398" s="23">
        <v>22246.76</v>
      </c>
      <c r="M1398" s="25">
        <f t="shared" si="215"/>
        <v>-3.0791000577172511E-4</v>
      </c>
      <c r="O1398" t="b">
        <f t="shared" si="213"/>
        <v>1</v>
      </c>
      <c r="Q1398" s="25">
        <f t="shared" si="211"/>
        <v>0.56768892521915615</v>
      </c>
      <c r="R1398" s="25">
        <f t="shared" si="226"/>
        <v>0.29659808916486941</v>
      </c>
      <c r="S1398" s="25">
        <f t="shared" si="223"/>
        <v>0.14595761234642612</v>
      </c>
      <c r="T1398" s="25">
        <f t="shared" si="220"/>
        <v>0.14816761725955674</v>
      </c>
      <c r="U1398" s="25">
        <f t="shared" si="217"/>
        <v>0.15585581107982938</v>
      </c>
      <c r="X1398">
        <f t="shared" si="212"/>
        <v>1</v>
      </c>
      <c r="Y1398">
        <f t="shared" si="227"/>
        <v>1</v>
      </c>
      <c r="Z1398">
        <f t="shared" si="224"/>
        <v>1</v>
      </c>
      <c r="AA1398">
        <f t="shared" si="221"/>
        <v>0</v>
      </c>
      <c r="AB1398">
        <f t="shared" si="218"/>
        <v>1</v>
      </c>
    </row>
    <row r="1399" spans="1:28">
      <c r="A1399" s="27">
        <v>44441</v>
      </c>
      <c r="B1399" s="24">
        <v>1235.45</v>
      </c>
      <c r="C1399" s="25">
        <f t="shared" si="214"/>
        <v>8.5388452150630106E-3</v>
      </c>
      <c r="E1399" s="25">
        <f t="shared" si="210"/>
        <v>0.6123327895595434</v>
      </c>
      <c r="F1399" s="25">
        <f t="shared" si="225"/>
        <v>0.31463480514931641</v>
      </c>
      <c r="G1399" s="25">
        <f t="shared" si="222"/>
        <v>0.16139099165427573</v>
      </c>
      <c r="H1399" s="25">
        <f t="shared" si="219"/>
        <v>0.14259221820622026</v>
      </c>
      <c r="I1399" s="25">
        <f t="shared" si="216"/>
        <v>0.15894734979736502</v>
      </c>
      <c r="K1399" s="29">
        <v>44441</v>
      </c>
      <c r="L1399" s="24">
        <v>22452</v>
      </c>
      <c r="M1399" s="25">
        <f t="shared" si="215"/>
        <v>9.1412791733476578E-3</v>
      </c>
      <c r="O1399" t="b">
        <f t="shared" si="213"/>
        <v>1</v>
      </c>
      <c r="Q1399" s="25">
        <f t="shared" si="211"/>
        <v>0.58195227227729407</v>
      </c>
      <c r="R1399" s="25">
        <f t="shared" si="226"/>
        <v>0.30158896698914361</v>
      </c>
      <c r="S1399" s="25">
        <f t="shared" si="223"/>
        <v>0.15218177229731134</v>
      </c>
      <c r="T1399" s="25">
        <f t="shared" si="220"/>
        <v>0.15104274925303018</v>
      </c>
      <c r="U1399" s="25">
        <f t="shared" si="217"/>
        <v>0.15702045366165818</v>
      </c>
      <c r="X1399">
        <f t="shared" si="212"/>
        <v>1</v>
      </c>
      <c r="Y1399">
        <f t="shared" si="227"/>
        <v>1</v>
      </c>
      <c r="Z1399">
        <f t="shared" si="224"/>
        <v>1</v>
      </c>
      <c r="AA1399">
        <f t="shared" si="221"/>
        <v>0</v>
      </c>
      <c r="AB1399">
        <f t="shared" si="218"/>
        <v>1</v>
      </c>
    </row>
    <row r="1400" spans="1:28">
      <c r="A1400" s="26">
        <v>44442</v>
      </c>
      <c r="B1400" s="23">
        <v>1240.6300000000001</v>
      </c>
      <c r="C1400" s="25">
        <f t="shared" si="214"/>
        <v>4.1928042413695932E-3</v>
      </c>
      <c r="E1400" s="25">
        <f t="shared" ref="E1400:E1463" si="228">(B1400/B1155)-1</f>
        <v>0.63430024238592075</v>
      </c>
      <c r="F1400" s="25">
        <f t="shared" si="225"/>
        <v>0.31119371454747968</v>
      </c>
      <c r="G1400" s="25">
        <f t="shared" si="222"/>
        <v>0.16863516372294951</v>
      </c>
      <c r="H1400" s="25">
        <f t="shared" si="219"/>
        <v>0.14123035616755097</v>
      </c>
      <c r="I1400" s="25">
        <f t="shared" si="216"/>
        <v>0.15688317698453202</v>
      </c>
      <c r="K1400" s="28">
        <v>44442</v>
      </c>
      <c r="L1400" s="23">
        <v>22566.65</v>
      </c>
      <c r="M1400" s="25">
        <f t="shared" si="215"/>
        <v>5.0805059678774404E-3</v>
      </c>
      <c r="O1400" t="b">
        <f t="shared" si="213"/>
        <v>1</v>
      </c>
      <c r="Q1400" s="25">
        <f t="shared" ref="Q1400:Q1463" si="229">(L1400/L1155)-1</f>
        <v>0.59842089121120501</v>
      </c>
      <c r="R1400" s="25">
        <f t="shared" si="226"/>
        <v>0.2994681461128017</v>
      </c>
      <c r="S1400" s="25">
        <f t="shared" si="223"/>
        <v>0.15865537247319872</v>
      </c>
      <c r="T1400" s="25">
        <f t="shared" si="220"/>
        <v>0.15046986693265718</v>
      </c>
      <c r="U1400" s="25">
        <f t="shared" si="217"/>
        <v>0.15481615448152208</v>
      </c>
      <c r="X1400">
        <f t="shared" ref="X1400:X1463" si="230">IF(E1400&gt;Q1400,1,0)</f>
        <v>1</v>
      </c>
      <c r="Y1400">
        <f t="shared" si="227"/>
        <v>1</v>
      </c>
      <c r="Z1400">
        <f t="shared" si="224"/>
        <v>1</v>
      </c>
      <c r="AA1400">
        <f t="shared" si="221"/>
        <v>0</v>
      </c>
      <c r="AB1400">
        <f t="shared" si="218"/>
        <v>1</v>
      </c>
    </row>
    <row r="1401" spans="1:28">
      <c r="A1401" s="27">
        <v>44445</v>
      </c>
      <c r="B1401" s="24">
        <v>1244.27</v>
      </c>
      <c r="C1401" s="25">
        <f t="shared" si="214"/>
        <v>2.9339932131254866E-3</v>
      </c>
      <c r="E1401" s="25">
        <f t="shared" si="228"/>
        <v>0.64738514497550659</v>
      </c>
      <c r="F1401" s="25">
        <f t="shared" si="225"/>
        <v>0.30868018872856928</v>
      </c>
      <c r="G1401" s="25">
        <f t="shared" si="222"/>
        <v>0.16995259065345159</v>
      </c>
      <c r="H1401" s="25">
        <f t="shared" si="219"/>
        <v>0.14001459528647264</v>
      </c>
      <c r="I1401" s="25">
        <f t="shared" si="216"/>
        <v>0.15773920527842278</v>
      </c>
      <c r="K1401" s="29">
        <v>44445</v>
      </c>
      <c r="L1401" s="24">
        <v>22637.89</v>
      </c>
      <c r="M1401" s="25">
        <f t="shared" si="215"/>
        <v>3.1469363973408286E-3</v>
      </c>
      <c r="O1401" t="b">
        <f t="shared" si="213"/>
        <v>1</v>
      </c>
      <c r="Q1401" s="25">
        <f t="shared" si="229"/>
        <v>0.61028759543301492</v>
      </c>
      <c r="R1401" s="25">
        <f t="shared" si="226"/>
        <v>0.29773454530220134</v>
      </c>
      <c r="S1401" s="25">
        <f t="shared" si="223"/>
        <v>0.16151449760802072</v>
      </c>
      <c r="T1401" s="25">
        <f t="shared" si="220"/>
        <v>0.14878193588860866</v>
      </c>
      <c r="U1401" s="25">
        <f t="shared" si="217"/>
        <v>0.15575986128655295</v>
      </c>
      <c r="X1401">
        <f t="shared" si="230"/>
        <v>1</v>
      </c>
      <c r="Y1401">
        <f t="shared" si="227"/>
        <v>1</v>
      </c>
      <c r="Z1401">
        <f t="shared" si="224"/>
        <v>1</v>
      </c>
      <c r="AA1401">
        <f t="shared" si="221"/>
        <v>0</v>
      </c>
      <c r="AB1401">
        <f t="shared" si="218"/>
        <v>1</v>
      </c>
    </row>
    <row r="1402" spans="1:28">
      <c r="A1402" s="26">
        <v>44446</v>
      </c>
      <c r="B1402" s="23">
        <v>1242.6199999999999</v>
      </c>
      <c r="C1402" s="25">
        <f t="shared" si="214"/>
        <v>-1.3260787449670016E-3</v>
      </c>
      <c r="E1402" s="25">
        <f t="shared" si="228"/>
        <v>0.63642589056429832</v>
      </c>
      <c r="F1402" s="25">
        <f t="shared" si="225"/>
        <v>0.30383418548257435</v>
      </c>
      <c r="G1402" s="25">
        <f t="shared" si="222"/>
        <v>0.16857355752477798</v>
      </c>
      <c r="H1402" s="25">
        <f t="shared" si="219"/>
        <v>0.14062482851816505</v>
      </c>
      <c r="I1402" s="25">
        <f t="shared" si="216"/>
        <v>0.15620152761140371</v>
      </c>
      <c r="K1402" s="28">
        <v>44446</v>
      </c>
      <c r="L1402" s="23">
        <v>22604.92</v>
      </c>
      <c r="M1402" s="25">
        <f t="shared" si="215"/>
        <v>-1.4585320363885901E-3</v>
      </c>
      <c r="O1402" t="b">
        <f t="shared" si="213"/>
        <v>1</v>
      </c>
      <c r="Q1402" s="25">
        <f t="shared" si="229"/>
        <v>0.58571372452186377</v>
      </c>
      <c r="R1402" s="25">
        <f t="shared" si="226"/>
        <v>0.29367903087444569</v>
      </c>
      <c r="S1402" s="25">
        <f t="shared" si="223"/>
        <v>0.15887293857897489</v>
      </c>
      <c r="T1402" s="25">
        <f t="shared" si="220"/>
        <v>0.14912226442992371</v>
      </c>
      <c r="U1402" s="25">
        <f t="shared" si="217"/>
        <v>0.15429043869200165</v>
      </c>
      <c r="X1402">
        <f t="shared" si="230"/>
        <v>1</v>
      </c>
      <c r="Y1402">
        <f t="shared" si="227"/>
        <v>1</v>
      </c>
      <c r="Z1402">
        <f t="shared" si="224"/>
        <v>1</v>
      </c>
      <c r="AA1402">
        <f t="shared" si="221"/>
        <v>0</v>
      </c>
      <c r="AB1402">
        <f t="shared" si="218"/>
        <v>1</v>
      </c>
    </row>
    <row r="1403" spans="1:28">
      <c r="A1403" s="27">
        <v>44447</v>
      </c>
      <c r="B1403" s="24">
        <v>1244.58</v>
      </c>
      <c r="C1403" s="25">
        <f t="shared" si="214"/>
        <v>1.5773124527208933E-3</v>
      </c>
      <c r="E1403" s="25">
        <f t="shared" si="228"/>
        <v>0.63388602260643512</v>
      </c>
      <c r="F1403" s="25">
        <f t="shared" si="225"/>
        <v>0.30343628973823433</v>
      </c>
      <c r="G1403" s="25">
        <f t="shared" si="222"/>
        <v>0.16511222053152919</v>
      </c>
      <c r="H1403" s="25">
        <f t="shared" si="219"/>
        <v>0.14058137212728661</v>
      </c>
      <c r="I1403" s="25">
        <f t="shared" si="216"/>
        <v>0.15788980955923915</v>
      </c>
      <c r="K1403" s="29">
        <v>44447</v>
      </c>
      <c r="L1403" s="24">
        <v>22641.43</v>
      </c>
      <c r="M1403" s="25">
        <f t="shared" si="215"/>
        <v>1.6125306572951459E-3</v>
      </c>
      <c r="O1403" t="b">
        <f t="shared" si="213"/>
        <v>1</v>
      </c>
      <c r="Q1403" s="25">
        <f t="shared" si="229"/>
        <v>0.58386282823378965</v>
      </c>
      <c r="R1403" s="25">
        <f t="shared" si="226"/>
        <v>0.29708212130910194</v>
      </c>
      <c r="S1403" s="25">
        <f t="shared" si="223"/>
        <v>0.15715021726502676</v>
      </c>
      <c r="T1403" s="25">
        <f t="shared" si="220"/>
        <v>0.14896122498399778</v>
      </c>
      <c r="U1403" s="25">
        <f t="shared" si="217"/>
        <v>0.15670193311949943</v>
      </c>
      <c r="X1403">
        <f t="shared" si="230"/>
        <v>1</v>
      </c>
      <c r="Y1403">
        <f t="shared" si="227"/>
        <v>1</v>
      </c>
      <c r="Z1403">
        <f t="shared" si="224"/>
        <v>1</v>
      </c>
      <c r="AA1403">
        <f t="shared" si="221"/>
        <v>0</v>
      </c>
      <c r="AB1403">
        <f t="shared" si="218"/>
        <v>1</v>
      </c>
    </row>
    <row r="1404" spans="1:28">
      <c r="A1404" s="26">
        <v>44448</v>
      </c>
      <c r="B1404" s="23">
        <v>1248.53</v>
      </c>
      <c r="C1404" s="25">
        <f t="shared" si="214"/>
        <v>3.1737614295586029E-3</v>
      </c>
      <c r="E1404" s="25">
        <f t="shared" si="228"/>
        <v>0.62696116757883757</v>
      </c>
      <c r="F1404" s="25">
        <f t="shared" si="225"/>
        <v>0.30105281015645935</v>
      </c>
      <c r="G1404" s="25">
        <f t="shared" si="222"/>
        <v>0.17168349696212015</v>
      </c>
      <c r="H1404" s="25">
        <f t="shared" si="219"/>
        <v>0.14181536505679238</v>
      </c>
      <c r="I1404" s="25">
        <f t="shared" si="216"/>
        <v>0.16407873345139401</v>
      </c>
      <c r="K1404" s="28">
        <v>44448</v>
      </c>
      <c r="L1404" s="23">
        <v>22691.66</v>
      </c>
      <c r="M1404" s="25">
        <f t="shared" si="215"/>
        <v>2.2135886048001586E-3</v>
      </c>
      <c r="O1404" t="b">
        <f t="shared" si="213"/>
        <v>1</v>
      </c>
      <c r="Q1404" s="25">
        <f t="shared" si="229"/>
        <v>0.57946992440119915</v>
      </c>
      <c r="R1404" s="25">
        <f t="shared" si="226"/>
        <v>0.29353775624150535</v>
      </c>
      <c r="S1404" s="25">
        <f t="shared" si="223"/>
        <v>0.16329590864833543</v>
      </c>
      <c r="T1404" s="25">
        <f t="shared" si="220"/>
        <v>0.14950549103481503</v>
      </c>
      <c r="U1404" s="25">
        <f t="shared" si="217"/>
        <v>0.16200126524153413</v>
      </c>
      <c r="X1404">
        <f t="shared" si="230"/>
        <v>1</v>
      </c>
      <c r="Y1404">
        <f t="shared" si="227"/>
        <v>1</v>
      </c>
      <c r="Z1404">
        <f t="shared" si="224"/>
        <v>1</v>
      </c>
      <c r="AA1404">
        <f t="shared" si="221"/>
        <v>0</v>
      </c>
      <c r="AB1404">
        <f t="shared" si="218"/>
        <v>1</v>
      </c>
    </row>
    <row r="1405" spans="1:28">
      <c r="A1405" s="27">
        <v>44452</v>
      </c>
      <c r="B1405" s="24">
        <v>1253.52</v>
      </c>
      <c r="C1405" s="25">
        <f t="shared" si="214"/>
        <v>3.9967001193403516E-3</v>
      </c>
      <c r="E1405" s="25">
        <f t="shared" si="228"/>
        <v>0.61263845827276131</v>
      </c>
      <c r="F1405" s="25">
        <f t="shared" si="225"/>
        <v>0.30626504039989233</v>
      </c>
      <c r="G1405" s="25">
        <f t="shared" si="222"/>
        <v>0.17927960354350825</v>
      </c>
      <c r="H1405" s="25">
        <f t="shared" si="219"/>
        <v>0.14090977212099176</v>
      </c>
      <c r="I1405" s="25">
        <f t="shared" si="216"/>
        <v>0.16268805954811638</v>
      </c>
      <c r="K1405" s="29">
        <v>44452</v>
      </c>
      <c r="L1405" s="24">
        <v>22716.99</v>
      </c>
      <c r="M1405" s="25">
        <f t="shared" si="215"/>
        <v>1.1150244816765665E-3</v>
      </c>
      <c r="O1405" t="b">
        <f t="shared" si="213"/>
        <v>1</v>
      </c>
      <c r="Q1405" s="25">
        <f t="shared" si="229"/>
        <v>0.56795955343122895</v>
      </c>
      <c r="R1405" s="25">
        <f t="shared" si="226"/>
        <v>0.29724648784780294</v>
      </c>
      <c r="S1405" s="25">
        <f t="shared" si="223"/>
        <v>0.16904825144836466</v>
      </c>
      <c r="T1405" s="25">
        <f t="shared" si="220"/>
        <v>0.14789539571760857</v>
      </c>
      <c r="U1405" s="25">
        <f t="shared" si="217"/>
        <v>0.16116252901238814</v>
      </c>
      <c r="X1405">
        <f t="shared" si="230"/>
        <v>1</v>
      </c>
      <c r="Y1405">
        <f t="shared" si="227"/>
        <v>1</v>
      </c>
      <c r="Z1405">
        <f t="shared" si="224"/>
        <v>1</v>
      </c>
      <c r="AA1405">
        <f t="shared" si="221"/>
        <v>0</v>
      </c>
      <c r="AB1405">
        <f t="shared" si="218"/>
        <v>1</v>
      </c>
    </row>
    <row r="1406" spans="1:28">
      <c r="A1406" s="26">
        <v>44453</v>
      </c>
      <c r="B1406" s="23">
        <v>1259.8599999999999</v>
      </c>
      <c r="C1406" s="25">
        <f t="shared" si="214"/>
        <v>5.0577573552874448E-3</v>
      </c>
      <c r="E1406" s="25">
        <f t="shared" si="228"/>
        <v>0.60637009269530395</v>
      </c>
      <c r="F1406" s="25">
        <f t="shared" si="225"/>
        <v>0.32156377458156316</v>
      </c>
      <c r="G1406" s="25">
        <f t="shared" si="222"/>
        <v>0.17921605384397976</v>
      </c>
      <c r="H1406" s="25">
        <f t="shared" si="219"/>
        <v>0.14207574328404182</v>
      </c>
      <c r="I1406" s="25">
        <f t="shared" si="216"/>
        <v>0.16352671733905111</v>
      </c>
      <c r="K1406" s="28">
        <v>44453</v>
      </c>
      <c r="L1406" s="23">
        <v>22797.33</v>
      </c>
      <c r="M1406" s="25">
        <f t="shared" si="215"/>
        <v>3.5240969008212865E-3</v>
      </c>
      <c r="O1406" t="b">
        <f t="shared" si="213"/>
        <v>1</v>
      </c>
      <c r="Q1406" s="25">
        <f t="shared" si="229"/>
        <v>0.56380988704266088</v>
      </c>
      <c r="R1406" s="25">
        <f t="shared" si="226"/>
        <v>0.31087819380919091</v>
      </c>
      <c r="S1406" s="25">
        <f t="shared" si="223"/>
        <v>0.16820870250169317</v>
      </c>
      <c r="T1406" s="25">
        <f t="shared" si="220"/>
        <v>0.14874700037481103</v>
      </c>
      <c r="U1406" s="25">
        <f t="shared" si="217"/>
        <v>0.16171357700806555</v>
      </c>
      <c r="X1406">
        <f t="shared" si="230"/>
        <v>1</v>
      </c>
      <c r="Y1406">
        <f t="shared" si="227"/>
        <v>1</v>
      </c>
      <c r="Z1406">
        <f t="shared" si="224"/>
        <v>1</v>
      </c>
      <c r="AA1406">
        <f t="shared" si="221"/>
        <v>0</v>
      </c>
      <c r="AB1406">
        <f t="shared" si="218"/>
        <v>1</v>
      </c>
    </row>
    <row r="1407" spans="1:28">
      <c r="A1407" s="27">
        <v>44454</v>
      </c>
      <c r="B1407" s="24">
        <v>1271.6099999999999</v>
      </c>
      <c r="C1407" s="25">
        <f t="shared" si="214"/>
        <v>9.3264330957407975E-3</v>
      </c>
      <c r="E1407" s="25">
        <f t="shared" si="228"/>
        <v>0.6251230079108463</v>
      </c>
      <c r="F1407" s="25">
        <f t="shared" si="225"/>
        <v>0.32581128599103781</v>
      </c>
      <c r="G1407" s="25">
        <f t="shared" si="222"/>
        <v>0.17743507036993456</v>
      </c>
      <c r="H1407" s="25">
        <f t="shared" si="219"/>
        <v>0.14577905173982542</v>
      </c>
      <c r="I1407" s="25">
        <f t="shared" si="216"/>
        <v>0.16546417695049609</v>
      </c>
      <c r="K1407" s="29">
        <v>44454</v>
      </c>
      <c r="L1407" s="24">
        <v>22975.200000000001</v>
      </c>
      <c r="M1407" s="25">
        <f t="shared" si="215"/>
        <v>7.7418259688707379E-3</v>
      </c>
      <c r="O1407" t="b">
        <f t="shared" si="213"/>
        <v>1</v>
      </c>
      <c r="Q1407" s="25">
        <f t="shared" si="229"/>
        <v>0.58670809452347017</v>
      </c>
      <c r="R1407" s="25">
        <f t="shared" si="226"/>
        <v>0.31421062914006836</v>
      </c>
      <c r="S1407" s="25">
        <f t="shared" si="223"/>
        <v>0.16594151153243231</v>
      </c>
      <c r="T1407" s="25">
        <f t="shared" si="220"/>
        <v>0.15140312820195612</v>
      </c>
      <c r="U1407" s="25">
        <f t="shared" si="217"/>
        <v>0.16275336543861285</v>
      </c>
      <c r="X1407">
        <f t="shared" si="230"/>
        <v>1</v>
      </c>
      <c r="Y1407">
        <f t="shared" si="227"/>
        <v>1</v>
      </c>
      <c r="Z1407">
        <f t="shared" si="224"/>
        <v>1</v>
      </c>
      <c r="AA1407">
        <f t="shared" si="221"/>
        <v>0</v>
      </c>
      <c r="AB1407">
        <f t="shared" si="218"/>
        <v>1</v>
      </c>
    </row>
    <row r="1408" spans="1:28">
      <c r="A1408" s="26">
        <v>44455</v>
      </c>
      <c r="B1408" s="23">
        <v>1274.07</v>
      </c>
      <c r="C1408" s="25">
        <f t="shared" si="214"/>
        <v>1.9345554061387033E-3</v>
      </c>
      <c r="E1408" s="25">
        <f t="shared" si="228"/>
        <v>0.62361891654241686</v>
      </c>
      <c r="F1408" s="25">
        <f t="shared" si="225"/>
        <v>0.33677394171049713</v>
      </c>
      <c r="G1408" s="25">
        <f t="shared" si="222"/>
        <v>0.18148911964464709</v>
      </c>
      <c r="H1408" s="25">
        <f t="shared" si="219"/>
        <v>0.14671765091757871</v>
      </c>
      <c r="I1408" s="25">
        <f t="shared" si="216"/>
        <v>0.16479813518905662</v>
      </c>
      <c r="K1408" s="28">
        <v>44455</v>
      </c>
      <c r="L1408" s="23">
        <v>23106.080000000002</v>
      </c>
      <c r="M1408" s="25">
        <f t="shared" si="215"/>
        <v>5.6643099997923064E-3</v>
      </c>
      <c r="O1408" t="b">
        <f t="shared" si="213"/>
        <v>1</v>
      </c>
      <c r="Q1408" s="25">
        <f t="shared" si="229"/>
        <v>0.59694683289895378</v>
      </c>
      <c r="R1408" s="25">
        <f t="shared" si="226"/>
        <v>0.32625722992230854</v>
      </c>
      <c r="S1408" s="25">
        <f t="shared" si="223"/>
        <v>0.17198380217103981</v>
      </c>
      <c r="T1408" s="25">
        <f t="shared" si="220"/>
        <v>0.15390410829888856</v>
      </c>
      <c r="U1408" s="25">
        <f t="shared" si="217"/>
        <v>0.16324811306110876</v>
      </c>
      <c r="X1408">
        <f t="shared" si="230"/>
        <v>1</v>
      </c>
      <c r="Y1408">
        <f t="shared" si="227"/>
        <v>1</v>
      </c>
      <c r="Z1408">
        <f t="shared" si="224"/>
        <v>1</v>
      </c>
      <c r="AA1408">
        <f t="shared" si="221"/>
        <v>0</v>
      </c>
      <c r="AB1408">
        <f t="shared" si="218"/>
        <v>1</v>
      </c>
    </row>
    <row r="1409" spans="1:28">
      <c r="A1409" s="27">
        <v>44456</v>
      </c>
      <c r="B1409" s="24">
        <v>1269.75</v>
      </c>
      <c r="C1409" s="25">
        <f t="shared" si="214"/>
        <v>-3.3907085168004398E-3</v>
      </c>
      <c r="E1409" s="25">
        <f t="shared" si="228"/>
        <v>0.67147144775294221</v>
      </c>
      <c r="F1409" s="25">
        <f t="shared" si="225"/>
        <v>0.29868816671800813</v>
      </c>
      <c r="G1409" s="25">
        <f t="shared" si="222"/>
        <v>0.18460575076576102</v>
      </c>
      <c r="H1409" s="25">
        <f t="shared" si="219"/>
        <v>0.1517984533346235</v>
      </c>
      <c r="I1409" s="25">
        <f t="shared" si="216"/>
        <v>0.16436793915120518</v>
      </c>
      <c r="K1409" s="29">
        <v>44456</v>
      </c>
      <c r="L1409" s="24">
        <v>22987.759999999998</v>
      </c>
      <c r="M1409" s="25">
        <f t="shared" si="215"/>
        <v>-5.1470869715015011E-3</v>
      </c>
      <c r="O1409" t="b">
        <f t="shared" si="213"/>
        <v>1</v>
      </c>
      <c r="Q1409" s="25">
        <f t="shared" si="229"/>
        <v>0.63077708886082751</v>
      </c>
      <c r="R1409" s="25">
        <f t="shared" si="226"/>
        <v>0.28917245529080038</v>
      </c>
      <c r="S1409" s="25">
        <f t="shared" si="223"/>
        <v>0.17410585872435402</v>
      </c>
      <c r="T1409" s="25">
        <f t="shared" si="220"/>
        <v>0.15809314004339847</v>
      </c>
      <c r="U1409" s="25">
        <f t="shared" si="217"/>
        <v>0.16277958795747405</v>
      </c>
      <c r="X1409">
        <f t="shared" si="230"/>
        <v>1</v>
      </c>
      <c r="Y1409">
        <f t="shared" si="227"/>
        <v>1</v>
      </c>
      <c r="Z1409">
        <f t="shared" si="224"/>
        <v>1</v>
      </c>
      <c r="AA1409">
        <f t="shared" si="221"/>
        <v>0</v>
      </c>
      <c r="AB1409">
        <f t="shared" si="218"/>
        <v>1</v>
      </c>
    </row>
    <row r="1410" spans="1:28">
      <c r="A1410" s="26">
        <v>44459</v>
      </c>
      <c r="B1410" s="23">
        <v>1251.97</v>
      </c>
      <c r="C1410" s="25">
        <f t="shared" si="214"/>
        <v>-1.4002756448119687E-2</v>
      </c>
      <c r="E1410" s="25">
        <f t="shared" si="228"/>
        <v>0.65779925847457621</v>
      </c>
      <c r="F1410" s="25">
        <f t="shared" si="225"/>
        <v>0.27100163701323488</v>
      </c>
      <c r="G1410" s="25">
        <f t="shared" si="222"/>
        <v>0.18083099908234357</v>
      </c>
      <c r="H1410" s="25">
        <f t="shared" si="219"/>
        <v>0.15020006714341982</v>
      </c>
      <c r="I1410" s="25">
        <f t="shared" si="216"/>
        <v>0.16076405234761304</v>
      </c>
      <c r="K1410" s="28">
        <v>44459</v>
      </c>
      <c r="L1410" s="23">
        <v>22681.84</v>
      </c>
      <c r="M1410" s="25">
        <f t="shared" si="215"/>
        <v>-1.3487441935927519E-2</v>
      </c>
      <c r="O1410" t="b">
        <f t="shared" si="213"/>
        <v>1</v>
      </c>
      <c r="Q1410" s="25">
        <f t="shared" si="229"/>
        <v>0.62637205046793842</v>
      </c>
      <c r="R1410" s="25">
        <f t="shared" si="226"/>
        <v>0.263163146007656</v>
      </c>
      <c r="S1410" s="25">
        <f t="shared" si="223"/>
        <v>0.17081167402103636</v>
      </c>
      <c r="T1410" s="25">
        <f t="shared" si="220"/>
        <v>0.15753604712482372</v>
      </c>
      <c r="U1410" s="25">
        <f t="shared" si="217"/>
        <v>0.15962396334497986</v>
      </c>
      <c r="X1410">
        <f t="shared" si="230"/>
        <v>1</v>
      </c>
      <c r="Y1410">
        <f t="shared" si="227"/>
        <v>1</v>
      </c>
      <c r="Z1410">
        <f t="shared" si="224"/>
        <v>1</v>
      </c>
      <c r="AA1410">
        <f t="shared" si="221"/>
        <v>0</v>
      </c>
      <c r="AB1410">
        <f t="shared" si="218"/>
        <v>1</v>
      </c>
    </row>
    <row r="1411" spans="1:28">
      <c r="A1411" s="27">
        <v>44460</v>
      </c>
      <c r="B1411" s="24">
        <v>1259.75</v>
      </c>
      <c r="C1411" s="25">
        <f t="shared" si="214"/>
        <v>6.2142064106967196E-3</v>
      </c>
      <c r="E1411" s="25">
        <f t="shared" si="228"/>
        <v>0.67933080050656547</v>
      </c>
      <c r="F1411" s="25">
        <f t="shared" si="225"/>
        <v>0.27648560229509012</v>
      </c>
      <c r="G1411" s="25">
        <f t="shared" si="222"/>
        <v>0.1902152817453775</v>
      </c>
      <c r="H1411" s="25">
        <f t="shared" si="219"/>
        <v>0.15152429335760642</v>
      </c>
      <c r="I1411" s="25">
        <f t="shared" si="216"/>
        <v>0.15914063911340559</v>
      </c>
      <c r="K1411" s="29">
        <v>44460</v>
      </c>
      <c r="L1411" s="24">
        <v>22865.1</v>
      </c>
      <c r="M1411" s="25">
        <f t="shared" si="215"/>
        <v>8.0148348356227795E-3</v>
      </c>
      <c r="O1411" t="b">
        <f t="shared" ref="O1411:O1474" si="231">K1411=A1411</f>
        <v>1</v>
      </c>
      <c r="Q1411" s="25">
        <f t="shared" si="229"/>
        <v>0.64300080407166349</v>
      </c>
      <c r="R1411" s="25">
        <f t="shared" si="226"/>
        <v>0.26904476864870941</v>
      </c>
      <c r="S1411" s="25">
        <f t="shared" si="223"/>
        <v>0.17892385712492498</v>
      </c>
      <c r="T1411" s="25">
        <f t="shared" si="220"/>
        <v>0.15932173011103634</v>
      </c>
      <c r="U1411" s="25">
        <f t="shared" si="217"/>
        <v>0.1589802273053551</v>
      </c>
      <c r="X1411">
        <f t="shared" si="230"/>
        <v>1</v>
      </c>
      <c r="Y1411">
        <f t="shared" si="227"/>
        <v>1</v>
      </c>
      <c r="Z1411">
        <f t="shared" si="224"/>
        <v>1</v>
      </c>
      <c r="AA1411">
        <f t="shared" si="221"/>
        <v>0</v>
      </c>
      <c r="AB1411">
        <f t="shared" si="218"/>
        <v>1</v>
      </c>
    </row>
    <row r="1412" spans="1:28">
      <c r="A1412" s="26">
        <v>44461</v>
      </c>
      <c r="B1412" s="23">
        <v>1265.01</v>
      </c>
      <c r="C1412" s="25">
        <f t="shared" ref="C1412:C1475" si="232">(B1412-B1411)/B1411</f>
        <v>4.1754316332605606E-3</v>
      </c>
      <c r="E1412" s="25">
        <f t="shared" si="228"/>
        <v>0.73030680217209909</v>
      </c>
      <c r="F1412" s="25">
        <f t="shared" si="225"/>
        <v>0.29024330633740836</v>
      </c>
      <c r="G1412" s="25">
        <f t="shared" si="222"/>
        <v>0.201224226277124</v>
      </c>
      <c r="H1412" s="25">
        <f t="shared" si="219"/>
        <v>0.15688865276500752</v>
      </c>
      <c r="I1412" s="25">
        <f t="shared" si="216"/>
        <v>0.16021109799059352</v>
      </c>
      <c r="K1412" s="28">
        <v>44461</v>
      </c>
      <c r="L1412" s="23">
        <v>22932.93</v>
      </c>
      <c r="M1412" s="25">
        <f t="shared" ref="M1412:M1475" si="233">(L1412-L1411)/L1412</f>
        <v>2.9577555070373364E-3</v>
      </c>
      <c r="O1412" t="b">
        <f t="shared" si="231"/>
        <v>1</v>
      </c>
      <c r="Q1412" s="25">
        <f t="shared" si="229"/>
        <v>0.69385599558013999</v>
      </c>
      <c r="R1412" s="25">
        <f t="shared" si="226"/>
        <v>0.27977691156491757</v>
      </c>
      <c r="S1412" s="25">
        <f t="shared" si="223"/>
        <v>0.18779914473468629</v>
      </c>
      <c r="T1412" s="25">
        <f t="shared" si="220"/>
        <v>0.16470291307781726</v>
      </c>
      <c r="U1412" s="25">
        <f t="shared" si="217"/>
        <v>0.16022230666860637</v>
      </c>
      <c r="X1412">
        <f t="shared" si="230"/>
        <v>1</v>
      </c>
      <c r="Y1412">
        <f t="shared" si="227"/>
        <v>1</v>
      </c>
      <c r="Z1412">
        <f t="shared" si="224"/>
        <v>1</v>
      </c>
      <c r="AA1412">
        <f t="shared" si="221"/>
        <v>0</v>
      </c>
      <c r="AB1412">
        <f t="shared" si="218"/>
        <v>0</v>
      </c>
    </row>
    <row r="1413" spans="1:28">
      <c r="A1413" s="27">
        <v>44462</v>
      </c>
      <c r="B1413" s="24">
        <v>1279.78</v>
      </c>
      <c r="C1413" s="25">
        <f t="shared" si="232"/>
        <v>1.1675797029272482E-2</v>
      </c>
      <c r="E1413" s="25">
        <f t="shared" si="228"/>
        <v>0.70610035727616904</v>
      </c>
      <c r="F1413" s="25">
        <f t="shared" si="225"/>
        <v>0.28662691328149248</v>
      </c>
      <c r="G1413" s="25">
        <f t="shared" si="222"/>
        <v>0.20322182393610366</v>
      </c>
      <c r="H1413" s="25">
        <f t="shared" si="219"/>
        <v>0.15851176911536813</v>
      </c>
      <c r="I1413" s="25">
        <f t="shared" si="216"/>
        <v>0.16437436965215735</v>
      </c>
      <c r="K1413" s="29">
        <v>44462</v>
      </c>
      <c r="L1413" s="24">
        <v>23261.84</v>
      </c>
      <c r="M1413" s="25">
        <f t="shared" si="233"/>
        <v>1.4139466181523038E-2</v>
      </c>
      <c r="O1413" t="b">
        <f t="shared" si="231"/>
        <v>1</v>
      </c>
      <c r="Q1413" s="25">
        <f t="shared" si="229"/>
        <v>0.6784911803203455</v>
      </c>
      <c r="R1413" s="25">
        <f t="shared" si="226"/>
        <v>0.28210488904914355</v>
      </c>
      <c r="S1413" s="25">
        <f t="shared" si="223"/>
        <v>0.19087150040385059</v>
      </c>
      <c r="T1413" s="25">
        <f t="shared" si="220"/>
        <v>0.16762104625880503</v>
      </c>
      <c r="U1413" s="25">
        <f t="shared" si="217"/>
        <v>0.16586041018786224</v>
      </c>
      <c r="X1413">
        <f t="shared" si="230"/>
        <v>1</v>
      </c>
      <c r="Y1413">
        <f t="shared" si="227"/>
        <v>1</v>
      </c>
      <c r="Z1413">
        <f t="shared" si="224"/>
        <v>1</v>
      </c>
      <c r="AA1413">
        <f t="shared" si="221"/>
        <v>0</v>
      </c>
      <c r="AB1413">
        <f t="shared" si="218"/>
        <v>0</v>
      </c>
    </row>
    <row r="1414" spans="1:28">
      <c r="A1414" s="26">
        <v>44463</v>
      </c>
      <c r="B1414" s="23">
        <v>1279.81</v>
      </c>
      <c r="C1414" s="25">
        <f t="shared" si="232"/>
        <v>2.3441529012777755E-5</v>
      </c>
      <c r="E1414" s="25">
        <f t="shared" si="228"/>
        <v>0.67053034159585434</v>
      </c>
      <c r="F1414" s="25">
        <f t="shared" si="225"/>
        <v>0.29191675124008798</v>
      </c>
      <c r="G1414" s="25">
        <f t="shared" si="222"/>
        <v>0.20227737859424555</v>
      </c>
      <c r="H1414" s="25">
        <f t="shared" si="219"/>
        <v>0.1570717789503584</v>
      </c>
      <c r="I1414" s="25">
        <f t="shared" si="216"/>
        <v>0.16403352658257453</v>
      </c>
      <c r="K1414" s="28">
        <v>44463</v>
      </c>
      <c r="L1414" s="23">
        <v>23241.27</v>
      </c>
      <c r="M1414" s="25">
        <f t="shared" si="233"/>
        <v>-8.8506350986842413E-4</v>
      </c>
      <c r="O1414" t="b">
        <f t="shared" si="231"/>
        <v>1</v>
      </c>
      <c r="Q1414" s="25">
        <f t="shared" si="229"/>
        <v>0.64570024117679559</v>
      </c>
      <c r="R1414" s="25">
        <f t="shared" si="226"/>
        <v>0.28482148302744714</v>
      </c>
      <c r="S1414" s="25">
        <f t="shared" si="223"/>
        <v>0.19056647726634379</v>
      </c>
      <c r="T1414" s="25">
        <f t="shared" si="220"/>
        <v>0.16590320999050068</v>
      </c>
      <c r="U1414" s="25">
        <f t="shared" si="217"/>
        <v>0.16595789542973582</v>
      </c>
      <c r="X1414">
        <f t="shared" si="230"/>
        <v>1</v>
      </c>
      <c r="Y1414">
        <f t="shared" si="227"/>
        <v>1</v>
      </c>
      <c r="Z1414">
        <f t="shared" si="224"/>
        <v>1</v>
      </c>
      <c r="AA1414">
        <f t="shared" si="221"/>
        <v>0</v>
      </c>
      <c r="AB1414">
        <f t="shared" si="218"/>
        <v>0</v>
      </c>
    </row>
    <row r="1415" spans="1:28">
      <c r="A1415" s="27">
        <v>44466</v>
      </c>
      <c r="B1415" s="24">
        <v>1274.8800000000001</v>
      </c>
      <c r="C1415" s="25">
        <f t="shared" si="232"/>
        <v>-3.8521343011852045E-3</v>
      </c>
      <c r="E1415" s="25">
        <f t="shared" si="228"/>
        <v>0.67028705438442504</v>
      </c>
      <c r="F1415" s="25">
        <f t="shared" si="225"/>
        <v>0.29490064358918167</v>
      </c>
      <c r="G1415" s="25">
        <f t="shared" si="222"/>
        <v>0.20710314841890565</v>
      </c>
      <c r="H1415" s="25">
        <f t="shared" si="219"/>
        <v>0.15392893718773815</v>
      </c>
      <c r="I1415" s="25">
        <f t="shared" si="216"/>
        <v>0.16045420833038837</v>
      </c>
      <c r="K1415" s="29">
        <v>44466</v>
      </c>
      <c r="L1415" s="24">
        <v>23236.799999999999</v>
      </c>
      <c r="M1415" s="25">
        <f t="shared" si="233"/>
        <v>-1.9236727948775925E-4</v>
      </c>
      <c r="O1415" t="b">
        <f t="shared" si="231"/>
        <v>1</v>
      </c>
      <c r="Q1415" s="25">
        <f t="shared" si="229"/>
        <v>0.64724647235838906</v>
      </c>
      <c r="R1415" s="25">
        <f t="shared" si="226"/>
        <v>0.28845185916136207</v>
      </c>
      <c r="S1415" s="25">
        <f t="shared" si="223"/>
        <v>0.19478427791752484</v>
      </c>
      <c r="T1415" s="25">
        <f t="shared" si="220"/>
        <v>0.16374288582137009</v>
      </c>
      <c r="U1415" s="25">
        <f t="shared" si="217"/>
        <v>0.1645136761480781</v>
      </c>
      <c r="X1415">
        <f t="shared" si="230"/>
        <v>1</v>
      </c>
      <c r="Y1415">
        <f t="shared" si="227"/>
        <v>1</v>
      </c>
      <c r="Z1415">
        <f t="shared" si="224"/>
        <v>1</v>
      </c>
      <c r="AA1415">
        <f t="shared" si="221"/>
        <v>0</v>
      </c>
      <c r="AB1415">
        <f t="shared" si="218"/>
        <v>0</v>
      </c>
    </row>
    <row r="1416" spans="1:28">
      <c r="A1416" s="26">
        <v>44467</v>
      </c>
      <c r="B1416" s="23">
        <v>1262.6199999999999</v>
      </c>
      <c r="C1416" s="25">
        <f t="shared" si="232"/>
        <v>-9.6165913654620173E-3</v>
      </c>
      <c r="E1416" s="25">
        <f t="shared" si="228"/>
        <v>0.65145510430972453</v>
      </c>
      <c r="F1416" s="25">
        <f t="shared" si="225"/>
        <v>0.29679494217147862</v>
      </c>
      <c r="G1416" s="25">
        <f t="shared" si="222"/>
        <v>0.20855814993265409</v>
      </c>
      <c r="H1416" s="25">
        <f t="shared" si="219"/>
        <v>0.15073678066421325</v>
      </c>
      <c r="I1416" s="25">
        <f t="shared" si="216"/>
        <v>0.1642174130124201</v>
      </c>
      <c r="K1416" s="28">
        <v>44467</v>
      </c>
      <c r="L1416" s="23">
        <v>23094.75</v>
      </c>
      <c r="M1416" s="25">
        <f t="shared" si="233"/>
        <v>-6.1507485467476057E-3</v>
      </c>
      <c r="O1416" t="b">
        <f t="shared" si="231"/>
        <v>1</v>
      </c>
      <c r="Q1416" s="25">
        <f t="shared" si="229"/>
        <v>0.63331749150269667</v>
      </c>
      <c r="R1416" s="25">
        <f t="shared" si="226"/>
        <v>0.29175442639272786</v>
      </c>
      <c r="S1416" s="25">
        <f t="shared" si="223"/>
        <v>0.19609757460062527</v>
      </c>
      <c r="T1416" s="25">
        <f t="shared" si="220"/>
        <v>0.16047327652472965</v>
      </c>
      <c r="U1416" s="25">
        <f t="shared" si="217"/>
        <v>0.16867814590116681</v>
      </c>
      <c r="X1416">
        <f t="shared" si="230"/>
        <v>1</v>
      </c>
      <c r="Y1416">
        <f t="shared" si="227"/>
        <v>1</v>
      </c>
      <c r="Z1416">
        <f t="shared" si="224"/>
        <v>1</v>
      </c>
      <c r="AA1416">
        <f t="shared" si="221"/>
        <v>0</v>
      </c>
      <c r="AB1416">
        <f t="shared" si="218"/>
        <v>0</v>
      </c>
    </row>
    <row r="1417" spans="1:28">
      <c r="A1417" s="27">
        <v>44468</v>
      </c>
      <c r="B1417" s="24">
        <v>1264.4000000000001</v>
      </c>
      <c r="C1417" s="25">
        <f t="shared" si="232"/>
        <v>1.4097669924444411E-3</v>
      </c>
      <c r="E1417" s="25">
        <f t="shared" si="228"/>
        <v>0.63268468421936164</v>
      </c>
      <c r="F1417" s="25">
        <f t="shared" si="225"/>
        <v>0.30142339968842857</v>
      </c>
      <c r="G1417" s="25">
        <f t="shared" si="222"/>
        <v>0.20464572468506881</v>
      </c>
      <c r="H1417" s="25">
        <f t="shared" si="219"/>
        <v>0.15074281183522897</v>
      </c>
      <c r="I1417" s="25">
        <f t="shared" si="216"/>
        <v>0.16031136963676884</v>
      </c>
      <c r="K1417" s="29">
        <v>44468</v>
      </c>
      <c r="L1417" s="24">
        <v>23081.51</v>
      </c>
      <c r="M1417" s="25">
        <f t="shared" si="233"/>
        <v>-5.7361931693384021E-4</v>
      </c>
      <c r="O1417" t="b">
        <f t="shared" si="231"/>
        <v>1</v>
      </c>
      <c r="Q1417" s="25">
        <f t="shared" si="229"/>
        <v>0.61168872701678323</v>
      </c>
      <c r="R1417" s="25">
        <f t="shared" si="226"/>
        <v>0.29405010678604615</v>
      </c>
      <c r="S1417" s="25">
        <f t="shared" si="223"/>
        <v>0.19371120492131211</v>
      </c>
      <c r="T1417" s="25">
        <f t="shared" si="220"/>
        <v>0.16032035886052753</v>
      </c>
      <c r="U1417" s="25">
        <f t="shared" si="217"/>
        <v>0.16670648517284503</v>
      </c>
      <c r="X1417">
        <f t="shared" si="230"/>
        <v>1</v>
      </c>
      <c r="Y1417">
        <f t="shared" si="227"/>
        <v>1</v>
      </c>
      <c r="Z1417">
        <f t="shared" si="224"/>
        <v>1</v>
      </c>
      <c r="AA1417">
        <f t="shared" si="221"/>
        <v>0</v>
      </c>
      <c r="AB1417">
        <f t="shared" si="218"/>
        <v>0</v>
      </c>
    </row>
    <row r="1418" spans="1:28">
      <c r="A1418" s="26">
        <v>44469</v>
      </c>
      <c r="B1418" s="23">
        <v>1261.94</v>
      </c>
      <c r="C1418" s="25">
        <f t="shared" si="232"/>
        <v>-1.9455868396077477E-3</v>
      </c>
      <c r="E1418" s="25">
        <f t="shared" si="228"/>
        <v>0.62171817772922977</v>
      </c>
      <c r="F1418" s="25">
        <f t="shared" si="225"/>
        <v>0.31076082542040195</v>
      </c>
      <c r="G1418" s="25">
        <f t="shared" si="222"/>
        <v>0.2078403911301685</v>
      </c>
      <c r="H1418" s="25">
        <f t="shared" si="219"/>
        <v>0.14756962186064371</v>
      </c>
      <c r="I1418" s="25">
        <f t="shared" si="216"/>
        <v>0.15503162188464281</v>
      </c>
      <c r="K1418" s="28">
        <v>44469</v>
      </c>
      <c r="L1418" s="23">
        <v>23029.08</v>
      </c>
      <c r="M1418" s="25">
        <f t="shared" si="233"/>
        <v>-2.2766866935195261E-3</v>
      </c>
      <c r="O1418" t="b">
        <f t="shared" si="231"/>
        <v>1</v>
      </c>
      <c r="Q1418" s="25">
        <f t="shared" si="229"/>
        <v>0.59880088614458393</v>
      </c>
      <c r="R1418" s="25">
        <f t="shared" si="226"/>
        <v>0.30014572854062971</v>
      </c>
      <c r="S1418" s="25">
        <f t="shared" si="223"/>
        <v>0.19756358431882237</v>
      </c>
      <c r="T1418" s="25">
        <f t="shared" si="220"/>
        <v>0.15698074151625607</v>
      </c>
      <c r="U1418" s="25">
        <f t="shared" si="217"/>
        <v>0.16189015496060799</v>
      </c>
      <c r="X1418">
        <f t="shared" si="230"/>
        <v>1</v>
      </c>
      <c r="Y1418">
        <f t="shared" si="227"/>
        <v>1</v>
      </c>
      <c r="Z1418">
        <f t="shared" si="224"/>
        <v>1</v>
      </c>
      <c r="AA1418">
        <f t="shared" si="221"/>
        <v>0</v>
      </c>
      <c r="AB1418">
        <f t="shared" si="218"/>
        <v>0</v>
      </c>
    </row>
    <row r="1419" spans="1:28">
      <c r="A1419" s="27">
        <v>44470</v>
      </c>
      <c r="B1419" s="24">
        <v>1258.8599999999999</v>
      </c>
      <c r="C1419" s="25">
        <f t="shared" si="232"/>
        <v>-2.4406865619602792E-3</v>
      </c>
      <c r="E1419" s="25">
        <f t="shared" si="228"/>
        <v>0.60433818469145861</v>
      </c>
      <c r="F1419" s="25">
        <f t="shared" si="225"/>
        <v>0.3117882649555217</v>
      </c>
      <c r="G1419" s="25">
        <f t="shared" si="222"/>
        <v>0.21424325624448115</v>
      </c>
      <c r="H1419" s="25">
        <f t="shared" si="219"/>
        <v>0.14672695805337699</v>
      </c>
      <c r="I1419" s="25">
        <f t="shared" si="216"/>
        <v>0.15300590096443756</v>
      </c>
      <c r="K1419" s="29">
        <v>44470</v>
      </c>
      <c r="L1419" s="24">
        <v>22969.86</v>
      </c>
      <c r="M1419" s="25">
        <f t="shared" si="233"/>
        <v>-2.5781611207034419E-3</v>
      </c>
      <c r="O1419" t="b">
        <f t="shared" si="231"/>
        <v>1</v>
      </c>
      <c r="Q1419" s="25">
        <f t="shared" si="229"/>
        <v>0.57711284287136544</v>
      </c>
      <c r="R1419" s="25">
        <f t="shared" si="226"/>
        <v>0.30212825179425051</v>
      </c>
      <c r="S1419" s="25">
        <f t="shared" si="223"/>
        <v>0.2055600916642577</v>
      </c>
      <c r="T1419" s="25">
        <f t="shared" si="220"/>
        <v>0.15587888475118916</v>
      </c>
      <c r="U1419" s="25">
        <f t="shared" si="217"/>
        <v>0.16020183439191826</v>
      </c>
      <c r="X1419">
        <f t="shared" si="230"/>
        <v>1</v>
      </c>
      <c r="Y1419">
        <f t="shared" si="227"/>
        <v>1</v>
      </c>
      <c r="Z1419">
        <f t="shared" si="224"/>
        <v>1</v>
      </c>
      <c r="AA1419">
        <f t="shared" si="221"/>
        <v>0</v>
      </c>
      <c r="AB1419">
        <f t="shared" si="218"/>
        <v>0</v>
      </c>
    </row>
    <row r="1420" spans="1:28">
      <c r="A1420" s="26">
        <v>44473</v>
      </c>
      <c r="B1420" s="23">
        <v>1274.21</v>
      </c>
      <c r="C1420" s="25">
        <f t="shared" si="232"/>
        <v>1.2193571961933922E-2</v>
      </c>
      <c r="E1420" s="25">
        <f t="shared" si="228"/>
        <v>0.62094671093640685</v>
      </c>
      <c r="F1420" s="25">
        <f t="shared" si="225"/>
        <v>0.30574534162293698</v>
      </c>
      <c r="G1420" s="25">
        <f t="shared" si="222"/>
        <v>0.22774493083458891</v>
      </c>
      <c r="H1420" s="25">
        <f t="shared" si="219"/>
        <v>0.14974509427175975</v>
      </c>
      <c r="I1420" s="25">
        <f t="shared" si="216"/>
        <v>0.15463274517867975</v>
      </c>
      <c r="K1420" s="28">
        <v>44473</v>
      </c>
      <c r="L1420" s="23">
        <v>23225.63</v>
      </c>
      <c r="M1420" s="25">
        <f t="shared" si="233"/>
        <v>1.1012403108118076E-2</v>
      </c>
      <c r="O1420" t="b">
        <f t="shared" si="231"/>
        <v>1</v>
      </c>
      <c r="Q1420" s="25">
        <f t="shared" si="229"/>
        <v>0.58936505818389606</v>
      </c>
      <c r="R1420" s="25">
        <f t="shared" si="226"/>
        <v>0.29952900557727724</v>
      </c>
      <c r="S1420" s="25">
        <f t="shared" si="223"/>
        <v>0.22067588322793741</v>
      </c>
      <c r="T1420" s="25">
        <f t="shared" si="220"/>
        <v>0.15783073733092823</v>
      </c>
      <c r="U1420" s="25">
        <f t="shared" si="217"/>
        <v>0.16284059278843754</v>
      </c>
      <c r="X1420">
        <f t="shared" si="230"/>
        <v>1</v>
      </c>
      <c r="Y1420">
        <f t="shared" si="227"/>
        <v>1</v>
      </c>
      <c r="Z1420">
        <f t="shared" si="224"/>
        <v>1</v>
      </c>
      <c r="AA1420">
        <f t="shared" si="221"/>
        <v>0</v>
      </c>
      <c r="AB1420">
        <f t="shared" si="218"/>
        <v>0</v>
      </c>
    </row>
    <row r="1421" spans="1:28">
      <c r="A1421" s="27">
        <v>44474</v>
      </c>
      <c r="B1421" s="24">
        <v>1279.27</v>
      </c>
      <c r="C1421" s="25">
        <f t="shared" si="232"/>
        <v>3.9710879682312537E-3</v>
      </c>
      <c r="E1421" s="25">
        <f t="shared" si="228"/>
        <v>0.61732281473615003</v>
      </c>
      <c r="F1421" s="25">
        <f t="shared" si="225"/>
        <v>0.31649908952949057</v>
      </c>
      <c r="G1421" s="25">
        <f t="shared" si="222"/>
        <v>0.23393692479102812</v>
      </c>
      <c r="H1421" s="25">
        <f t="shared" si="219"/>
        <v>0.15312109592695022</v>
      </c>
      <c r="I1421" s="25">
        <f t="shared" si="216"/>
        <v>0.15642876316811183</v>
      </c>
      <c r="K1421" s="29">
        <v>44474</v>
      </c>
      <c r="L1421" s="24">
        <v>23377.08</v>
      </c>
      <c r="M1421" s="25">
        <f t="shared" si="233"/>
        <v>6.4785678964182315E-3</v>
      </c>
      <c r="O1421" t="b">
        <f t="shared" si="231"/>
        <v>1</v>
      </c>
      <c r="Q1421" s="25">
        <f t="shared" si="229"/>
        <v>0.59028404197568163</v>
      </c>
      <c r="R1421" s="25">
        <f t="shared" si="226"/>
        <v>0.30841532366369728</v>
      </c>
      <c r="S1421" s="25">
        <f t="shared" si="223"/>
        <v>0.22438128855453154</v>
      </c>
      <c r="T1421" s="25">
        <f t="shared" si="220"/>
        <v>0.16116244292323012</v>
      </c>
      <c r="U1421" s="25">
        <f t="shared" si="217"/>
        <v>0.16522491821697449</v>
      </c>
      <c r="X1421">
        <f t="shared" si="230"/>
        <v>1</v>
      </c>
      <c r="Y1421">
        <f t="shared" si="227"/>
        <v>1</v>
      </c>
      <c r="Z1421">
        <f t="shared" si="224"/>
        <v>1</v>
      </c>
      <c r="AA1421">
        <f t="shared" si="221"/>
        <v>0</v>
      </c>
      <c r="AB1421">
        <f t="shared" si="218"/>
        <v>0</v>
      </c>
    </row>
    <row r="1422" spans="1:28">
      <c r="A1422" s="26">
        <v>44475</v>
      </c>
      <c r="B1422" s="23">
        <v>1268.27</v>
      </c>
      <c r="C1422" s="25">
        <f t="shared" si="232"/>
        <v>-8.5986539198136432E-3</v>
      </c>
      <c r="E1422" s="25">
        <f t="shared" si="228"/>
        <v>0.59482671897791861</v>
      </c>
      <c r="F1422" s="25">
        <f t="shared" si="225"/>
        <v>0.30616337665529314</v>
      </c>
      <c r="G1422" s="25">
        <f t="shared" si="222"/>
        <v>0.23021537923774127</v>
      </c>
      <c r="H1422" s="25">
        <f t="shared" si="219"/>
        <v>0.14779725385699272</v>
      </c>
      <c r="I1422" s="25">
        <f t="shared" si="216"/>
        <v>0.15472825616344998</v>
      </c>
      <c r="K1422" s="28">
        <v>44475</v>
      </c>
      <c r="L1422" s="23">
        <v>23154.34</v>
      </c>
      <c r="M1422" s="25">
        <f t="shared" si="233"/>
        <v>-9.6197948203231697E-3</v>
      </c>
      <c r="O1422" t="b">
        <f t="shared" si="231"/>
        <v>1</v>
      </c>
      <c r="Q1422" s="25">
        <f t="shared" si="229"/>
        <v>0.56894331992584313</v>
      </c>
      <c r="R1422" s="25">
        <f t="shared" si="226"/>
        <v>0.29870310492067476</v>
      </c>
      <c r="S1422" s="25">
        <f t="shared" si="223"/>
        <v>0.22236163263846342</v>
      </c>
      <c r="T1422" s="25">
        <f t="shared" si="220"/>
        <v>0.15519280576712235</v>
      </c>
      <c r="U1422" s="25">
        <f t="shared" si="217"/>
        <v>0.16330736418640068</v>
      </c>
      <c r="X1422">
        <f t="shared" si="230"/>
        <v>1</v>
      </c>
      <c r="Y1422">
        <f t="shared" si="227"/>
        <v>1</v>
      </c>
      <c r="Z1422">
        <f t="shared" si="224"/>
        <v>1</v>
      </c>
      <c r="AA1422">
        <f t="shared" si="221"/>
        <v>0</v>
      </c>
      <c r="AB1422">
        <f t="shared" si="218"/>
        <v>0</v>
      </c>
    </row>
    <row r="1423" spans="1:28">
      <c r="A1423" s="27">
        <v>44476</v>
      </c>
      <c r="B1423" s="24">
        <v>1282.3599999999999</v>
      </c>
      <c r="C1423" s="25">
        <f t="shared" si="232"/>
        <v>1.1109621768235406E-2</v>
      </c>
      <c r="E1423" s="25">
        <f t="shared" si="228"/>
        <v>0.61402625517614617</v>
      </c>
      <c r="F1423" s="25">
        <f t="shared" si="225"/>
        <v>0.31046700171671104</v>
      </c>
      <c r="G1423" s="25">
        <f t="shared" si="222"/>
        <v>0.22481995917103514</v>
      </c>
      <c r="H1423" s="25">
        <f t="shared" si="219"/>
        <v>0.14995823985735712</v>
      </c>
      <c r="I1423" s="25">
        <f t="shared" si="216"/>
        <v>0.15610229067639003</v>
      </c>
      <c r="K1423" s="29">
        <v>44476</v>
      </c>
      <c r="L1423" s="24">
        <v>23392.45</v>
      </c>
      <c r="M1423" s="25">
        <f t="shared" si="233"/>
        <v>1.0178925251523486E-2</v>
      </c>
      <c r="O1423" t="b">
        <f t="shared" si="231"/>
        <v>1</v>
      </c>
      <c r="Q1423" s="25">
        <f t="shared" si="229"/>
        <v>0.58585785314013084</v>
      </c>
      <c r="R1423" s="25">
        <f t="shared" si="226"/>
        <v>0.30314481904970947</v>
      </c>
      <c r="S1423" s="25">
        <f t="shared" si="223"/>
        <v>0.21780460751648745</v>
      </c>
      <c r="T1423" s="25">
        <f t="shared" si="220"/>
        <v>0.15662007798991073</v>
      </c>
      <c r="U1423" s="25">
        <f t="shared" si="217"/>
        <v>0.16551886035797292</v>
      </c>
      <c r="X1423">
        <f t="shared" si="230"/>
        <v>1</v>
      </c>
      <c r="Y1423">
        <f t="shared" si="227"/>
        <v>1</v>
      </c>
      <c r="Z1423">
        <f t="shared" si="224"/>
        <v>1</v>
      </c>
      <c r="AA1423">
        <f t="shared" si="221"/>
        <v>0</v>
      </c>
      <c r="AB1423">
        <f t="shared" si="218"/>
        <v>0</v>
      </c>
    </row>
    <row r="1424" spans="1:28">
      <c r="A1424" s="26">
        <v>44477</v>
      </c>
      <c r="B1424" s="23">
        <v>1286.81</v>
      </c>
      <c r="C1424" s="25">
        <f t="shared" si="232"/>
        <v>3.4701643844162683E-3</v>
      </c>
      <c r="E1424" s="25">
        <f t="shared" si="228"/>
        <v>0.62416539398452597</v>
      </c>
      <c r="F1424" s="25">
        <f t="shared" si="225"/>
        <v>0.30850499471670867</v>
      </c>
      <c r="G1424" s="25">
        <f t="shared" si="222"/>
        <v>0.2349674844571652</v>
      </c>
      <c r="H1424" s="25">
        <f t="shared" si="219"/>
        <v>0.14932411014166136</v>
      </c>
      <c r="I1424" s="25">
        <f t="shared" si="216"/>
        <v>0.16018828774358007</v>
      </c>
      <c r="K1424" s="28">
        <v>44477</v>
      </c>
      <c r="L1424" s="23">
        <v>23507.21</v>
      </c>
      <c r="M1424" s="25">
        <f t="shared" si="233"/>
        <v>4.8819064448736536E-3</v>
      </c>
      <c r="O1424" t="b">
        <f t="shared" si="231"/>
        <v>1</v>
      </c>
      <c r="Q1424" s="25">
        <f t="shared" si="229"/>
        <v>0.59508795738689368</v>
      </c>
      <c r="R1424" s="25">
        <f t="shared" si="226"/>
        <v>0.30200946150034813</v>
      </c>
      <c r="S1424" s="25">
        <f t="shared" si="223"/>
        <v>0.22841395855182722</v>
      </c>
      <c r="T1424" s="25">
        <f t="shared" si="220"/>
        <v>0.15648506432517673</v>
      </c>
      <c r="U1424" s="25">
        <f t="shared" si="217"/>
        <v>0.17023564254092927</v>
      </c>
      <c r="X1424">
        <f t="shared" si="230"/>
        <v>1</v>
      </c>
      <c r="Y1424">
        <f t="shared" si="227"/>
        <v>1</v>
      </c>
      <c r="Z1424">
        <f t="shared" si="224"/>
        <v>1</v>
      </c>
      <c r="AA1424">
        <f t="shared" si="221"/>
        <v>0</v>
      </c>
      <c r="AB1424">
        <f t="shared" si="218"/>
        <v>0</v>
      </c>
    </row>
    <row r="1425" spans="1:28">
      <c r="A1425" s="27">
        <v>44480</v>
      </c>
      <c r="B1425" s="24">
        <v>1292.9100000000001</v>
      </c>
      <c r="C1425" s="25">
        <f t="shared" si="232"/>
        <v>4.7404045663308001E-3</v>
      </c>
      <c r="E1425" s="25">
        <f t="shared" si="228"/>
        <v>0.62513669444549191</v>
      </c>
      <c r="F1425" s="25">
        <f t="shared" si="225"/>
        <v>0.31055689745854531</v>
      </c>
      <c r="G1425" s="25">
        <f t="shared" si="222"/>
        <v>0.22576814825978331</v>
      </c>
      <c r="H1425" s="25">
        <f t="shared" si="219"/>
        <v>0.15030180143712357</v>
      </c>
      <c r="I1425" s="25">
        <f t="shared" si="216"/>
        <v>0.16069898223870771</v>
      </c>
      <c r="K1425" s="29">
        <v>44480</v>
      </c>
      <c r="L1425" s="24">
        <v>23603.3</v>
      </c>
      <c r="M1425" s="25">
        <f t="shared" si="233"/>
        <v>4.0710409137705381E-3</v>
      </c>
      <c r="O1425" t="b">
        <f t="shared" si="231"/>
        <v>1</v>
      </c>
      <c r="Q1425" s="25">
        <f t="shared" si="229"/>
        <v>0.59691189593920124</v>
      </c>
      <c r="R1425" s="25">
        <f t="shared" si="226"/>
        <v>0.3026988507285886</v>
      </c>
      <c r="S1425" s="25">
        <f t="shared" si="223"/>
        <v>0.22058716695981961</v>
      </c>
      <c r="T1425" s="25">
        <f t="shared" si="220"/>
        <v>0.15711494485416044</v>
      </c>
      <c r="U1425" s="25">
        <f t="shared" si="217"/>
        <v>0.17051251154640812</v>
      </c>
      <c r="X1425">
        <f t="shared" si="230"/>
        <v>1</v>
      </c>
      <c r="Y1425">
        <f t="shared" si="227"/>
        <v>1</v>
      </c>
      <c r="Z1425">
        <f t="shared" si="224"/>
        <v>1</v>
      </c>
      <c r="AA1425">
        <f t="shared" si="221"/>
        <v>0</v>
      </c>
      <c r="AB1425">
        <f t="shared" si="218"/>
        <v>0</v>
      </c>
    </row>
    <row r="1426" spans="1:28">
      <c r="A1426" s="26">
        <v>44481</v>
      </c>
      <c r="B1426" s="23">
        <v>1295.57</v>
      </c>
      <c r="C1426" s="25">
        <f t="shared" si="232"/>
        <v>2.0573744498842569E-3</v>
      </c>
      <c r="E1426" s="25">
        <f t="shared" si="228"/>
        <v>0.66365329052969502</v>
      </c>
      <c r="F1426" s="25">
        <f t="shared" si="225"/>
        <v>0.3044910915399579</v>
      </c>
      <c r="G1426" s="25">
        <f t="shared" si="222"/>
        <v>0.22468061119211558</v>
      </c>
      <c r="H1426" s="25">
        <f t="shared" si="219"/>
        <v>0.15208444866156556</v>
      </c>
      <c r="I1426" s="25">
        <f t="shared" ref="I1426:I1489" si="234">((B1426/B195)^(1/5))-1</f>
        <v>0.16349450104250884</v>
      </c>
      <c r="K1426" s="28">
        <v>44481</v>
      </c>
      <c r="L1426" s="23">
        <v>23685.8</v>
      </c>
      <c r="M1426" s="25">
        <f t="shared" si="233"/>
        <v>3.4830995786504994E-3</v>
      </c>
      <c r="O1426" t="b">
        <f t="shared" si="231"/>
        <v>1</v>
      </c>
      <c r="Q1426" s="25">
        <f t="shared" si="229"/>
        <v>0.63829177969817974</v>
      </c>
      <c r="R1426" s="25">
        <f t="shared" si="226"/>
        <v>0.29691004585257397</v>
      </c>
      <c r="S1426" s="25">
        <f t="shared" si="223"/>
        <v>0.2199284015528864</v>
      </c>
      <c r="T1426" s="25">
        <f t="shared" si="220"/>
        <v>0.15869409564924508</v>
      </c>
      <c r="U1426" s="25">
        <f t="shared" ref="U1426:U1489" si="235">((L1426/L195)^(1/5))-1</f>
        <v>0.17307990385805616</v>
      </c>
      <c r="X1426">
        <f t="shared" si="230"/>
        <v>1</v>
      </c>
      <c r="Y1426">
        <f t="shared" si="227"/>
        <v>1</v>
      </c>
      <c r="Z1426">
        <f t="shared" si="224"/>
        <v>1</v>
      </c>
      <c r="AA1426">
        <f t="shared" si="221"/>
        <v>0</v>
      </c>
      <c r="AB1426">
        <f t="shared" ref="AB1426:AB1489" si="236">IF(I1426&gt;U1426,1,0)</f>
        <v>0</v>
      </c>
    </row>
    <row r="1427" spans="1:28">
      <c r="A1427" s="27">
        <v>44482</v>
      </c>
      <c r="B1427" s="24">
        <v>1302.57</v>
      </c>
      <c r="C1427" s="25">
        <f t="shared" si="232"/>
        <v>5.403027238975895E-3</v>
      </c>
      <c r="E1427" s="25">
        <f t="shared" si="228"/>
        <v>0.65630761796981307</v>
      </c>
      <c r="F1427" s="25">
        <f t="shared" si="225"/>
        <v>0.30385549593036387</v>
      </c>
      <c r="G1427" s="25">
        <f t="shared" si="222"/>
        <v>0.22362948107270331</v>
      </c>
      <c r="H1427" s="25">
        <f t="shared" si="219"/>
        <v>0.15419112921741718</v>
      </c>
      <c r="I1427" s="25">
        <f t="shared" si="234"/>
        <v>0.16154762706980819</v>
      </c>
      <c r="K1427" s="29">
        <v>44482</v>
      </c>
      <c r="L1427" s="24">
        <v>23914.47</v>
      </c>
      <c r="M1427" s="25">
        <f t="shared" si="233"/>
        <v>9.5619932200045367E-3</v>
      </c>
      <c r="O1427" t="b">
        <f t="shared" si="231"/>
        <v>1</v>
      </c>
      <c r="Q1427" s="25">
        <f t="shared" si="229"/>
        <v>0.6410177760851441</v>
      </c>
      <c r="R1427" s="25">
        <f t="shared" si="226"/>
        <v>0.29707943048843077</v>
      </c>
      <c r="S1427" s="25">
        <f t="shared" si="223"/>
        <v>0.22007947132954908</v>
      </c>
      <c r="T1427" s="25">
        <f t="shared" si="220"/>
        <v>0.16186100959945571</v>
      </c>
      <c r="U1427" s="25">
        <f t="shared" si="235"/>
        <v>0.17131079515235803</v>
      </c>
      <c r="X1427">
        <f t="shared" si="230"/>
        <v>1</v>
      </c>
      <c r="Y1427">
        <f t="shared" si="227"/>
        <v>1</v>
      </c>
      <c r="Z1427">
        <f t="shared" si="224"/>
        <v>1</v>
      </c>
      <c r="AA1427">
        <f t="shared" si="221"/>
        <v>0</v>
      </c>
      <c r="AB1427">
        <f t="shared" si="236"/>
        <v>0</v>
      </c>
    </row>
    <row r="1428" spans="1:28">
      <c r="A1428" s="26">
        <v>44483</v>
      </c>
      <c r="B1428" s="23">
        <v>1308.7</v>
      </c>
      <c r="C1428" s="25">
        <f t="shared" si="232"/>
        <v>4.7060810551449129E-3</v>
      </c>
      <c r="E1428" s="25">
        <f t="shared" si="228"/>
        <v>0.6508565229457326</v>
      </c>
      <c r="F1428" s="25">
        <f t="shared" si="225"/>
        <v>0.3082524135214999</v>
      </c>
      <c r="G1428" s="25">
        <f t="shared" si="222"/>
        <v>0.23173304121097815</v>
      </c>
      <c r="H1428" s="25">
        <f t="shared" si="219"/>
        <v>0.15455304091471955</v>
      </c>
      <c r="I1428" s="25">
        <f t="shared" si="234"/>
        <v>0.16208478453520847</v>
      </c>
      <c r="K1428" s="28">
        <v>44483</v>
      </c>
      <c r="L1428" s="23">
        <v>24126.87</v>
      </c>
      <c r="M1428" s="25">
        <f t="shared" si="233"/>
        <v>8.8034626953267386E-3</v>
      </c>
      <c r="O1428" t="b">
        <f t="shared" si="231"/>
        <v>1</v>
      </c>
      <c r="Q1428" s="25">
        <f t="shared" si="229"/>
        <v>0.64142883384244853</v>
      </c>
      <c r="R1428" s="25">
        <f t="shared" si="226"/>
        <v>0.3049588921114792</v>
      </c>
      <c r="S1428" s="25">
        <f t="shared" si="223"/>
        <v>0.22994377812346944</v>
      </c>
      <c r="T1428" s="25">
        <f t="shared" si="220"/>
        <v>0.16375491857281999</v>
      </c>
      <c r="U1428" s="25">
        <f t="shared" si="235"/>
        <v>0.1735193471269596</v>
      </c>
      <c r="X1428">
        <f t="shared" si="230"/>
        <v>1</v>
      </c>
      <c r="Y1428">
        <f t="shared" si="227"/>
        <v>1</v>
      </c>
      <c r="Z1428">
        <f t="shared" si="224"/>
        <v>1</v>
      </c>
      <c r="AA1428">
        <f t="shared" si="221"/>
        <v>0</v>
      </c>
      <c r="AB1428">
        <f t="shared" si="236"/>
        <v>0</v>
      </c>
    </row>
    <row r="1429" spans="1:28">
      <c r="A1429" s="27">
        <v>44487</v>
      </c>
      <c r="B1429" s="24">
        <v>1316.83</v>
      </c>
      <c r="C1429" s="25">
        <f t="shared" si="232"/>
        <v>6.212271720027418E-3</v>
      </c>
      <c r="E1429" s="25">
        <f t="shared" si="228"/>
        <v>0.65005952008019552</v>
      </c>
      <c r="F1429" s="25">
        <f t="shared" si="225"/>
        <v>0.31128975620421673</v>
      </c>
      <c r="G1429" s="25">
        <f t="shared" si="222"/>
        <v>0.23956974219524141</v>
      </c>
      <c r="H1429" s="25">
        <f t="shared" si="219"/>
        <v>0.15613796711190142</v>
      </c>
      <c r="I1429" s="25">
        <f t="shared" si="234"/>
        <v>0.1630884072498151</v>
      </c>
      <c r="K1429" s="29">
        <v>44487</v>
      </c>
      <c r="L1429" s="24">
        <v>24305.72</v>
      </c>
      <c r="M1429" s="25">
        <f t="shared" si="233"/>
        <v>7.3583502155049173E-3</v>
      </c>
      <c r="O1429" t="b">
        <f t="shared" si="231"/>
        <v>1</v>
      </c>
      <c r="Q1429" s="25">
        <f t="shared" si="229"/>
        <v>0.6495688037468299</v>
      </c>
      <c r="R1429" s="25">
        <f t="shared" si="226"/>
        <v>0.30870781471409203</v>
      </c>
      <c r="S1429" s="25">
        <f t="shared" si="223"/>
        <v>0.23856085186189868</v>
      </c>
      <c r="T1429" s="25">
        <f t="shared" si="220"/>
        <v>0.16358347971638687</v>
      </c>
      <c r="U1429" s="25">
        <f t="shared" si="235"/>
        <v>0.17428204544749804</v>
      </c>
      <c r="X1429">
        <f t="shared" si="230"/>
        <v>1</v>
      </c>
      <c r="Y1429">
        <f t="shared" si="227"/>
        <v>1</v>
      </c>
      <c r="Z1429">
        <f t="shared" si="224"/>
        <v>1</v>
      </c>
      <c r="AA1429">
        <f t="shared" si="221"/>
        <v>0</v>
      </c>
      <c r="AB1429">
        <f t="shared" si="236"/>
        <v>0</v>
      </c>
    </row>
    <row r="1430" spans="1:28">
      <c r="A1430" s="26">
        <v>44488</v>
      </c>
      <c r="B1430" s="23">
        <v>1308.24</v>
      </c>
      <c r="C1430" s="25">
        <f t="shared" si="232"/>
        <v>-6.5232414206844612E-3</v>
      </c>
      <c r="E1430" s="25">
        <f t="shared" si="228"/>
        <v>0.63146605477128759</v>
      </c>
      <c r="F1430" s="25">
        <f t="shared" si="225"/>
        <v>0.30822779690802538</v>
      </c>
      <c r="G1430" s="25">
        <f t="shared" si="222"/>
        <v>0.23960581432970574</v>
      </c>
      <c r="H1430" s="25">
        <f t="shared" si="219"/>
        <v>0.15333356476121041</v>
      </c>
      <c r="I1430" s="25">
        <f t="shared" si="234"/>
        <v>0.16060437782428827</v>
      </c>
      <c r="K1430" s="28">
        <v>44488</v>
      </c>
      <c r="L1430" s="23">
        <v>24109.39</v>
      </c>
      <c r="M1430" s="25">
        <f t="shared" si="233"/>
        <v>-8.1433001830407883E-3</v>
      </c>
      <c r="O1430" t="b">
        <f t="shared" si="231"/>
        <v>1</v>
      </c>
      <c r="Q1430" s="25">
        <f t="shared" si="229"/>
        <v>0.63228733858666475</v>
      </c>
      <c r="R1430" s="25">
        <f t="shared" si="226"/>
        <v>0.30485360925510552</v>
      </c>
      <c r="S1430" s="25">
        <f t="shared" si="223"/>
        <v>0.2382681044094257</v>
      </c>
      <c r="T1430" s="25">
        <f t="shared" si="220"/>
        <v>0.15989638578420573</v>
      </c>
      <c r="U1430" s="25">
        <f t="shared" si="235"/>
        <v>0.17218204909471835</v>
      </c>
      <c r="X1430">
        <f t="shared" si="230"/>
        <v>0</v>
      </c>
      <c r="Y1430">
        <f t="shared" si="227"/>
        <v>1</v>
      </c>
      <c r="Z1430">
        <f t="shared" si="224"/>
        <v>1</v>
      </c>
      <c r="AA1430">
        <f t="shared" si="221"/>
        <v>0</v>
      </c>
      <c r="AB1430">
        <f t="shared" si="236"/>
        <v>0</v>
      </c>
    </row>
    <row r="1431" spans="1:28">
      <c r="A1431" s="27">
        <v>44489</v>
      </c>
      <c r="B1431" s="24">
        <v>1296.33</v>
      </c>
      <c r="C1431" s="25">
        <f t="shared" si="232"/>
        <v>-9.1038341588699952E-3</v>
      </c>
      <c r="E1431" s="25">
        <f t="shared" si="228"/>
        <v>0.61721849347538593</v>
      </c>
      <c r="F1431" s="25">
        <f t="shared" si="225"/>
        <v>0.29968587677506653</v>
      </c>
      <c r="G1431" s="25">
        <f t="shared" si="222"/>
        <v>0.23995657980648932</v>
      </c>
      <c r="H1431" s="25">
        <f t="shared" si="219"/>
        <v>0.15065293174868466</v>
      </c>
      <c r="I1431" s="25">
        <f t="shared" si="234"/>
        <v>0.1591035458311254</v>
      </c>
      <c r="K1431" s="29">
        <v>44489</v>
      </c>
      <c r="L1431" s="24">
        <v>23820</v>
      </c>
      <c r="M1431" s="25">
        <f t="shared" si="233"/>
        <v>-1.2149034424853039E-2</v>
      </c>
      <c r="O1431" t="b">
        <f t="shared" si="231"/>
        <v>1</v>
      </c>
      <c r="Q1431" s="25">
        <f t="shared" si="229"/>
        <v>0.61451135275310786</v>
      </c>
      <c r="R1431" s="25">
        <f t="shared" si="226"/>
        <v>0.29744872405035094</v>
      </c>
      <c r="S1431" s="25">
        <f t="shared" si="223"/>
        <v>0.23746411570852421</v>
      </c>
      <c r="T1431" s="25">
        <f t="shared" si="220"/>
        <v>0.15647227450806356</v>
      </c>
      <c r="U1431" s="25">
        <f t="shared" si="235"/>
        <v>0.16903185943618415</v>
      </c>
      <c r="X1431">
        <f t="shared" si="230"/>
        <v>1</v>
      </c>
      <c r="Y1431">
        <f t="shared" si="227"/>
        <v>1</v>
      </c>
      <c r="Z1431">
        <f t="shared" si="224"/>
        <v>1</v>
      </c>
      <c r="AA1431">
        <f t="shared" si="221"/>
        <v>0</v>
      </c>
      <c r="AB1431">
        <f t="shared" si="236"/>
        <v>0</v>
      </c>
    </row>
    <row r="1432" spans="1:28">
      <c r="A1432" s="26">
        <v>44490</v>
      </c>
      <c r="B1432" s="23">
        <v>1289.23</v>
      </c>
      <c r="C1432" s="25">
        <f t="shared" si="232"/>
        <v>-5.4770004551309539E-3</v>
      </c>
      <c r="E1432" s="25">
        <f t="shared" si="228"/>
        <v>0.60138869911933113</v>
      </c>
      <c r="F1432" s="25">
        <f t="shared" si="225"/>
        <v>0.28632845545885699</v>
      </c>
      <c r="G1432" s="25">
        <f t="shared" si="222"/>
        <v>0.23209702384231523</v>
      </c>
      <c r="H1432" s="25">
        <f t="shared" ref="H1432:H1495" si="237">((B1432/B451)^(1/4))-1</f>
        <v>0.14795036352024948</v>
      </c>
      <c r="I1432" s="25">
        <f t="shared" si="234"/>
        <v>0.15834003122230689</v>
      </c>
      <c r="K1432" s="28">
        <v>44490</v>
      </c>
      <c r="L1432" s="23">
        <v>23698.38</v>
      </c>
      <c r="M1432" s="25">
        <f t="shared" si="233"/>
        <v>-5.1319963643084035E-3</v>
      </c>
      <c r="O1432" t="b">
        <f t="shared" si="231"/>
        <v>1</v>
      </c>
      <c r="Q1432" s="25">
        <f t="shared" si="229"/>
        <v>0.59950621150292327</v>
      </c>
      <c r="R1432" s="25">
        <f t="shared" si="226"/>
        <v>0.28280573642863205</v>
      </c>
      <c r="S1432" s="25">
        <f t="shared" si="223"/>
        <v>0.2321801300954176</v>
      </c>
      <c r="T1432" s="25">
        <f t="shared" ref="T1432:T1495" si="238">((L1432/L451)^(1/4))-1</f>
        <v>0.15307795057563878</v>
      </c>
      <c r="U1432" s="25">
        <f t="shared" si="235"/>
        <v>0.16814611451530159</v>
      </c>
      <c r="X1432">
        <f t="shared" si="230"/>
        <v>1</v>
      </c>
      <c r="Y1432">
        <f t="shared" si="227"/>
        <v>1</v>
      </c>
      <c r="Z1432">
        <f t="shared" si="224"/>
        <v>0</v>
      </c>
      <c r="AA1432">
        <f t="shared" ref="AA1432:AA1495" si="239">IF(H1432&gt;T1432,1,0)</f>
        <v>0</v>
      </c>
      <c r="AB1432">
        <f t="shared" si="236"/>
        <v>0</v>
      </c>
    </row>
    <row r="1433" spans="1:28">
      <c r="A1433" s="27">
        <v>44491</v>
      </c>
      <c r="B1433" s="24">
        <v>1281.46</v>
      </c>
      <c r="C1433" s="25">
        <f t="shared" si="232"/>
        <v>-6.0268532379792444E-3</v>
      </c>
      <c r="E1433" s="25">
        <f t="shared" si="228"/>
        <v>0.6132386635445779</v>
      </c>
      <c r="F1433" s="25">
        <f t="shared" si="225"/>
        <v>0.28134498522931972</v>
      </c>
      <c r="G1433" s="25">
        <f t="shared" si="222"/>
        <v>0.23353052840759458</v>
      </c>
      <c r="H1433" s="25">
        <f t="shared" si="237"/>
        <v>0.14607018168678731</v>
      </c>
      <c r="I1433" s="25">
        <f t="shared" si="234"/>
        <v>0.15890409928856641</v>
      </c>
      <c r="K1433" s="29">
        <v>44491</v>
      </c>
      <c r="L1433" s="24">
        <v>23563.8</v>
      </c>
      <c r="M1433" s="25">
        <f t="shared" si="233"/>
        <v>-5.7113029307667585E-3</v>
      </c>
      <c r="O1433" t="b">
        <f t="shared" si="231"/>
        <v>1</v>
      </c>
      <c r="Q1433" s="25">
        <f t="shared" si="229"/>
        <v>0.61228588143125462</v>
      </c>
      <c r="R1433" s="25">
        <f t="shared" si="226"/>
        <v>0.27587191368435438</v>
      </c>
      <c r="S1433" s="25">
        <f t="shared" si="223"/>
        <v>0.23354756490803852</v>
      </c>
      <c r="T1433" s="25">
        <f t="shared" si="238"/>
        <v>0.15166900534473893</v>
      </c>
      <c r="U1433" s="25">
        <f t="shared" si="235"/>
        <v>0.1688302623823088</v>
      </c>
      <c r="X1433">
        <f t="shared" si="230"/>
        <v>1</v>
      </c>
      <c r="Y1433">
        <f t="shared" si="227"/>
        <v>1</v>
      </c>
      <c r="Z1433">
        <f t="shared" si="224"/>
        <v>0</v>
      </c>
      <c r="AA1433">
        <f t="shared" si="239"/>
        <v>0</v>
      </c>
      <c r="AB1433">
        <f t="shared" si="236"/>
        <v>0</v>
      </c>
    </row>
    <row r="1434" spans="1:28">
      <c r="A1434" s="26">
        <v>44494</v>
      </c>
      <c r="B1434" s="23">
        <v>1282.58</v>
      </c>
      <c r="C1434" s="25">
        <f t="shared" si="232"/>
        <v>8.7400309022512667E-4</v>
      </c>
      <c r="E1434" s="25">
        <f t="shared" si="228"/>
        <v>0.59522891506324549</v>
      </c>
      <c r="F1434" s="25">
        <f t="shared" si="225"/>
        <v>0.27999567274411286</v>
      </c>
      <c r="G1434" s="25">
        <f t="shared" si="222"/>
        <v>0.23584783410606591</v>
      </c>
      <c r="H1434" s="25">
        <f t="shared" si="237"/>
        <v>0.14388356051911866</v>
      </c>
      <c r="I1434" s="25">
        <f t="shared" si="234"/>
        <v>0.16080064122780535</v>
      </c>
      <c r="K1434" s="28">
        <v>44494</v>
      </c>
      <c r="L1434" s="23">
        <v>23463.94</v>
      </c>
      <c r="M1434" s="25">
        <f t="shared" si="233"/>
        <v>-4.2558922329327719E-3</v>
      </c>
      <c r="O1434" t="b">
        <f t="shared" si="231"/>
        <v>1</v>
      </c>
      <c r="Q1434" s="25">
        <f t="shared" si="229"/>
        <v>0.58886141915807189</v>
      </c>
      <c r="R1434" s="25">
        <f t="shared" si="226"/>
        <v>0.270374762080686</v>
      </c>
      <c r="S1434" s="25">
        <f t="shared" si="223"/>
        <v>0.23453918233633697</v>
      </c>
      <c r="T1434" s="25">
        <f t="shared" si="238"/>
        <v>0.14785891188837419</v>
      </c>
      <c r="U1434" s="25">
        <f t="shared" si="235"/>
        <v>0.16859034554371033</v>
      </c>
      <c r="X1434">
        <f t="shared" si="230"/>
        <v>1</v>
      </c>
      <c r="Y1434">
        <f t="shared" si="227"/>
        <v>1</v>
      </c>
      <c r="Z1434">
        <f t="shared" si="224"/>
        <v>1</v>
      </c>
      <c r="AA1434">
        <f t="shared" si="239"/>
        <v>0</v>
      </c>
      <c r="AB1434">
        <f t="shared" si="236"/>
        <v>0</v>
      </c>
    </row>
    <row r="1435" spans="1:28">
      <c r="A1435" s="27">
        <v>44495</v>
      </c>
      <c r="B1435" s="24">
        <v>1296.72</v>
      </c>
      <c r="C1435" s="25">
        <f t="shared" si="232"/>
        <v>1.1024653432924341E-2</v>
      </c>
      <c r="E1435" s="25">
        <f t="shared" si="228"/>
        <v>0.63148425409846398</v>
      </c>
      <c r="F1435" s="25">
        <f t="shared" si="225"/>
        <v>0.28272169718033768</v>
      </c>
      <c r="G1435" s="25">
        <f t="shared" si="222"/>
        <v>0.23081094911337963</v>
      </c>
      <c r="H1435" s="25">
        <f t="shared" si="237"/>
        <v>0.14762893854589487</v>
      </c>
      <c r="I1435" s="25">
        <f t="shared" si="234"/>
        <v>0.1613141431924543</v>
      </c>
      <c r="K1435" s="29">
        <v>44495</v>
      </c>
      <c r="L1435" s="24">
        <v>23731.73</v>
      </c>
      <c r="M1435" s="25">
        <f t="shared" si="233"/>
        <v>1.1284048824084923E-2</v>
      </c>
      <c r="O1435" t="b">
        <f t="shared" si="231"/>
        <v>1</v>
      </c>
      <c r="Q1435" s="25">
        <f t="shared" si="229"/>
        <v>0.62602227070166694</v>
      </c>
      <c r="R1435" s="25">
        <f t="shared" si="226"/>
        <v>0.27665769453551903</v>
      </c>
      <c r="S1435" s="25">
        <f t="shared" si="223"/>
        <v>0.22988396521052334</v>
      </c>
      <c r="T1435" s="25">
        <f t="shared" si="238"/>
        <v>0.15102342313135697</v>
      </c>
      <c r="U1435" s="25">
        <f t="shared" si="235"/>
        <v>0.16993076368552096</v>
      </c>
      <c r="X1435">
        <f t="shared" si="230"/>
        <v>1</v>
      </c>
      <c r="Y1435">
        <f t="shared" si="227"/>
        <v>1</v>
      </c>
      <c r="Z1435">
        <f t="shared" si="224"/>
        <v>1</v>
      </c>
      <c r="AA1435">
        <f t="shared" si="239"/>
        <v>0</v>
      </c>
      <c r="AB1435">
        <f t="shared" si="236"/>
        <v>0</v>
      </c>
    </row>
    <row r="1436" spans="1:28">
      <c r="A1436" s="26">
        <v>44496</v>
      </c>
      <c r="B1436" s="23">
        <v>1297.97</v>
      </c>
      <c r="C1436" s="25">
        <f t="shared" si="232"/>
        <v>9.6397063359861799E-4</v>
      </c>
      <c r="E1436" s="25">
        <f t="shared" si="228"/>
        <v>0.64013495413075905</v>
      </c>
      <c r="F1436" s="25">
        <f t="shared" si="225"/>
        <v>0.28049956301209988</v>
      </c>
      <c r="G1436" s="25">
        <f t="shared" si="222"/>
        <v>0.22992253948390862</v>
      </c>
      <c r="H1436" s="25">
        <f t="shared" si="237"/>
        <v>0.14733029607865</v>
      </c>
      <c r="I1436" s="25">
        <f t="shared" si="234"/>
        <v>0.15958763621237981</v>
      </c>
      <c r="K1436" s="28">
        <v>44496</v>
      </c>
      <c r="L1436" s="23">
        <v>23708.68</v>
      </c>
      <c r="M1436" s="25">
        <f t="shared" si="233"/>
        <v>-9.7221777003187327E-4</v>
      </c>
      <c r="O1436" t="b">
        <f t="shared" si="231"/>
        <v>1</v>
      </c>
      <c r="Q1436" s="25">
        <f t="shared" si="229"/>
        <v>0.63065835908532231</v>
      </c>
      <c r="R1436" s="25">
        <f t="shared" si="226"/>
        <v>0.27415143167156653</v>
      </c>
      <c r="S1436" s="25">
        <f t="shared" si="223"/>
        <v>0.22993800606803205</v>
      </c>
      <c r="T1436" s="25">
        <f t="shared" si="238"/>
        <v>0.1499884358006176</v>
      </c>
      <c r="U1436" s="25">
        <f t="shared" si="235"/>
        <v>0.1694199284202329</v>
      </c>
      <c r="X1436">
        <f t="shared" si="230"/>
        <v>1</v>
      </c>
      <c r="Y1436">
        <f t="shared" si="227"/>
        <v>1</v>
      </c>
      <c r="Z1436">
        <f t="shared" si="224"/>
        <v>0</v>
      </c>
      <c r="AA1436">
        <f t="shared" si="239"/>
        <v>0</v>
      </c>
      <c r="AB1436">
        <f t="shared" si="236"/>
        <v>0</v>
      </c>
    </row>
    <row r="1437" spans="1:28">
      <c r="A1437" s="27">
        <v>44497</v>
      </c>
      <c r="B1437" s="24">
        <v>1273.78</v>
      </c>
      <c r="C1437" s="25">
        <f t="shared" si="232"/>
        <v>-1.8636794378914807E-2</v>
      </c>
      <c r="E1437" s="25">
        <f t="shared" si="228"/>
        <v>0.6154470513633481</v>
      </c>
      <c r="F1437" s="25">
        <f t="shared" si="225"/>
        <v>0.27033395958299122</v>
      </c>
      <c r="G1437" s="25">
        <f t="shared" si="222"/>
        <v>0.21600269465210831</v>
      </c>
      <c r="H1437" s="25">
        <f t="shared" si="237"/>
        <v>0.1425192995464073</v>
      </c>
      <c r="I1437" s="25">
        <f t="shared" si="234"/>
        <v>0.15894447369903841</v>
      </c>
      <c r="K1437" s="29">
        <v>44497</v>
      </c>
      <c r="L1437" s="24">
        <v>23259.72</v>
      </c>
      <c r="M1437" s="25">
        <f t="shared" si="233"/>
        <v>-1.9302038029692496E-2</v>
      </c>
      <c r="O1437" t="b">
        <f t="shared" si="231"/>
        <v>1</v>
      </c>
      <c r="Q1437" s="25">
        <f t="shared" si="229"/>
        <v>0.60173700346243808</v>
      </c>
      <c r="R1437" s="25">
        <f t="shared" si="226"/>
        <v>0.26451035015059743</v>
      </c>
      <c r="S1437" s="25">
        <f t="shared" si="223"/>
        <v>0.21495156630937018</v>
      </c>
      <c r="T1437" s="25">
        <f t="shared" si="238"/>
        <v>0.14411458055221082</v>
      </c>
      <c r="U1437" s="25">
        <f t="shared" si="235"/>
        <v>0.16841523829306015</v>
      </c>
      <c r="X1437">
        <f t="shared" si="230"/>
        <v>1</v>
      </c>
      <c r="Y1437">
        <f t="shared" si="227"/>
        <v>1</v>
      </c>
      <c r="Z1437">
        <f t="shared" si="224"/>
        <v>1</v>
      </c>
      <c r="AA1437">
        <f t="shared" si="239"/>
        <v>0</v>
      </c>
      <c r="AB1437">
        <f t="shared" si="236"/>
        <v>0</v>
      </c>
    </row>
    <row r="1438" spans="1:28">
      <c r="A1438" s="26">
        <v>44498</v>
      </c>
      <c r="B1438" s="23">
        <v>1269.77</v>
      </c>
      <c r="C1438" s="25">
        <f t="shared" si="232"/>
        <v>-3.1481103487258325E-3</v>
      </c>
      <c r="E1438" s="25">
        <f t="shared" si="228"/>
        <v>0.59655233113715211</v>
      </c>
      <c r="F1438" s="25">
        <f t="shared" si="225"/>
        <v>0.2667530195090253</v>
      </c>
      <c r="G1438" s="25">
        <f t="shared" si="222"/>
        <v>0.2136469749434966</v>
      </c>
      <c r="H1438" s="25">
        <f t="shared" si="237"/>
        <v>0.14408721426365445</v>
      </c>
      <c r="I1438" s="25">
        <f t="shared" si="234"/>
        <v>0.16008214984749358</v>
      </c>
      <c r="K1438" s="28">
        <v>44498</v>
      </c>
      <c r="L1438" s="23">
        <v>23100.97</v>
      </c>
      <c r="M1438" s="25">
        <f t="shared" si="233"/>
        <v>-6.8720058075483403E-3</v>
      </c>
      <c r="O1438" t="b">
        <f t="shared" si="231"/>
        <v>1</v>
      </c>
      <c r="Q1438" s="25">
        <f t="shared" si="229"/>
        <v>0.58843134207873615</v>
      </c>
      <c r="R1438" s="25">
        <f t="shared" si="226"/>
        <v>0.25841037971420477</v>
      </c>
      <c r="S1438" s="25">
        <f t="shared" si="223"/>
        <v>0.21125608072073732</v>
      </c>
      <c r="T1438" s="25">
        <f t="shared" si="238"/>
        <v>0.14536338671455251</v>
      </c>
      <c r="U1438" s="25">
        <f t="shared" si="235"/>
        <v>0.16826440162061918</v>
      </c>
      <c r="X1438">
        <f t="shared" si="230"/>
        <v>1</v>
      </c>
      <c r="Y1438">
        <f t="shared" si="227"/>
        <v>1</v>
      </c>
      <c r="Z1438">
        <f t="shared" si="224"/>
        <v>1</v>
      </c>
      <c r="AA1438">
        <f t="shared" si="239"/>
        <v>0</v>
      </c>
      <c r="AB1438">
        <f t="shared" si="236"/>
        <v>0</v>
      </c>
    </row>
    <row r="1439" spans="1:28">
      <c r="A1439" s="27">
        <v>44501</v>
      </c>
      <c r="B1439" s="24">
        <v>1290.3599999999999</v>
      </c>
      <c r="C1439" s="25">
        <f t="shared" si="232"/>
        <v>1.6215535096907249E-2</v>
      </c>
      <c r="E1439" s="25">
        <f t="shared" si="228"/>
        <v>0.60422701560266034</v>
      </c>
      <c r="F1439" s="25">
        <f t="shared" si="225"/>
        <v>0.27381493818988334</v>
      </c>
      <c r="G1439" s="25">
        <f t="shared" si="222"/>
        <v>0.21563638539133279</v>
      </c>
      <c r="H1439" s="25">
        <f t="shared" si="237"/>
        <v>0.1502485681032506</v>
      </c>
      <c r="I1439" s="25">
        <f t="shared" si="234"/>
        <v>0.16696142416090232</v>
      </c>
      <c r="K1439" s="29">
        <v>44501</v>
      </c>
      <c r="L1439" s="24">
        <v>23431.96</v>
      </c>
      <c r="M1439" s="25">
        <f t="shared" si="233"/>
        <v>1.4125578910172173E-2</v>
      </c>
      <c r="O1439" t="b">
        <f t="shared" si="231"/>
        <v>1</v>
      </c>
      <c r="Q1439" s="25">
        <f t="shared" si="229"/>
        <v>0.59448923112307828</v>
      </c>
      <c r="R1439" s="25">
        <f t="shared" si="226"/>
        <v>0.2645504006950552</v>
      </c>
      <c r="S1439" s="25">
        <f t="shared" si="223"/>
        <v>0.21120080269813535</v>
      </c>
      <c r="T1439" s="25">
        <f t="shared" si="238"/>
        <v>0.15107525400042854</v>
      </c>
      <c r="U1439" s="25">
        <f t="shared" si="235"/>
        <v>0.17383477759358645</v>
      </c>
      <c r="X1439">
        <f t="shared" si="230"/>
        <v>1</v>
      </c>
      <c r="Y1439">
        <f t="shared" si="227"/>
        <v>1</v>
      </c>
      <c r="Z1439">
        <f t="shared" si="224"/>
        <v>1</v>
      </c>
      <c r="AA1439">
        <f t="shared" si="239"/>
        <v>0</v>
      </c>
      <c r="AB1439">
        <f t="shared" si="236"/>
        <v>0</v>
      </c>
    </row>
    <row r="1440" spans="1:28">
      <c r="A1440" s="26">
        <v>44502</v>
      </c>
      <c r="B1440" s="23">
        <v>1288.22</v>
      </c>
      <c r="C1440" s="25">
        <f t="shared" si="232"/>
        <v>-1.6584519048946594E-3</v>
      </c>
      <c r="E1440" s="25">
        <f t="shared" si="228"/>
        <v>0.59141671196323564</v>
      </c>
      <c r="F1440" s="25">
        <f t="shared" si="225"/>
        <v>0.27706928566896782</v>
      </c>
      <c r="G1440" s="25">
        <f t="shared" si="222"/>
        <v>0.21522345780787777</v>
      </c>
      <c r="H1440" s="25">
        <f t="shared" si="237"/>
        <v>0.14898889952537431</v>
      </c>
      <c r="I1440" s="25">
        <f t="shared" si="234"/>
        <v>0.16437184575710928</v>
      </c>
      <c r="K1440" s="28">
        <v>44502</v>
      </c>
      <c r="L1440" s="23">
        <v>23452.89</v>
      </c>
      <c r="M1440" s="25">
        <f t="shared" si="233"/>
        <v>8.9242732985147209E-4</v>
      </c>
      <c r="O1440" t="b">
        <f t="shared" si="231"/>
        <v>1</v>
      </c>
      <c r="Q1440" s="25">
        <f t="shared" si="229"/>
        <v>0.58426508615448625</v>
      </c>
      <c r="R1440" s="25">
        <f t="shared" si="226"/>
        <v>0.27039631229942951</v>
      </c>
      <c r="S1440" s="25">
        <f t="shared" si="223"/>
        <v>0.21249833524935524</v>
      </c>
      <c r="T1440" s="25">
        <f t="shared" si="238"/>
        <v>0.15039432603729841</v>
      </c>
      <c r="U1440" s="25">
        <f t="shared" si="235"/>
        <v>0.17220726247409046</v>
      </c>
      <c r="X1440">
        <f t="shared" si="230"/>
        <v>1</v>
      </c>
      <c r="Y1440">
        <f t="shared" si="227"/>
        <v>1</v>
      </c>
      <c r="Z1440">
        <f t="shared" si="224"/>
        <v>1</v>
      </c>
      <c r="AA1440">
        <f t="shared" si="239"/>
        <v>0</v>
      </c>
      <c r="AB1440">
        <f t="shared" si="236"/>
        <v>0</v>
      </c>
    </row>
    <row r="1441" spans="1:28">
      <c r="A1441" s="27">
        <v>44503</v>
      </c>
      <c r="B1441" s="24">
        <v>1278.44</v>
      </c>
      <c r="C1441" s="25">
        <f t="shared" si="232"/>
        <v>-7.5918709537190635E-3</v>
      </c>
      <c r="E1441" s="25">
        <f t="shared" si="228"/>
        <v>0.55142954225523044</v>
      </c>
      <c r="F1441" s="25">
        <f t="shared" si="225"/>
        <v>0.26961114009155707</v>
      </c>
      <c r="G1441" s="25">
        <f t="shared" si="222"/>
        <v>0.21315523682444892</v>
      </c>
      <c r="H1441" s="25">
        <f t="shared" si="237"/>
        <v>0.14668170706230899</v>
      </c>
      <c r="I1441" s="25">
        <f t="shared" si="234"/>
        <v>0.16191209810369345</v>
      </c>
      <c r="K1441" s="29">
        <v>44503</v>
      </c>
      <c r="L1441" s="24">
        <v>23404.31</v>
      </c>
      <c r="M1441" s="25">
        <f t="shared" si="233"/>
        <v>-2.0756860595333979E-3</v>
      </c>
      <c r="O1441" t="b">
        <f t="shared" si="231"/>
        <v>1</v>
      </c>
      <c r="Q1441" s="25">
        <f t="shared" si="229"/>
        <v>0.55373471612386704</v>
      </c>
      <c r="R1441" s="25">
        <f t="shared" si="226"/>
        <v>0.26825802543810484</v>
      </c>
      <c r="S1441" s="25">
        <f t="shared" si="223"/>
        <v>0.2120058118712147</v>
      </c>
      <c r="T1441" s="25">
        <f t="shared" si="238"/>
        <v>0.14952910806546083</v>
      </c>
      <c r="U1441" s="25">
        <f t="shared" si="235"/>
        <v>0.17059905790459107</v>
      </c>
      <c r="X1441">
        <f t="shared" si="230"/>
        <v>0</v>
      </c>
      <c r="Y1441">
        <f t="shared" si="227"/>
        <v>1</v>
      </c>
      <c r="Z1441">
        <f t="shared" si="224"/>
        <v>1</v>
      </c>
      <c r="AA1441">
        <f t="shared" si="239"/>
        <v>0</v>
      </c>
      <c r="AB1441">
        <f t="shared" si="236"/>
        <v>0</v>
      </c>
    </row>
    <row r="1442" spans="1:28">
      <c r="A1442" s="26">
        <v>44508</v>
      </c>
      <c r="B1442" s="23">
        <v>1299.5899999999999</v>
      </c>
      <c r="C1442" s="25">
        <f t="shared" si="232"/>
        <v>1.6543600012515147E-2</v>
      </c>
      <c r="E1442" s="25">
        <f t="shared" si="228"/>
        <v>0.56705493657454276</v>
      </c>
      <c r="F1442" s="25">
        <f t="shared" si="225"/>
        <v>0.2884062045185789</v>
      </c>
      <c r="G1442" s="25">
        <f t="shared" si="222"/>
        <v>0.21614538440623043</v>
      </c>
      <c r="H1442" s="25">
        <f t="shared" si="237"/>
        <v>0.15360115918864148</v>
      </c>
      <c r="I1442" s="25">
        <f t="shared" si="234"/>
        <v>0.16933693348013268</v>
      </c>
      <c r="K1442" s="28">
        <v>44508</v>
      </c>
      <c r="L1442" s="23">
        <v>23768.47</v>
      </c>
      <c r="M1442" s="25">
        <f t="shared" si="233"/>
        <v>1.5321137624760863E-2</v>
      </c>
      <c r="O1442" t="b">
        <f t="shared" si="231"/>
        <v>1</v>
      </c>
      <c r="Q1442" s="25">
        <f t="shared" si="229"/>
        <v>0.56247440354928702</v>
      </c>
      <c r="R1442" s="25">
        <f t="shared" si="226"/>
        <v>0.28217618080174423</v>
      </c>
      <c r="S1442" s="25">
        <f t="shared" si="223"/>
        <v>0.21478718934122187</v>
      </c>
      <c r="T1442" s="25">
        <f t="shared" si="238"/>
        <v>0.15626678930689941</v>
      </c>
      <c r="U1442" s="25">
        <f t="shared" si="235"/>
        <v>0.17803581507008426</v>
      </c>
      <c r="X1442">
        <f t="shared" si="230"/>
        <v>1</v>
      </c>
      <c r="Y1442">
        <f t="shared" si="227"/>
        <v>1</v>
      </c>
      <c r="Z1442">
        <f t="shared" si="224"/>
        <v>1</v>
      </c>
      <c r="AA1442">
        <f t="shared" si="239"/>
        <v>0</v>
      </c>
      <c r="AB1442">
        <f t="shared" si="236"/>
        <v>0</v>
      </c>
    </row>
    <row r="1443" spans="1:28">
      <c r="A1443" s="27">
        <v>44509</v>
      </c>
      <c r="B1443" s="24">
        <v>1302.1300000000001</v>
      </c>
      <c r="C1443" s="25">
        <f t="shared" si="232"/>
        <v>1.9544625612694707E-3</v>
      </c>
      <c r="E1443" s="25">
        <f t="shared" si="228"/>
        <v>0.5436493823647961</v>
      </c>
      <c r="F1443" s="25">
        <f t="shared" si="225"/>
        <v>0.28679149352847411</v>
      </c>
      <c r="G1443" s="25">
        <f t="shared" si="222"/>
        <v>0.22033588810228277</v>
      </c>
      <c r="H1443" s="25">
        <f t="shared" si="237"/>
        <v>0.15494033927814055</v>
      </c>
      <c r="I1443" s="25">
        <f t="shared" si="234"/>
        <v>0.16660825040896809</v>
      </c>
      <c r="K1443" s="29">
        <v>44509</v>
      </c>
      <c r="L1443" s="24">
        <v>23803.67</v>
      </c>
      <c r="M1443" s="25">
        <f t="shared" si="233"/>
        <v>1.4787635688109056E-3</v>
      </c>
      <c r="O1443" t="b">
        <f t="shared" si="231"/>
        <v>1</v>
      </c>
      <c r="Q1443" s="25">
        <f t="shared" si="229"/>
        <v>0.54280360675203054</v>
      </c>
      <c r="R1443" s="25">
        <f t="shared" si="226"/>
        <v>0.28202086673929938</v>
      </c>
      <c r="S1443" s="25">
        <f t="shared" si="223"/>
        <v>0.21934597639560738</v>
      </c>
      <c r="T1443" s="25">
        <f t="shared" si="238"/>
        <v>0.1576803374441742</v>
      </c>
      <c r="U1443" s="25">
        <f t="shared" si="235"/>
        <v>0.17532341051123401</v>
      </c>
      <c r="X1443">
        <f t="shared" si="230"/>
        <v>1</v>
      </c>
      <c r="Y1443">
        <f t="shared" si="227"/>
        <v>1</v>
      </c>
      <c r="Z1443">
        <f t="shared" si="224"/>
        <v>1</v>
      </c>
      <c r="AA1443">
        <f t="shared" si="239"/>
        <v>0</v>
      </c>
      <c r="AB1443">
        <f t="shared" si="236"/>
        <v>0</v>
      </c>
    </row>
    <row r="1444" spans="1:28">
      <c r="A1444" s="26">
        <v>44510</v>
      </c>
      <c r="B1444" s="23">
        <v>1299.1400000000001</v>
      </c>
      <c r="C1444" s="25">
        <f t="shared" si="232"/>
        <v>-2.296237702840737E-3</v>
      </c>
      <c r="E1444" s="25">
        <f t="shared" si="228"/>
        <v>0.53620754895468759</v>
      </c>
      <c r="F1444" s="25">
        <f t="shared" si="225"/>
        <v>0.28246248401837604</v>
      </c>
      <c r="G1444" s="25">
        <f t="shared" ref="G1444:G1507" si="240">((B1444/B707)^(1/3))-1</f>
        <v>0.21671268460850834</v>
      </c>
      <c r="H1444" s="25">
        <f t="shared" si="237"/>
        <v>0.15685806491528842</v>
      </c>
      <c r="I1444" s="25">
        <f t="shared" si="234"/>
        <v>0.17272890372603822</v>
      </c>
      <c r="K1444" s="28">
        <v>44510</v>
      </c>
      <c r="L1444" s="23">
        <v>23772.02</v>
      </c>
      <c r="M1444" s="25">
        <f t="shared" si="233"/>
        <v>-1.3313971635560552E-3</v>
      </c>
      <c r="O1444" t="b">
        <f t="shared" si="231"/>
        <v>1</v>
      </c>
      <c r="Q1444" s="25">
        <f t="shared" si="229"/>
        <v>0.52683847331695932</v>
      </c>
      <c r="R1444" s="25">
        <f t="shared" si="226"/>
        <v>0.28004497442057352</v>
      </c>
      <c r="S1444" s="25">
        <f t="shared" ref="S1444:S1507" si="241">((L1444/L707)^(1/3))-1</f>
        <v>0.21585447498589994</v>
      </c>
      <c r="T1444" s="25">
        <f t="shared" si="238"/>
        <v>0.15979522122607071</v>
      </c>
      <c r="U1444" s="25">
        <f t="shared" si="235"/>
        <v>0.1820423583147921</v>
      </c>
      <c r="X1444">
        <f t="shared" si="230"/>
        <v>1</v>
      </c>
      <c r="Y1444">
        <f t="shared" si="227"/>
        <v>1</v>
      </c>
      <c r="Z1444">
        <f t="shared" ref="Z1444:Z1507" si="242">IF(G1444&gt;S1444,1,0)</f>
        <v>1</v>
      </c>
      <c r="AA1444">
        <f t="shared" si="239"/>
        <v>0</v>
      </c>
      <c r="AB1444">
        <f t="shared" si="236"/>
        <v>0</v>
      </c>
    </row>
    <row r="1445" spans="1:28">
      <c r="A1445" s="27">
        <v>44511</v>
      </c>
      <c r="B1445" s="24">
        <v>1286.18</v>
      </c>
      <c r="C1445" s="25">
        <f t="shared" si="232"/>
        <v>-9.9758301645704352E-3</v>
      </c>
      <c r="E1445" s="25">
        <f t="shared" si="228"/>
        <v>0.50326675159831225</v>
      </c>
      <c r="F1445" s="25">
        <f t="shared" si="225"/>
        <v>0.27438894218291066</v>
      </c>
      <c r="G1445" s="25">
        <f t="shared" si="240"/>
        <v>0.2109710248076464</v>
      </c>
      <c r="H1445" s="25">
        <f t="shared" si="237"/>
        <v>0.15073130572399762</v>
      </c>
      <c r="I1445" s="25">
        <f t="shared" si="234"/>
        <v>0.17969846578745563</v>
      </c>
      <c r="K1445" s="29">
        <v>44511</v>
      </c>
      <c r="L1445" s="24">
        <v>23608.35</v>
      </c>
      <c r="M1445" s="25">
        <f t="shared" si="233"/>
        <v>-6.9327166023886427E-3</v>
      </c>
      <c r="O1445" t="b">
        <f t="shared" si="231"/>
        <v>1</v>
      </c>
      <c r="Q1445" s="25">
        <f t="shared" si="229"/>
        <v>0.50348768563256918</v>
      </c>
      <c r="R1445" s="25">
        <f t="shared" si="226"/>
        <v>0.27551433439155359</v>
      </c>
      <c r="S1445" s="25">
        <f t="shared" si="241"/>
        <v>0.21315031706892462</v>
      </c>
      <c r="T1445" s="25">
        <f t="shared" si="238"/>
        <v>0.15485986553132136</v>
      </c>
      <c r="U1445" s="25">
        <f t="shared" si="235"/>
        <v>0.1874919501526553</v>
      </c>
      <c r="X1445">
        <f t="shared" si="230"/>
        <v>0</v>
      </c>
      <c r="Y1445">
        <f t="shared" si="227"/>
        <v>0</v>
      </c>
      <c r="Z1445">
        <f t="shared" si="242"/>
        <v>0</v>
      </c>
      <c r="AA1445">
        <f t="shared" si="239"/>
        <v>0</v>
      </c>
      <c r="AB1445">
        <f t="shared" si="236"/>
        <v>0</v>
      </c>
    </row>
    <row r="1446" spans="1:28">
      <c r="A1446" s="26">
        <v>44512</v>
      </c>
      <c r="B1446" s="23">
        <v>1297.33</v>
      </c>
      <c r="C1446" s="25">
        <f t="shared" si="232"/>
        <v>8.6690820880435584E-3</v>
      </c>
      <c r="E1446" s="25">
        <f t="shared" si="228"/>
        <v>0.52086703711519067</v>
      </c>
      <c r="F1446" s="25">
        <f t="shared" si="225"/>
        <v>0.27698569275244833</v>
      </c>
      <c r="G1446" s="25">
        <f t="shared" si="240"/>
        <v>0.21161196112226799</v>
      </c>
      <c r="H1446" s="25">
        <f t="shared" si="237"/>
        <v>0.15120961872858851</v>
      </c>
      <c r="I1446" s="25">
        <f t="shared" si="234"/>
        <v>0.18099503772739856</v>
      </c>
      <c r="K1446" s="28">
        <v>44512</v>
      </c>
      <c r="L1446" s="23">
        <v>23865.63</v>
      </c>
      <c r="M1446" s="25">
        <f t="shared" si="233"/>
        <v>1.0780356521072457E-2</v>
      </c>
      <c r="O1446" t="b">
        <f t="shared" si="231"/>
        <v>1</v>
      </c>
      <c r="Q1446" s="25">
        <f t="shared" si="229"/>
        <v>0.52185055713628015</v>
      </c>
      <c r="R1446" s="25">
        <f t="shared" si="226"/>
        <v>0.28021422566332932</v>
      </c>
      <c r="S1446" s="25">
        <f t="shared" si="241"/>
        <v>0.2159866935614505</v>
      </c>
      <c r="T1446" s="25">
        <f t="shared" si="238"/>
        <v>0.15570213310435177</v>
      </c>
      <c r="U1446" s="25">
        <f t="shared" si="235"/>
        <v>0.18966086618731359</v>
      </c>
      <c r="X1446">
        <f t="shared" si="230"/>
        <v>0</v>
      </c>
      <c r="Y1446">
        <f t="shared" si="227"/>
        <v>0</v>
      </c>
      <c r="Z1446">
        <f t="shared" si="242"/>
        <v>0</v>
      </c>
      <c r="AA1446">
        <f t="shared" si="239"/>
        <v>0</v>
      </c>
      <c r="AB1446">
        <f t="shared" si="236"/>
        <v>0</v>
      </c>
    </row>
    <row r="1447" spans="1:28">
      <c r="A1447" s="27">
        <v>44515</v>
      </c>
      <c r="B1447" s="24">
        <v>1297.77</v>
      </c>
      <c r="C1447" s="25">
        <f t="shared" si="232"/>
        <v>3.3915811705584131E-4</v>
      </c>
      <c r="E1447" s="25">
        <f t="shared" si="228"/>
        <v>0.50994787545958009</v>
      </c>
      <c r="F1447" s="25">
        <f t="shared" si="225"/>
        <v>0.27227027622004929</v>
      </c>
      <c r="G1447" s="25">
        <f t="shared" si="240"/>
        <v>0.21047791531336579</v>
      </c>
      <c r="H1447" s="25">
        <f t="shared" si="237"/>
        <v>0.15032733369118478</v>
      </c>
      <c r="I1447" s="25">
        <f t="shared" si="234"/>
        <v>0.18127602656152852</v>
      </c>
      <c r="K1447" s="29">
        <v>44515</v>
      </c>
      <c r="L1447" s="24">
        <v>23886.54</v>
      </c>
      <c r="M1447" s="25">
        <f t="shared" si="233"/>
        <v>8.7538839865463367E-4</v>
      </c>
      <c r="O1447" t="b">
        <f t="shared" si="231"/>
        <v>1</v>
      </c>
      <c r="Q1447" s="25">
        <f t="shared" si="229"/>
        <v>0.51663075072985332</v>
      </c>
      <c r="R1447" s="25">
        <f t="shared" si="226"/>
        <v>0.27795866758504251</v>
      </c>
      <c r="S1447" s="25">
        <f t="shared" si="241"/>
        <v>0.21460073327046025</v>
      </c>
      <c r="T1447" s="25">
        <f t="shared" si="238"/>
        <v>0.15516849696794921</v>
      </c>
      <c r="U1447" s="25">
        <f t="shared" si="235"/>
        <v>0.19071315570011027</v>
      </c>
      <c r="X1447">
        <f t="shared" si="230"/>
        <v>0</v>
      </c>
      <c r="Y1447">
        <f t="shared" si="227"/>
        <v>0</v>
      </c>
      <c r="Z1447">
        <f t="shared" si="242"/>
        <v>0</v>
      </c>
      <c r="AA1447">
        <f t="shared" si="239"/>
        <v>0</v>
      </c>
      <c r="AB1447">
        <f t="shared" si="236"/>
        <v>0</v>
      </c>
    </row>
    <row r="1448" spans="1:28">
      <c r="A1448" s="26">
        <v>44516</v>
      </c>
      <c r="B1448" s="23">
        <v>1288.44</v>
      </c>
      <c r="C1448" s="25">
        <f t="shared" si="232"/>
        <v>-7.189255415058082E-3</v>
      </c>
      <c r="E1448" s="25">
        <f t="shared" si="228"/>
        <v>0.47758575213018495</v>
      </c>
      <c r="F1448" s="25">
        <f t="shared" si="225"/>
        <v>0.26921726087476561</v>
      </c>
      <c r="G1448" s="25">
        <f t="shared" si="240"/>
        <v>0.20511010522176676</v>
      </c>
      <c r="H1448" s="25">
        <f t="shared" si="237"/>
        <v>0.14738828299127071</v>
      </c>
      <c r="I1448" s="25">
        <f t="shared" si="234"/>
        <v>0.18010856130300334</v>
      </c>
      <c r="K1448" s="28">
        <v>44516</v>
      </c>
      <c r="L1448" s="23">
        <v>23783.599999999999</v>
      </c>
      <c r="M1448" s="25">
        <f t="shared" si="233"/>
        <v>-4.3281925360333312E-3</v>
      </c>
      <c r="O1448" t="b">
        <f t="shared" si="231"/>
        <v>1</v>
      </c>
      <c r="Q1448" s="25">
        <f t="shared" si="229"/>
        <v>0.49045451355118153</v>
      </c>
      <c r="R1448" s="25">
        <f t="shared" si="226"/>
        <v>0.27730537204036043</v>
      </c>
      <c r="S1448" s="25">
        <f t="shared" si="241"/>
        <v>0.21018789177838793</v>
      </c>
      <c r="T1448" s="25">
        <f t="shared" si="238"/>
        <v>0.15318117847971635</v>
      </c>
      <c r="U1448" s="25">
        <f t="shared" si="235"/>
        <v>0.18951088758112467</v>
      </c>
      <c r="X1448">
        <f t="shared" si="230"/>
        <v>0</v>
      </c>
      <c r="Y1448">
        <f t="shared" si="227"/>
        <v>0</v>
      </c>
      <c r="Z1448">
        <f t="shared" si="242"/>
        <v>0</v>
      </c>
      <c r="AA1448">
        <f t="shared" si="239"/>
        <v>0</v>
      </c>
      <c r="AB1448">
        <f t="shared" si="236"/>
        <v>0</v>
      </c>
    </row>
    <row r="1449" spans="1:28">
      <c r="A1449" s="27">
        <v>44517</v>
      </c>
      <c r="B1449" s="24">
        <v>1282.18</v>
      </c>
      <c r="C1449" s="25">
        <f t="shared" si="232"/>
        <v>-4.858588680885405E-3</v>
      </c>
      <c r="E1449" s="25">
        <f t="shared" si="228"/>
        <v>0.46563332304562022</v>
      </c>
      <c r="F1449" s="25">
        <f t="shared" si="225"/>
        <v>0.268829946926745</v>
      </c>
      <c r="G1449" s="25">
        <f t="shared" si="240"/>
        <v>0.20851970266199582</v>
      </c>
      <c r="H1449" s="25">
        <f t="shared" si="237"/>
        <v>0.14641252375432146</v>
      </c>
      <c r="I1449" s="25">
        <f t="shared" si="234"/>
        <v>0.18454622292333522</v>
      </c>
      <c r="K1449" s="29">
        <v>44517</v>
      </c>
      <c r="L1449" s="24">
        <v>23677.24</v>
      </c>
      <c r="M1449" s="25">
        <f t="shared" si="233"/>
        <v>-4.492077623912117E-3</v>
      </c>
      <c r="O1449" t="b">
        <f t="shared" si="231"/>
        <v>1</v>
      </c>
      <c r="Q1449" s="25">
        <f t="shared" si="229"/>
        <v>0.47470382589490656</v>
      </c>
      <c r="R1449" s="25">
        <f t="shared" si="226"/>
        <v>0.27661804363849973</v>
      </c>
      <c r="S1449" s="25">
        <f t="shared" si="241"/>
        <v>0.21251593892480347</v>
      </c>
      <c r="T1449" s="25">
        <f t="shared" si="238"/>
        <v>0.15156729962445392</v>
      </c>
      <c r="U1449" s="25">
        <f t="shared" si="235"/>
        <v>0.1935659381293553</v>
      </c>
      <c r="X1449">
        <f t="shared" si="230"/>
        <v>0</v>
      </c>
      <c r="Y1449">
        <f t="shared" si="227"/>
        <v>0</v>
      </c>
      <c r="Z1449">
        <f t="shared" si="242"/>
        <v>0</v>
      </c>
      <c r="AA1449">
        <f t="shared" si="239"/>
        <v>0</v>
      </c>
      <c r="AB1449">
        <f t="shared" si="236"/>
        <v>0</v>
      </c>
    </row>
    <row r="1450" spans="1:28">
      <c r="A1450" s="26">
        <v>44518</v>
      </c>
      <c r="B1450" s="23">
        <v>1265.17</v>
      </c>
      <c r="C1450" s="25">
        <f t="shared" si="232"/>
        <v>-1.3266468046608113E-2</v>
      </c>
      <c r="E1450" s="25">
        <f t="shared" si="228"/>
        <v>0.4607497892877348</v>
      </c>
      <c r="F1450" s="25">
        <f t="shared" si="225"/>
        <v>0.25227460164516446</v>
      </c>
      <c r="G1450" s="25">
        <f t="shared" si="240"/>
        <v>0.20202196749827972</v>
      </c>
      <c r="H1450" s="25">
        <f t="shared" si="237"/>
        <v>0.14264512868190016</v>
      </c>
      <c r="I1450" s="25">
        <f t="shared" si="234"/>
        <v>0.1779611322111514</v>
      </c>
      <c r="K1450" s="28">
        <v>44518</v>
      </c>
      <c r="L1450" s="23">
        <v>23443.759999999998</v>
      </c>
      <c r="M1450" s="25">
        <f t="shared" si="233"/>
        <v>-9.9591533098787582E-3</v>
      </c>
      <c r="O1450" t="b">
        <f t="shared" si="231"/>
        <v>1</v>
      </c>
      <c r="Q1450" s="25">
        <f t="shared" si="229"/>
        <v>0.47557787869346679</v>
      </c>
      <c r="R1450" s="25">
        <f t="shared" si="226"/>
        <v>0.26232828677095221</v>
      </c>
      <c r="S1450" s="25">
        <f t="shared" si="241"/>
        <v>0.20941055277170473</v>
      </c>
      <c r="T1450" s="25">
        <f t="shared" si="238"/>
        <v>0.14835341081428055</v>
      </c>
      <c r="U1450" s="25">
        <f t="shared" si="235"/>
        <v>0.18861915363756676</v>
      </c>
      <c r="X1450">
        <f t="shared" si="230"/>
        <v>0</v>
      </c>
      <c r="Y1450">
        <f t="shared" si="227"/>
        <v>0</v>
      </c>
      <c r="Z1450">
        <f t="shared" si="242"/>
        <v>0</v>
      </c>
      <c r="AA1450">
        <f t="shared" si="239"/>
        <v>0</v>
      </c>
      <c r="AB1450">
        <f t="shared" si="236"/>
        <v>0</v>
      </c>
    </row>
    <row r="1451" spans="1:28">
      <c r="A1451" s="27">
        <v>44522</v>
      </c>
      <c r="B1451" s="24">
        <v>1238.81</v>
      </c>
      <c r="C1451" s="25">
        <f t="shared" si="232"/>
        <v>-2.0835144684113696E-2</v>
      </c>
      <c r="E1451" s="25">
        <f t="shared" si="228"/>
        <v>0.41589612883316374</v>
      </c>
      <c r="F1451" s="25">
        <f t="shared" si="225"/>
        <v>0.24124674444125982</v>
      </c>
      <c r="G1451" s="25">
        <f t="shared" si="240"/>
        <v>0.19676130047103535</v>
      </c>
      <c r="H1451" s="25">
        <f t="shared" si="237"/>
        <v>0.13589323522437691</v>
      </c>
      <c r="I1451" s="25">
        <f t="shared" si="234"/>
        <v>0.17072818556605385</v>
      </c>
      <c r="K1451" s="29">
        <v>44522</v>
      </c>
      <c r="L1451" s="24">
        <v>22948.81</v>
      </c>
      <c r="M1451" s="25">
        <f t="shared" si="233"/>
        <v>-2.1567567120037906E-2</v>
      </c>
      <c r="O1451" t="b">
        <f t="shared" si="231"/>
        <v>1</v>
      </c>
      <c r="Q1451" s="25">
        <f t="shared" si="229"/>
        <v>0.43306192210108407</v>
      </c>
      <c r="R1451" s="25">
        <f t="shared" si="226"/>
        <v>0.25143732638133653</v>
      </c>
      <c r="S1451" s="25">
        <f t="shared" si="241"/>
        <v>0.20359694786059168</v>
      </c>
      <c r="T1451" s="25">
        <f t="shared" si="238"/>
        <v>0.14104838793565189</v>
      </c>
      <c r="U1451" s="25">
        <f t="shared" si="235"/>
        <v>0.18192365781012843</v>
      </c>
      <c r="X1451">
        <f t="shared" si="230"/>
        <v>0</v>
      </c>
      <c r="Y1451">
        <f t="shared" si="227"/>
        <v>0</v>
      </c>
      <c r="Z1451">
        <f t="shared" si="242"/>
        <v>0</v>
      </c>
      <c r="AA1451">
        <f t="shared" si="239"/>
        <v>0</v>
      </c>
      <c r="AB1451">
        <f t="shared" si="236"/>
        <v>0</v>
      </c>
    </row>
    <row r="1452" spans="1:28">
      <c r="A1452" s="26">
        <v>44523</v>
      </c>
      <c r="B1452" s="23">
        <v>1251.97</v>
      </c>
      <c r="C1452" s="25">
        <f t="shared" si="232"/>
        <v>1.0623097973054853E-2</v>
      </c>
      <c r="E1452" s="25">
        <f t="shared" si="228"/>
        <v>0.42090090908059152</v>
      </c>
      <c r="F1452" s="25">
        <f t="shared" si="225"/>
        <v>0.24507673242960126</v>
      </c>
      <c r="G1452" s="25">
        <f t="shared" si="240"/>
        <v>0.19838105490499958</v>
      </c>
      <c r="H1452" s="25">
        <f t="shared" si="237"/>
        <v>0.13824843740924186</v>
      </c>
      <c r="I1452" s="25">
        <f t="shared" si="234"/>
        <v>0.17485321277506993</v>
      </c>
      <c r="K1452" s="28">
        <v>44523</v>
      </c>
      <c r="L1452" s="23">
        <v>23150.31</v>
      </c>
      <c r="M1452" s="25">
        <f t="shared" si="233"/>
        <v>8.7039871172351468E-3</v>
      </c>
      <c r="O1452" t="b">
        <f t="shared" si="231"/>
        <v>1</v>
      </c>
      <c r="Q1452" s="25">
        <f t="shared" si="229"/>
        <v>0.43528115634373399</v>
      </c>
      <c r="R1452" s="25">
        <f t="shared" si="226"/>
        <v>0.25351594683890943</v>
      </c>
      <c r="S1452" s="25">
        <f t="shared" si="241"/>
        <v>0.2042211594065042</v>
      </c>
      <c r="T1452" s="25">
        <f t="shared" si="238"/>
        <v>0.14288170828135049</v>
      </c>
      <c r="U1452" s="25">
        <f t="shared" si="235"/>
        <v>0.18554909216893756</v>
      </c>
      <c r="X1452">
        <f t="shared" si="230"/>
        <v>0</v>
      </c>
      <c r="Y1452">
        <f t="shared" si="227"/>
        <v>0</v>
      </c>
      <c r="Z1452">
        <f t="shared" si="242"/>
        <v>0</v>
      </c>
      <c r="AA1452">
        <f t="shared" si="239"/>
        <v>0</v>
      </c>
      <c r="AB1452">
        <f t="shared" si="236"/>
        <v>0</v>
      </c>
    </row>
    <row r="1453" spans="1:28">
      <c r="A1453" s="27">
        <v>44524</v>
      </c>
      <c r="B1453" s="24">
        <v>1251.26</v>
      </c>
      <c r="C1453" s="25">
        <f t="shared" si="232"/>
        <v>-5.6710624056489879E-4</v>
      </c>
      <c r="E1453" s="25">
        <f t="shared" si="228"/>
        <v>0.4028207542939144</v>
      </c>
      <c r="F1453" s="25">
        <f t="shared" si="225"/>
        <v>0.24087305762559175</v>
      </c>
      <c r="G1453" s="25">
        <f t="shared" si="240"/>
        <v>0.19567772276589745</v>
      </c>
      <c r="H1453" s="25">
        <f t="shared" si="237"/>
        <v>0.13838477382596537</v>
      </c>
      <c r="I1453" s="25">
        <f t="shared" si="234"/>
        <v>0.17030103433941735</v>
      </c>
      <c r="K1453" s="29">
        <v>44524</v>
      </c>
      <c r="L1453" s="24">
        <v>23057.77</v>
      </c>
      <c r="M1453" s="25">
        <f t="shared" si="233"/>
        <v>-4.0133976529387215E-3</v>
      </c>
      <c r="O1453" t="b">
        <f t="shared" si="231"/>
        <v>1</v>
      </c>
      <c r="Q1453" s="25">
        <f t="shared" si="229"/>
        <v>0.41652593211936084</v>
      </c>
      <c r="R1453" s="25">
        <f t="shared" si="226"/>
        <v>0.24759129164762284</v>
      </c>
      <c r="S1453" s="25">
        <f t="shared" si="241"/>
        <v>0.200785729559396</v>
      </c>
      <c r="T1453" s="25">
        <f t="shared" si="238"/>
        <v>0.14214442527905846</v>
      </c>
      <c r="U1453" s="25">
        <f t="shared" si="235"/>
        <v>0.18037392188986168</v>
      </c>
      <c r="X1453">
        <f t="shared" si="230"/>
        <v>0</v>
      </c>
      <c r="Y1453">
        <f t="shared" si="227"/>
        <v>0</v>
      </c>
      <c r="Z1453">
        <f t="shared" si="242"/>
        <v>0</v>
      </c>
      <c r="AA1453">
        <f t="shared" si="239"/>
        <v>0</v>
      </c>
      <c r="AB1453">
        <f t="shared" si="236"/>
        <v>0</v>
      </c>
    </row>
    <row r="1454" spans="1:28">
      <c r="A1454" s="26">
        <v>44525</v>
      </c>
      <c r="B1454" s="23">
        <v>1255.6300000000001</v>
      </c>
      <c r="C1454" s="25">
        <f t="shared" si="232"/>
        <v>3.4924795805828671E-3</v>
      </c>
      <c r="E1454" s="25">
        <f t="shared" si="228"/>
        <v>0.43274606905680191</v>
      </c>
      <c r="F1454" s="25">
        <f t="shared" si="225"/>
        <v>0.24672553053257684</v>
      </c>
      <c r="G1454" s="25">
        <f t="shared" si="240"/>
        <v>0.19791966351209633</v>
      </c>
      <c r="H1454" s="25">
        <f t="shared" si="237"/>
        <v>0.14003978000942929</v>
      </c>
      <c r="I1454" s="25">
        <f t="shared" si="234"/>
        <v>0.17003548737358143</v>
      </c>
      <c r="K1454" s="28">
        <v>44525</v>
      </c>
      <c r="L1454" s="23">
        <v>23217.37</v>
      </c>
      <c r="M1454" s="25">
        <f t="shared" si="233"/>
        <v>6.8741636111238503E-3</v>
      </c>
      <c r="O1454" t="b">
        <f t="shared" si="231"/>
        <v>1</v>
      </c>
      <c r="Q1454" s="25">
        <f t="shared" si="229"/>
        <v>0.44772780133078838</v>
      </c>
      <c r="R1454" s="25">
        <f t="shared" si="226"/>
        <v>0.25547632791905905</v>
      </c>
      <c r="S1454" s="25">
        <f t="shared" si="241"/>
        <v>0.20313203264768309</v>
      </c>
      <c r="T1454" s="25">
        <f t="shared" si="238"/>
        <v>0.14441229254094989</v>
      </c>
      <c r="U1454" s="25">
        <f t="shared" si="235"/>
        <v>0.18123581884831941</v>
      </c>
      <c r="X1454">
        <f t="shared" si="230"/>
        <v>0</v>
      </c>
      <c r="Y1454">
        <f t="shared" si="227"/>
        <v>0</v>
      </c>
      <c r="Z1454">
        <f t="shared" si="242"/>
        <v>0</v>
      </c>
      <c r="AA1454">
        <f t="shared" si="239"/>
        <v>0</v>
      </c>
      <c r="AB1454">
        <f t="shared" si="236"/>
        <v>0</v>
      </c>
    </row>
    <row r="1455" spans="1:28">
      <c r="A1455" s="27">
        <v>44526</v>
      </c>
      <c r="B1455" s="24">
        <v>1219.75</v>
      </c>
      <c r="C1455" s="25">
        <f t="shared" si="232"/>
        <v>-2.857529686292945E-2</v>
      </c>
      <c r="E1455" s="25">
        <f t="shared" si="228"/>
        <v>0.37517193172337593</v>
      </c>
      <c r="F1455" s="25">
        <f t="shared" ref="F1455:F1518" si="243">((B1455/B963)^(1/2))-1</f>
        <v>0.23152314591634182</v>
      </c>
      <c r="G1455" s="25">
        <f t="shared" si="240"/>
        <v>0.18244065704941104</v>
      </c>
      <c r="H1455" s="25">
        <f t="shared" si="237"/>
        <v>0.13386785615693286</v>
      </c>
      <c r="I1455" s="25">
        <f t="shared" si="234"/>
        <v>0.16264215607113308</v>
      </c>
      <c r="K1455" s="29">
        <v>44526</v>
      </c>
      <c r="L1455" s="24">
        <v>22537.919999999998</v>
      </c>
      <c r="M1455" s="25">
        <f t="shared" si="233"/>
        <v>-3.0146970084195913E-2</v>
      </c>
      <c r="O1455" t="b">
        <f t="shared" si="231"/>
        <v>1</v>
      </c>
      <c r="Q1455" s="25">
        <f t="shared" si="229"/>
        <v>0.39231253938248267</v>
      </c>
      <c r="R1455" s="25">
        <f t="shared" ref="R1455:R1518" si="244">((L1455/L963)^(1/2))-1</f>
        <v>0.23795557024937564</v>
      </c>
      <c r="S1455" s="25">
        <f t="shared" si="241"/>
        <v>0.18739342835716322</v>
      </c>
      <c r="T1455" s="25">
        <f t="shared" si="238"/>
        <v>0.1387335637498297</v>
      </c>
      <c r="U1455" s="25">
        <f t="shared" si="235"/>
        <v>0.17356024787099456</v>
      </c>
      <c r="X1455">
        <f t="shared" si="230"/>
        <v>0</v>
      </c>
      <c r="Y1455">
        <f t="shared" ref="Y1455:Y1518" si="245">IF(F1455&gt;R1455,1,0)</f>
        <v>0</v>
      </c>
      <c r="Z1455">
        <f t="shared" si="242"/>
        <v>0</v>
      </c>
      <c r="AA1455">
        <f t="shared" si="239"/>
        <v>0</v>
      </c>
      <c r="AB1455">
        <f t="shared" si="236"/>
        <v>0</v>
      </c>
    </row>
    <row r="1456" spans="1:28">
      <c r="A1456" s="26">
        <v>44529</v>
      </c>
      <c r="B1456" s="23">
        <v>1216.9100000000001</v>
      </c>
      <c r="C1456" s="25">
        <f t="shared" si="232"/>
        <v>-2.3283459725352883E-3</v>
      </c>
      <c r="E1456" s="25">
        <f t="shared" si="228"/>
        <v>0.36561142844317773</v>
      </c>
      <c r="F1456" s="25">
        <f t="shared" si="243"/>
        <v>0.23392256831539493</v>
      </c>
      <c r="G1456" s="25">
        <f t="shared" si="240"/>
        <v>0.18039271635288778</v>
      </c>
      <c r="H1456" s="25">
        <f t="shared" si="237"/>
        <v>0.13621002973738183</v>
      </c>
      <c r="I1456" s="25">
        <f t="shared" si="234"/>
        <v>0.15973457726948692</v>
      </c>
      <c r="K1456" s="28">
        <v>44529</v>
      </c>
      <c r="L1456" s="23">
        <v>22460.1</v>
      </c>
      <c r="M1456" s="25">
        <f t="shared" si="233"/>
        <v>-3.4648109313849765E-3</v>
      </c>
      <c r="O1456" t="b">
        <f t="shared" si="231"/>
        <v>1</v>
      </c>
      <c r="Q1456" s="25">
        <f t="shared" si="229"/>
        <v>0.38168215054239685</v>
      </c>
      <c r="R1456" s="25">
        <f t="shared" si="244"/>
        <v>0.2392869105420854</v>
      </c>
      <c r="S1456" s="25">
        <f t="shared" si="241"/>
        <v>0.18484033258955401</v>
      </c>
      <c r="T1456" s="25">
        <f t="shared" si="238"/>
        <v>0.14069204855036133</v>
      </c>
      <c r="U1456" s="25">
        <f t="shared" si="235"/>
        <v>0.17022722927335088</v>
      </c>
      <c r="X1456">
        <f t="shared" si="230"/>
        <v>0</v>
      </c>
      <c r="Y1456">
        <f t="shared" si="245"/>
        <v>0</v>
      </c>
      <c r="Z1456">
        <f t="shared" si="242"/>
        <v>0</v>
      </c>
      <c r="AA1456">
        <f t="shared" si="239"/>
        <v>0</v>
      </c>
      <c r="AB1456">
        <f t="shared" si="236"/>
        <v>0</v>
      </c>
    </row>
    <row r="1457" spans="1:28">
      <c r="A1457" s="27">
        <v>44530</v>
      </c>
      <c r="B1457" s="24">
        <v>1218.49</v>
      </c>
      <c r="C1457" s="25">
        <f t="shared" si="232"/>
        <v>1.2983704628936627E-3</v>
      </c>
      <c r="E1457" s="25">
        <f t="shared" si="228"/>
        <v>0.35201500155341536</v>
      </c>
      <c r="F1457" s="25">
        <f t="shared" si="243"/>
        <v>0.22963380935441924</v>
      </c>
      <c r="G1457" s="25">
        <f t="shared" si="240"/>
        <v>0.1791106439000032</v>
      </c>
      <c r="H1457" s="25">
        <f t="shared" si="237"/>
        <v>0.13667596367601575</v>
      </c>
      <c r="I1457" s="25">
        <f t="shared" si="234"/>
        <v>0.1611949780412989</v>
      </c>
      <c r="K1457" s="29">
        <v>44530</v>
      </c>
      <c r="L1457" s="24">
        <v>22447.74</v>
      </c>
      <c r="M1457" s="25">
        <f t="shared" si="233"/>
        <v>-5.5061222198746706E-4</v>
      </c>
      <c r="O1457" t="b">
        <f t="shared" si="231"/>
        <v>1</v>
      </c>
      <c r="Q1457" s="25">
        <f t="shared" si="229"/>
        <v>0.36611653386514798</v>
      </c>
      <c r="R1457" s="25">
        <f t="shared" si="244"/>
        <v>0.23647817453290343</v>
      </c>
      <c r="S1457" s="25">
        <f t="shared" si="241"/>
        <v>0.18385309761323243</v>
      </c>
      <c r="T1457" s="25">
        <f t="shared" si="238"/>
        <v>0.14056861541158705</v>
      </c>
      <c r="U1457" s="25">
        <f t="shared" si="235"/>
        <v>0.17139532431156113</v>
      </c>
      <c r="X1457">
        <f t="shared" si="230"/>
        <v>0</v>
      </c>
      <c r="Y1457">
        <f t="shared" si="245"/>
        <v>0</v>
      </c>
      <c r="Z1457">
        <f t="shared" si="242"/>
        <v>0</v>
      </c>
      <c r="AA1457">
        <f t="shared" si="239"/>
        <v>0</v>
      </c>
      <c r="AB1457">
        <f t="shared" si="236"/>
        <v>0</v>
      </c>
    </row>
    <row r="1458" spans="1:28">
      <c r="A1458" s="26">
        <v>44531</v>
      </c>
      <c r="B1458" s="23">
        <v>1222.05</v>
      </c>
      <c r="C1458" s="25">
        <f t="shared" si="232"/>
        <v>2.9216489261298371E-3</v>
      </c>
      <c r="E1458" s="25">
        <f t="shared" si="228"/>
        <v>0.35342717597155926</v>
      </c>
      <c r="F1458" s="25">
        <f t="shared" si="243"/>
        <v>0.23315912054768129</v>
      </c>
      <c r="G1458" s="25">
        <f t="shared" si="240"/>
        <v>0.18053320472639101</v>
      </c>
      <c r="H1458" s="25">
        <f t="shared" si="237"/>
        <v>0.13730668869989793</v>
      </c>
      <c r="I1458" s="25">
        <f t="shared" si="234"/>
        <v>0.16565778642369544</v>
      </c>
      <c r="K1458" s="28">
        <v>44531</v>
      </c>
      <c r="L1458" s="23">
        <v>22656.71</v>
      </c>
      <c r="M1458" s="25">
        <f t="shared" si="233"/>
        <v>9.2233161831526966E-3</v>
      </c>
      <c r="O1458" t="b">
        <f t="shared" si="231"/>
        <v>1</v>
      </c>
      <c r="Q1458" s="25">
        <f t="shared" si="229"/>
        <v>0.37591077750854751</v>
      </c>
      <c r="R1458" s="25">
        <f t="shared" si="244"/>
        <v>0.24377684199290894</v>
      </c>
      <c r="S1458" s="25">
        <f t="shared" si="241"/>
        <v>0.18796828368226626</v>
      </c>
      <c r="T1458" s="25">
        <f t="shared" si="238"/>
        <v>0.14330090308711907</v>
      </c>
      <c r="U1458" s="25">
        <f t="shared" si="235"/>
        <v>0.17669195660580206</v>
      </c>
      <c r="X1458">
        <f t="shared" si="230"/>
        <v>0</v>
      </c>
      <c r="Y1458">
        <f t="shared" si="245"/>
        <v>0</v>
      </c>
      <c r="Z1458">
        <f t="shared" si="242"/>
        <v>0</v>
      </c>
      <c r="AA1458">
        <f t="shared" si="239"/>
        <v>0</v>
      </c>
      <c r="AB1458">
        <f t="shared" si="236"/>
        <v>0</v>
      </c>
    </row>
    <row r="1459" spans="1:28">
      <c r="A1459" s="27">
        <v>44532</v>
      </c>
      <c r="B1459" s="24">
        <v>1237.1300000000001</v>
      </c>
      <c r="C1459" s="25">
        <f t="shared" si="232"/>
        <v>1.233992062517913E-2</v>
      </c>
      <c r="E1459" s="25">
        <f t="shared" si="228"/>
        <v>0.36676793901563287</v>
      </c>
      <c r="F1459" s="25">
        <f t="shared" si="243"/>
        <v>0.24584750331071903</v>
      </c>
      <c r="G1459" s="25">
        <f t="shared" si="240"/>
        <v>0.19069377223424633</v>
      </c>
      <c r="H1459" s="25">
        <f t="shared" si="237"/>
        <v>0.14312240936661524</v>
      </c>
      <c r="I1459" s="25">
        <f t="shared" si="234"/>
        <v>0.1668036744399759</v>
      </c>
      <c r="K1459" s="29">
        <v>44532</v>
      </c>
      <c r="L1459" s="24">
        <v>22946.71</v>
      </c>
      <c r="M1459" s="25">
        <f t="shared" si="233"/>
        <v>1.2637977296091684E-2</v>
      </c>
      <c r="O1459" t="b">
        <f t="shared" si="231"/>
        <v>1</v>
      </c>
      <c r="Q1459" s="25">
        <f t="shared" si="229"/>
        <v>0.38898987496088178</v>
      </c>
      <c r="R1459" s="25">
        <f t="shared" si="244"/>
        <v>0.25740673062270547</v>
      </c>
      <c r="S1459" s="25">
        <f t="shared" si="241"/>
        <v>0.19683486873136036</v>
      </c>
      <c r="T1459" s="25">
        <f t="shared" si="238"/>
        <v>0.14910670674536508</v>
      </c>
      <c r="U1459" s="25">
        <f t="shared" si="235"/>
        <v>0.17843938464905085</v>
      </c>
      <c r="X1459">
        <f t="shared" si="230"/>
        <v>0</v>
      </c>
      <c r="Y1459">
        <f t="shared" si="245"/>
        <v>0</v>
      </c>
      <c r="Z1459">
        <f t="shared" si="242"/>
        <v>0</v>
      </c>
      <c r="AA1459">
        <f t="shared" si="239"/>
        <v>0</v>
      </c>
      <c r="AB1459">
        <f t="shared" si="236"/>
        <v>0</v>
      </c>
    </row>
    <row r="1460" spans="1:28">
      <c r="A1460" s="26">
        <v>44533</v>
      </c>
      <c r="B1460" s="23">
        <v>1228.7</v>
      </c>
      <c r="C1460" s="25">
        <f t="shared" si="232"/>
        <v>-6.8141585767058132E-3</v>
      </c>
      <c r="E1460" s="25">
        <f t="shared" si="228"/>
        <v>0.34376674650305672</v>
      </c>
      <c r="F1460" s="25">
        <f t="shared" si="243"/>
        <v>0.24190721135751181</v>
      </c>
      <c r="G1460" s="25">
        <f t="shared" si="240"/>
        <v>0.19441193968465198</v>
      </c>
      <c r="H1460" s="25">
        <f t="shared" si="237"/>
        <v>0.13736274108834645</v>
      </c>
      <c r="I1460" s="25">
        <f t="shared" si="234"/>
        <v>0.1649038649959873</v>
      </c>
      <c r="K1460" s="28">
        <v>44533</v>
      </c>
      <c r="L1460" s="23">
        <v>22766.46</v>
      </c>
      <c r="M1460" s="25">
        <f t="shared" si="233"/>
        <v>-7.9173485908656856E-3</v>
      </c>
      <c r="O1460" t="b">
        <f t="shared" si="231"/>
        <v>1</v>
      </c>
      <c r="Q1460" s="25">
        <f t="shared" si="229"/>
        <v>0.36737466486003401</v>
      </c>
      <c r="R1460" s="25">
        <f t="shared" si="244"/>
        <v>0.25232771155798939</v>
      </c>
      <c r="S1460" s="25">
        <f t="shared" si="241"/>
        <v>0.20020757704416248</v>
      </c>
      <c r="T1460" s="25">
        <f t="shared" si="238"/>
        <v>0.14321926688690056</v>
      </c>
      <c r="U1460" s="25">
        <f t="shared" si="235"/>
        <v>0.17599806469543333</v>
      </c>
      <c r="X1460">
        <f t="shared" si="230"/>
        <v>0</v>
      </c>
      <c r="Y1460">
        <f t="shared" si="245"/>
        <v>0</v>
      </c>
      <c r="Z1460">
        <f t="shared" si="242"/>
        <v>0</v>
      </c>
      <c r="AA1460">
        <f t="shared" si="239"/>
        <v>0</v>
      </c>
      <c r="AB1460">
        <f t="shared" si="236"/>
        <v>0</v>
      </c>
    </row>
    <row r="1461" spans="1:28">
      <c r="A1461" s="27">
        <v>44536</v>
      </c>
      <c r="B1461" s="24">
        <v>1207.8399999999999</v>
      </c>
      <c r="C1461" s="25">
        <f t="shared" si="232"/>
        <v>-1.6977293073980732E-2</v>
      </c>
      <c r="E1461" s="25">
        <f t="shared" si="228"/>
        <v>0.3113301776175792</v>
      </c>
      <c r="F1461" s="25">
        <f t="shared" si="243"/>
        <v>0.23510090595754285</v>
      </c>
      <c r="G1461" s="25">
        <f t="shared" si="240"/>
        <v>0.18632668052166657</v>
      </c>
      <c r="H1461" s="25">
        <f t="shared" si="237"/>
        <v>0.12924652650015256</v>
      </c>
      <c r="I1461" s="25">
        <f t="shared" si="234"/>
        <v>0.16223917627245088</v>
      </c>
      <c r="K1461" s="29">
        <v>44536</v>
      </c>
      <c r="L1461" s="24">
        <v>22401.81</v>
      </c>
      <c r="M1461" s="25">
        <f t="shared" si="233"/>
        <v>-1.6277702560641209E-2</v>
      </c>
      <c r="O1461" t="b">
        <f t="shared" si="231"/>
        <v>1</v>
      </c>
      <c r="Q1461" s="25">
        <f t="shared" si="229"/>
        <v>0.33436798061510586</v>
      </c>
      <c r="R1461" s="25">
        <f t="shared" si="244"/>
        <v>0.24715130383865991</v>
      </c>
      <c r="S1461" s="25">
        <f t="shared" si="241"/>
        <v>0.1912048952495522</v>
      </c>
      <c r="T1461" s="25">
        <f t="shared" si="238"/>
        <v>0.13589342860812836</v>
      </c>
      <c r="U1461" s="25">
        <f t="shared" si="235"/>
        <v>0.17322666076293514</v>
      </c>
      <c r="X1461">
        <f t="shared" si="230"/>
        <v>0</v>
      </c>
      <c r="Y1461">
        <f t="shared" si="245"/>
        <v>0</v>
      </c>
      <c r="Z1461">
        <f t="shared" si="242"/>
        <v>0</v>
      </c>
      <c r="AA1461">
        <f t="shared" si="239"/>
        <v>0</v>
      </c>
      <c r="AB1461">
        <f t="shared" si="236"/>
        <v>0</v>
      </c>
    </row>
    <row r="1462" spans="1:28">
      <c r="A1462" s="26">
        <v>44537</v>
      </c>
      <c r="B1462" s="23">
        <v>1224.52</v>
      </c>
      <c r="C1462" s="25">
        <f t="shared" si="232"/>
        <v>1.3809776129288701E-2</v>
      </c>
      <c r="E1462" s="25">
        <f t="shared" si="228"/>
        <v>0.3292373157334838</v>
      </c>
      <c r="F1462" s="25">
        <f t="shared" si="243"/>
        <v>0.2427291090527548</v>
      </c>
      <c r="G1462" s="25">
        <f t="shared" si="240"/>
        <v>0.19742821256338505</v>
      </c>
      <c r="H1462" s="25">
        <f t="shared" si="237"/>
        <v>0.13171083054949695</v>
      </c>
      <c r="I1462" s="25">
        <f t="shared" si="234"/>
        <v>0.16159026451132896</v>
      </c>
      <c r="K1462" s="28">
        <v>44537</v>
      </c>
      <c r="L1462" s="23">
        <v>22733.040000000001</v>
      </c>
      <c r="M1462" s="25">
        <f t="shared" si="233"/>
        <v>1.4570422609558579E-2</v>
      </c>
      <c r="O1462" t="b">
        <f t="shared" si="231"/>
        <v>1</v>
      </c>
      <c r="Q1462" s="25">
        <f t="shared" si="229"/>
        <v>0.35184874639188513</v>
      </c>
      <c r="R1462" s="25">
        <f t="shared" si="244"/>
        <v>0.25367207129759306</v>
      </c>
      <c r="S1462" s="25">
        <f t="shared" si="241"/>
        <v>0.20477994051473725</v>
      </c>
      <c r="T1462" s="25">
        <f t="shared" si="238"/>
        <v>0.13879108757501446</v>
      </c>
      <c r="U1462" s="25">
        <f t="shared" si="235"/>
        <v>0.17272967992187804</v>
      </c>
      <c r="X1462">
        <f t="shared" si="230"/>
        <v>0</v>
      </c>
      <c r="Y1462">
        <f t="shared" si="245"/>
        <v>0</v>
      </c>
      <c r="Z1462">
        <f t="shared" si="242"/>
        <v>0</v>
      </c>
      <c r="AA1462">
        <f t="shared" si="239"/>
        <v>0</v>
      </c>
      <c r="AB1462">
        <f t="shared" si="236"/>
        <v>0</v>
      </c>
    </row>
    <row r="1463" spans="1:28">
      <c r="A1463" s="27">
        <v>44538</v>
      </c>
      <c r="B1463" s="24">
        <v>1245.6600000000001</v>
      </c>
      <c r="C1463" s="25">
        <f t="shared" si="232"/>
        <v>1.7263907490281987E-2</v>
      </c>
      <c r="E1463" s="25">
        <f t="shared" si="228"/>
        <v>0.34262432904352336</v>
      </c>
      <c r="F1463" s="25">
        <f t="shared" si="243"/>
        <v>0.24969624322963879</v>
      </c>
      <c r="G1463" s="25">
        <f t="shared" si="240"/>
        <v>0.20188031493511183</v>
      </c>
      <c r="H1463" s="25">
        <f t="shared" si="237"/>
        <v>0.13877859025172601</v>
      </c>
      <c r="I1463" s="25">
        <f t="shared" si="234"/>
        <v>0.16493048253687581</v>
      </c>
      <c r="K1463" s="29">
        <v>44538</v>
      </c>
      <c r="L1463" s="24">
        <v>23098.91</v>
      </c>
      <c r="M1463" s="25">
        <f t="shared" si="233"/>
        <v>1.5839275532914712E-2</v>
      </c>
      <c r="O1463" t="b">
        <f t="shared" si="231"/>
        <v>1</v>
      </c>
      <c r="Q1463" s="25">
        <f t="shared" si="229"/>
        <v>0.36223551627623918</v>
      </c>
      <c r="R1463" s="25">
        <f t="shared" si="244"/>
        <v>0.26013806291146646</v>
      </c>
      <c r="S1463" s="25">
        <f t="shared" si="241"/>
        <v>0.20774848284963099</v>
      </c>
      <c r="T1463" s="25">
        <f t="shared" si="238"/>
        <v>0.14569243834264056</v>
      </c>
      <c r="U1463" s="25">
        <f t="shared" si="235"/>
        <v>0.17608617620066735</v>
      </c>
      <c r="X1463">
        <f t="shared" si="230"/>
        <v>0</v>
      </c>
      <c r="Y1463">
        <f t="shared" si="245"/>
        <v>0</v>
      </c>
      <c r="Z1463">
        <f t="shared" si="242"/>
        <v>0</v>
      </c>
      <c r="AA1463">
        <f t="shared" si="239"/>
        <v>0</v>
      </c>
      <c r="AB1463">
        <f t="shared" si="236"/>
        <v>0</v>
      </c>
    </row>
    <row r="1464" spans="1:28">
      <c r="A1464" s="26">
        <v>44539</v>
      </c>
      <c r="B1464" s="23">
        <v>1248.8900000000001</v>
      </c>
      <c r="C1464" s="25">
        <f t="shared" si="232"/>
        <v>2.5930029060899588E-3</v>
      </c>
      <c r="E1464" s="25">
        <f t="shared" ref="E1464:E1527" si="246">(B1464/B1219)-1</f>
        <v>0.35567664969660129</v>
      </c>
      <c r="F1464" s="25">
        <f t="shared" si="243"/>
        <v>0.24670513584357612</v>
      </c>
      <c r="G1464" s="25">
        <f t="shared" si="240"/>
        <v>0.19557602476677793</v>
      </c>
      <c r="H1464" s="25">
        <f t="shared" si="237"/>
        <v>0.14161412977697663</v>
      </c>
      <c r="I1464" s="25">
        <f t="shared" si="234"/>
        <v>0.16887875478695347</v>
      </c>
      <c r="K1464" s="28">
        <v>44539</v>
      </c>
      <c r="L1464" s="23">
        <v>23180.65</v>
      </c>
      <c r="M1464" s="25">
        <f t="shared" si="233"/>
        <v>3.526216909361972E-3</v>
      </c>
      <c r="O1464" t="b">
        <f t="shared" si="231"/>
        <v>1</v>
      </c>
      <c r="Q1464" s="25">
        <f t="shared" ref="Q1464:Q1527" si="247">(L1464/L1219)-1</f>
        <v>0.37194945117642275</v>
      </c>
      <c r="R1464" s="25">
        <f t="shared" si="244"/>
        <v>0.25638622967250568</v>
      </c>
      <c r="S1464" s="25">
        <f t="shared" si="241"/>
        <v>0.20123605220096663</v>
      </c>
      <c r="T1464" s="25">
        <f t="shared" si="238"/>
        <v>0.14842387750355779</v>
      </c>
      <c r="U1464" s="25">
        <f t="shared" si="235"/>
        <v>0.17951835851625453</v>
      </c>
      <c r="X1464">
        <f t="shared" ref="X1464:X1527" si="248">IF(E1464&gt;Q1464,1,0)</f>
        <v>0</v>
      </c>
      <c r="Y1464">
        <f t="shared" si="245"/>
        <v>0</v>
      </c>
      <c r="Z1464">
        <f t="shared" si="242"/>
        <v>0</v>
      </c>
      <c r="AA1464">
        <f t="shared" si="239"/>
        <v>0</v>
      </c>
      <c r="AB1464">
        <f t="shared" si="236"/>
        <v>0</v>
      </c>
    </row>
    <row r="1465" spans="1:28">
      <c r="A1465" s="27">
        <v>44540</v>
      </c>
      <c r="B1465" s="24">
        <v>1247.68</v>
      </c>
      <c r="C1465" s="25">
        <f t="shared" si="232"/>
        <v>-9.6886034798904328E-4</v>
      </c>
      <c r="E1465" s="25">
        <f t="shared" si="246"/>
        <v>0.35235204855842195</v>
      </c>
      <c r="F1465" s="25">
        <f t="shared" si="243"/>
        <v>0.24796619046448565</v>
      </c>
      <c r="G1465" s="25">
        <f t="shared" si="240"/>
        <v>0.19321197051040029</v>
      </c>
      <c r="H1465" s="25">
        <f t="shared" si="237"/>
        <v>0.14028826611887979</v>
      </c>
      <c r="I1465" s="25">
        <f t="shared" si="234"/>
        <v>0.16883193024138898</v>
      </c>
      <c r="K1465" s="29">
        <v>44540</v>
      </c>
      <c r="L1465" s="24">
        <v>23224.15</v>
      </c>
      <c r="M1465" s="25">
        <f t="shared" si="233"/>
        <v>1.873050251570025E-3</v>
      </c>
      <c r="O1465" t="b">
        <f t="shared" si="231"/>
        <v>1</v>
      </c>
      <c r="Q1465" s="25">
        <f t="shared" si="247"/>
        <v>0.37082193891193183</v>
      </c>
      <c r="R1465" s="25">
        <f t="shared" si="244"/>
        <v>0.25953489368024663</v>
      </c>
      <c r="S1465" s="25">
        <f t="shared" si="241"/>
        <v>0.199523934622857</v>
      </c>
      <c r="T1465" s="25">
        <f t="shared" si="238"/>
        <v>0.14795853998992414</v>
      </c>
      <c r="U1465" s="25">
        <f t="shared" si="235"/>
        <v>0.17921787375706821</v>
      </c>
      <c r="X1465">
        <f t="shared" si="248"/>
        <v>0</v>
      </c>
      <c r="Y1465">
        <f t="shared" si="245"/>
        <v>0</v>
      </c>
      <c r="Z1465">
        <f t="shared" si="242"/>
        <v>0</v>
      </c>
      <c r="AA1465">
        <f t="shared" si="239"/>
        <v>0</v>
      </c>
      <c r="AB1465">
        <f t="shared" si="236"/>
        <v>0</v>
      </c>
    </row>
    <row r="1466" spans="1:28">
      <c r="A1466" s="26">
        <v>44543</v>
      </c>
      <c r="B1466" s="23">
        <v>1242.47</v>
      </c>
      <c r="C1466" s="25">
        <f t="shared" si="232"/>
        <v>-4.1757501923570433E-3</v>
      </c>
      <c r="E1466" s="25">
        <f t="shared" si="246"/>
        <v>0.33943144209312104</v>
      </c>
      <c r="F1466" s="25">
        <f t="shared" si="243"/>
        <v>0.24016730865481617</v>
      </c>
      <c r="G1466" s="25">
        <f t="shared" si="240"/>
        <v>0.19100848770358536</v>
      </c>
      <c r="H1466" s="25">
        <f t="shared" si="237"/>
        <v>0.13650990087881132</v>
      </c>
      <c r="I1466" s="25">
        <f t="shared" si="234"/>
        <v>0.16932993003367436</v>
      </c>
      <c r="K1466" s="28">
        <v>44543</v>
      </c>
      <c r="L1466" s="23">
        <v>23085.13</v>
      </c>
      <c r="M1466" s="25">
        <f t="shared" si="233"/>
        <v>-6.0220583553135905E-3</v>
      </c>
      <c r="O1466" t="b">
        <f t="shared" si="231"/>
        <v>1</v>
      </c>
      <c r="Q1466" s="25">
        <f t="shared" si="247"/>
        <v>0.35729013860920444</v>
      </c>
      <c r="R1466" s="25">
        <f t="shared" si="244"/>
        <v>0.25074702348287947</v>
      </c>
      <c r="S1466" s="25">
        <f t="shared" si="241"/>
        <v>0.19651096872644125</v>
      </c>
      <c r="T1466" s="25">
        <f t="shared" si="238"/>
        <v>0.14364455273945964</v>
      </c>
      <c r="U1466" s="25">
        <f t="shared" si="235"/>
        <v>0.17916805886665776</v>
      </c>
      <c r="X1466">
        <f t="shared" si="248"/>
        <v>0</v>
      </c>
      <c r="Y1466">
        <f t="shared" si="245"/>
        <v>0</v>
      </c>
      <c r="Z1466">
        <f t="shared" si="242"/>
        <v>0</v>
      </c>
      <c r="AA1466">
        <f t="shared" si="239"/>
        <v>0</v>
      </c>
      <c r="AB1466">
        <f t="shared" si="236"/>
        <v>0</v>
      </c>
    </row>
    <row r="1467" spans="1:28">
      <c r="A1467" s="27">
        <v>44544</v>
      </c>
      <c r="B1467" s="24">
        <v>1239.29</v>
      </c>
      <c r="C1467" s="25">
        <f t="shared" si="232"/>
        <v>-2.5594179336322514E-3</v>
      </c>
      <c r="E1467" s="25">
        <f t="shared" si="246"/>
        <v>0.33649314654847018</v>
      </c>
      <c r="F1467" s="25">
        <f t="shared" si="243"/>
        <v>0.23609528310050898</v>
      </c>
      <c r="G1467" s="25">
        <f t="shared" si="240"/>
        <v>0.18650617938383074</v>
      </c>
      <c r="H1467" s="25">
        <f t="shared" si="237"/>
        <v>0.13398946285730573</v>
      </c>
      <c r="I1467" s="25">
        <f t="shared" si="234"/>
        <v>0.16876777475950644</v>
      </c>
      <c r="K1467" s="29">
        <v>44544</v>
      </c>
      <c r="L1467" s="24">
        <v>23052.95</v>
      </c>
      <c r="M1467" s="25">
        <f t="shared" si="233"/>
        <v>-1.3959167915603117E-3</v>
      </c>
      <c r="O1467" t="b">
        <f t="shared" si="231"/>
        <v>1</v>
      </c>
      <c r="Q1467" s="25">
        <f t="shared" si="247"/>
        <v>0.35435338048582476</v>
      </c>
      <c r="R1467" s="25">
        <f t="shared" si="244"/>
        <v>0.24776920270905967</v>
      </c>
      <c r="S1467" s="25">
        <f t="shared" si="241"/>
        <v>0.1932192401349373</v>
      </c>
      <c r="T1467" s="25">
        <f t="shared" si="238"/>
        <v>0.1415713641664067</v>
      </c>
      <c r="U1467" s="25">
        <f t="shared" si="235"/>
        <v>0.17935645060099414</v>
      </c>
      <c r="X1467">
        <f t="shared" si="248"/>
        <v>0</v>
      </c>
      <c r="Y1467">
        <f t="shared" si="245"/>
        <v>0</v>
      </c>
      <c r="Z1467">
        <f t="shared" si="242"/>
        <v>0</v>
      </c>
      <c r="AA1467">
        <f t="shared" si="239"/>
        <v>0</v>
      </c>
      <c r="AB1467">
        <f t="shared" si="236"/>
        <v>0</v>
      </c>
    </row>
    <row r="1468" spans="1:28">
      <c r="A1468" s="26">
        <v>44545</v>
      </c>
      <c r="B1468" s="23">
        <v>1230.69</v>
      </c>
      <c r="C1468" s="25">
        <f t="shared" si="232"/>
        <v>-6.9394572698883309E-3</v>
      </c>
      <c r="E1468" s="25">
        <f t="shared" si="246"/>
        <v>0.31988803328971938</v>
      </c>
      <c r="F1468" s="25">
        <f t="shared" si="243"/>
        <v>0.23157874944167278</v>
      </c>
      <c r="G1468" s="25">
        <f t="shared" si="240"/>
        <v>0.18266697676159604</v>
      </c>
      <c r="H1468" s="25">
        <f t="shared" si="237"/>
        <v>0.12903093800174781</v>
      </c>
      <c r="I1468" s="25">
        <f t="shared" si="234"/>
        <v>0.16769237140819415</v>
      </c>
      <c r="K1468" s="28">
        <v>44545</v>
      </c>
      <c r="L1468" s="23">
        <v>22914.799999999999</v>
      </c>
      <c r="M1468" s="25">
        <f t="shared" si="233"/>
        <v>-6.0288547139840387E-3</v>
      </c>
      <c r="O1468" t="b">
        <f t="shared" si="231"/>
        <v>1</v>
      </c>
      <c r="Q1468" s="25">
        <f t="shared" si="247"/>
        <v>0.33479891630740655</v>
      </c>
      <c r="R1468" s="25">
        <f t="shared" si="244"/>
        <v>0.24225958592878638</v>
      </c>
      <c r="S1468" s="25">
        <f t="shared" si="241"/>
        <v>0.18981758288022443</v>
      </c>
      <c r="T1468" s="25">
        <f t="shared" si="238"/>
        <v>0.1371206969747869</v>
      </c>
      <c r="U1468" s="25">
        <f t="shared" si="235"/>
        <v>0.17837018819288497</v>
      </c>
      <c r="X1468">
        <f t="shared" si="248"/>
        <v>0</v>
      </c>
      <c r="Y1468">
        <f t="shared" si="245"/>
        <v>0</v>
      </c>
      <c r="Z1468">
        <f t="shared" si="242"/>
        <v>0</v>
      </c>
      <c r="AA1468">
        <f t="shared" si="239"/>
        <v>0</v>
      </c>
      <c r="AB1468">
        <f t="shared" si="236"/>
        <v>0</v>
      </c>
    </row>
    <row r="1469" spans="1:28">
      <c r="A1469" s="27">
        <v>44546</v>
      </c>
      <c r="B1469" s="24">
        <v>1229.05</v>
      </c>
      <c r="C1469" s="25">
        <f t="shared" si="232"/>
        <v>-1.3325857852100041E-3</v>
      </c>
      <c r="E1469" s="25">
        <f t="shared" si="246"/>
        <v>0.3171685778587503</v>
      </c>
      <c r="F1469" s="25">
        <f t="shared" si="243"/>
        <v>0.22876048837045482</v>
      </c>
      <c r="G1469" s="25">
        <f t="shared" si="240"/>
        <v>0.17968875993107059</v>
      </c>
      <c r="H1469" s="25">
        <f t="shared" si="237"/>
        <v>0.12850937243333727</v>
      </c>
      <c r="I1469" s="25">
        <f t="shared" si="234"/>
        <v>0.16834711190517204</v>
      </c>
      <c r="K1469" s="29">
        <v>44546</v>
      </c>
      <c r="L1469" s="24">
        <v>22889.27</v>
      </c>
      <c r="M1469" s="25">
        <f t="shared" si="233"/>
        <v>-1.1153697780662659E-3</v>
      </c>
      <c r="O1469" t="b">
        <f t="shared" si="231"/>
        <v>1</v>
      </c>
      <c r="Q1469" s="25">
        <f t="shared" si="247"/>
        <v>0.33000134805659065</v>
      </c>
      <c r="R1469" s="25">
        <f t="shared" si="244"/>
        <v>0.24074835152352736</v>
      </c>
      <c r="S1469" s="25">
        <f t="shared" si="241"/>
        <v>0.18639040384416949</v>
      </c>
      <c r="T1469" s="25">
        <f t="shared" si="238"/>
        <v>0.1367117888319187</v>
      </c>
      <c r="U1469" s="25">
        <f t="shared" si="235"/>
        <v>0.17922949873145599</v>
      </c>
      <c r="X1469">
        <f t="shared" si="248"/>
        <v>0</v>
      </c>
      <c r="Y1469">
        <f t="shared" si="245"/>
        <v>0</v>
      </c>
      <c r="Z1469">
        <f t="shared" si="242"/>
        <v>0</v>
      </c>
      <c r="AA1469">
        <f t="shared" si="239"/>
        <v>0</v>
      </c>
      <c r="AB1469">
        <f t="shared" si="236"/>
        <v>0</v>
      </c>
    </row>
    <row r="1470" spans="1:28">
      <c r="A1470" s="26">
        <v>44547</v>
      </c>
      <c r="B1470" s="23">
        <v>1210.08</v>
      </c>
      <c r="C1470" s="25">
        <f t="shared" si="232"/>
        <v>-1.543468532606487E-2</v>
      </c>
      <c r="E1470" s="25">
        <f t="shared" si="246"/>
        <v>0.29291720534655363</v>
      </c>
      <c r="F1470" s="25">
        <f t="shared" si="243"/>
        <v>0.21912852698332963</v>
      </c>
      <c r="G1470" s="25">
        <f t="shared" si="240"/>
        <v>0.17409519910035698</v>
      </c>
      <c r="H1470" s="25">
        <f t="shared" si="237"/>
        <v>0.12326325581853914</v>
      </c>
      <c r="I1470" s="25">
        <f t="shared" si="234"/>
        <v>0.16603042397403445</v>
      </c>
      <c r="K1470" s="28">
        <v>44547</v>
      </c>
      <c r="L1470" s="23">
        <v>22489.29</v>
      </c>
      <c r="M1470" s="25">
        <f t="shared" si="233"/>
        <v>-1.778535471773451E-2</v>
      </c>
      <c r="O1470" t="b">
        <f t="shared" si="231"/>
        <v>1</v>
      </c>
      <c r="Q1470" s="25">
        <f t="shared" si="247"/>
        <v>0.3057692553338498</v>
      </c>
      <c r="R1470" s="25">
        <f t="shared" si="244"/>
        <v>0.23033445846151124</v>
      </c>
      <c r="S1470" s="25">
        <f t="shared" si="241"/>
        <v>0.1799654092166092</v>
      </c>
      <c r="T1470" s="25">
        <f t="shared" si="238"/>
        <v>0.13098036311835726</v>
      </c>
      <c r="U1470" s="25">
        <f t="shared" si="235"/>
        <v>0.17627656206601428</v>
      </c>
      <c r="X1470">
        <f t="shared" si="248"/>
        <v>0</v>
      </c>
      <c r="Y1470">
        <f t="shared" si="245"/>
        <v>0</v>
      </c>
      <c r="Z1470">
        <f t="shared" si="242"/>
        <v>0</v>
      </c>
      <c r="AA1470">
        <f t="shared" si="239"/>
        <v>0</v>
      </c>
      <c r="AB1470">
        <f t="shared" si="236"/>
        <v>0</v>
      </c>
    </row>
    <row r="1471" spans="1:28">
      <c r="A1471" s="27">
        <v>44550</v>
      </c>
      <c r="B1471" s="24">
        <v>1181.01</v>
      </c>
      <c r="C1471" s="25">
        <f t="shared" si="232"/>
        <v>-2.4023205077350205E-2</v>
      </c>
      <c r="E1471" s="25">
        <f t="shared" si="246"/>
        <v>0.30858383840622272</v>
      </c>
      <c r="F1471" s="25">
        <f t="shared" si="243"/>
        <v>0.20552165925314014</v>
      </c>
      <c r="G1471" s="25">
        <f t="shared" si="240"/>
        <v>0.1709365134833658</v>
      </c>
      <c r="H1471" s="25">
        <f t="shared" si="237"/>
        <v>0.1158394880466278</v>
      </c>
      <c r="I1471" s="25">
        <f t="shared" si="234"/>
        <v>0.16060094236980205</v>
      </c>
      <c r="K1471" s="29">
        <v>44550</v>
      </c>
      <c r="L1471" s="24">
        <v>21918.48</v>
      </c>
      <c r="M1471" s="25">
        <f t="shared" si="233"/>
        <v>-2.6042408050193321E-2</v>
      </c>
      <c r="O1471" t="b">
        <f t="shared" si="231"/>
        <v>1</v>
      </c>
      <c r="Q1471" s="25">
        <f t="shared" si="247"/>
        <v>0.31797671733692501</v>
      </c>
      <c r="R1471" s="25">
        <f t="shared" si="244"/>
        <v>0.21642042922499782</v>
      </c>
      <c r="S1471" s="25">
        <f t="shared" si="241"/>
        <v>0.17629078844073431</v>
      </c>
      <c r="T1471" s="25">
        <f t="shared" si="238"/>
        <v>0.12242866348703285</v>
      </c>
      <c r="U1471" s="25">
        <f t="shared" si="235"/>
        <v>0.17065303465952764</v>
      </c>
      <c r="X1471">
        <f t="shared" si="248"/>
        <v>0</v>
      </c>
      <c r="Y1471">
        <f t="shared" si="245"/>
        <v>0</v>
      </c>
      <c r="Z1471">
        <f t="shared" si="242"/>
        <v>0</v>
      </c>
      <c r="AA1471">
        <f t="shared" si="239"/>
        <v>0</v>
      </c>
      <c r="AB1471">
        <f t="shared" si="236"/>
        <v>0</v>
      </c>
    </row>
    <row r="1472" spans="1:28">
      <c r="A1472" s="26">
        <v>44551</v>
      </c>
      <c r="B1472" s="23">
        <v>1197.6199999999999</v>
      </c>
      <c r="C1472" s="25">
        <f t="shared" si="232"/>
        <v>1.4064233156366077E-2</v>
      </c>
      <c r="E1472" s="25">
        <f t="shared" si="246"/>
        <v>0.31128191652432857</v>
      </c>
      <c r="F1472" s="25">
        <f t="shared" si="243"/>
        <v>0.21687037547959465</v>
      </c>
      <c r="G1472" s="25">
        <f t="shared" si="240"/>
        <v>0.17981578053004355</v>
      </c>
      <c r="H1472" s="25">
        <f t="shared" si="237"/>
        <v>0.11892071708833618</v>
      </c>
      <c r="I1472" s="25">
        <f t="shared" si="234"/>
        <v>0.16629480587057288</v>
      </c>
      <c r="K1472" s="28">
        <v>44551</v>
      </c>
      <c r="L1472" s="23">
        <v>22164.77</v>
      </c>
      <c r="M1472" s="25">
        <f t="shared" si="233"/>
        <v>1.1111777834825304E-2</v>
      </c>
      <c r="O1472" t="b">
        <f t="shared" si="231"/>
        <v>1</v>
      </c>
      <c r="Q1472" s="25">
        <f t="shared" si="247"/>
        <v>0.31937159997118947</v>
      </c>
      <c r="R1472" s="25">
        <f t="shared" si="244"/>
        <v>0.22641939030282976</v>
      </c>
      <c r="S1472" s="25">
        <f t="shared" si="241"/>
        <v>0.18417176294040538</v>
      </c>
      <c r="T1472" s="25">
        <f t="shared" si="238"/>
        <v>0.1244130933773191</v>
      </c>
      <c r="U1472" s="25">
        <f t="shared" si="235"/>
        <v>0.17600212607262367</v>
      </c>
      <c r="X1472">
        <f t="shared" si="248"/>
        <v>0</v>
      </c>
      <c r="Y1472">
        <f t="shared" si="245"/>
        <v>0</v>
      </c>
      <c r="Z1472">
        <f t="shared" si="242"/>
        <v>0</v>
      </c>
      <c r="AA1472">
        <f t="shared" si="239"/>
        <v>0</v>
      </c>
      <c r="AB1472">
        <f t="shared" si="236"/>
        <v>0</v>
      </c>
    </row>
    <row r="1473" spans="1:28">
      <c r="A1473" s="27">
        <v>44552</v>
      </c>
      <c r="B1473" s="24">
        <v>1215.57</v>
      </c>
      <c r="C1473" s="25">
        <f t="shared" si="232"/>
        <v>1.4988059651642464E-2</v>
      </c>
      <c r="E1473" s="25">
        <f t="shared" si="246"/>
        <v>0.30862642508800819</v>
      </c>
      <c r="F1473" s="25">
        <f t="shared" si="243"/>
        <v>0.22015372915942955</v>
      </c>
      <c r="G1473" s="25">
        <f t="shared" si="240"/>
        <v>0.18401639462094588</v>
      </c>
      <c r="H1473" s="25">
        <f t="shared" si="237"/>
        <v>0.12363081390663377</v>
      </c>
      <c r="I1473" s="25">
        <f t="shared" si="234"/>
        <v>0.16988820258877602</v>
      </c>
      <c r="K1473" s="29">
        <v>44552</v>
      </c>
      <c r="L1473" s="24">
        <v>22442.93</v>
      </c>
      <c r="M1473" s="25">
        <f t="shared" si="233"/>
        <v>1.2394103621942404E-2</v>
      </c>
      <c r="O1473" t="b">
        <f t="shared" si="231"/>
        <v>1</v>
      </c>
      <c r="Q1473" s="25">
        <f t="shared" si="247"/>
        <v>0.31809441586205289</v>
      </c>
      <c r="R1473" s="25">
        <f t="shared" si="244"/>
        <v>0.22838127770581074</v>
      </c>
      <c r="S1473" s="25">
        <f t="shared" si="241"/>
        <v>0.18738307720488678</v>
      </c>
      <c r="T1473" s="25">
        <f t="shared" si="238"/>
        <v>0.1288823729510471</v>
      </c>
      <c r="U1473" s="25">
        <f t="shared" si="235"/>
        <v>0.17898887719843359</v>
      </c>
      <c r="X1473">
        <f t="shared" si="248"/>
        <v>0</v>
      </c>
      <c r="Y1473">
        <f t="shared" si="245"/>
        <v>0</v>
      </c>
      <c r="Z1473">
        <f t="shared" si="242"/>
        <v>0</v>
      </c>
      <c r="AA1473">
        <f t="shared" si="239"/>
        <v>0</v>
      </c>
      <c r="AB1473">
        <f t="shared" si="236"/>
        <v>0</v>
      </c>
    </row>
    <row r="1474" spans="1:28">
      <c r="A1474" s="26">
        <v>44553</v>
      </c>
      <c r="B1474" s="23">
        <v>1224.98</v>
      </c>
      <c r="C1474" s="25">
        <f t="shared" si="232"/>
        <v>7.7412242816128091E-3</v>
      </c>
      <c r="E1474" s="25">
        <f t="shared" si="246"/>
        <v>0.30778921296494</v>
      </c>
      <c r="F1474" s="25">
        <f t="shared" si="243"/>
        <v>0.22439508847456358</v>
      </c>
      <c r="G1474" s="25">
        <f t="shared" si="240"/>
        <v>0.18628136776000859</v>
      </c>
      <c r="H1474" s="25">
        <f t="shared" si="237"/>
        <v>0.12559619890944673</v>
      </c>
      <c r="I1474" s="25">
        <f t="shared" si="234"/>
        <v>0.17510313484787376</v>
      </c>
      <c r="K1474" s="28">
        <v>44553</v>
      </c>
      <c r="L1474" s="23">
        <v>22614.17</v>
      </c>
      <c r="M1474" s="25">
        <f t="shared" si="233"/>
        <v>7.5722434208285328E-3</v>
      </c>
      <c r="O1474" t="b">
        <f t="shared" si="231"/>
        <v>1</v>
      </c>
      <c r="Q1474" s="25">
        <f t="shared" si="247"/>
        <v>0.31645963853808512</v>
      </c>
      <c r="R1474" s="25">
        <f t="shared" si="244"/>
        <v>0.23206337083075534</v>
      </c>
      <c r="S1474" s="25">
        <f t="shared" si="241"/>
        <v>0.18877189362110336</v>
      </c>
      <c r="T1474" s="25">
        <f t="shared" si="238"/>
        <v>0.13110039417748953</v>
      </c>
      <c r="U1474" s="25">
        <f t="shared" si="235"/>
        <v>0.18394208162360237</v>
      </c>
      <c r="X1474">
        <f t="shared" si="248"/>
        <v>0</v>
      </c>
      <c r="Y1474">
        <f t="shared" si="245"/>
        <v>0</v>
      </c>
      <c r="Z1474">
        <f t="shared" si="242"/>
        <v>0</v>
      </c>
      <c r="AA1474">
        <f t="shared" si="239"/>
        <v>0</v>
      </c>
      <c r="AB1474">
        <f t="shared" si="236"/>
        <v>0</v>
      </c>
    </row>
    <row r="1475" spans="1:28">
      <c r="A1475" s="27">
        <v>44554</v>
      </c>
      <c r="B1475" s="24">
        <v>1220.02</v>
      </c>
      <c r="C1475" s="25">
        <f t="shared" si="232"/>
        <v>-4.0490456987053143E-3</v>
      </c>
      <c r="E1475" s="25">
        <f t="shared" si="246"/>
        <v>0.29041197313448608</v>
      </c>
      <c r="F1475" s="25">
        <f t="shared" si="243"/>
        <v>0.22448645595992955</v>
      </c>
      <c r="G1475" s="25">
        <f t="shared" si="240"/>
        <v>0.18084973480264965</v>
      </c>
      <c r="H1475" s="25">
        <f t="shared" si="237"/>
        <v>0.1233673292674311</v>
      </c>
      <c r="I1475" s="25">
        <f t="shared" si="234"/>
        <v>0.17038082043048464</v>
      </c>
      <c r="K1475" s="29">
        <v>44554</v>
      </c>
      <c r="L1475" s="24">
        <v>22481.33</v>
      </c>
      <c r="M1475" s="25">
        <f t="shared" si="233"/>
        <v>-5.9089030764637365E-3</v>
      </c>
      <c r="O1475" t="b">
        <f t="shared" ref="O1475:O1538" si="249">K1475=A1475</f>
        <v>1</v>
      </c>
      <c r="Q1475" s="25">
        <f t="shared" si="247"/>
        <v>0.29620438688489426</v>
      </c>
      <c r="R1475" s="25">
        <f t="shared" si="244"/>
        <v>0.23167833369930224</v>
      </c>
      <c r="S1475" s="25">
        <f t="shared" si="241"/>
        <v>0.18316758831848068</v>
      </c>
      <c r="T1475" s="25">
        <f t="shared" si="238"/>
        <v>0.1278020833901945</v>
      </c>
      <c r="U1475" s="25">
        <f t="shared" si="235"/>
        <v>0.17880062304084943</v>
      </c>
      <c r="X1475">
        <f t="shared" si="248"/>
        <v>0</v>
      </c>
      <c r="Y1475">
        <f t="shared" si="245"/>
        <v>0</v>
      </c>
      <c r="Z1475">
        <f t="shared" si="242"/>
        <v>0</v>
      </c>
      <c r="AA1475">
        <f t="shared" si="239"/>
        <v>0</v>
      </c>
      <c r="AB1475">
        <f t="shared" si="236"/>
        <v>0</v>
      </c>
    </row>
    <row r="1476" spans="1:28">
      <c r="A1476" s="26">
        <v>44557</v>
      </c>
      <c r="B1476" s="23">
        <v>1225.5899999999999</v>
      </c>
      <c r="C1476" s="25">
        <f t="shared" ref="C1476:C1539" si="250">(B1476-B1475)/B1475</f>
        <v>4.5654989262470585E-3</v>
      </c>
      <c r="E1476" s="25">
        <f t="shared" si="246"/>
        <v>0.2939220219808063</v>
      </c>
      <c r="F1476" s="25">
        <f t="shared" si="243"/>
        <v>0.22744441393396708</v>
      </c>
      <c r="G1476" s="25">
        <f t="shared" si="240"/>
        <v>0.18159778495500989</v>
      </c>
      <c r="H1476" s="25">
        <f t="shared" si="237"/>
        <v>0.12657501152736428</v>
      </c>
      <c r="I1476" s="25">
        <f t="shared" si="234"/>
        <v>0.170782369210563</v>
      </c>
      <c r="K1476" s="28">
        <v>44557</v>
      </c>
      <c r="L1476" s="23">
        <v>22577.599999999999</v>
      </c>
      <c r="M1476" s="25">
        <f t="shared" ref="M1476:M1539" si="251">(L1476-L1475)/L1476</f>
        <v>4.2639607398482033E-3</v>
      </c>
      <c r="O1476" t="b">
        <f t="shared" si="249"/>
        <v>1</v>
      </c>
      <c r="Q1476" s="25">
        <f t="shared" si="247"/>
        <v>0.29808842198222729</v>
      </c>
      <c r="R1476" s="25">
        <f t="shared" si="244"/>
        <v>0.23331439630902495</v>
      </c>
      <c r="S1476" s="25">
        <f t="shared" si="241"/>
        <v>0.18410136848468706</v>
      </c>
      <c r="T1476" s="25">
        <f t="shared" si="238"/>
        <v>0.13068355071735516</v>
      </c>
      <c r="U1476" s="25">
        <f t="shared" si="235"/>
        <v>0.17927882468606415</v>
      </c>
      <c r="X1476">
        <f t="shared" si="248"/>
        <v>0</v>
      </c>
      <c r="Y1476">
        <f t="shared" si="245"/>
        <v>0</v>
      </c>
      <c r="Z1476">
        <f t="shared" si="242"/>
        <v>0</v>
      </c>
      <c r="AA1476">
        <f t="shared" si="239"/>
        <v>0</v>
      </c>
      <c r="AB1476">
        <f t="shared" si="236"/>
        <v>0</v>
      </c>
    </row>
    <row r="1477" spans="1:28">
      <c r="A1477" s="27">
        <v>44558</v>
      </c>
      <c r="B1477" s="24">
        <v>1237.72</v>
      </c>
      <c r="C1477" s="25">
        <f t="shared" si="250"/>
        <v>9.8972739660082975E-3</v>
      </c>
      <c r="E1477" s="25">
        <f t="shared" si="246"/>
        <v>0.30247926926800539</v>
      </c>
      <c r="F1477" s="25">
        <f t="shared" si="243"/>
        <v>0.22790122115919509</v>
      </c>
      <c r="G1477" s="25">
        <f t="shared" si="240"/>
        <v>0.18508452966686328</v>
      </c>
      <c r="H1477" s="25">
        <f t="shared" si="237"/>
        <v>0.12996533963317058</v>
      </c>
      <c r="I1477" s="25">
        <f t="shared" si="234"/>
        <v>0.17054287531188606</v>
      </c>
      <c r="K1477" s="29">
        <v>44558</v>
      </c>
      <c r="L1477" s="24">
        <v>22792.66</v>
      </c>
      <c r="M1477" s="25">
        <f t="shared" si="251"/>
        <v>9.4354937071847392E-3</v>
      </c>
      <c r="O1477" t="b">
        <f t="shared" si="249"/>
        <v>1</v>
      </c>
      <c r="Q1477" s="25">
        <f t="shared" si="247"/>
        <v>0.30559725965407702</v>
      </c>
      <c r="R1477" s="25">
        <f t="shared" si="244"/>
        <v>0.23348471383946223</v>
      </c>
      <c r="S1477" s="25">
        <f t="shared" si="241"/>
        <v>0.1866482376909111</v>
      </c>
      <c r="T1477" s="25">
        <f t="shared" si="238"/>
        <v>0.13386735856889165</v>
      </c>
      <c r="U1477" s="25">
        <f t="shared" si="235"/>
        <v>0.17918237841602758</v>
      </c>
      <c r="X1477">
        <f t="shared" si="248"/>
        <v>0</v>
      </c>
      <c r="Y1477">
        <f t="shared" si="245"/>
        <v>0</v>
      </c>
      <c r="Z1477">
        <f t="shared" si="242"/>
        <v>0</v>
      </c>
      <c r="AA1477">
        <f t="shared" si="239"/>
        <v>0</v>
      </c>
      <c r="AB1477">
        <f t="shared" si="236"/>
        <v>0</v>
      </c>
    </row>
    <row r="1478" spans="1:28">
      <c r="A1478" s="26">
        <v>44559</v>
      </c>
      <c r="B1478" s="23">
        <v>1238.6099999999999</v>
      </c>
      <c r="C1478" s="25">
        <f t="shared" si="250"/>
        <v>7.1906408557660271E-4</v>
      </c>
      <c r="E1478" s="25">
        <f t="shared" si="246"/>
        <v>0.29976389107508239</v>
      </c>
      <c r="F1478" s="25">
        <f t="shared" si="243"/>
        <v>0.2309695717367013</v>
      </c>
      <c r="G1478" s="25">
        <f t="shared" si="240"/>
        <v>0.19000041101421616</v>
      </c>
      <c r="H1478" s="25">
        <f t="shared" si="237"/>
        <v>0.1292918360848927</v>
      </c>
      <c r="I1478" s="25">
        <f t="shared" si="234"/>
        <v>0.16907597250256057</v>
      </c>
      <c r="K1478" s="28">
        <v>44559</v>
      </c>
      <c r="L1478" s="23">
        <v>22785.85</v>
      </c>
      <c r="M1478" s="25">
        <f t="shared" si="251"/>
        <v>-2.9886969325266822E-4</v>
      </c>
      <c r="O1478" t="b">
        <f t="shared" si="249"/>
        <v>1</v>
      </c>
      <c r="Q1478" s="25">
        <f t="shared" si="247"/>
        <v>0.30422551012289634</v>
      </c>
      <c r="R1478" s="25">
        <f t="shared" si="244"/>
        <v>0.2356762316417329</v>
      </c>
      <c r="S1478" s="25">
        <f t="shared" si="241"/>
        <v>0.19062209640500849</v>
      </c>
      <c r="T1478" s="25">
        <f t="shared" si="238"/>
        <v>0.13313690552713808</v>
      </c>
      <c r="U1478" s="25">
        <f t="shared" si="235"/>
        <v>0.17682821645441971</v>
      </c>
      <c r="X1478">
        <f t="shared" si="248"/>
        <v>0</v>
      </c>
      <c r="Y1478">
        <f t="shared" si="245"/>
        <v>0</v>
      </c>
      <c r="Z1478">
        <f t="shared" si="242"/>
        <v>0</v>
      </c>
      <c r="AA1478">
        <f t="shared" si="239"/>
        <v>0</v>
      </c>
      <c r="AB1478">
        <f t="shared" si="236"/>
        <v>0</v>
      </c>
    </row>
    <row r="1479" spans="1:28">
      <c r="A1479" s="27">
        <v>44560</v>
      </c>
      <c r="B1479" s="24">
        <v>1239.23</v>
      </c>
      <c r="C1479" s="25">
        <f t="shared" si="250"/>
        <v>5.0056111286047927E-4</v>
      </c>
      <c r="E1479" s="25">
        <f t="shared" si="246"/>
        <v>0.2954391026646177</v>
      </c>
      <c r="F1479" s="25">
        <f t="shared" si="243"/>
        <v>0.24314351399124901</v>
      </c>
      <c r="G1479" s="25">
        <f t="shared" si="240"/>
        <v>0.19400692715792034</v>
      </c>
      <c r="H1479" s="25">
        <f t="shared" si="237"/>
        <v>0.12731494637587337</v>
      </c>
      <c r="I1479" s="25">
        <f t="shared" si="234"/>
        <v>0.1678167137361255</v>
      </c>
      <c r="K1479" s="29">
        <v>44560</v>
      </c>
      <c r="L1479" s="24">
        <v>22754.58</v>
      </c>
      <c r="M1479" s="25">
        <f t="shared" si="251"/>
        <v>-1.3742288365681456E-3</v>
      </c>
      <c r="O1479" t="b">
        <f t="shared" si="249"/>
        <v>1</v>
      </c>
      <c r="Q1479" s="25">
        <f t="shared" si="247"/>
        <v>0.29607280697357563</v>
      </c>
      <c r="R1479" s="25">
        <f t="shared" si="244"/>
        <v>0.24707140696385377</v>
      </c>
      <c r="S1479" s="25">
        <f t="shared" si="241"/>
        <v>0.19396320026077096</v>
      </c>
      <c r="T1479" s="25">
        <f t="shared" si="238"/>
        <v>0.13076463623322843</v>
      </c>
      <c r="U1479" s="25">
        <f t="shared" si="235"/>
        <v>0.17584185267249253</v>
      </c>
      <c r="X1479">
        <f t="shared" si="248"/>
        <v>0</v>
      </c>
      <c r="Y1479">
        <f t="shared" si="245"/>
        <v>0</v>
      </c>
      <c r="Z1479">
        <f t="shared" si="242"/>
        <v>1</v>
      </c>
      <c r="AA1479">
        <f t="shared" si="239"/>
        <v>0</v>
      </c>
      <c r="AB1479">
        <f t="shared" si="236"/>
        <v>0</v>
      </c>
    </row>
    <row r="1480" spans="1:28">
      <c r="A1480" s="26">
        <v>44561</v>
      </c>
      <c r="B1480" s="23">
        <v>1251.97</v>
      </c>
      <c r="C1480" s="25">
        <f t="shared" si="250"/>
        <v>1.0280577455355348E-2</v>
      </c>
      <c r="E1480" s="25">
        <f t="shared" si="246"/>
        <v>0.29045125646787207</v>
      </c>
      <c r="F1480" s="25">
        <f t="shared" si="243"/>
        <v>0.24630418129159204</v>
      </c>
      <c r="G1480" s="25">
        <f t="shared" si="240"/>
        <v>0.19650348380714133</v>
      </c>
      <c r="H1480" s="25">
        <f t="shared" si="237"/>
        <v>0.12766000396270272</v>
      </c>
      <c r="I1480" s="25">
        <f t="shared" si="234"/>
        <v>0.1689079180116082</v>
      </c>
      <c r="K1480" s="28">
        <v>44561</v>
      </c>
      <c r="L1480" s="23">
        <v>22990.880000000001</v>
      </c>
      <c r="M1480" s="25">
        <f t="shared" si="251"/>
        <v>1.0277988489348787E-2</v>
      </c>
      <c r="O1480" t="b">
        <f t="shared" si="249"/>
        <v>1</v>
      </c>
      <c r="Q1480" s="25">
        <f t="shared" si="247"/>
        <v>0.29643311275829687</v>
      </c>
      <c r="R1480" s="25">
        <f t="shared" si="244"/>
        <v>0.24981710415971503</v>
      </c>
      <c r="S1480" s="25">
        <f t="shared" si="241"/>
        <v>0.1963092249943672</v>
      </c>
      <c r="T1480" s="25">
        <f t="shared" si="238"/>
        <v>0.13167923926780678</v>
      </c>
      <c r="U1480" s="25">
        <f t="shared" si="235"/>
        <v>0.17739226607282932</v>
      </c>
      <c r="X1480">
        <f t="shared" si="248"/>
        <v>0</v>
      </c>
      <c r="Y1480">
        <f t="shared" si="245"/>
        <v>0</v>
      </c>
      <c r="Z1480">
        <f t="shared" si="242"/>
        <v>1</v>
      </c>
      <c r="AA1480">
        <f t="shared" si="239"/>
        <v>0</v>
      </c>
      <c r="AB1480">
        <f t="shared" si="236"/>
        <v>0</v>
      </c>
    </row>
    <row r="1481" spans="1:28">
      <c r="A1481" s="27">
        <v>44564</v>
      </c>
      <c r="B1481" s="24">
        <v>1267.29</v>
      </c>
      <c r="C1481" s="25">
        <f t="shared" si="250"/>
        <v>1.2236714937258829E-2</v>
      </c>
      <c r="E1481" s="25">
        <f t="shared" si="246"/>
        <v>0.29628796170330296</v>
      </c>
      <c r="F1481" s="25">
        <f t="shared" si="243"/>
        <v>0.25383633059040034</v>
      </c>
      <c r="G1481" s="25">
        <f t="shared" si="240"/>
        <v>0.20077845367637681</v>
      </c>
      <c r="H1481" s="25">
        <f t="shared" si="237"/>
        <v>0.1299682687103243</v>
      </c>
      <c r="I1481" s="25">
        <f t="shared" si="234"/>
        <v>0.17177107623656673</v>
      </c>
      <c r="K1481" s="29">
        <v>44564</v>
      </c>
      <c r="L1481" s="24">
        <v>23310.38</v>
      </c>
      <c r="M1481" s="25">
        <f t="shared" si="251"/>
        <v>1.3706340265581256E-2</v>
      </c>
      <c r="O1481" t="b">
        <f t="shared" si="249"/>
        <v>1</v>
      </c>
      <c r="Q1481" s="25">
        <f t="shared" si="247"/>
        <v>0.30604558702738549</v>
      </c>
      <c r="R1481" s="25">
        <f t="shared" si="244"/>
        <v>0.25931956969862435</v>
      </c>
      <c r="S1481" s="25">
        <f t="shared" si="241"/>
        <v>0.20066622664319844</v>
      </c>
      <c r="T1481" s="25">
        <f t="shared" si="238"/>
        <v>0.13364711504769455</v>
      </c>
      <c r="U1481" s="25">
        <f t="shared" si="235"/>
        <v>0.18057971205866474</v>
      </c>
      <c r="X1481">
        <f t="shared" si="248"/>
        <v>0</v>
      </c>
      <c r="Y1481">
        <f t="shared" si="245"/>
        <v>0</v>
      </c>
      <c r="Z1481">
        <f t="shared" si="242"/>
        <v>1</v>
      </c>
      <c r="AA1481">
        <f t="shared" si="239"/>
        <v>0</v>
      </c>
      <c r="AB1481">
        <f t="shared" si="236"/>
        <v>0</v>
      </c>
    </row>
    <row r="1482" spans="1:28">
      <c r="A1482" s="26">
        <v>44565</v>
      </c>
      <c r="B1482" s="23">
        <v>1272.6099999999999</v>
      </c>
      <c r="C1482" s="25">
        <f t="shared" si="250"/>
        <v>4.1979341744982886E-3</v>
      </c>
      <c r="E1482" s="25">
        <f t="shared" si="246"/>
        <v>0.29905883794046795</v>
      </c>
      <c r="F1482" s="25">
        <f t="shared" si="243"/>
        <v>0.24647006741200284</v>
      </c>
      <c r="G1482" s="25">
        <f t="shared" si="240"/>
        <v>0.20086707530475967</v>
      </c>
      <c r="H1482" s="25">
        <f t="shared" si="237"/>
        <v>0.13151637172821773</v>
      </c>
      <c r="I1482" s="25">
        <f t="shared" si="234"/>
        <v>0.17004903277666084</v>
      </c>
      <c r="K1482" s="28">
        <v>44565</v>
      </c>
      <c r="L1482" s="23">
        <v>23485.37</v>
      </c>
      <c r="M1482" s="25">
        <f t="shared" si="251"/>
        <v>7.4510216360226802E-3</v>
      </c>
      <c r="O1482" t="b">
        <f t="shared" si="249"/>
        <v>1</v>
      </c>
      <c r="Q1482" s="25">
        <f t="shared" si="247"/>
        <v>0.31911230785130473</v>
      </c>
      <c r="R1482" s="25">
        <f t="shared" si="244"/>
        <v>0.25435492135906679</v>
      </c>
      <c r="S1482" s="25">
        <f t="shared" si="241"/>
        <v>0.20289167002443342</v>
      </c>
      <c r="T1482" s="25">
        <f t="shared" si="238"/>
        <v>0.13572425444174829</v>
      </c>
      <c r="U1482" s="25">
        <f t="shared" si="235"/>
        <v>0.17980220061771646</v>
      </c>
      <c r="X1482">
        <f t="shared" si="248"/>
        <v>0</v>
      </c>
      <c r="Y1482">
        <f t="shared" si="245"/>
        <v>0</v>
      </c>
      <c r="Z1482">
        <f t="shared" si="242"/>
        <v>0</v>
      </c>
      <c r="AA1482">
        <f t="shared" si="239"/>
        <v>0</v>
      </c>
      <c r="AB1482">
        <f t="shared" si="236"/>
        <v>0</v>
      </c>
    </row>
    <row r="1483" spans="1:28">
      <c r="A1483" s="27">
        <v>44566</v>
      </c>
      <c r="B1483" s="24">
        <v>1277.73</v>
      </c>
      <c r="C1483" s="25">
        <f t="shared" si="250"/>
        <v>4.0232278545666925E-3</v>
      </c>
      <c r="E1483" s="25">
        <f t="shared" si="246"/>
        <v>0.2984269251874887</v>
      </c>
      <c r="F1483" s="25">
        <f t="shared" si="243"/>
        <v>0.24658784131859224</v>
      </c>
      <c r="G1483" s="25">
        <f t="shared" si="240"/>
        <v>0.20151693549384952</v>
      </c>
      <c r="H1483" s="25">
        <f t="shared" si="237"/>
        <v>0.13362870349786649</v>
      </c>
      <c r="I1483" s="25">
        <f t="shared" si="234"/>
        <v>0.17125552738970051</v>
      </c>
      <c r="K1483" s="29">
        <v>44566</v>
      </c>
      <c r="L1483" s="24">
        <v>23604.46</v>
      </c>
      <c r="M1483" s="25">
        <f t="shared" si="251"/>
        <v>5.0452329771577126E-3</v>
      </c>
      <c r="O1483" t="b">
        <f t="shared" si="249"/>
        <v>1</v>
      </c>
      <c r="Q1483" s="25">
        <f t="shared" si="247"/>
        <v>0.32262619448120811</v>
      </c>
      <c r="R1483" s="25">
        <f t="shared" si="244"/>
        <v>0.25538164877598413</v>
      </c>
      <c r="S1483" s="25">
        <f t="shared" si="241"/>
        <v>0.20365253358109059</v>
      </c>
      <c r="T1483" s="25">
        <f t="shared" si="238"/>
        <v>0.13746197227484425</v>
      </c>
      <c r="U1483" s="25">
        <f t="shared" si="235"/>
        <v>0.1817889510162698</v>
      </c>
      <c r="X1483">
        <f t="shared" si="248"/>
        <v>0</v>
      </c>
      <c r="Y1483">
        <f t="shared" si="245"/>
        <v>0</v>
      </c>
      <c r="Z1483">
        <f t="shared" si="242"/>
        <v>0</v>
      </c>
      <c r="AA1483">
        <f t="shared" si="239"/>
        <v>0</v>
      </c>
      <c r="AB1483">
        <f t="shared" si="236"/>
        <v>0</v>
      </c>
    </row>
    <row r="1484" spans="1:28">
      <c r="A1484" s="26">
        <v>44567</v>
      </c>
      <c r="B1484" s="23">
        <v>1270.71</v>
      </c>
      <c r="C1484" s="25">
        <f t="shared" si="250"/>
        <v>-5.4941184757342958E-3</v>
      </c>
      <c r="E1484" s="25">
        <f t="shared" si="246"/>
        <v>0.27830312053598383</v>
      </c>
      <c r="F1484" s="25">
        <f t="shared" si="243"/>
        <v>0.23862510949905058</v>
      </c>
      <c r="G1484" s="25">
        <f t="shared" si="240"/>
        <v>0.19976868471618969</v>
      </c>
      <c r="H1484" s="25">
        <f t="shared" si="237"/>
        <v>0.13173576891397176</v>
      </c>
      <c r="I1484" s="25">
        <f t="shared" si="234"/>
        <v>0.16938124732163318</v>
      </c>
      <c r="K1484" s="28">
        <v>44567</v>
      </c>
      <c r="L1484" s="23">
        <v>23441.51</v>
      </c>
      <c r="M1484" s="25">
        <f t="shared" si="251"/>
        <v>-6.9513440047164511E-3</v>
      </c>
      <c r="O1484" t="b">
        <f t="shared" si="249"/>
        <v>1</v>
      </c>
      <c r="Q1484" s="25">
        <f t="shared" si="247"/>
        <v>0.2959244033824544</v>
      </c>
      <c r="R1484" s="25">
        <f t="shared" si="244"/>
        <v>0.24701773547832695</v>
      </c>
      <c r="S1484" s="25">
        <f t="shared" si="241"/>
        <v>0.20123087441044896</v>
      </c>
      <c r="T1484" s="25">
        <f t="shared" si="238"/>
        <v>0.13491293517135472</v>
      </c>
      <c r="U1484" s="25">
        <f t="shared" si="235"/>
        <v>0.18008523927104192</v>
      </c>
      <c r="X1484">
        <f t="shared" si="248"/>
        <v>0</v>
      </c>
      <c r="Y1484">
        <f t="shared" si="245"/>
        <v>0</v>
      </c>
      <c r="Z1484">
        <f t="shared" si="242"/>
        <v>0</v>
      </c>
      <c r="AA1484">
        <f t="shared" si="239"/>
        <v>0</v>
      </c>
      <c r="AB1484">
        <f t="shared" si="236"/>
        <v>0</v>
      </c>
    </row>
    <row r="1485" spans="1:28">
      <c r="A1485" s="27">
        <v>44568</v>
      </c>
      <c r="B1485" s="24">
        <v>1273.71</v>
      </c>
      <c r="C1485" s="25">
        <f t="shared" si="250"/>
        <v>2.360884859645395E-3</v>
      </c>
      <c r="E1485" s="25">
        <f t="shared" si="246"/>
        <v>0.27097739859302505</v>
      </c>
      <c r="F1485" s="25">
        <f t="shared" si="243"/>
        <v>0.23772007175663545</v>
      </c>
      <c r="G1485" s="25">
        <f t="shared" si="240"/>
        <v>0.20086446089577215</v>
      </c>
      <c r="H1485" s="25">
        <f t="shared" si="237"/>
        <v>0.13204525614791396</v>
      </c>
      <c r="I1485" s="25">
        <f t="shared" si="234"/>
        <v>0.1688407452528855</v>
      </c>
      <c r="K1485" s="29">
        <v>44568</v>
      </c>
      <c r="L1485" s="24">
        <v>23531.13</v>
      </c>
      <c r="M1485" s="25">
        <f t="shared" si="251"/>
        <v>3.8085718790386446E-3</v>
      </c>
      <c r="O1485" t="b">
        <f t="shared" si="249"/>
        <v>1</v>
      </c>
      <c r="Q1485" s="25">
        <f t="shared" si="247"/>
        <v>0.29211414426395876</v>
      </c>
      <c r="R1485" s="25">
        <f t="shared" si="244"/>
        <v>0.24732983147321863</v>
      </c>
      <c r="S1485" s="25">
        <f t="shared" si="241"/>
        <v>0.20369234323805618</v>
      </c>
      <c r="T1485" s="25">
        <f t="shared" si="238"/>
        <v>0.1355577690657237</v>
      </c>
      <c r="U1485" s="25">
        <f t="shared" si="235"/>
        <v>0.17942387676195937</v>
      </c>
      <c r="X1485">
        <f t="shared" si="248"/>
        <v>0</v>
      </c>
      <c r="Y1485">
        <f t="shared" si="245"/>
        <v>0</v>
      </c>
      <c r="Z1485">
        <f t="shared" si="242"/>
        <v>0</v>
      </c>
      <c r="AA1485">
        <f t="shared" si="239"/>
        <v>0</v>
      </c>
      <c r="AB1485">
        <f t="shared" si="236"/>
        <v>0</v>
      </c>
    </row>
    <row r="1486" spans="1:28">
      <c r="A1486" s="26">
        <v>44571</v>
      </c>
      <c r="B1486" s="23">
        <v>1285.3599999999999</v>
      </c>
      <c r="C1486" s="25">
        <f t="shared" si="250"/>
        <v>9.1465090169660784E-3</v>
      </c>
      <c r="E1486" s="25">
        <f t="shared" si="246"/>
        <v>0.27765573591244785</v>
      </c>
      <c r="F1486" s="25">
        <f t="shared" si="243"/>
        <v>0.24322555222080133</v>
      </c>
      <c r="G1486" s="25">
        <f t="shared" si="240"/>
        <v>0.20563574484557834</v>
      </c>
      <c r="H1486" s="25">
        <f t="shared" si="237"/>
        <v>0.13407338808262037</v>
      </c>
      <c r="I1486" s="25">
        <f t="shared" si="234"/>
        <v>0.16765410107064005</v>
      </c>
      <c r="K1486" s="28">
        <v>44571</v>
      </c>
      <c r="L1486" s="23">
        <v>23756.45</v>
      </c>
      <c r="M1486" s="25">
        <f t="shared" si="251"/>
        <v>9.484582081918793E-3</v>
      </c>
      <c r="O1486" t="b">
        <f t="shared" si="249"/>
        <v>1</v>
      </c>
      <c r="Q1486" s="25">
        <f t="shared" si="247"/>
        <v>0.29887430474416954</v>
      </c>
      <c r="R1486" s="25">
        <f t="shared" si="244"/>
        <v>0.25259030510957459</v>
      </c>
      <c r="S1486" s="25">
        <f t="shared" si="241"/>
        <v>0.20959653261731392</v>
      </c>
      <c r="T1486" s="25">
        <f t="shared" si="238"/>
        <v>0.1372493970765658</v>
      </c>
      <c r="U1486" s="25">
        <f t="shared" si="235"/>
        <v>0.17897662143470394</v>
      </c>
      <c r="X1486">
        <f t="shared" si="248"/>
        <v>0</v>
      </c>
      <c r="Y1486">
        <f t="shared" si="245"/>
        <v>0</v>
      </c>
      <c r="Z1486">
        <f t="shared" si="242"/>
        <v>0</v>
      </c>
      <c r="AA1486">
        <f t="shared" si="239"/>
        <v>0</v>
      </c>
      <c r="AB1486">
        <f t="shared" si="236"/>
        <v>0</v>
      </c>
    </row>
    <row r="1487" spans="1:28">
      <c r="A1487" s="27">
        <v>44572</v>
      </c>
      <c r="B1487" s="24">
        <v>1287.18</v>
      </c>
      <c r="C1487" s="25">
        <f t="shared" si="250"/>
        <v>1.4159457272671966E-3</v>
      </c>
      <c r="E1487" s="25">
        <f t="shared" si="246"/>
        <v>0.2795538590003579</v>
      </c>
      <c r="F1487" s="25">
        <f t="shared" si="243"/>
        <v>0.24258974278634149</v>
      </c>
      <c r="G1487" s="25">
        <f t="shared" si="240"/>
        <v>0.20193175166864696</v>
      </c>
      <c r="H1487" s="25">
        <f t="shared" si="237"/>
        <v>0.13703292297613201</v>
      </c>
      <c r="I1487" s="25">
        <f t="shared" si="234"/>
        <v>0.16742917221223585</v>
      </c>
      <c r="K1487" s="29">
        <v>44572</v>
      </c>
      <c r="L1487" s="24">
        <v>23810.11</v>
      </c>
      <c r="M1487" s="25">
        <f t="shared" si="251"/>
        <v>2.2536645147796398E-3</v>
      </c>
      <c r="O1487" t="b">
        <f t="shared" si="249"/>
        <v>1</v>
      </c>
      <c r="Q1487" s="25">
        <f t="shared" si="247"/>
        <v>0.30366991514960384</v>
      </c>
      <c r="R1487" s="25">
        <f t="shared" si="244"/>
        <v>0.25257794528458688</v>
      </c>
      <c r="S1487" s="25">
        <f t="shared" si="241"/>
        <v>0.2058328306304531</v>
      </c>
      <c r="T1487" s="25">
        <f t="shared" si="238"/>
        <v>0.14046477292210624</v>
      </c>
      <c r="U1487" s="25">
        <f t="shared" si="235"/>
        <v>0.17893009565430562</v>
      </c>
      <c r="X1487">
        <f t="shared" si="248"/>
        <v>0</v>
      </c>
      <c r="Y1487">
        <f t="shared" si="245"/>
        <v>0</v>
      </c>
      <c r="Z1487">
        <f t="shared" si="242"/>
        <v>0</v>
      </c>
      <c r="AA1487">
        <f t="shared" si="239"/>
        <v>0</v>
      </c>
      <c r="AB1487">
        <f t="shared" si="236"/>
        <v>0</v>
      </c>
    </row>
    <row r="1488" spans="1:28">
      <c r="A1488" s="26">
        <v>44573</v>
      </c>
      <c r="B1488" s="23">
        <v>1300.27</v>
      </c>
      <c r="C1488" s="25">
        <f t="shared" si="250"/>
        <v>1.0169517860749792E-2</v>
      </c>
      <c r="E1488" s="25">
        <f t="shared" si="246"/>
        <v>0.29438056841371774</v>
      </c>
      <c r="F1488" s="25">
        <f t="shared" si="243"/>
        <v>0.2466807270236675</v>
      </c>
      <c r="G1488" s="25">
        <f t="shared" si="240"/>
        <v>0.20590562094634901</v>
      </c>
      <c r="H1488" s="25">
        <f t="shared" si="237"/>
        <v>0.13809563388343959</v>
      </c>
      <c r="I1488" s="25">
        <f t="shared" si="234"/>
        <v>0.17018065266903215</v>
      </c>
      <c r="K1488" s="28">
        <v>44573</v>
      </c>
      <c r="L1488" s="23">
        <v>24020.69</v>
      </c>
      <c r="M1488" s="25">
        <f t="shared" si="251"/>
        <v>8.7666091190552031E-3</v>
      </c>
      <c r="O1488" t="b">
        <f t="shared" si="249"/>
        <v>1</v>
      </c>
      <c r="Q1488" s="25">
        <f t="shared" si="247"/>
        <v>0.31201166247639711</v>
      </c>
      <c r="R1488" s="25">
        <f t="shared" si="244"/>
        <v>0.25756705203469044</v>
      </c>
      <c r="S1488" s="25">
        <f t="shared" si="241"/>
        <v>0.20930512780111798</v>
      </c>
      <c r="T1488" s="25">
        <f t="shared" si="238"/>
        <v>0.14078883622746474</v>
      </c>
      <c r="U1488" s="25">
        <f t="shared" si="235"/>
        <v>0.18112446758203471</v>
      </c>
      <c r="X1488">
        <f t="shared" si="248"/>
        <v>0</v>
      </c>
      <c r="Y1488">
        <f t="shared" si="245"/>
        <v>0</v>
      </c>
      <c r="Z1488">
        <f t="shared" si="242"/>
        <v>0</v>
      </c>
      <c r="AA1488">
        <f t="shared" si="239"/>
        <v>0</v>
      </c>
      <c r="AB1488">
        <f t="shared" si="236"/>
        <v>0</v>
      </c>
    </row>
    <row r="1489" spans="1:28">
      <c r="A1489" s="27">
        <v>44574</v>
      </c>
      <c r="B1489" s="24">
        <v>1305.58</v>
      </c>
      <c r="C1489" s="25">
        <f t="shared" si="250"/>
        <v>4.0837672175778458E-3</v>
      </c>
      <c r="E1489" s="25">
        <f t="shared" si="246"/>
        <v>0.3119561066784573</v>
      </c>
      <c r="F1489" s="25">
        <f t="shared" si="243"/>
        <v>0.25306393065239741</v>
      </c>
      <c r="G1489" s="25">
        <f t="shared" si="240"/>
        <v>0.20846376861804217</v>
      </c>
      <c r="H1489" s="25">
        <f t="shared" si="237"/>
        <v>0.1405086832216067</v>
      </c>
      <c r="I1489" s="25">
        <f t="shared" si="234"/>
        <v>0.17010596849554016</v>
      </c>
      <c r="K1489" s="29">
        <v>44574</v>
      </c>
      <c r="L1489" s="24">
        <v>24102.2</v>
      </c>
      <c r="M1489" s="25">
        <f t="shared" si="251"/>
        <v>3.3818489598460735E-3</v>
      </c>
      <c r="O1489" t="b">
        <f t="shared" si="249"/>
        <v>1</v>
      </c>
      <c r="Q1489" s="25">
        <f t="shared" si="247"/>
        <v>0.3317228876852294</v>
      </c>
      <c r="R1489" s="25">
        <f t="shared" si="244"/>
        <v>0.26552596139787443</v>
      </c>
      <c r="S1489" s="25">
        <f t="shared" si="241"/>
        <v>0.21052083773917141</v>
      </c>
      <c r="T1489" s="25">
        <f t="shared" si="238"/>
        <v>0.14290805232564119</v>
      </c>
      <c r="U1489" s="25">
        <f t="shared" si="235"/>
        <v>0.18128335175458754</v>
      </c>
      <c r="X1489">
        <f t="shared" si="248"/>
        <v>0</v>
      </c>
      <c r="Y1489">
        <f t="shared" si="245"/>
        <v>0</v>
      </c>
      <c r="Z1489">
        <f t="shared" si="242"/>
        <v>0</v>
      </c>
      <c r="AA1489">
        <f t="shared" si="239"/>
        <v>0</v>
      </c>
      <c r="AB1489">
        <f t="shared" si="236"/>
        <v>0</v>
      </c>
    </row>
    <row r="1490" spans="1:28">
      <c r="A1490" s="26">
        <v>44575</v>
      </c>
      <c r="B1490" s="23">
        <v>1307.3499999999999</v>
      </c>
      <c r="C1490" s="25">
        <f t="shared" si="250"/>
        <v>1.3557192971705924E-3</v>
      </c>
      <c r="E1490" s="25">
        <f t="shared" si="246"/>
        <v>0.33561154019042938</v>
      </c>
      <c r="F1490" s="25">
        <f t="shared" si="243"/>
        <v>0.25573418205720477</v>
      </c>
      <c r="G1490" s="25">
        <f t="shared" si="240"/>
        <v>0.21104844972375902</v>
      </c>
      <c r="H1490" s="25">
        <f t="shared" si="237"/>
        <v>0.13880876443252577</v>
      </c>
      <c r="I1490" s="25">
        <f t="shared" ref="I1490:I1553" si="252">((B1490/B259)^(1/5))-1</f>
        <v>0.17071430375568641</v>
      </c>
      <c r="K1490" s="28">
        <v>44575</v>
      </c>
      <c r="L1490" s="23">
        <v>24116.52</v>
      </c>
      <c r="M1490" s="25">
        <f t="shared" si="251"/>
        <v>5.9378384609386876E-4</v>
      </c>
      <c r="O1490" t="b">
        <f t="shared" si="249"/>
        <v>1</v>
      </c>
      <c r="Q1490" s="25">
        <f t="shared" si="247"/>
        <v>0.3500558405898111</v>
      </c>
      <c r="R1490" s="25">
        <f t="shared" si="244"/>
        <v>0.26831660354252351</v>
      </c>
      <c r="S1490" s="25">
        <f t="shared" si="241"/>
        <v>0.21170238204469083</v>
      </c>
      <c r="T1490" s="25">
        <f t="shared" si="238"/>
        <v>0.14082734013576337</v>
      </c>
      <c r="U1490" s="25">
        <f t="shared" ref="U1490:U1553" si="253">((L1490/L259)^(1/5))-1</f>
        <v>0.18156467603855209</v>
      </c>
      <c r="X1490">
        <f t="shared" si="248"/>
        <v>0</v>
      </c>
      <c r="Y1490">
        <f t="shared" si="245"/>
        <v>0</v>
      </c>
      <c r="Z1490">
        <f t="shared" si="242"/>
        <v>0</v>
      </c>
      <c r="AA1490">
        <f t="shared" si="239"/>
        <v>0</v>
      </c>
      <c r="AB1490">
        <f t="shared" ref="AB1490:AB1553" si="254">IF(I1490&gt;U1490,1,0)</f>
        <v>0</v>
      </c>
    </row>
    <row r="1491" spans="1:28">
      <c r="A1491" s="27">
        <v>44578</v>
      </c>
      <c r="B1491" s="24">
        <v>1306.02</v>
      </c>
      <c r="C1491" s="25">
        <f t="shared" si="250"/>
        <v>-1.0173251233410543E-3</v>
      </c>
      <c r="E1491" s="25">
        <f t="shared" si="246"/>
        <v>0.31391663900039224</v>
      </c>
      <c r="F1491" s="25">
        <f t="shared" si="243"/>
        <v>0.25663465059013113</v>
      </c>
      <c r="G1491" s="25">
        <f t="shared" si="240"/>
        <v>0.21080215605125696</v>
      </c>
      <c r="H1491" s="25">
        <f t="shared" si="237"/>
        <v>0.13805079380690577</v>
      </c>
      <c r="I1491" s="25">
        <f t="shared" si="252"/>
        <v>0.16885252944364493</v>
      </c>
      <c r="K1491" s="29">
        <v>44578</v>
      </c>
      <c r="L1491" s="24">
        <v>24194.84</v>
      </c>
      <c r="M1491" s="25">
        <f t="shared" si="251"/>
        <v>3.2370538511517213E-3</v>
      </c>
      <c r="O1491" t="b">
        <f t="shared" si="249"/>
        <v>1</v>
      </c>
      <c r="Q1491" s="25">
        <f t="shared" si="247"/>
        <v>0.33119489768520771</v>
      </c>
      <c r="R1491" s="25">
        <f t="shared" si="244"/>
        <v>0.27296167843710739</v>
      </c>
      <c r="S1491" s="25">
        <f t="shared" si="241"/>
        <v>0.21234168626008487</v>
      </c>
      <c r="T1491" s="25">
        <f t="shared" si="238"/>
        <v>0.1398587418776216</v>
      </c>
      <c r="U1491" s="25">
        <f t="shared" si="253"/>
        <v>0.18150436558348182</v>
      </c>
      <c r="X1491">
        <f t="shared" si="248"/>
        <v>0</v>
      </c>
      <c r="Y1491">
        <f t="shared" si="245"/>
        <v>0</v>
      </c>
      <c r="Z1491">
        <f t="shared" si="242"/>
        <v>0</v>
      </c>
      <c r="AA1491">
        <f t="shared" si="239"/>
        <v>0</v>
      </c>
      <c r="AB1491">
        <f t="shared" si="254"/>
        <v>0</v>
      </c>
    </row>
    <row r="1492" spans="1:28">
      <c r="A1492" s="26">
        <v>44579</v>
      </c>
      <c r="B1492" s="23">
        <v>1288.1600000000001</v>
      </c>
      <c r="C1492" s="25">
        <f t="shared" si="250"/>
        <v>-1.3675135143412735E-2</v>
      </c>
      <c r="E1492" s="25">
        <f t="shared" si="246"/>
        <v>0.28769642928545736</v>
      </c>
      <c r="F1492" s="25">
        <f t="shared" si="243"/>
        <v>0.24290614146541922</v>
      </c>
      <c r="G1492" s="25">
        <f t="shared" si="240"/>
        <v>0.20620365087045944</v>
      </c>
      <c r="H1492" s="25">
        <f t="shared" si="237"/>
        <v>0.13146817068421623</v>
      </c>
      <c r="I1492" s="25">
        <f t="shared" si="252"/>
        <v>0.16512855452504605</v>
      </c>
      <c r="K1492" s="28">
        <v>44579</v>
      </c>
      <c r="L1492" s="23">
        <v>23875.7</v>
      </c>
      <c r="M1492" s="25">
        <f t="shared" si="251"/>
        <v>-1.3366728514766035E-2</v>
      </c>
      <c r="O1492" t="b">
        <f t="shared" si="249"/>
        <v>1</v>
      </c>
      <c r="Q1492" s="25">
        <f t="shared" si="247"/>
        <v>0.30313567550662524</v>
      </c>
      <c r="R1492" s="25">
        <f t="shared" si="244"/>
        <v>0.25979074955447534</v>
      </c>
      <c r="S1492" s="25">
        <f t="shared" si="241"/>
        <v>0.20805086839962361</v>
      </c>
      <c r="T1492" s="25">
        <f t="shared" si="238"/>
        <v>0.13348701609956204</v>
      </c>
      <c r="U1492" s="25">
        <f t="shared" si="253"/>
        <v>0.17774482991594853</v>
      </c>
      <c r="X1492">
        <f t="shared" si="248"/>
        <v>0</v>
      </c>
      <c r="Y1492">
        <f t="shared" si="245"/>
        <v>0</v>
      </c>
      <c r="Z1492">
        <f t="shared" si="242"/>
        <v>0</v>
      </c>
      <c r="AA1492">
        <f t="shared" si="239"/>
        <v>0</v>
      </c>
      <c r="AB1492">
        <f t="shared" si="254"/>
        <v>0</v>
      </c>
    </row>
    <row r="1493" spans="1:28">
      <c r="A1493" s="27">
        <v>44580</v>
      </c>
      <c r="B1493" s="24">
        <v>1275.07</v>
      </c>
      <c r="C1493" s="25">
        <f t="shared" si="250"/>
        <v>-1.0161781145199467E-2</v>
      </c>
      <c r="E1493" s="25">
        <f t="shared" si="246"/>
        <v>0.28514554104176737</v>
      </c>
      <c r="F1493" s="25">
        <f t="shared" si="243"/>
        <v>0.23156353674248731</v>
      </c>
      <c r="G1493" s="25">
        <f t="shared" si="240"/>
        <v>0.20420210560654439</v>
      </c>
      <c r="H1493" s="25">
        <f t="shared" si="237"/>
        <v>0.12982822614481226</v>
      </c>
      <c r="I1493" s="25">
        <f t="shared" si="252"/>
        <v>0.16523989037986753</v>
      </c>
      <c r="K1493" s="29">
        <v>44580</v>
      </c>
      <c r="L1493" s="24">
        <v>23722.89</v>
      </c>
      <c r="M1493" s="25">
        <f t="shared" si="251"/>
        <v>-6.4414580179734133E-3</v>
      </c>
      <c r="O1493" t="b">
        <f t="shared" si="249"/>
        <v>1</v>
      </c>
      <c r="Q1493" s="25">
        <f t="shared" si="247"/>
        <v>0.30145968462648765</v>
      </c>
      <c r="R1493" s="25">
        <f t="shared" si="244"/>
        <v>0.25183422705730685</v>
      </c>
      <c r="S1493" s="25">
        <f t="shared" si="241"/>
        <v>0.20822013516723104</v>
      </c>
      <c r="T1493" s="25">
        <f t="shared" si="238"/>
        <v>0.13233639516521589</v>
      </c>
      <c r="U1493" s="25">
        <f t="shared" si="253"/>
        <v>0.17899624838526318</v>
      </c>
      <c r="X1493">
        <f t="shared" si="248"/>
        <v>0</v>
      </c>
      <c r="Y1493">
        <f t="shared" si="245"/>
        <v>0</v>
      </c>
      <c r="Z1493">
        <f t="shared" si="242"/>
        <v>0</v>
      </c>
      <c r="AA1493">
        <f t="shared" si="239"/>
        <v>0</v>
      </c>
      <c r="AB1493">
        <f t="shared" si="254"/>
        <v>0</v>
      </c>
    </row>
    <row r="1494" spans="1:28">
      <c r="A1494" s="26">
        <v>44581</v>
      </c>
      <c r="B1494" s="23">
        <v>1268.05</v>
      </c>
      <c r="C1494" s="25">
        <f t="shared" si="250"/>
        <v>-5.5055800857991971E-3</v>
      </c>
      <c r="E1494" s="25">
        <f t="shared" si="246"/>
        <v>0.29539580545311517</v>
      </c>
      <c r="F1494" s="25">
        <f t="shared" si="243"/>
        <v>0.23096124197943024</v>
      </c>
      <c r="G1494" s="25">
        <f t="shared" si="240"/>
        <v>0.20216922271123461</v>
      </c>
      <c r="H1494" s="25">
        <f t="shared" si="237"/>
        <v>0.1297236739248453</v>
      </c>
      <c r="I1494" s="25">
        <f t="shared" si="252"/>
        <v>0.16235259869036178</v>
      </c>
      <c r="K1494" s="28">
        <v>44581</v>
      </c>
      <c r="L1494" s="23">
        <v>23554.44</v>
      </c>
      <c r="M1494" s="25">
        <f t="shared" si="251"/>
        <v>-7.1515179303774891E-3</v>
      </c>
      <c r="O1494" t="b">
        <f t="shared" si="249"/>
        <v>1</v>
      </c>
      <c r="Q1494" s="25">
        <f t="shared" si="247"/>
        <v>0.30979665556005354</v>
      </c>
      <c r="R1494" s="25">
        <f t="shared" si="244"/>
        <v>0.25261649508434347</v>
      </c>
      <c r="S1494" s="25">
        <f t="shared" si="241"/>
        <v>0.2051069469884923</v>
      </c>
      <c r="T1494" s="25">
        <f t="shared" si="238"/>
        <v>0.13158046019776659</v>
      </c>
      <c r="U1494" s="25">
        <f t="shared" si="253"/>
        <v>0.17600039815589663</v>
      </c>
      <c r="X1494">
        <f t="shared" si="248"/>
        <v>0</v>
      </c>
      <c r="Y1494">
        <f t="shared" si="245"/>
        <v>0</v>
      </c>
      <c r="Z1494">
        <f t="shared" si="242"/>
        <v>0</v>
      </c>
      <c r="AA1494">
        <f t="shared" si="239"/>
        <v>0</v>
      </c>
      <c r="AB1494">
        <f t="shared" si="254"/>
        <v>0</v>
      </c>
    </row>
    <row r="1495" spans="1:28">
      <c r="A1495" s="27">
        <v>44582</v>
      </c>
      <c r="B1495" s="24">
        <v>1249.6199999999999</v>
      </c>
      <c r="C1495" s="25">
        <f t="shared" si="250"/>
        <v>-1.4534127203186045E-2</v>
      </c>
      <c r="E1495" s="25">
        <f t="shared" si="246"/>
        <v>0.28437519271486411</v>
      </c>
      <c r="F1495" s="25">
        <f t="shared" si="243"/>
        <v>0.22390041462775034</v>
      </c>
      <c r="G1495" s="25">
        <f t="shared" si="240"/>
        <v>0.20083068732328124</v>
      </c>
      <c r="H1495" s="25">
        <f t="shared" si="237"/>
        <v>0.12547335548666894</v>
      </c>
      <c r="I1495" s="25">
        <f t="shared" si="252"/>
        <v>0.15659876993167865</v>
      </c>
      <c r="K1495" s="29">
        <v>44582</v>
      </c>
      <c r="L1495" s="24">
        <v>23278.25</v>
      </c>
      <c r="M1495" s="25">
        <f t="shared" si="251"/>
        <v>-1.1864723507995605E-2</v>
      </c>
      <c r="O1495" t="b">
        <f t="shared" si="249"/>
        <v>1</v>
      </c>
      <c r="Q1495" s="25">
        <f t="shared" si="247"/>
        <v>0.30665032856755547</v>
      </c>
      <c r="R1495" s="25">
        <f t="shared" si="244"/>
        <v>0.24791519290707842</v>
      </c>
      <c r="S1495" s="25">
        <f t="shared" si="241"/>
        <v>0.20383125308470262</v>
      </c>
      <c r="T1495" s="25">
        <f t="shared" si="238"/>
        <v>0.12797159316244167</v>
      </c>
      <c r="U1495" s="25">
        <f t="shared" si="253"/>
        <v>0.17088797954293633</v>
      </c>
      <c r="X1495">
        <f t="shared" si="248"/>
        <v>0</v>
      </c>
      <c r="Y1495">
        <f t="shared" si="245"/>
        <v>0</v>
      </c>
      <c r="Z1495">
        <f t="shared" si="242"/>
        <v>0</v>
      </c>
      <c r="AA1495">
        <f t="shared" si="239"/>
        <v>0</v>
      </c>
      <c r="AB1495">
        <f t="shared" si="254"/>
        <v>0</v>
      </c>
    </row>
    <row r="1496" spans="1:28">
      <c r="A1496" s="26">
        <v>44585</v>
      </c>
      <c r="B1496" s="23">
        <v>1212.8800000000001</v>
      </c>
      <c r="C1496" s="25">
        <f t="shared" si="250"/>
        <v>-2.9400937885116902E-2</v>
      </c>
      <c r="E1496" s="25">
        <f t="shared" si="246"/>
        <v>0.2705635868426568</v>
      </c>
      <c r="F1496" s="25">
        <f t="shared" si="243"/>
        <v>0.20282931400178561</v>
      </c>
      <c r="G1496" s="25">
        <f t="shared" si="240"/>
        <v>0.19457184742457323</v>
      </c>
      <c r="H1496" s="25">
        <f t="shared" ref="H1496:H1559" si="255">((B1496/B515)^(1/4))-1</f>
        <v>0.11889739299076596</v>
      </c>
      <c r="I1496" s="25">
        <f t="shared" si="252"/>
        <v>0.14645747131182962</v>
      </c>
      <c r="K1496" s="28">
        <v>44585</v>
      </c>
      <c r="L1496" s="23">
        <v>22560.17</v>
      </c>
      <c r="M1496" s="25">
        <f t="shared" si="251"/>
        <v>-3.1829547383729902E-2</v>
      </c>
      <c r="O1496" t="b">
        <f t="shared" si="249"/>
        <v>1</v>
      </c>
      <c r="Q1496" s="25">
        <f t="shared" si="247"/>
        <v>0.28790661377307547</v>
      </c>
      <c r="R1496" s="25">
        <f t="shared" si="244"/>
        <v>0.22529911997534269</v>
      </c>
      <c r="S1496" s="25">
        <f t="shared" si="241"/>
        <v>0.19656028406418202</v>
      </c>
      <c r="T1496" s="25">
        <f t="shared" ref="T1496:T1559" si="256">((L1496/L515)^(1/4))-1</f>
        <v>0.12134090271553544</v>
      </c>
      <c r="U1496" s="25">
        <f t="shared" si="253"/>
        <v>0.16034006489193087</v>
      </c>
      <c r="X1496">
        <f t="shared" si="248"/>
        <v>0</v>
      </c>
      <c r="Y1496">
        <f t="shared" si="245"/>
        <v>0</v>
      </c>
      <c r="Z1496">
        <f t="shared" si="242"/>
        <v>0</v>
      </c>
      <c r="AA1496">
        <f t="shared" ref="AA1496:AA1559" si="257">IF(H1496&gt;T1496,1,0)</f>
        <v>0</v>
      </c>
      <c r="AB1496">
        <f t="shared" si="254"/>
        <v>0</v>
      </c>
    </row>
    <row r="1497" spans="1:28">
      <c r="A1497" s="27">
        <v>44586</v>
      </c>
      <c r="B1497" s="24">
        <v>1224.29</v>
      </c>
      <c r="C1497" s="25">
        <f t="shared" si="250"/>
        <v>9.4073609920188751E-3</v>
      </c>
      <c r="E1497" s="25">
        <f t="shared" si="246"/>
        <v>0.29220847758169377</v>
      </c>
      <c r="F1497" s="25">
        <f t="shared" si="243"/>
        <v>0.21255229104611328</v>
      </c>
      <c r="G1497" s="25">
        <f t="shared" si="240"/>
        <v>0.19705120173906621</v>
      </c>
      <c r="H1497" s="25">
        <f t="shared" si="255"/>
        <v>0.12200202978606134</v>
      </c>
      <c r="I1497" s="25">
        <f t="shared" si="252"/>
        <v>0.14766344609777282</v>
      </c>
      <c r="K1497" s="29">
        <v>44586</v>
      </c>
      <c r="L1497" s="24">
        <v>22744.48</v>
      </c>
      <c r="M1497" s="25">
        <f t="shared" si="251"/>
        <v>8.1035046745408686E-3</v>
      </c>
      <c r="O1497" t="b">
        <f t="shared" si="249"/>
        <v>1</v>
      </c>
      <c r="Q1497" s="25">
        <f t="shared" si="247"/>
        <v>0.31018099286858147</v>
      </c>
      <c r="R1497" s="25">
        <f t="shared" si="244"/>
        <v>0.23586897141111529</v>
      </c>
      <c r="S1497" s="25">
        <f t="shared" si="241"/>
        <v>0.19984367963172556</v>
      </c>
      <c r="T1497" s="25">
        <f t="shared" si="256"/>
        <v>0.12492428706640402</v>
      </c>
      <c r="U1497" s="25">
        <f t="shared" si="253"/>
        <v>0.16105851871847365</v>
      </c>
      <c r="X1497">
        <f t="shared" si="248"/>
        <v>0</v>
      </c>
      <c r="Y1497">
        <f t="shared" si="245"/>
        <v>0</v>
      </c>
      <c r="Z1497">
        <f t="shared" si="242"/>
        <v>0</v>
      </c>
      <c r="AA1497">
        <f t="shared" si="257"/>
        <v>0</v>
      </c>
      <c r="AB1497">
        <f t="shared" si="254"/>
        <v>0</v>
      </c>
    </row>
    <row r="1498" spans="1:28">
      <c r="A1498" s="26">
        <v>44588</v>
      </c>
      <c r="B1498" s="23">
        <v>1208.17</v>
      </c>
      <c r="C1498" s="25">
        <f t="shared" si="250"/>
        <v>-1.3166815051989227E-2</v>
      </c>
      <c r="E1498" s="25">
        <f t="shared" si="246"/>
        <v>0.29003566318576901</v>
      </c>
      <c r="F1498" s="25">
        <f t="shared" si="243"/>
        <v>0.20668248859971472</v>
      </c>
      <c r="G1498" s="25">
        <f t="shared" si="240"/>
        <v>0.18858543595452648</v>
      </c>
      <c r="H1498" s="25">
        <f t="shared" si="255"/>
        <v>0.11773372639867419</v>
      </c>
      <c r="I1498" s="25">
        <f t="shared" si="252"/>
        <v>0.14492698125955905</v>
      </c>
      <c r="K1498" s="28">
        <v>44588</v>
      </c>
      <c r="L1498" s="23">
        <v>22510.82</v>
      </c>
      <c r="M1498" s="25">
        <f t="shared" si="251"/>
        <v>-1.0379897311603924E-2</v>
      </c>
      <c r="O1498" t="b">
        <f t="shared" si="249"/>
        <v>1</v>
      </c>
      <c r="Q1498" s="25">
        <f t="shared" si="247"/>
        <v>0.31279323180891172</v>
      </c>
      <c r="R1498" s="25">
        <f t="shared" si="244"/>
        <v>0.23309846961941205</v>
      </c>
      <c r="S1498" s="25">
        <f t="shared" si="241"/>
        <v>0.19530574866842643</v>
      </c>
      <c r="T1498" s="25">
        <f t="shared" si="256"/>
        <v>0.1223172052906587</v>
      </c>
      <c r="U1498" s="25">
        <f t="shared" si="253"/>
        <v>0.15875726381837141</v>
      </c>
      <c r="X1498">
        <f t="shared" si="248"/>
        <v>0</v>
      </c>
      <c r="Y1498">
        <f t="shared" si="245"/>
        <v>0</v>
      </c>
      <c r="Z1498">
        <f t="shared" si="242"/>
        <v>0</v>
      </c>
      <c r="AA1498">
        <f t="shared" si="257"/>
        <v>0</v>
      </c>
      <c r="AB1498">
        <f t="shared" si="254"/>
        <v>0</v>
      </c>
    </row>
    <row r="1499" spans="1:28">
      <c r="A1499" s="27">
        <v>44589</v>
      </c>
      <c r="B1499" s="24">
        <v>1214.1199999999999</v>
      </c>
      <c r="C1499" s="25">
        <f t="shared" si="250"/>
        <v>4.9248036286282703E-3</v>
      </c>
      <c r="E1499" s="25">
        <f t="shared" si="246"/>
        <v>0.24883768771857628</v>
      </c>
      <c r="F1499" s="25">
        <f t="shared" si="243"/>
        <v>0.22106445511151462</v>
      </c>
      <c r="G1499" s="25">
        <f t="shared" si="240"/>
        <v>0.1875371171013358</v>
      </c>
      <c r="H1499" s="25">
        <f t="shared" si="255"/>
        <v>0.12603358948457988</v>
      </c>
      <c r="I1499" s="25">
        <f t="shared" si="252"/>
        <v>0.14873241820304339</v>
      </c>
      <c r="K1499" s="29">
        <v>44589</v>
      </c>
      <c r="L1499" s="24">
        <v>22577.57</v>
      </c>
      <c r="M1499" s="25">
        <f t="shared" si="251"/>
        <v>2.9564740581027983E-3</v>
      </c>
      <c r="O1499" t="b">
        <f t="shared" si="249"/>
        <v>1</v>
      </c>
      <c r="Q1499" s="25">
        <f t="shared" si="247"/>
        <v>0.26434907854424039</v>
      </c>
      <c r="R1499" s="25">
        <f t="shared" si="244"/>
        <v>0.24833653805171418</v>
      </c>
      <c r="S1499" s="25">
        <f t="shared" si="241"/>
        <v>0.19118921751158657</v>
      </c>
      <c r="T1499" s="25">
        <f t="shared" si="256"/>
        <v>0.13132744583567701</v>
      </c>
      <c r="U1499" s="25">
        <f t="shared" si="253"/>
        <v>0.16171855914285627</v>
      </c>
      <c r="X1499">
        <f t="shared" si="248"/>
        <v>0</v>
      </c>
      <c r="Y1499">
        <f t="shared" si="245"/>
        <v>0</v>
      </c>
      <c r="Z1499">
        <f t="shared" si="242"/>
        <v>0</v>
      </c>
      <c r="AA1499">
        <f t="shared" si="257"/>
        <v>0</v>
      </c>
      <c r="AB1499">
        <f t="shared" si="254"/>
        <v>0</v>
      </c>
    </row>
    <row r="1500" spans="1:28">
      <c r="A1500" s="26">
        <v>44592</v>
      </c>
      <c r="B1500" s="23">
        <v>1227.76</v>
      </c>
      <c r="C1500" s="25">
        <f t="shared" si="250"/>
        <v>1.1234474351793975E-2</v>
      </c>
      <c r="E1500" s="25">
        <f t="shared" si="246"/>
        <v>0.23317363224555798</v>
      </c>
      <c r="F1500" s="25">
        <f t="shared" si="243"/>
        <v>0.21451012375110756</v>
      </c>
      <c r="G1500" s="25">
        <f t="shared" si="240"/>
        <v>0.19202797703630892</v>
      </c>
      <c r="H1500" s="25">
        <f t="shared" si="255"/>
        <v>0.13077724497673637</v>
      </c>
      <c r="I1500" s="25">
        <f t="shared" si="252"/>
        <v>0.14746360576712725</v>
      </c>
      <c r="K1500" s="28">
        <v>44592</v>
      </c>
      <c r="L1500" s="23">
        <v>22881.58</v>
      </c>
      <c r="M1500" s="25">
        <f t="shared" si="251"/>
        <v>1.3286232856297599E-2</v>
      </c>
      <c r="O1500" t="b">
        <f t="shared" si="249"/>
        <v>1</v>
      </c>
      <c r="Q1500" s="25">
        <f t="shared" si="247"/>
        <v>0.25125732287701519</v>
      </c>
      <c r="R1500" s="25">
        <f t="shared" si="244"/>
        <v>0.2437310393268004</v>
      </c>
      <c r="S1500" s="25">
        <f t="shared" si="241"/>
        <v>0.1941964503205531</v>
      </c>
      <c r="T1500" s="25">
        <f t="shared" si="256"/>
        <v>0.13709641783496229</v>
      </c>
      <c r="U1500" s="25">
        <f t="shared" si="253"/>
        <v>0.16054354914333824</v>
      </c>
      <c r="X1500">
        <f t="shared" si="248"/>
        <v>0</v>
      </c>
      <c r="Y1500">
        <f t="shared" si="245"/>
        <v>0</v>
      </c>
      <c r="Z1500">
        <f t="shared" si="242"/>
        <v>0</v>
      </c>
      <c r="AA1500">
        <f t="shared" si="257"/>
        <v>0</v>
      </c>
      <c r="AB1500">
        <f t="shared" si="254"/>
        <v>0</v>
      </c>
    </row>
    <row r="1501" spans="1:28">
      <c r="A1501" s="27">
        <v>44593</v>
      </c>
      <c r="B1501" s="24">
        <v>1248.04</v>
      </c>
      <c r="C1501" s="25">
        <f t="shared" si="250"/>
        <v>1.651788623183682E-2</v>
      </c>
      <c r="E1501" s="25">
        <f t="shared" si="246"/>
        <v>0.23931522084524937</v>
      </c>
      <c r="F1501" s="25">
        <f t="shared" si="243"/>
        <v>0.21875874500731807</v>
      </c>
      <c r="G1501" s="25">
        <f t="shared" si="240"/>
        <v>0.20073492703374662</v>
      </c>
      <c r="H1501" s="25">
        <f t="shared" si="255"/>
        <v>0.1389417688965835</v>
      </c>
      <c r="I1501" s="25">
        <f t="shared" si="252"/>
        <v>0.14943979164321175</v>
      </c>
      <c r="K1501" s="29">
        <v>44593</v>
      </c>
      <c r="L1501" s="24">
        <v>23180.44</v>
      </c>
      <c r="M1501" s="25">
        <f t="shared" si="251"/>
        <v>1.2892766487607524E-2</v>
      </c>
      <c r="O1501" t="b">
        <f t="shared" si="249"/>
        <v>1</v>
      </c>
      <c r="Q1501" s="25">
        <f t="shared" si="247"/>
        <v>0.25502175131225235</v>
      </c>
      <c r="R1501" s="25">
        <f t="shared" si="244"/>
        <v>0.24562198725011841</v>
      </c>
      <c r="S1501" s="25">
        <f t="shared" si="241"/>
        <v>0.19999900053832409</v>
      </c>
      <c r="T1501" s="25">
        <f t="shared" si="256"/>
        <v>0.14552878435043826</v>
      </c>
      <c r="U1501" s="25">
        <f t="shared" si="253"/>
        <v>0.1625670116801492</v>
      </c>
      <c r="X1501">
        <f t="shared" si="248"/>
        <v>0</v>
      </c>
      <c r="Y1501">
        <f t="shared" si="245"/>
        <v>0</v>
      </c>
      <c r="Z1501">
        <f t="shared" si="242"/>
        <v>1</v>
      </c>
      <c r="AA1501">
        <f t="shared" si="257"/>
        <v>0</v>
      </c>
      <c r="AB1501">
        <f t="shared" si="254"/>
        <v>0</v>
      </c>
    </row>
    <row r="1502" spans="1:28">
      <c r="A1502" s="26">
        <v>44594</v>
      </c>
      <c r="B1502" s="23">
        <v>1261.68</v>
      </c>
      <c r="C1502" s="25">
        <f t="shared" si="250"/>
        <v>1.0929136886638329E-2</v>
      </c>
      <c r="E1502" s="25">
        <f t="shared" si="246"/>
        <v>0.24631296118854529</v>
      </c>
      <c r="F1502" s="25">
        <f t="shared" si="243"/>
        <v>0.22184304086445494</v>
      </c>
      <c r="G1502" s="25">
        <f t="shared" si="240"/>
        <v>0.20509899139675691</v>
      </c>
      <c r="H1502" s="25">
        <f t="shared" si="255"/>
        <v>0.14252269768540948</v>
      </c>
      <c r="I1502" s="25">
        <f t="shared" si="252"/>
        <v>0.15130902668219792</v>
      </c>
      <c r="K1502" s="28">
        <v>44594</v>
      </c>
      <c r="L1502" s="23">
        <v>23452.49</v>
      </c>
      <c r="M1502" s="25">
        <f t="shared" si="251"/>
        <v>1.1600047585565664E-2</v>
      </c>
      <c r="O1502" t="b">
        <f t="shared" si="249"/>
        <v>1</v>
      </c>
      <c r="Q1502" s="25">
        <f t="shared" si="247"/>
        <v>0.2581409708598279</v>
      </c>
      <c r="R1502" s="25">
        <f t="shared" si="244"/>
        <v>0.24957189397611645</v>
      </c>
      <c r="S1502" s="25">
        <f t="shared" si="241"/>
        <v>0.20503525141022316</v>
      </c>
      <c r="T1502" s="25">
        <f t="shared" si="256"/>
        <v>0.14834276924204759</v>
      </c>
      <c r="U1502" s="25">
        <f t="shared" si="253"/>
        <v>0.16458063633502129</v>
      </c>
      <c r="X1502">
        <f t="shared" si="248"/>
        <v>0</v>
      </c>
      <c r="Y1502">
        <f t="shared" si="245"/>
        <v>0</v>
      </c>
      <c r="Z1502">
        <f t="shared" si="242"/>
        <v>1</v>
      </c>
      <c r="AA1502">
        <f t="shared" si="257"/>
        <v>0</v>
      </c>
      <c r="AB1502">
        <f t="shared" si="254"/>
        <v>0</v>
      </c>
    </row>
    <row r="1503" spans="1:28">
      <c r="A1503" s="27">
        <v>44595</v>
      </c>
      <c r="B1503" s="24">
        <v>1249.1300000000001</v>
      </c>
      <c r="C1503" s="25">
        <f t="shared" si="250"/>
        <v>-9.947054720689838E-3</v>
      </c>
      <c r="E1503" s="25">
        <f t="shared" si="246"/>
        <v>0.23979434855537818</v>
      </c>
      <c r="F1503" s="25">
        <f t="shared" si="243"/>
        <v>0.21531964708142981</v>
      </c>
      <c r="G1503" s="25">
        <f t="shared" si="240"/>
        <v>0.19699175513653588</v>
      </c>
      <c r="H1503" s="25">
        <f t="shared" si="255"/>
        <v>0.13626409329067357</v>
      </c>
      <c r="I1503" s="25">
        <f t="shared" si="252"/>
        <v>0.1477388637725856</v>
      </c>
      <c r="K1503" s="29">
        <v>44595</v>
      </c>
      <c r="L1503" s="24">
        <v>23215.34</v>
      </c>
      <c r="M1503" s="25">
        <f t="shared" si="251"/>
        <v>-1.0215228379166597E-2</v>
      </c>
      <c r="O1503" t="b">
        <f t="shared" si="249"/>
        <v>1</v>
      </c>
      <c r="Q1503" s="25">
        <f t="shared" si="247"/>
        <v>0.24601899674799976</v>
      </c>
      <c r="R1503" s="25">
        <f t="shared" si="244"/>
        <v>0.24344171921475288</v>
      </c>
      <c r="S1503" s="25">
        <f t="shared" si="241"/>
        <v>0.19713297512082373</v>
      </c>
      <c r="T1503" s="25">
        <f t="shared" si="256"/>
        <v>0.14172109763152063</v>
      </c>
      <c r="U1503" s="25">
        <f t="shared" si="253"/>
        <v>0.16043025027706581</v>
      </c>
      <c r="X1503">
        <f t="shared" si="248"/>
        <v>0</v>
      </c>
      <c r="Y1503">
        <f t="shared" si="245"/>
        <v>0</v>
      </c>
      <c r="Z1503">
        <f t="shared" si="242"/>
        <v>0</v>
      </c>
      <c r="AA1503">
        <f t="shared" si="257"/>
        <v>0</v>
      </c>
      <c r="AB1503">
        <f t="shared" si="254"/>
        <v>0</v>
      </c>
    </row>
    <row r="1504" spans="1:28">
      <c r="A1504" s="26">
        <v>44596</v>
      </c>
      <c r="B1504" s="23">
        <v>1247.44</v>
      </c>
      <c r="C1504" s="25">
        <f t="shared" si="250"/>
        <v>-1.3529416473866246E-3</v>
      </c>
      <c r="E1504" s="25">
        <f t="shared" si="246"/>
        <v>0.22003794769477536</v>
      </c>
      <c r="F1504" s="25">
        <f t="shared" si="243"/>
        <v>0.21943126086848852</v>
      </c>
      <c r="G1504" s="25">
        <f t="shared" si="240"/>
        <v>0.19480803181673023</v>
      </c>
      <c r="H1504" s="25">
        <f t="shared" si="255"/>
        <v>0.13720216004007546</v>
      </c>
      <c r="I1504" s="25">
        <f t="shared" si="252"/>
        <v>0.14806218887399103</v>
      </c>
      <c r="K1504" s="28">
        <v>44596</v>
      </c>
      <c r="L1504" s="23">
        <v>23138.74</v>
      </c>
      <c r="M1504" s="25">
        <f t="shared" si="251"/>
        <v>-3.3104654791055407E-3</v>
      </c>
      <c r="O1504" t="b">
        <f t="shared" si="249"/>
        <v>1</v>
      </c>
      <c r="Q1504" s="25">
        <f t="shared" si="247"/>
        <v>0.22576752376179621</v>
      </c>
      <c r="R1504" s="25">
        <f t="shared" si="244"/>
        <v>0.24482025181068945</v>
      </c>
      <c r="S1504" s="25">
        <f t="shared" si="241"/>
        <v>0.19462714380835955</v>
      </c>
      <c r="T1504" s="25">
        <f t="shared" si="256"/>
        <v>0.14297249350546792</v>
      </c>
      <c r="U1504" s="25">
        <f t="shared" si="253"/>
        <v>0.16039347252738145</v>
      </c>
      <c r="X1504">
        <f t="shared" si="248"/>
        <v>0</v>
      </c>
      <c r="Y1504">
        <f t="shared" si="245"/>
        <v>0</v>
      </c>
      <c r="Z1504">
        <f t="shared" si="242"/>
        <v>1</v>
      </c>
      <c r="AA1504">
        <f t="shared" si="257"/>
        <v>0</v>
      </c>
      <c r="AB1504">
        <f t="shared" si="254"/>
        <v>0</v>
      </c>
    </row>
    <row r="1505" spans="1:28">
      <c r="A1505" s="27">
        <v>44599</v>
      </c>
      <c r="B1505" s="24">
        <v>1227.1199999999999</v>
      </c>
      <c r="C1505" s="25">
        <f t="shared" si="250"/>
        <v>-1.6289360610530497E-2</v>
      </c>
      <c r="E1505" s="25">
        <f t="shared" si="246"/>
        <v>0.20066925628406196</v>
      </c>
      <c r="F1505" s="25">
        <f t="shared" si="243"/>
        <v>0.20714406897767645</v>
      </c>
      <c r="G1505" s="25">
        <f t="shared" si="240"/>
        <v>0.19308404924242306</v>
      </c>
      <c r="H1505" s="25">
        <f t="shared" si="255"/>
        <v>0.12965706232053908</v>
      </c>
      <c r="I1505" s="25">
        <f t="shared" si="252"/>
        <v>0.14354140094474221</v>
      </c>
      <c r="K1505" s="29">
        <v>44599</v>
      </c>
      <c r="L1505" s="24">
        <v>22809.5</v>
      </c>
      <c r="M1505" s="25">
        <f t="shared" si="251"/>
        <v>-1.4434336570288765E-2</v>
      </c>
      <c r="O1505" t="b">
        <f t="shared" si="249"/>
        <v>1</v>
      </c>
      <c r="Q1505" s="25">
        <f t="shared" si="247"/>
        <v>0.20890699374121202</v>
      </c>
      <c r="R1505" s="25">
        <f t="shared" si="244"/>
        <v>0.2333513679219259</v>
      </c>
      <c r="S1505" s="25">
        <f t="shared" si="241"/>
        <v>0.19368407886415073</v>
      </c>
      <c r="T1505" s="25">
        <f t="shared" si="256"/>
        <v>0.13590907473239855</v>
      </c>
      <c r="U1505" s="25">
        <f t="shared" si="253"/>
        <v>0.15672015531450345</v>
      </c>
      <c r="X1505">
        <f t="shared" si="248"/>
        <v>0</v>
      </c>
      <c r="Y1505">
        <f t="shared" si="245"/>
        <v>0</v>
      </c>
      <c r="Z1505">
        <f t="shared" si="242"/>
        <v>0</v>
      </c>
      <c r="AA1505">
        <f t="shared" si="257"/>
        <v>0</v>
      </c>
      <c r="AB1505">
        <f t="shared" si="254"/>
        <v>0</v>
      </c>
    </row>
    <row r="1506" spans="1:28">
      <c r="A1506" s="26">
        <v>44600</v>
      </c>
      <c r="B1506" s="23">
        <v>1227.04</v>
      </c>
      <c r="C1506" s="25">
        <f t="shared" si="250"/>
        <v>-6.5193298128893057E-5</v>
      </c>
      <c r="E1506" s="25">
        <f t="shared" si="246"/>
        <v>0.20099051571415982</v>
      </c>
      <c r="F1506" s="25">
        <f t="shared" si="243"/>
        <v>0.20355123477661663</v>
      </c>
      <c r="G1506" s="25">
        <f t="shared" si="240"/>
        <v>0.19720364287780345</v>
      </c>
      <c r="H1506" s="25">
        <f t="shared" si="255"/>
        <v>0.13057002692963882</v>
      </c>
      <c r="I1506" s="25">
        <f t="shared" si="252"/>
        <v>0.14358116699763235</v>
      </c>
      <c r="K1506" s="28">
        <v>44600</v>
      </c>
      <c r="L1506" s="23">
        <v>22788.92</v>
      </c>
      <c r="M1506" s="25">
        <f t="shared" si="251"/>
        <v>-9.0307043949435721E-4</v>
      </c>
      <c r="O1506" t="b">
        <f t="shared" si="249"/>
        <v>1</v>
      </c>
      <c r="Q1506" s="25">
        <f t="shared" si="247"/>
        <v>0.20601820491109213</v>
      </c>
      <c r="R1506" s="25">
        <f t="shared" si="244"/>
        <v>0.22971066697698439</v>
      </c>
      <c r="S1506" s="25">
        <f t="shared" si="241"/>
        <v>0.1963415805977915</v>
      </c>
      <c r="T1506" s="25">
        <f t="shared" si="256"/>
        <v>0.13631104133733851</v>
      </c>
      <c r="U1506" s="25">
        <f t="shared" si="253"/>
        <v>0.15615636676400757</v>
      </c>
      <c r="X1506">
        <f t="shared" si="248"/>
        <v>0</v>
      </c>
      <c r="Y1506">
        <f t="shared" si="245"/>
        <v>0</v>
      </c>
      <c r="Z1506">
        <f t="shared" si="242"/>
        <v>1</v>
      </c>
      <c r="AA1506">
        <f t="shared" si="257"/>
        <v>0</v>
      </c>
      <c r="AB1506">
        <f t="shared" si="254"/>
        <v>0</v>
      </c>
    </row>
    <row r="1507" spans="1:28">
      <c r="A1507" s="27">
        <v>44601</v>
      </c>
      <c r="B1507" s="24">
        <v>1243.94</v>
      </c>
      <c r="C1507" s="25">
        <f t="shared" si="250"/>
        <v>1.3772982135871767E-2</v>
      </c>
      <c r="E1507" s="25">
        <f t="shared" si="246"/>
        <v>0.2126890043577021</v>
      </c>
      <c r="F1507" s="25">
        <f t="shared" si="243"/>
        <v>0.2116895568902899</v>
      </c>
      <c r="G1507" s="25">
        <f t="shared" si="240"/>
        <v>0.20438410127786222</v>
      </c>
      <c r="H1507" s="25">
        <f t="shared" si="255"/>
        <v>0.13455622517399557</v>
      </c>
      <c r="I1507" s="25">
        <f t="shared" si="252"/>
        <v>0.14685668159892296</v>
      </c>
      <c r="K1507" s="29">
        <v>44601</v>
      </c>
      <c r="L1507" s="24">
        <v>23037.24</v>
      </c>
      <c r="M1507" s="25">
        <f t="shared" si="251"/>
        <v>1.0779069020420994E-2</v>
      </c>
      <c r="O1507" t="b">
        <f t="shared" si="249"/>
        <v>1</v>
      </c>
      <c r="Q1507" s="25">
        <f t="shared" si="247"/>
        <v>0.21290891879170526</v>
      </c>
      <c r="R1507" s="25">
        <f t="shared" si="244"/>
        <v>0.23755442654886783</v>
      </c>
      <c r="S1507" s="25">
        <f t="shared" si="241"/>
        <v>0.20248907047096476</v>
      </c>
      <c r="T1507" s="25">
        <f t="shared" si="256"/>
        <v>0.13940560264199586</v>
      </c>
      <c r="U1507" s="25">
        <f t="shared" si="253"/>
        <v>0.15843036660184429</v>
      </c>
      <c r="X1507">
        <f t="shared" si="248"/>
        <v>0</v>
      </c>
      <c r="Y1507">
        <f t="shared" si="245"/>
        <v>0</v>
      </c>
      <c r="Z1507">
        <f t="shared" si="242"/>
        <v>1</v>
      </c>
      <c r="AA1507">
        <f t="shared" si="257"/>
        <v>0</v>
      </c>
      <c r="AB1507">
        <f t="shared" si="254"/>
        <v>0</v>
      </c>
    </row>
    <row r="1508" spans="1:28">
      <c r="A1508" s="26">
        <v>44602</v>
      </c>
      <c r="B1508" s="23">
        <v>1252.57</v>
      </c>
      <c r="C1508" s="25">
        <f t="shared" si="250"/>
        <v>6.9376336479250456E-3</v>
      </c>
      <c r="E1508" s="25">
        <f t="shared" si="246"/>
        <v>0.21773072398673943</v>
      </c>
      <c r="F1508" s="25">
        <f t="shared" si="243"/>
        <v>0.21767604296319165</v>
      </c>
      <c r="G1508" s="25">
        <f t="shared" ref="G1508:G1571" si="258">((B1508/B771)^(1/3))-1</f>
        <v>0.20886301286531683</v>
      </c>
      <c r="H1508" s="25">
        <f t="shared" si="255"/>
        <v>0.13957459803924332</v>
      </c>
      <c r="I1508" s="25">
        <f t="shared" si="252"/>
        <v>0.14842159904519558</v>
      </c>
      <c r="K1508" s="28">
        <v>44602</v>
      </c>
      <c r="L1508" s="23">
        <v>23186.39</v>
      </c>
      <c r="M1508" s="25">
        <f t="shared" si="251"/>
        <v>6.4326529485615406E-3</v>
      </c>
      <c r="O1508" t="b">
        <f t="shared" si="249"/>
        <v>1</v>
      </c>
      <c r="Q1508" s="25">
        <f t="shared" si="247"/>
        <v>0.22130371689153772</v>
      </c>
      <c r="R1508" s="25">
        <f t="shared" si="244"/>
        <v>0.24507200022944686</v>
      </c>
      <c r="S1508" s="25">
        <f t="shared" ref="S1508:S1571" si="259">((L1508/L771)^(1/3))-1</f>
        <v>0.20676170206339495</v>
      </c>
      <c r="T1508" s="25">
        <f t="shared" si="256"/>
        <v>0.14393126381041332</v>
      </c>
      <c r="U1508" s="25">
        <f t="shared" si="253"/>
        <v>0.16004943660253601</v>
      </c>
      <c r="X1508">
        <f t="shared" si="248"/>
        <v>0</v>
      </c>
      <c r="Y1508">
        <f t="shared" si="245"/>
        <v>0</v>
      </c>
      <c r="Z1508">
        <f t="shared" ref="Z1508:Z1571" si="260">IF(G1508&gt;S1508,1,0)</f>
        <v>1</v>
      </c>
      <c r="AA1508">
        <f t="shared" si="257"/>
        <v>0</v>
      </c>
      <c r="AB1508">
        <f t="shared" si="254"/>
        <v>0</v>
      </c>
    </row>
    <row r="1509" spans="1:28">
      <c r="A1509" s="27">
        <v>44603</v>
      </c>
      <c r="B1509" s="24">
        <v>1232.74</v>
      </c>
      <c r="C1509" s="25">
        <f t="shared" si="250"/>
        <v>-1.5831450537694441E-2</v>
      </c>
      <c r="E1509" s="25">
        <f t="shared" si="246"/>
        <v>0.18352886960195103</v>
      </c>
      <c r="F1509" s="25">
        <f t="shared" si="243"/>
        <v>0.21158968203635942</v>
      </c>
      <c r="G1509" s="25">
        <f t="shared" si="258"/>
        <v>0.20284566409387472</v>
      </c>
      <c r="H1509" s="25">
        <f t="shared" si="255"/>
        <v>0.13772750061047367</v>
      </c>
      <c r="I1509" s="25">
        <f t="shared" si="252"/>
        <v>0.1460186452710226</v>
      </c>
      <c r="K1509" s="29">
        <v>44603</v>
      </c>
      <c r="L1509" s="24">
        <v>22847.57</v>
      </c>
      <c r="M1509" s="25">
        <f t="shared" si="251"/>
        <v>-1.4829585815909513E-2</v>
      </c>
      <c r="O1509" t="b">
        <f t="shared" si="249"/>
        <v>1</v>
      </c>
      <c r="Q1509" s="25">
        <f t="shared" si="247"/>
        <v>0.19155828069840575</v>
      </c>
      <c r="R1509" s="25">
        <f t="shared" si="244"/>
        <v>0.24016783797033248</v>
      </c>
      <c r="S1509" s="25">
        <f t="shared" si="259"/>
        <v>0.20165676484003825</v>
      </c>
      <c r="T1509" s="25">
        <f t="shared" si="256"/>
        <v>0.14207482443267638</v>
      </c>
      <c r="U1509" s="25">
        <f t="shared" si="253"/>
        <v>0.15729499424757964</v>
      </c>
      <c r="X1509">
        <f t="shared" si="248"/>
        <v>0</v>
      </c>
      <c r="Y1509">
        <f t="shared" si="245"/>
        <v>0</v>
      </c>
      <c r="Z1509">
        <f t="shared" si="260"/>
        <v>1</v>
      </c>
      <c r="AA1509">
        <f t="shared" si="257"/>
        <v>0</v>
      </c>
      <c r="AB1509">
        <f t="shared" si="254"/>
        <v>0</v>
      </c>
    </row>
    <row r="1510" spans="1:28">
      <c r="A1510" s="26">
        <v>44606</v>
      </c>
      <c r="B1510" s="23">
        <v>1191.06</v>
      </c>
      <c r="C1510" s="25">
        <f t="shared" si="250"/>
        <v>-3.3810860359848843E-2</v>
      </c>
      <c r="E1510" s="25">
        <f t="shared" si="246"/>
        <v>0.14637432866850175</v>
      </c>
      <c r="F1510" s="25">
        <f t="shared" si="243"/>
        <v>0.19227354561421439</v>
      </c>
      <c r="G1510" s="25">
        <f t="shared" si="258"/>
        <v>0.1930823135748525</v>
      </c>
      <c r="H1510" s="25">
        <f t="shared" si="255"/>
        <v>0.12817027209351228</v>
      </c>
      <c r="I1510" s="25">
        <f t="shared" si="252"/>
        <v>0.14088636328180804</v>
      </c>
      <c r="K1510" s="28">
        <v>44606</v>
      </c>
      <c r="L1510" s="23">
        <v>22103.72</v>
      </c>
      <c r="M1510" s="25">
        <f t="shared" si="251"/>
        <v>-3.3652706422267316E-2</v>
      </c>
      <c r="O1510" t="b">
        <f t="shared" si="249"/>
        <v>1</v>
      </c>
      <c r="Q1510" s="25">
        <f t="shared" si="247"/>
        <v>0.15137154236464423</v>
      </c>
      <c r="R1510" s="25">
        <f t="shared" si="244"/>
        <v>0.22252651902415743</v>
      </c>
      <c r="S1510" s="25">
        <f t="shared" si="259"/>
        <v>0.19033759423618624</v>
      </c>
      <c r="T1510" s="25">
        <f t="shared" si="256"/>
        <v>0.1329233961442271</v>
      </c>
      <c r="U1510" s="25">
        <f t="shared" si="253"/>
        <v>0.15186261410737734</v>
      </c>
      <c r="X1510">
        <f t="shared" si="248"/>
        <v>0</v>
      </c>
      <c r="Y1510">
        <f t="shared" si="245"/>
        <v>0</v>
      </c>
      <c r="Z1510">
        <f t="shared" si="260"/>
        <v>1</v>
      </c>
      <c r="AA1510">
        <f t="shared" si="257"/>
        <v>0</v>
      </c>
      <c r="AB1510">
        <f t="shared" si="254"/>
        <v>0</v>
      </c>
    </row>
    <row r="1511" spans="1:28">
      <c r="A1511" s="27">
        <v>44607</v>
      </c>
      <c r="B1511" s="24">
        <v>1221.48</v>
      </c>
      <c r="C1511" s="25">
        <f t="shared" si="250"/>
        <v>2.5540275049115976E-2</v>
      </c>
      <c r="E1511" s="25">
        <f t="shared" si="246"/>
        <v>0.18013970609547547</v>
      </c>
      <c r="F1511" s="25">
        <f t="shared" si="243"/>
        <v>0.20217032998216444</v>
      </c>
      <c r="G1511" s="25">
        <f t="shared" si="258"/>
        <v>0.20618306813966658</v>
      </c>
      <c r="H1511" s="25">
        <f t="shared" si="255"/>
        <v>0.13516295015912827</v>
      </c>
      <c r="I1511" s="25">
        <f t="shared" si="252"/>
        <v>0.14362044570242438</v>
      </c>
      <c r="K1511" s="29">
        <v>44607</v>
      </c>
      <c r="L1511" s="24">
        <v>22726.82</v>
      </c>
      <c r="M1511" s="25">
        <f t="shared" si="251"/>
        <v>2.7416946145567157E-2</v>
      </c>
      <c r="O1511" t="b">
        <f t="shared" si="249"/>
        <v>1</v>
      </c>
      <c r="Q1511" s="25">
        <f t="shared" si="247"/>
        <v>0.1882030945702553</v>
      </c>
      <c r="R1511" s="25">
        <f t="shared" si="244"/>
        <v>0.23184619474839319</v>
      </c>
      <c r="S1511" s="25">
        <f t="shared" si="259"/>
        <v>0.20472318514542698</v>
      </c>
      <c r="T1511" s="25">
        <f t="shared" si="256"/>
        <v>0.14029314752971778</v>
      </c>
      <c r="U1511" s="25">
        <f t="shared" si="253"/>
        <v>0.15619165145440217</v>
      </c>
      <c r="X1511">
        <f t="shared" si="248"/>
        <v>0</v>
      </c>
      <c r="Y1511">
        <f t="shared" si="245"/>
        <v>0</v>
      </c>
      <c r="Z1511">
        <f t="shared" si="260"/>
        <v>1</v>
      </c>
      <c r="AA1511">
        <f t="shared" si="257"/>
        <v>0</v>
      </c>
      <c r="AB1511">
        <f t="shared" si="254"/>
        <v>0</v>
      </c>
    </row>
    <row r="1512" spans="1:28">
      <c r="A1512" s="26">
        <v>44608</v>
      </c>
      <c r="B1512" s="23">
        <v>1219.08</v>
      </c>
      <c r="C1512" s="25">
        <f t="shared" si="250"/>
        <v>-1.9648295510365219E-3</v>
      </c>
      <c r="E1512" s="25">
        <f t="shared" si="246"/>
        <v>0.18344642805137323</v>
      </c>
      <c r="F1512" s="25">
        <f t="shared" si="243"/>
        <v>0.20051297762793929</v>
      </c>
      <c r="G1512" s="25">
        <f t="shared" si="258"/>
        <v>0.20485620814097416</v>
      </c>
      <c r="H1512" s="25">
        <f t="shared" si="255"/>
        <v>0.13591588272254973</v>
      </c>
      <c r="I1512" s="25">
        <f t="shared" si="252"/>
        <v>0.14183162004247807</v>
      </c>
      <c r="K1512" s="28">
        <v>44608</v>
      </c>
      <c r="L1512" s="23">
        <v>22706.7</v>
      </c>
      <c r="M1512" s="25">
        <f t="shared" si="251"/>
        <v>-8.8608208150012908E-4</v>
      </c>
      <c r="O1512" t="b">
        <f t="shared" si="249"/>
        <v>1</v>
      </c>
      <c r="Q1512" s="25">
        <f t="shared" si="247"/>
        <v>0.19014036891851327</v>
      </c>
      <c r="R1512" s="25">
        <f t="shared" si="244"/>
        <v>0.23203067309976122</v>
      </c>
      <c r="S1512" s="25">
        <f t="shared" si="259"/>
        <v>0.20492124332739148</v>
      </c>
      <c r="T1512" s="25">
        <f t="shared" si="256"/>
        <v>0.14089484033634236</v>
      </c>
      <c r="U1512" s="25">
        <f t="shared" si="253"/>
        <v>0.15481155257965429</v>
      </c>
      <c r="X1512">
        <f t="shared" si="248"/>
        <v>0</v>
      </c>
      <c r="Y1512">
        <f t="shared" si="245"/>
        <v>0</v>
      </c>
      <c r="Z1512">
        <f t="shared" si="260"/>
        <v>0</v>
      </c>
      <c r="AA1512">
        <f t="shared" si="257"/>
        <v>0</v>
      </c>
      <c r="AB1512">
        <f t="shared" si="254"/>
        <v>0</v>
      </c>
    </row>
    <row r="1513" spans="1:28">
      <c r="A1513" s="27">
        <v>44609</v>
      </c>
      <c r="B1513" s="24">
        <v>1212.6600000000001</v>
      </c>
      <c r="C1513" s="25">
        <f t="shared" si="250"/>
        <v>-5.2662663647995581E-3</v>
      </c>
      <c r="E1513" s="25">
        <f t="shared" si="246"/>
        <v>0.19298763391671336</v>
      </c>
      <c r="F1513" s="25">
        <f t="shared" si="243"/>
        <v>0.20947668187570345</v>
      </c>
      <c r="G1513" s="25">
        <f t="shared" si="258"/>
        <v>0.19768389887800319</v>
      </c>
      <c r="H1513" s="25">
        <f t="shared" si="255"/>
        <v>0.13054651431960895</v>
      </c>
      <c r="I1513" s="25">
        <f t="shared" si="252"/>
        <v>0.13900981202173757</v>
      </c>
      <c r="K1513" s="29">
        <v>44609</v>
      </c>
      <c r="L1513" s="24">
        <v>22682.48</v>
      </c>
      <c r="M1513" s="25">
        <f t="shared" si="251"/>
        <v>-1.0677844750662698E-3</v>
      </c>
      <c r="O1513" t="b">
        <f t="shared" si="249"/>
        <v>1</v>
      </c>
      <c r="Q1513" s="25">
        <f t="shared" si="247"/>
        <v>0.20099924072107145</v>
      </c>
      <c r="R1513" s="25">
        <f t="shared" si="244"/>
        <v>0.24391633271079272</v>
      </c>
      <c r="S1513" s="25">
        <f t="shared" si="259"/>
        <v>0.1997850966229</v>
      </c>
      <c r="T1513" s="25">
        <f t="shared" si="256"/>
        <v>0.1370955406713863</v>
      </c>
      <c r="U1513" s="25">
        <f t="shared" si="253"/>
        <v>0.15294410734781172</v>
      </c>
      <c r="X1513">
        <f t="shared" si="248"/>
        <v>0</v>
      </c>
      <c r="Y1513">
        <f t="shared" si="245"/>
        <v>0</v>
      </c>
      <c r="Z1513">
        <f t="shared" si="260"/>
        <v>0</v>
      </c>
      <c r="AA1513">
        <f t="shared" si="257"/>
        <v>0</v>
      </c>
      <c r="AB1513">
        <f t="shared" si="254"/>
        <v>0</v>
      </c>
    </row>
    <row r="1514" spans="1:28">
      <c r="A1514" s="26">
        <v>44610</v>
      </c>
      <c r="B1514" s="23">
        <v>1207.94</v>
      </c>
      <c r="C1514" s="25">
        <f t="shared" si="250"/>
        <v>-3.8922698860356796E-3</v>
      </c>
      <c r="E1514" s="25">
        <f t="shared" si="246"/>
        <v>0.20663683222120111</v>
      </c>
      <c r="F1514" s="25">
        <f t="shared" si="243"/>
        <v>0.20858668119622603</v>
      </c>
      <c r="G1514" s="25">
        <f t="shared" si="258"/>
        <v>0.19226677377557788</v>
      </c>
      <c r="H1514" s="25">
        <f t="shared" si="255"/>
        <v>0.12676764385175887</v>
      </c>
      <c r="I1514" s="25">
        <f t="shared" si="252"/>
        <v>0.1373532498676131</v>
      </c>
      <c r="K1514" s="28">
        <v>44610</v>
      </c>
      <c r="L1514" s="23">
        <v>22588.37</v>
      </c>
      <c r="M1514" s="25">
        <f t="shared" si="251"/>
        <v>-4.1663032790768256E-3</v>
      </c>
      <c r="O1514" t="b">
        <f t="shared" si="249"/>
        <v>1</v>
      </c>
      <c r="Q1514" s="25">
        <f t="shared" si="247"/>
        <v>0.21758045693556172</v>
      </c>
      <c r="R1514" s="25">
        <f t="shared" si="244"/>
        <v>0.24344747710967196</v>
      </c>
      <c r="S1514" s="25">
        <f t="shared" si="259"/>
        <v>0.19553686645007939</v>
      </c>
      <c r="T1514" s="25">
        <f t="shared" si="256"/>
        <v>0.1334327127550885</v>
      </c>
      <c r="U1514" s="25">
        <f t="shared" si="253"/>
        <v>0.15098767469990326</v>
      </c>
      <c r="X1514">
        <f t="shared" si="248"/>
        <v>0</v>
      </c>
      <c r="Y1514">
        <f t="shared" si="245"/>
        <v>0</v>
      </c>
      <c r="Z1514">
        <f t="shared" si="260"/>
        <v>0</v>
      </c>
      <c r="AA1514">
        <f t="shared" si="257"/>
        <v>0</v>
      </c>
      <c r="AB1514">
        <f t="shared" si="254"/>
        <v>0</v>
      </c>
    </row>
    <row r="1515" spans="1:28">
      <c r="A1515" s="27">
        <v>44613</v>
      </c>
      <c r="B1515" s="24">
        <v>1202.1600000000001</v>
      </c>
      <c r="C1515" s="25">
        <f t="shared" si="250"/>
        <v>-4.785005877775363E-3</v>
      </c>
      <c r="E1515" s="25">
        <f t="shared" si="246"/>
        <v>0.19619100687569047</v>
      </c>
      <c r="F1515" s="25">
        <f t="shared" si="243"/>
        <v>0.21085669741631619</v>
      </c>
      <c r="G1515" s="25">
        <f t="shared" si="258"/>
        <v>0.18828167709616017</v>
      </c>
      <c r="H1515" s="25">
        <f t="shared" si="255"/>
        <v>0.12637674569339397</v>
      </c>
      <c r="I1515" s="25">
        <f t="shared" si="252"/>
        <v>0.13733630970041655</v>
      </c>
      <c r="K1515" s="29">
        <v>44613</v>
      </c>
      <c r="L1515" s="24">
        <v>22419.75</v>
      </c>
      <c r="M1515" s="25">
        <f t="shared" si="251"/>
        <v>-7.5210472908930287E-3</v>
      </c>
      <c r="O1515" t="b">
        <f t="shared" si="249"/>
        <v>1</v>
      </c>
      <c r="Q1515" s="25">
        <f t="shared" si="247"/>
        <v>0.20343611143019413</v>
      </c>
      <c r="R1515" s="25">
        <f t="shared" si="244"/>
        <v>0.24534580190189792</v>
      </c>
      <c r="S1515" s="25">
        <f t="shared" si="259"/>
        <v>0.19174913805209526</v>
      </c>
      <c r="T1515" s="25">
        <f t="shared" si="256"/>
        <v>0.13223482519338847</v>
      </c>
      <c r="U1515" s="25">
        <f t="shared" si="253"/>
        <v>0.14935972294160482</v>
      </c>
      <c r="X1515">
        <f t="shared" si="248"/>
        <v>0</v>
      </c>
      <c r="Y1515">
        <f t="shared" si="245"/>
        <v>0</v>
      </c>
      <c r="Z1515">
        <f t="shared" si="260"/>
        <v>0</v>
      </c>
      <c r="AA1515">
        <f t="shared" si="257"/>
        <v>0</v>
      </c>
      <c r="AB1515">
        <f t="shared" si="254"/>
        <v>0</v>
      </c>
    </row>
    <row r="1516" spans="1:28">
      <c r="A1516" s="26">
        <v>44614</v>
      </c>
      <c r="B1516" s="23">
        <v>1193.8499999999999</v>
      </c>
      <c r="C1516" s="25">
        <f t="shared" si="250"/>
        <v>-6.9125573966861082E-3</v>
      </c>
      <c r="E1516" s="25">
        <f t="shared" si="246"/>
        <v>0.17280979232567728</v>
      </c>
      <c r="F1516" s="25">
        <f t="shared" si="243"/>
        <v>0.2093073245887902</v>
      </c>
      <c r="G1516" s="25">
        <f t="shared" si="258"/>
        <v>0.18278683662399686</v>
      </c>
      <c r="H1516" s="25">
        <f t="shared" si="255"/>
        <v>0.12562905678486325</v>
      </c>
      <c r="I1516" s="25">
        <f t="shared" si="252"/>
        <v>0.13621678495847478</v>
      </c>
      <c r="K1516" s="28">
        <v>44614</v>
      </c>
      <c r="L1516" s="23">
        <v>22254.97</v>
      </c>
      <c r="M1516" s="25">
        <f t="shared" si="251"/>
        <v>-7.4041888171495545E-3</v>
      </c>
      <c r="O1516" t="b">
        <f t="shared" si="249"/>
        <v>1</v>
      </c>
      <c r="Q1516" s="25">
        <f t="shared" si="247"/>
        <v>0.1762221522225369</v>
      </c>
      <c r="R1516" s="25">
        <f t="shared" si="244"/>
        <v>0.24356019663714057</v>
      </c>
      <c r="S1516" s="25">
        <f t="shared" si="259"/>
        <v>0.1859889102600254</v>
      </c>
      <c r="T1516" s="25">
        <f t="shared" si="256"/>
        <v>0.13132641255229638</v>
      </c>
      <c r="U1516" s="25">
        <f t="shared" si="253"/>
        <v>0.14742081267281804</v>
      </c>
      <c r="X1516">
        <f t="shared" si="248"/>
        <v>0</v>
      </c>
      <c r="Y1516">
        <f t="shared" si="245"/>
        <v>0</v>
      </c>
      <c r="Z1516">
        <f t="shared" si="260"/>
        <v>0</v>
      </c>
      <c r="AA1516">
        <f t="shared" si="257"/>
        <v>0</v>
      </c>
      <c r="AB1516">
        <f t="shared" si="254"/>
        <v>0</v>
      </c>
    </row>
    <row r="1517" spans="1:28">
      <c r="A1517" s="27">
        <v>44615</v>
      </c>
      <c r="B1517" s="24">
        <v>1196.1400000000001</v>
      </c>
      <c r="C1517" s="25">
        <f t="shared" si="250"/>
        <v>1.9181639234411283E-3</v>
      </c>
      <c r="E1517" s="25">
        <f t="shared" si="246"/>
        <v>0.1631869147063687</v>
      </c>
      <c r="F1517" s="25">
        <f t="shared" si="243"/>
        <v>0.23262767407791318</v>
      </c>
      <c r="G1517" s="25">
        <f t="shared" si="258"/>
        <v>0.18572142589563412</v>
      </c>
      <c r="H1517" s="25">
        <f t="shared" si="255"/>
        <v>0.12675604198366108</v>
      </c>
      <c r="I1517" s="25">
        <f t="shared" si="252"/>
        <v>0.13831835646354085</v>
      </c>
      <c r="K1517" s="29">
        <v>44615</v>
      </c>
      <c r="L1517" s="24">
        <v>22282.639999999999</v>
      </c>
      <c r="M1517" s="25">
        <f t="shared" si="251"/>
        <v>1.2417738652151745E-3</v>
      </c>
      <c r="O1517" t="b">
        <f t="shared" si="249"/>
        <v>1</v>
      </c>
      <c r="Q1517" s="25">
        <f t="shared" si="247"/>
        <v>0.16712349144376693</v>
      </c>
      <c r="R1517" s="25">
        <f t="shared" si="244"/>
        <v>0.26724768054371406</v>
      </c>
      <c r="S1517" s="25">
        <f t="shared" si="259"/>
        <v>0.18783454036312897</v>
      </c>
      <c r="T1517" s="25">
        <f t="shared" si="256"/>
        <v>0.1327981411066661</v>
      </c>
      <c r="U1517" s="25">
        <f t="shared" si="253"/>
        <v>0.14836912256629287</v>
      </c>
      <c r="X1517">
        <f t="shared" si="248"/>
        <v>0</v>
      </c>
      <c r="Y1517">
        <f t="shared" si="245"/>
        <v>0</v>
      </c>
      <c r="Z1517">
        <f t="shared" si="260"/>
        <v>0</v>
      </c>
      <c r="AA1517">
        <f t="shared" si="257"/>
        <v>0</v>
      </c>
      <c r="AB1517">
        <f t="shared" si="254"/>
        <v>0</v>
      </c>
    </row>
    <row r="1518" spans="1:28">
      <c r="A1518" s="26">
        <v>44616</v>
      </c>
      <c r="B1518" s="23">
        <v>1142.01</v>
      </c>
      <c r="C1518" s="25">
        <f t="shared" si="250"/>
        <v>-4.5253900045145304E-2</v>
      </c>
      <c r="E1518" s="25">
        <f t="shared" si="246"/>
        <v>0.14290146314125018</v>
      </c>
      <c r="F1518" s="25">
        <f t="shared" si="243"/>
        <v>0.21010720373147307</v>
      </c>
      <c r="G1518" s="25">
        <f t="shared" si="258"/>
        <v>0.16791122773662415</v>
      </c>
      <c r="H1518" s="25">
        <f t="shared" si="255"/>
        <v>0.11709763700654219</v>
      </c>
      <c r="I1518" s="25">
        <f t="shared" si="252"/>
        <v>0.12732364691630393</v>
      </c>
      <c r="K1518" s="28">
        <v>44616</v>
      </c>
      <c r="L1518" s="23">
        <v>21159.69</v>
      </c>
      <c r="M1518" s="25">
        <f t="shared" si="251"/>
        <v>-5.3070248193617241E-2</v>
      </c>
      <c r="O1518" t="b">
        <f t="shared" si="249"/>
        <v>1</v>
      </c>
      <c r="Q1518" s="25">
        <f t="shared" si="247"/>
        <v>0.14346663525149594</v>
      </c>
      <c r="R1518" s="25">
        <f t="shared" si="244"/>
        <v>0.23868675806118977</v>
      </c>
      <c r="S1518" s="25">
        <f t="shared" si="259"/>
        <v>0.16783237382804583</v>
      </c>
      <c r="T1518" s="25">
        <f t="shared" si="256"/>
        <v>0.12096896910520649</v>
      </c>
      <c r="U1518" s="25">
        <f t="shared" si="253"/>
        <v>0.13643027839827027</v>
      </c>
      <c r="X1518">
        <f t="shared" si="248"/>
        <v>0</v>
      </c>
      <c r="Y1518">
        <f t="shared" si="245"/>
        <v>0</v>
      </c>
      <c r="Z1518">
        <f t="shared" si="260"/>
        <v>1</v>
      </c>
      <c r="AA1518">
        <f t="shared" si="257"/>
        <v>0</v>
      </c>
      <c r="AB1518">
        <f t="shared" si="254"/>
        <v>0</v>
      </c>
    </row>
    <row r="1519" spans="1:28">
      <c r="A1519" s="27">
        <v>44617</v>
      </c>
      <c r="B1519" s="24">
        <v>1177.43</v>
      </c>
      <c r="C1519" s="25">
        <f t="shared" si="250"/>
        <v>3.1015490232134634E-2</v>
      </c>
      <c r="E1519" s="25">
        <f t="shared" si="246"/>
        <v>0.161597427069049</v>
      </c>
      <c r="F1519" s="25">
        <f t="shared" ref="F1519:F1582" si="261">((B1519/B1027)^(1/2))-1</f>
        <v>0.21839998299623065</v>
      </c>
      <c r="G1519" s="25">
        <f t="shared" si="258"/>
        <v>0.17959973094078285</v>
      </c>
      <c r="H1519" s="25">
        <f t="shared" si="255"/>
        <v>0.12837839781971017</v>
      </c>
      <c r="I1519" s="25">
        <f t="shared" si="252"/>
        <v>0.13305241617312213</v>
      </c>
      <c r="K1519" s="29">
        <v>44617</v>
      </c>
      <c r="L1519" s="24">
        <v>21793.49</v>
      </c>
      <c r="M1519" s="25">
        <f t="shared" si="251"/>
        <v>2.9082079097932586E-2</v>
      </c>
      <c r="O1519" t="b">
        <f t="shared" si="249"/>
        <v>1</v>
      </c>
      <c r="Q1519" s="25">
        <f t="shared" si="247"/>
        <v>0.15991982453367148</v>
      </c>
      <c r="R1519" s="25">
        <f t="shared" ref="R1519:R1582" si="262">((L1519/L1027)^(1/2))-1</f>
        <v>0.24701668303069746</v>
      </c>
      <c r="S1519" s="25">
        <f t="shared" si="259"/>
        <v>0.17884549387759807</v>
      </c>
      <c r="T1519" s="25">
        <f t="shared" si="256"/>
        <v>0.1322565254692547</v>
      </c>
      <c r="U1519" s="25">
        <f t="shared" si="253"/>
        <v>0.14175827990746237</v>
      </c>
      <c r="X1519">
        <f t="shared" si="248"/>
        <v>1</v>
      </c>
      <c r="Y1519">
        <f t="shared" ref="Y1519:Y1582" si="263">IF(F1519&gt;R1519,1,0)</f>
        <v>0</v>
      </c>
      <c r="Z1519">
        <f t="shared" si="260"/>
        <v>1</v>
      </c>
      <c r="AA1519">
        <f t="shared" si="257"/>
        <v>0</v>
      </c>
      <c r="AB1519">
        <f t="shared" si="254"/>
        <v>0</v>
      </c>
    </row>
    <row r="1520" spans="1:28">
      <c r="A1520" s="26">
        <v>44620</v>
      </c>
      <c r="B1520" s="23">
        <v>1184.3800000000001</v>
      </c>
      <c r="C1520" s="25">
        <f t="shared" si="250"/>
        <v>5.9026863592740505E-3</v>
      </c>
      <c r="E1520" s="25">
        <f t="shared" si="246"/>
        <v>0.15166130239884867</v>
      </c>
      <c r="F1520" s="25">
        <f t="shared" si="261"/>
        <v>0.22790323817824465</v>
      </c>
      <c r="G1520" s="25">
        <f t="shared" si="258"/>
        <v>0.17677664526220815</v>
      </c>
      <c r="H1520" s="25">
        <f t="shared" si="255"/>
        <v>0.13213832344980925</v>
      </c>
      <c r="I1520" s="25">
        <f t="shared" si="252"/>
        <v>0.13624917834499151</v>
      </c>
      <c r="K1520" s="28">
        <v>44620</v>
      </c>
      <c r="L1520" s="23">
        <v>21978.65</v>
      </c>
      <c r="M1520" s="25">
        <f t="shared" si="251"/>
        <v>8.4245392687903875E-3</v>
      </c>
      <c r="O1520" t="b">
        <f t="shared" si="249"/>
        <v>1</v>
      </c>
      <c r="Q1520" s="25">
        <f t="shared" si="247"/>
        <v>0.15565493326182356</v>
      </c>
      <c r="R1520" s="25">
        <f t="shared" si="262"/>
        <v>0.25673515720432594</v>
      </c>
      <c r="S1520" s="25">
        <f t="shared" si="259"/>
        <v>0.17860792421671845</v>
      </c>
      <c r="T1520" s="25">
        <f t="shared" si="256"/>
        <v>0.13790747765805889</v>
      </c>
      <c r="U1520" s="25">
        <f t="shared" si="253"/>
        <v>0.14555923503693302</v>
      </c>
      <c r="X1520">
        <f t="shared" si="248"/>
        <v>0</v>
      </c>
      <c r="Y1520">
        <f t="shared" si="263"/>
        <v>0</v>
      </c>
      <c r="Z1520">
        <f t="shared" si="260"/>
        <v>0</v>
      </c>
      <c r="AA1520">
        <f t="shared" si="257"/>
        <v>0</v>
      </c>
      <c r="AB1520">
        <f t="shared" si="254"/>
        <v>0</v>
      </c>
    </row>
    <row r="1521" spans="1:28">
      <c r="A1521" s="27">
        <v>44622</v>
      </c>
      <c r="B1521" s="24">
        <v>1170.55</v>
      </c>
      <c r="C1521" s="25">
        <f t="shared" si="250"/>
        <v>-1.1676995558857928E-2</v>
      </c>
      <c r="E1521" s="25">
        <f t="shared" si="246"/>
        <v>0.11865556819159195</v>
      </c>
      <c r="F1521" s="25">
        <f t="shared" si="261"/>
        <v>0.21974298438856521</v>
      </c>
      <c r="G1521" s="25">
        <f t="shared" si="258"/>
        <v>0.16674547367476977</v>
      </c>
      <c r="H1521" s="25">
        <f t="shared" si="255"/>
        <v>0.12772536426780201</v>
      </c>
      <c r="I1521" s="25">
        <f t="shared" si="252"/>
        <v>0.1334852396476649</v>
      </c>
      <c r="K1521" s="29">
        <v>44622</v>
      </c>
      <c r="L1521" s="24">
        <v>21812.5</v>
      </c>
      <c r="M1521" s="25">
        <f t="shared" si="251"/>
        <v>-7.6171919770774308E-3</v>
      </c>
      <c r="O1521" t="b">
        <f t="shared" si="249"/>
        <v>1</v>
      </c>
      <c r="Q1521" s="25">
        <f t="shared" si="247"/>
        <v>0.12486881902311087</v>
      </c>
      <c r="R1521" s="25">
        <f t="shared" si="262"/>
        <v>0.25041971344565006</v>
      </c>
      <c r="S1521" s="25">
        <f t="shared" si="259"/>
        <v>0.16978137957137451</v>
      </c>
      <c r="T1521" s="25">
        <f t="shared" si="256"/>
        <v>0.13373012186195354</v>
      </c>
      <c r="U1521" s="25">
        <f t="shared" si="253"/>
        <v>0.1436852699757154</v>
      </c>
      <c r="X1521">
        <f t="shared" si="248"/>
        <v>0</v>
      </c>
      <c r="Y1521">
        <f t="shared" si="263"/>
        <v>0</v>
      </c>
      <c r="Z1521">
        <f t="shared" si="260"/>
        <v>0</v>
      </c>
      <c r="AA1521">
        <f t="shared" si="257"/>
        <v>0</v>
      </c>
      <c r="AB1521">
        <f t="shared" si="254"/>
        <v>0</v>
      </c>
    </row>
    <row r="1522" spans="1:28">
      <c r="A1522" s="26">
        <v>44623</v>
      </c>
      <c r="B1522" s="23">
        <v>1161.1600000000001</v>
      </c>
      <c r="C1522" s="25">
        <f t="shared" si="250"/>
        <v>-8.0218700610822889E-3</v>
      </c>
      <c r="E1522" s="25">
        <f t="shared" si="246"/>
        <v>0.11617802556954748</v>
      </c>
      <c r="F1522" s="25">
        <f t="shared" si="261"/>
        <v>0.22926835969122128</v>
      </c>
      <c r="G1522" s="25">
        <f t="shared" si="258"/>
        <v>0.16129509014260512</v>
      </c>
      <c r="H1522" s="25">
        <f t="shared" si="255"/>
        <v>0.12632554193914136</v>
      </c>
      <c r="I1522" s="25">
        <f t="shared" si="252"/>
        <v>0.13070817298032456</v>
      </c>
      <c r="K1522" s="28">
        <v>44623</v>
      </c>
      <c r="L1522" s="23">
        <v>21714.47</v>
      </c>
      <c r="M1522" s="25">
        <f t="shared" si="251"/>
        <v>-4.5145011598256291E-3</v>
      </c>
      <c r="O1522" t="b">
        <f t="shared" si="249"/>
        <v>1</v>
      </c>
      <c r="Q1522" s="25">
        <f t="shared" si="247"/>
        <v>0.12651693110933127</v>
      </c>
      <c r="R1522" s="25">
        <f t="shared" si="262"/>
        <v>0.26265385586626722</v>
      </c>
      <c r="S1522" s="25">
        <f t="shared" si="259"/>
        <v>0.16562420191426996</v>
      </c>
      <c r="T1522" s="25">
        <f t="shared" si="256"/>
        <v>0.13290470857848113</v>
      </c>
      <c r="U1522" s="25">
        <f t="shared" si="253"/>
        <v>0.1411994983439071</v>
      </c>
      <c r="X1522">
        <f t="shared" si="248"/>
        <v>0</v>
      </c>
      <c r="Y1522">
        <f t="shared" si="263"/>
        <v>0</v>
      </c>
      <c r="Z1522">
        <f t="shared" si="260"/>
        <v>0</v>
      </c>
      <c r="AA1522">
        <f t="shared" si="257"/>
        <v>0</v>
      </c>
      <c r="AB1522">
        <f t="shared" si="254"/>
        <v>0</v>
      </c>
    </row>
    <row r="1523" spans="1:28">
      <c r="A1523" s="27">
        <v>44624</v>
      </c>
      <c r="B1523" s="24">
        <v>1144.92</v>
      </c>
      <c r="C1523" s="25">
        <f t="shared" si="250"/>
        <v>-1.3986013986013993E-2</v>
      </c>
      <c r="E1523" s="25">
        <f t="shared" si="246"/>
        <v>0.11663561975168979</v>
      </c>
      <c r="F1523" s="25">
        <f t="shared" si="261"/>
        <v>0.24755817615782383</v>
      </c>
      <c r="G1523" s="25">
        <f t="shared" si="258"/>
        <v>0.1567665251971504</v>
      </c>
      <c r="H1523" s="25">
        <f t="shared" si="255"/>
        <v>0.11746588991787199</v>
      </c>
      <c r="I1523" s="25">
        <f t="shared" si="252"/>
        <v>0.12803429208454542</v>
      </c>
      <c r="K1523" s="29">
        <v>44624</v>
      </c>
      <c r="L1523" s="24">
        <v>21341.5</v>
      </c>
      <c r="M1523" s="25">
        <f t="shared" si="251"/>
        <v>-1.7476278612093863E-2</v>
      </c>
      <c r="O1523" t="b">
        <f t="shared" si="249"/>
        <v>1</v>
      </c>
      <c r="Q1523" s="25">
        <f t="shared" si="247"/>
        <v>0.12038693155777946</v>
      </c>
      <c r="R1523" s="25">
        <f t="shared" si="262"/>
        <v>0.28244684792659958</v>
      </c>
      <c r="S1523" s="25">
        <f t="shared" si="259"/>
        <v>0.15912507378086738</v>
      </c>
      <c r="T1523" s="25">
        <f t="shared" si="256"/>
        <v>0.12380087722466238</v>
      </c>
      <c r="U1523" s="25">
        <f t="shared" si="253"/>
        <v>0.13754763767313949</v>
      </c>
      <c r="X1523">
        <f t="shared" si="248"/>
        <v>0</v>
      </c>
      <c r="Y1523">
        <f t="shared" si="263"/>
        <v>0</v>
      </c>
      <c r="Z1523">
        <f t="shared" si="260"/>
        <v>0</v>
      </c>
      <c r="AA1523">
        <f t="shared" si="257"/>
        <v>0</v>
      </c>
      <c r="AB1523">
        <f t="shared" si="254"/>
        <v>0</v>
      </c>
    </row>
    <row r="1524" spans="1:28">
      <c r="A1524" s="26">
        <v>44627</v>
      </c>
      <c r="B1524" s="23">
        <v>1126.93</v>
      </c>
      <c r="C1524" s="25">
        <f t="shared" si="250"/>
        <v>-1.5712888236732704E-2</v>
      </c>
      <c r="E1524" s="25">
        <f t="shared" si="246"/>
        <v>9.6192755145714237E-2</v>
      </c>
      <c r="F1524" s="25">
        <f t="shared" si="261"/>
        <v>0.24116474545603062</v>
      </c>
      <c r="G1524" s="25">
        <f t="shared" si="258"/>
        <v>0.15195427531827543</v>
      </c>
      <c r="H1524" s="25">
        <f t="shared" si="255"/>
        <v>0.11198773595937084</v>
      </c>
      <c r="I1524" s="25">
        <f t="shared" si="252"/>
        <v>0.125589573344425</v>
      </c>
      <c r="K1524" s="28">
        <v>44627</v>
      </c>
      <c r="L1524" s="23">
        <v>20836.23</v>
      </c>
      <c r="M1524" s="25">
        <f t="shared" si="251"/>
        <v>-2.4249588337237612E-2</v>
      </c>
      <c r="O1524" t="b">
        <f t="shared" si="249"/>
        <v>1</v>
      </c>
      <c r="Q1524" s="25">
        <f t="shared" si="247"/>
        <v>9.2004389771455086E-2</v>
      </c>
      <c r="R1524" s="25">
        <f t="shared" si="262"/>
        <v>0.26814204125111507</v>
      </c>
      <c r="S1524" s="25">
        <f t="shared" si="259"/>
        <v>0.15049790350666536</v>
      </c>
      <c r="T1524" s="25">
        <f t="shared" si="256"/>
        <v>0.11595515279562862</v>
      </c>
      <c r="U1524" s="25">
        <f t="shared" si="253"/>
        <v>0.13282259712610722</v>
      </c>
      <c r="X1524">
        <f t="shared" si="248"/>
        <v>1</v>
      </c>
      <c r="Y1524">
        <f t="shared" si="263"/>
        <v>0</v>
      </c>
      <c r="Z1524">
        <f t="shared" si="260"/>
        <v>1</v>
      </c>
      <c r="AA1524">
        <f t="shared" si="257"/>
        <v>0</v>
      </c>
      <c r="AB1524">
        <f t="shared" si="254"/>
        <v>0</v>
      </c>
    </row>
    <row r="1525" spans="1:28">
      <c r="A1525" s="27">
        <v>44628</v>
      </c>
      <c r="B1525" s="24">
        <v>1141.3499999999999</v>
      </c>
      <c r="C1525" s="25">
        <f t="shared" si="250"/>
        <v>1.2795825827691024E-2</v>
      </c>
      <c r="E1525" s="25">
        <f t="shared" si="246"/>
        <v>0.10657048951455739</v>
      </c>
      <c r="F1525" s="25">
        <f t="shared" si="261"/>
        <v>0.3025338664563193</v>
      </c>
      <c r="G1525" s="25">
        <f t="shared" si="258"/>
        <v>0.15164238382832051</v>
      </c>
      <c r="H1525" s="25">
        <f t="shared" si="255"/>
        <v>0.1150781800338494</v>
      </c>
      <c r="I1525" s="25">
        <f t="shared" si="252"/>
        <v>0.12850617602177317</v>
      </c>
      <c r="K1525" s="29">
        <v>44628</v>
      </c>
      <c r="L1525" s="24">
        <v>21055.17</v>
      </c>
      <c r="M1525" s="25">
        <f t="shared" si="251"/>
        <v>1.0398396213376512E-2</v>
      </c>
      <c r="O1525" t="b">
        <f t="shared" si="249"/>
        <v>1</v>
      </c>
      <c r="Q1525" s="25">
        <f t="shared" si="247"/>
        <v>9.8380273865124712E-2</v>
      </c>
      <c r="R1525" s="25">
        <f t="shared" si="262"/>
        <v>0.33130104781892555</v>
      </c>
      <c r="S1525" s="25">
        <f t="shared" si="259"/>
        <v>0.14894686167194138</v>
      </c>
      <c r="T1525" s="25">
        <f t="shared" si="256"/>
        <v>0.11907015489974548</v>
      </c>
      <c r="U1525" s="25">
        <f t="shared" si="253"/>
        <v>0.1351933163882626</v>
      </c>
      <c r="X1525">
        <f t="shared" si="248"/>
        <v>1</v>
      </c>
      <c r="Y1525">
        <f t="shared" si="263"/>
        <v>0</v>
      </c>
      <c r="Z1525">
        <f t="shared" si="260"/>
        <v>1</v>
      </c>
      <c r="AA1525">
        <f t="shared" si="257"/>
        <v>0</v>
      </c>
      <c r="AB1525">
        <f t="shared" si="254"/>
        <v>0</v>
      </c>
    </row>
    <row r="1526" spans="1:28">
      <c r="A1526" s="26">
        <v>44629</v>
      </c>
      <c r="B1526" s="23">
        <v>1161.04</v>
      </c>
      <c r="C1526" s="25">
        <f t="shared" si="250"/>
        <v>1.725150041617388E-2</v>
      </c>
      <c r="E1526" s="25">
        <f t="shared" si="246"/>
        <v>0.11800787682115366</v>
      </c>
      <c r="F1526" s="25">
        <f t="shared" si="261"/>
        <v>0.29032225683863655</v>
      </c>
      <c r="G1526" s="25">
        <f t="shared" si="258"/>
        <v>0.15393982425757469</v>
      </c>
      <c r="H1526" s="25">
        <f t="shared" si="255"/>
        <v>0.12049839064543288</v>
      </c>
      <c r="I1526" s="25">
        <f t="shared" si="252"/>
        <v>0.13293703517939659</v>
      </c>
      <c r="K1526" s="28">
        <v>44629</v>
      </c>
      <c r="L1526" s="23">
        <v>21477.68</v>
      </c>
      <c r="M1526" s="25">
        <f t="shared" si="251"/>
        <v>1.9672050240063268E-2</v>
      </c>
      <c r="O1526" t="b">
        <f t="shared" si="249"/>
        <v>1</v>
      </c>
      <c r="Q1526" s="25">
        <f t="shared" si="247"/>
        <v>0.1138494761282185</v>
      </c>
      <c r="R1526" s="25">
        <f t="shared" si="262"/>
        <v>0.32285409849438329</v>
      </c>
      <c r="S1526" s="25">
        <f t="shared" si="259"/>
        <v>0.15267947836935014</v>
      </c>
      <c r="T1526" s="25">
        <f t="shared" si="256"/>
        <v>0.1251846590627097</v>
      </c>
      <c r="U1526" s="25">
        <f t="shared" si="253"/>
        <v>0.13968618439806457</v>
      </c>
      <c r="X1526">
        <f t="shared" si="248"/>
        <v>1</v>
      </c>
      <c r="Y1526">
        <f t="shared" si="263"/>
        <v>0</v>
      </c>
      <c r="Z1526">
        <f t="shared" si="260"/>
        <v>1</v>
      </c>
      <c r="AA1526">
        <f t="shared" si="257"/>
        <v>0</v>
      </c>
      <c r="AB1526">
        <f t="shared" si="254"/>
        <v>0</v>
      </c>
    </row>
    <row r="1527" spans="1:28">
      <c r="A1527" s="27">
        <v>44630</v>
      </c>
      <c r="B1527" s="24">
        <v>1176.3399999999999</v>
      </c>
      <c r="C1527" s="25">
        <f t="shared" si="250"/>
        <v>1.3177840556742192E-2</v>
      </c>
      <c r="E1527" s="25">
        <f t="shared" si="246"/>
        <v>0.14234384711000625</v>
      </c>
      <c r="F1527" s="25">
        <f t="shared" si="261"/>
        <v>0.34662859091541898</v>
      </c>
      <c r="G1527" s="25">
        <f t="shared" si="258"/>
        <v>0.15831752749524575</v>
      </c>
      <c r="H1527" s="25">
        <f t="shared" si="255"/>
        <v>0.12762841909629974</v>
      </c>
      <c r="I1527" s="25">
        <f t="shared" si="252"/>
        <v>0.1327096431845376</v>
      </c>
      <c r="K1527" s="29">
        <v>44630</v>
      </c>
      <c r="L1527" s="24">
        <v>21799.49</v>
      </c>
      <c r="M1527" s="25">
        <f t="shared" si="251"/>
        <v>1.476227196140833E-2</v>
      </c>
      <c r="O1527" t="b">
        <f t="shared" si="249"/>
        <v>1</v>
      </c>
      <c r="Q1527" s="25">
        <f t="shared" si="247"/>
        <v>0.13928622570728866</v>
      </c>
      <c r="R1527" s="25">
        <f t="shared" si="262"/>
        <v>0.38171068861405688</v>
      </c>
      <c r="S1527" s="25">
        <f t="shared" si="259"/>
        <v>0.15800242919788587</v>
      </c>
      <c r="T1527" s="25">
        <f t="shared" si="256"/>
        <v>0.13331132382970723</v>
      </c>
      <c r="U1527" s="25">
        <f t="shared" si="253"/>
        <v>0.13930655232669231</v>
      </c>
      <c r="X1527">
        <f t="shared" si="248"/>
        <v>1</v>
      </c>
      <c r="Y1527">
        <f t="shared" si="263"/>
        <v>0</v>
      </c>
      <c r="Z1527">
        <f t="shared" si="260"/>
        <v>1</v>
      </c>
      <c r="AA1527">
        <f t="shared" si="257"/>
        <v>0</v>
      </c>
      <c r="AB1527">
        <f t="shared" si="254"/>
        <v>0</v>
      </c>
    </row>
    <row r="1528" spans="1:28">
      <c r="A1528" s="26">
        <v>44631</v>
      </c>
      <c r="B1528" s="23">
        <v>1180.3499999999999</v>
      </c>
      <c r="C1528" s="25">
        <f t="shared" si="250"/>
        <v>3.4088783855007829E-3</v>
      </c>
      <c r="E1528" s="25">
        <f t="shared" ref="E1528:E1591" si="264">(B1528/B1283)-1</f>
        <v>0.155065613715762</v>
      </c>
      <c r="F1528" s="25">
        <f t="shared" si="261"/>
        <v>0.36894763349210291</v>
      </c>
      <c r="G1528" s="25">
        <f t="shared" si="258"/>
        <v>0.15967307990410062</v>
      </c>
      <c r="H1528" s="25">
        <f t="shared" si="255"/>
        <v>0.13259849382856403</v>
      </c>
      <c r="I1528" s="25">
        <f t="shared" si="252"/>
        <v>0.1319990124309427</v>
      </c>
      <c r="K1528" s="28">
        <v>44631</v>
      </c>
      <c r="L1528" s="23">
        <v>21873.99</v>
      </c>
      <c r="M1528" s="25">
        <f t="shared" si="251"/>
        <v>3.4058715396688027E-3</v>
      </c>
      <c r="O1528" t="b">
        <f t="shared" si="249"/>
        <v>1</v>
      </c>
      <c r="Q1528" s="25">
        <f t="shared" ref="Q1528:Q1591" si="265">(L1528/L1283)-1</f>
        <v>0.15070302652815148</v>
      </c>
      <c r="R1528" s="25">
        <f t="shared" si="262"/>
        <v>0.40019880991799117</v>
      </c>
      <c r="S1528" s="25">
        <f t="shared" si="259"/>
        <v>0.15936110999613406</v>
      </c>
      <c r="T1528" s="25">
        <f t="shared" si="256"/>
        <v>0.13777311003100889</v>
      </c>
      <c r="U1528" s="25">
        <f t="shared" si="253"/>
        <v>0.13953025782407513</v>
      </c>
      <c r="X1528">
        <f t="shared" ref="X1528:X1591" si="266">IF(E1528&gt;Q1528,1,0)</f>
        <v>1</v>
      </c>
      <c r="Y1528">
        <f t="shared" si="263"/>
        <v>0</v>
      </c>
      <c r="Z1528">
        <f t="shared" si="260"/>
        <v>1</v>
      </c>
      <c r="AA1528">
        <f t="shared" si="257"/>
        <v>0</v>
      </c>
      <c r="AB1528">
        <f t="shared" si="254"/>
        <v>0</v>
      </c>
    </row>
    <row r="1529" spans="1:28">
      <c r="A1529" s="27">
        <v>44634</v>
      </c>
      <c r="B1529" s="24">
        <v>1192.3900000000001</v>
      </c>
      <c r="C1529" s="25">
        <f t="shared" si="250"/>
        <v>1.0200364298725118E-2</v>
      </c>
      <c r="E1529" s="25">
        <f t="shared" si="264"/>
        <v>0.16526268470017991</v>
      </c>
      <c r="F1529" s="25">
        <f t="shared" si="261"/>
        <v>0.413425509798383</v>
      </c>
      <c r="G1529" s="25">
        <f t="shared" si="258"/>
        <v>0.1614124976307314</v>
      </c>
      <c r="H1529" s="25">
        <f t="shared" si="255"/>
        <v>0.13433098293139523</v>
      </c>
      <c r="I1529" s="25">
        <f t="shared" si="252"/>
        <v>0.1318569529850655</v>
      </c>
      <c r="K1529" s="29">
        <v>44634</v>
      </c>
      <c r="L1529" s="24">
        <v>22085.19</v>
      </c>
      <c r="M1529" s="25">
        <f t="shared" si="251"/>
        <v>9.5629695737277833E-3</v>
      </c>
      <c r="O1529" t="b">
        <f t="shared" si="249"/>
        <v>1</v>
      </c>
      <c r="Q1529" s="25">
        <f t="shared" si="265"/>
        <v>0.16157815483963933</v>
      </c>
      <c r="R1529" s="25">
        <f t="shared" si="262"/>
        <v>0.44716967324347245</v>
      </c>
      <c r="S1529" s="25">
        <f t="shared" si="259"/>
        <v>0.16091218141911434</v>
      </c>
      <c r="T1529" s="25">
        <f t="shared" si="256"/>
        <v>0.13947697720952767</v>
      </c>
      <c r="U1529" s="25">
        <f t="shared" si="253"/>
        <v>0.13953277472214221</v>
      </c>
      <c r="X1529">
        <f t="shared" si="266"/>
        <v>1</v>
      </c>
      <c r="Y1529">
        <f t="shared" si="263"/>
        <v>0</v>
      </c>
      <c r="Z1529">
        <f t="shared" si="260"/>
        <v>1</v>
      </c>
      <c r="AA1529">
        <f t="shared" si="257"/>
        <v>0</v>
      </c>
      <c r="AB1529">
        <f t="shared" si="254"/>
        <v>0</v>
      </c>
    </row>
    <row r="1530" spans="1:28">
      <c r="A1530" s="26">
        <v>44635</v>
      </c>
      <c r="B1530" s="23">
        <v>1179.06</v>
      </c>
      <c r="C1530" s="25">
        <f t="shared" si="250"/>
        <v>-1.1179228272629051E-2</v>
      </c>
      <c r="E1530" s="25">
        <f t="shared" si="264"/>
        <v>0.17036419403829539</v>
      </c>
      <c r="F1530" s="25">
        <f t="shared" si="261"/>
        <v>0.42459396276926142</v>
      </c>
      <c r="G1530" s="25">
        <f t="shared" si="258"/>
        <v>0.15695691100093723</v>
      </c>
      <c r="H1530" s="25">
        <f t="shared" si="255"/>
        <v>0.13083347094963327</v>
      </c>
      <c r="I1530" s="25">
        <f t="shared" si="252"/>
        <v>0.12964595312715566</v>
      </c>
      <c r="K1530" s="28">
        <v>44635</v>
      </c>
      <c r="L1530" s="23">
        <v>21841.279999999999</v>
      </c>
      <c r="M1530" s="25">
        <f t="shared" si="251"/>
        <v>-1.1167385794239159E-2</v>
      </c>
      <c r="O1530" t="b">
        <f t="shared" si="249"/>
        <v>1</v>
      </c>
      <c r="Q1530" s="25">
        <f t="shared" si="265"/>
        <v>0.16672631721771314</v>
      </c>
      <c r="R1530" s="25">
        <f t="shared" si="262"/>
        <v>0.46018207910224285</v>
      </c>
      <c r="S1530" s="25">
        <f t="shared" si="259"/>
        <v>0.15592099103604817</v>
      </c>
      <c r="T1530" s="25">
        <f t="shared" si="256"/>
        <v>0.1354070717211544</v>
      </c>
      <c r="U1530" s="25">
        <f t="shared" si="253"/>
        <v>0.13687364110656741</v>
      </c>
      <c r="X1530">
        <f t="shared" si="266"/>
        <v>1</v>
      </c>
      <c r="Y1530">
        <f t="shared" si="263"/>
        <v>0</v>
      </c>
      <c r="Z1530">
        <f t="shared" si="260"/>
        <v>1</v>
      </c>
      <c r="AA1530">
        <f t="shared" si="257"/>
        <v>0</v>
      </c>
      <c r="AB1530">
        <f t="shared" si="254"/>
        <v>0</v>
      </c>
    </row>
    <row r="1531" spans="1:28">
      <c r="A1531" s="27">
        <v>44636</v>
      </c>
      <c r="B1531" s="24">
        <v>1200.08</v>
      </c>
      <c r="C1531" s="25">
        <f t="shared" si="250"/>
        <v>1.7827761097823674E-2</v>
      </c>
      <c r="E1531" s="25">
        <f t="shared" si="264"/>
        <v>0.21080775672457963</v>
      </c>
      <c r="F1531" s="25">
        <f t="shared" si="261"/>
        <v>0.40776477719298332</v>
      </c>
      <c r="G1531" s="25">
        <f t="shared" si="258"/>
        <v>0.16148765883387162</v>
      </c>
      <c r="H1531" s="25">
        <f t="shared" si="255"/>
        <v>0.13718714581694735</v>
      </c>
      <c r="I1531" s="25">
        <f t="shared" si="252"/>
        <v>0.13402068142543389</v>
      </c>
      <c r="K1531" s="29">
        <v>44636</v>
      </c>
      <c r="L1531" s="24">
        <v>22250.14</v>
      </c>
      <c r="M1531" s="25">
        <f t="shared" si="251"/>
        <v>1.8375614715233281E-2</v>
      </c>
      <c r="O1531" t="b">
        <f t="shared" si="249"/>
        <v>1</v>
      </c>
      <c r="Q1531" s="25">
        <f t="shared" si="265"/>
        <v>0.20268166594956671</v>
      </c>
      <c r="R1531" s="25">
        <f t="shared" si="262"/>
        <v>0.43700386454249851</v>
      </c>
      <c r="S1531" s="25">
        <f t="shared" si="259"/>
        <v>0.16091565286125786</v>
      </c>
      <c r="T1531" s="25">
        <f t="shared" si="256"/>
        <v>0.14209484386197335</v>
      </c>
      <c r="U1531" s="25">
        <f t="shared" si="253"/>
        <v>0.14151627153421975</v>
      </c>
      <c r="X1531">
        <f t="shared" si="266"/>
        <v>1</v>
      </c>
      <c r="Y1531">
        <f t="shared" si="263"/>
        <v>0</v>
      </c>
      <c r="Z1531">
        <f t="shared" si="260"/>
        <v>1</v>
      </c>
      <c r="AA1531">
        <f t="shared" si="257"/>
        <v>0</v>
      </c>
      <c r="AB1531">
        <f t="shared" si="254"/>
        <v>0</v>
      </c>
    </row>
    <row r="1532" spans="1:28">
      <c r="A1532" s="26">
        <v>44637</v>
      </c>
      <c r="B1532" s="23">
        <v>1217.6099999999999</v>
      </c>
      <c r="C1532" s="25">
        <f t="shared" si="250"/>
        <v>1.460735950936602E-2</v>
      </c>
      <c r="E1532" s="25">
        <f t="shared" si="264"/>
        <v>0.21624780246124331</v>
      </c>
      <c r="F1532" s="25">
        <f t="shared" si="261"/>
        <v>0.52978840087826673</v>
      </c>
      <c r="G1532" s="25">
        <f t="shared" si="258"/>
        <v>0.16837822350109821</v>
      </c>
      <c r="H1532" s="25">
        <f t="shared" si="255"/>
        <v>0.14468607780727138</v>
      </c>
      <c r="I1532" s="25">
        <f t="shared" si="252"/>
        <v>0.13783420181871753</v>
      </c>
      <c r="K1532" s="28">
        <v>44637</v>
      </c>
      <c r="L1532" s="23">
        <v>22618.83</v>
      </c>
      <c r="M1532" s="25">
        <f t="shared" si="251"/>
        <v>1.6300135771832685E-2</v>
      </c>
      <c r="O1532" t="b">
        <f t="shared" si="249"/>
        <v>1</v>
      </c>
      <c r="Q1532" s="25">
        <f t="shared" si="265"/>
        <v>0.20869697649812435</v>
      </c>
      <c r="R1532" s="25">
        <f t="shared" si="262"/>
        <v>0.5511327442173124</v>
      </c>
      <c r="S1532" s="25">
        <f t="shared" si="259"/>
        <v>0.16798664383502659</v>
      </c>
      <c r="T1532" s="25">
        <f t="shared" si="256"/>
        <v>0.15013652695949098</v>
      </c>
      <c r="U1532" s="25">
        <f t="shared" si="253"/>
        <v>0.1455452420363359</v>
      </c>
      <c r="X1532">
        <f t="shared" si="266"/>
        <v>1</v>
      </c>
      <c r="Y1532">
        <f t="shared" si="263"/>
        <v>0</v>
      </c>
      <c r="Z1532">
        <f t="shared" si="260"/>
        <v>1</v>
      </c>
      <c r="AA1532">
        <f t="shared" si="257"/>
        <v>0</v>
      </c>
      <c r="AB1532">
        <f t="shared" si="254"/>
        <v>0</v>
      </c>
    </row>
    <row r="1533" spans="1:28">
      <c r="A1533" s="27">
        <v>44641</v>
      </c>
      <c r="B1533" s="24">
        <v>1208.17</v>
      </c>
      <c r="C1533" s="25">
        <f t="shared" si="250"/>
        <v>-7.7528929624426767E-3</v>
      </c>
      <c r="E1533" s="25">
        <f t="shared" si="264"/>
        <v>0.20280548752563576</v>
      </c>
      <c r="F1533" s="25">
        <f t="shared" si="261"/>
        <v>0.50609099456944295</v>
      </c>
      <c r="G1533" s="25">
        <f t="shared" si="258"/>
        <v>0.16733707140548049</v>
      </c>
      <c r="H1533" s="25">
        <f t="shared" si="255"/>
        <v>0.13805751278989087</v>
      </c>
      <c r="I1533" s="25">
        <f t="shared" si="252"/>
        <v>0.13788461624657922</v>
      </c>
      <c r="K1533" s="29">
        <v>44641</v>
      </c>
      <c r="L1533" s="24">
        <v>22437.279999999999</v>
      </c>
      <c r="M1533" s="25">
        <f t="shared" si="251"/>
        <v>-8.0914442392305535E-3</v>
      </c>
      <c r="O1533" t="b">
        <f t="shared" si="249"/>
        <v>1</v>
      </c>
      <c r="Q1533" s="25">
        <f t="shared" si="265"/>
        <v>0.19656112294129469</v>
      </c>
      <c r="R1533" s="25">
        <f t="shared" si="262"/>
        <v>0.52975141878527077</v>
      </c>
      <c r="S1533" s="25">
        <f t="shared" si="259"/>
        <v>0.1669268493003957</v>
      </c>
      <c r="T1533" s="25">
        <f t="shared" si="256"/>
        <v>0.14414530913807067</v>
      </c>
      <c r="U1533" s="25">
        <f t="shared" si="253"/>
        <v>0.14600059911849361</v>
      </c>
      <c r="X1533">
        <f t="shared" si="266"/>
        <v>1</v>
      </c>
      <c r="Y1533">
        <f t="shared" si="263"/>
        <v>0</v>
      </c>
      <c r="Z1533">
        <f t="shared" si="260"/>
        <v>1</v>
      </c>
      <c r="AA1533">
        <f t="shared" si="257"/>
        <v>0</v>
      </c>
      <c r="AB1533">
        <f t="shared" si="254"/>
        <v>0</v>
      </c>
    </row>
    <row r="1534" spans="1:28">
      <c r="A1534" s="26">
        <v>44642</v>
      </c>
      <c r="B1534" s="23">
        <v>1217.25</v>
      </c>
      <c r="C1534" s="25">
        <f t="shared" si="250"/>
        <v>7.5154986467135644E-3</v>
      </c>
      <c r="E1534" s="25">
        <f t="shared" si="264"/>
        <v>0.20245974513484155</v>
      </c>
      <c r="F1534" s="25">
        <f t="shared" si="261"/>
        <v>0.47008737089420549</v>
      </c>
      <c r="G1534" s="25">
        <f t="shared" si="258"/>
        <v>0.1738819540607377</v>
      </c>
      <c r="H1534" s="25">
        <f t="shared" si="255"/>
        <v>0.13737352352320942</v>
      </c>
      <c r="I1534" s="25">
        <f t="shared" si="252"/>
        <v>0.13767782548143503</v>
      </c>
      <c r="K1534" s="28">
        <v>44642</v>
      </c>
      <c r="L1534" s="23">
        <v>22624.23</v>
      </c>
      <c r="M1534" s="25">
        <f t="shared" si="251"/>
        <v>8.2632646503328841E-3</v>
      </c>
      <c r="O1534" t="b">
        <f t="shared" si="249"/>
        <v>1</v>
      </c>
      <c r="Q1534" s="25">
        <f t="shared" si="265"/>
        <v>0.19876426379327894</v>
      </c>
      <c r="R1534" s="25">
        <f t="shared" si="262"/>
        <v>0.49459584597034389</v>
      </c>
      <c r="S1534" s="25">
        <f t="shared" si="259"/>
        <v>0.17381161603771789</v>
      </c>
      <c r="T1534" s="25">
        <f t="shared" si="256"/>
        <v>0.14445715978793205</v>
      </c>
      <c r="U1534" s="25">
        <f t="shared" si="253"/>
        <v>0.14627694749651621</v>
      </c>
      <c r="X1534">
        <f t="shared" si="266"/>
        <v>1</v>
      </c>
      <c r="Y1534">
        <f t="shared" si="263"/>
        <v>0</v>
      </c>
      <c r="Z1534">
        <f t="shared" si="260"/>
        <v>1</v>
      </c>
      <c r="AA1534">
        <f t="shared" si="257"/>
        <v>0</v>
      </c>
      <c r="AB1534">
        <f t="shared" si="254"/>
        <v>0</v>
      </c>
    </row>
    <row r="1535" spans="1:28">
      <c r="A1535" s="27">
        <v>44643</v>
      </c>
      <c r="B1535" s="24">
        <v>1215.3399999999999</v>
      </c>
      <c r="C1535" s="25">
        <f t="shared" si="250"/>
        <v>-1.5691107003492149E-3</v>
      </c>
      <c r="E1535" s="25">
        <f t="shared" si="264"/>
        <v>0.22102999979906346</v>
      </c>
      <c r="F1535" s="25">
        <f t="shared" si="261"/>
        <v>0.44141661331824578</v>
      </c>
      <c r="G1535" s="25">
        <f t="shared" si="258"/>
        <v>0.16935955015515614</v>
      </c>
      <c r="H1535" s="25">
        <f t="shared" si="255"/>
        <v>0.13907068650441379</v>
      </c>
      <c r="I1535" s="25">
        <f t="shared" si="252"/>
        <v>0.13727783984278541</v>
      </c>
      <c r="K1535" s="29">
        <v>44643</v>
      </c>
      <c r="L1535" s="24">
        <v>22579.87</v>
      </c>
      <c r="M1535" s="25">
        <f t="shared" si="251"/>
        <v>-1.964581726998454E-3</v>
      </c>
      <c r="O1535" t="b">
        <f t="shared" si="249"/>
        <v>1</v>
      </c>
      <c r="Q1535" s="25">
        <f t="shared" si="265"/>
        <v>0.218005329478272</v>
      </c>
      <c r="R1535" s="25">
        <f t="shared" si="262"/>
        <v>0.46396005475020807</v>
      </c>
      <c r="S1535" s="25">
        <f t="shared" si="259"/>
        <v>0.16887864389293772</v>
      </c>
      <c r="T1535" s="25">
        <f t="shared" si="256"/>
        <v>0.14600712951673911</v>
      </c>
      <c r="U1535" s="25">
        <f t="shared" si="253"/>
        <v>0.14519049267068707</v>
      </c>
      <c r="X1535">
        <f t="shared" si="266"/>
        <v>1</v>
      </c>
      <c r="Y1535">
        <f t="shared" si="263"/>
        <v>0</v>
      </c>
      <c r="Z1535">
        <f t="shared" si="260"/>
        <v>1</v>
      </c>
      <c r="AA1535">
        <f t="shared" si="257"/>
        <v>0</v>
      </c>
      <c r="AB1535">
        <f t="shared" si="254"/>
        <v>0</v>
      </c>
    </row>
    <row r="1536" spans="1:28">
      <c r="A1536" s="26">
        <v>44644</v>
      </c>
      <c r="B1536" s="23">
        <v>1221.18</v>
      </c>
      <c r="C1536" s="25">
        <f t="shared" si="250"/>
        <v>4.8052396860139108E-3</v>
      </c>
      <c r="E1536" s="25">
        <f t="shared" si="264"/>
        <v>0.2442610423353202</v>
      </c>
      <c r="F1536" s="25">
        <f t="shared" si="261"/>
        <v>0.45091560625275151</v>
      </c>
      <c r="G1536" s="25">
        <f t="shared" si="258"/>
        <v>0.17032182431339127</v>
      </c>
      <c r="H1536" s="25">
        <f t="shared" si="255"/>
        <v>0.13714703215121959</v>
      </c>
      <c r="I1536" s="25">
        <f t="shared" si="252"/>
        <v>0.13934063914334938</v>
      </c>
      <c r="K1536" s="28">
        <v>44644</v>
      </c>
      <c r="L1536" s="23">
        <v>22586.94</v>
      </c>
      <c r="M1536" s="25">
        <f t="shared" si="251"/>
        <v>3.1301274099102E-4</v>
      </c>
      <c r="O1536" t="b">
        <f t="shared" si="249"/>
        <v>1</v>
      </c>
      <c r="Q1536" s="25">
        <f t="shared" si="265"/>
        <v>0.23904389245243762</v>
      </c>
      <c r="R1536" s="25">
        <f t="shared" si="262"/>
        <v>0.4631820099640962</v>
      </c>
      <c r="S1536" s="25">
        <f t="shared" si="259"/>
        <v>0.16941790890963393</v>
      </c>
      <c r="T1536" s="25">
        <f t="shared" si="256"/>
        <v>0.14254034915203029</v>
      </c>
      <c r="U1536" s="25">
        <f t="shared" si="253"/>
        <v>0.14641735004059897</v>
      </c>
      <c r="X1536">
        <f t="shared" si="266"/>
        <v>1</v>
      </c>
      <c r="Y1536">
        <f t="shared" si="263"/>
        <v>0</v>
      </c>
      <c r="Z1536">
        <f t="shared" si="260"/>
        <v>1</v>
      </c>
      <c r="AA1536">
        <f t="shared" si="257"/>
        <v>0</v>
      </c>
      <c r="AB1536">
        <f t="shared" si="254"/>
        <v>0</v>
      </c>
    </row>
    <row r="1537" spans="1:28">
      <c r="A1537" s="27">
        <v>44645</v>
      </c>
      <c r="B1537" s="24">
        <v>1216.3599999999999</v>
      </c>
      <c r="C1537" s="25">
        <f t="shared" si="250"/>
        <v>-3.9470020799555871E-3</v>
      </c>
      <c r="E1537" s="25">
        <f t="shared" si="264"/>
        <v>0.21990993791934521</v>
      </c>
      <c r="F1537" s="25">
        <f t="shared" si="261"/>
        <v>0.47525771823706142</v>
      </c>
      <c r="G1537" s="25">
        <f t="shared" si="258"/>
        <v>0.16592011102819471</v>
      </c>
      <c r="H1537" s="25">
        <f t="shared" si="255"/>
        <v>0.13441128686095238</v>
      </c>
      <c r="I1537" s="25">
        <f t="shared" si="252"/>
        <v>0.13682517697031837</v>
      </c>
      <c r="K1537" s="29">
        <v>44645</v>
      </c>
      <c r="L1537" s="24">
        <v>22513.87</v>
      </c>
      <c r="M1537" s="25">
        <f t="shared" si="251"/>
        <v>-3.2455548512983204E-3</v>
      </c>
      <c r="O1537" t="b">
        <f t="shared" si="249"/>
        <v>1</v>
      </c>
      <c r="Q1537" s="25">
        <f t="shared" si="265"/>
        <v>0.21921655380066452</v>
      </c>
      <c r="R1537" s="25">
        <f t="shared" si="262"/>
        <v>0.4880545110672061</v>
      </c>
      <c r="S1537" s="25">
        <f t="shared" si="259"/>
        <v>0.16407356260751427</v>
      </c>
      <c r="T1537" s="25">
        <f t="shared" si="256"/>
        <v>0.13999975186610158</v>
      </c>
      <c r="U1537" s="25">
        <f t="shared" si="253"/>
        <v>0.14431628257668794</v>
      </c>
      <c r="X1537">
        <f t="shared" si="266"/>
        <v>1</v>
      </c>
      <c r="Y1537">
        <f t="shared" si="263"/>
        <v>0</v>
      </c>
      <c r="Z1537">
        <f t="shared" si="260"/>
        <v>1</v>
      </c>
      <c r="AA1537">
        <f t="shared" si="257"/>
        <v>0</v>
      </c>
      <c r="AB1537">
        <f t="shared" si="254"/>
        <v>0</v>
      </c>
    </row>
    <row r="1538" spans="1:28">
      <c r="A1538" s="26">
        <v>44648</v>
      </c>
      <c r="B1538" s="23">
        <v>1218.27</v>
      </c>
      <c r="C1538" s="25">
        <f t="shared" si="250"/>
        <v>1.5702588049591256E-3</v>
      </c>
      <c r="E1538" s="25">
        <f t="shared" si="264"/>
        <v>0.19799984266215631</v>
      </c>
      <c r="F1538" s="25">
        <f t="shared" si="261"/>
        <v>0.45504198458113287</v>
      </c>
      <c r="G1538" s="25">
        <f t="shared" si="258"/>
        <v>0.16310997038350528</v>
      </c>
      <c r="H1538" s="25">
        <f t="shared" si="255"/>
        <v>0.13809706151603307</v>
      </c>
      <c r="I1538" s="25">
        <f t="shared" si="252"/>
        <v>0.13588699729176557</v>
      </c>
      <c r="K1538" s="28">
        <v>44648</v>
      </c>
      <c r="L1538" s="23">
        <v>22551.67</v>
      </c>
      <c r="M1538" s="25">
        <f t="shared" si="251"/>
        <v>1.6761508127779128E-3</v>
      </c>
      <c r="O1538" t="b">
        <f t="shared" si="249"/>
        <v>1</v>
      </c>
      <c r="Q1538" s="25">
        <f t="shared" si="265"/>
        <v>0.19764386992479555</v>
      </c>
      <c r="R1538" s="25">
        <f t="shared" si="262"/>
        <v>0.46271659865977322</v>
      </c>
      <c r="S1538" s="25">
        <f t="shared" si="259"/>
        <v>0.1622382325343148</v>
      </c>
      <c r="T1538" s="25">
        <f t="shared" si="256"/>
        <v>0.14361561977360182</v>
      </c>
      <c r="U1538" s="25">
        <f t="shared" si="253"/>
        <v>0.14370782284526396</v>
      </c>
      <c r="X1538">
        <f t="shared" si="266"/>
        <v>1</v>
      </c>
      <c r="Y1538">
        <f t="shared" si="263"/>
        <v>0</v>
      </c>
      <c r="Z1538">
        <f t="shared" si="260"/>
        <v>1</v>
      </c>
      <c r="AA1538">
        <f t="shared" si="257"/>
        <v>0</v>
      </c>
      <c r="AB1538">
        <f t="shared" si="254"/>
        <v>0</v>
      </c>
    </row>
    <row r="1539" spans="1:28">
      <c r="A1539" s="27">
        <v>44649</v>
      </c>
      <c r="B1539" s="24">
        <v>1226.54</v>
      </c>
      <c r="C1539" s="25">
        <f t="shared" si="250"/>
        <v>6.7883145772283503E-3</v>
      </c>
      <c r="E1539" s="25">
        <f t="shared" si="264"/>
        <v>0.21443211184490618</v>
      </c>
      <c r="F1539" s="25">
        <f t="shared" si="261"/>
        <v>0.48495623324467441</v>
      </c>
      <c r="G1539" s="25">
        <f t="shared" si="258"/>
        <v>0.16418420941491663</v>
      </c>
      <c r="H1539" s="25">
        <f t="shared" si="255"/>
        <v>0.13445993630354547</v>
      </c>
      <c r="I1539" s="25">
        <f t="shared" si="252"/>
        <v>0.13659351370107498</v>
      </c>
      <c r="K1539" s="29">
        <v>44649</v>
      </c>
      <c r="L1539" s="24">
        <v>22684.14</v>
      </c>
      <c r="M1539" s="25">
        <f t="shared" si="251"/>
        <v>5.8397629356899215E-3</v>
      </c>
      <c r="O1539" t="b">
        <f t="shared" ref="O1539:O1602" si="267">K1539=A1539</f>
        <v>1</v>
      </c>
      <c r="Q1539" s="25">
        <f t="shared" si="265"/>
        <v>0.21193829859530555</v>
      </c>
      <c r="R1539" s="25">
        <f t="shared" si="262"/>
        <v>0.49225673841433637</v>
      </c>
      <c r="S1539" s="25">
        <f t="shared" si="259"/>
        <v>0.1629759362458445</v>
      </c>
      <c r="T1539" s="25">
        <f t="shared" si="256"/>
        <v>0.13990838911590231</v>
      </c>
      <c r="U1539" s="25">
        <f t="shared" si="253"/>
        <v>0.14411718864308565</v>
      </c>
      <c r="X1539">
        <f t="shared" si="266"/>
        <v>1</v>
      </c>
      <c r="Y1539">
        <f t="shared" si="263"/>
        <v>0</v>
      </c>
      <c r="Z1539">
        <f t="shared" si="260"/>
        <v>1</v>
      </c>
      <c r="AA1539">
        <f t="shared" si="257"/>
        <v>0</v>
      </c>
      <c r="AB1539">
        <f t="shared" si="254"/>
        <v>0</v>
      </c>
    </row>
    <row r="1540" spans="1:28">
      <c r="A1540" s="26">
        <v>44650</v>
      </c>
      <c r="B1540" s="23">
        <v>1237.5999999999999</v>
      </c>
      <c r="C1540" s="25">
        <f t="shared" ref="C1540:C1603" si="268">(B1540-B1539)/B1539</f>
        <v>9.0172354754023062E-3</v>
      </c>
      <c r="E1540" s="25">
        <f t="shared" si="264"/>
        <v>0.2088770805657576</v>
      </c>
      <c r="F1540" s="25">
        <f t="shared" si="261"/>
        <v>0.50536610583347463</v>
      </c>
      <c r="G1540" s="25">
        <f t="shared" si="258"/>
        <v>0.16669823667674377</v>
      </c>
      <c r="H1540" s="25">
        <f t="shared" si="255"/>
        <v>0.13616964241904572</v>
      </c>
      <c r="I1540" s="25">
        <f t="shared" si="252"/>
        <v>0.13781714701735037</v>
      </c>
      <c r="K1540" s="28">
        <v>44650</v>
      </c>
      <c r="L1540" s="23">
        <v>22892.81</v>
      </c>
      <c r="M1540" s="25">
        <f t="shared" ref="M1540:M1603" si="269">(L1540-L1539)/L1540</f>
        <v>9.1150889733502306E-3</v>
      </c>
      <c r="O1540" t="b">
        <f t="shared" si="267"/>
        <v>1</v>
      </c>
      <c r="Q1540" s="25">
        <f t="shared" si="265"/>
        <v>0.20688244488904006</v>
      </c>
      <c r="R1540" s="25">
        <f t="shared" si="262"/>
        <v>0.51297195570971055</v>
      </c>
      <c r="S1540" s="25">
        <f t="shared" si="259"/>
        <v>0.16577739140178016</v>
      </c>
      <c r="T1540" s="25">
        <f t="shared" si="256"/>
        <v>0.14171231056908473</v>
      </c>
      <c r="U1540" s="25">
        <f t="shared" si="253"/>
        <v>0.14566681089090894</v>
      </c>
      <c r="X1540">
        <f t="shared" si="266"/>
        <v>1</v>
      </c>
      <c r="Y1540">
        <f t="shared" si="263"/>
        <v>0</v>
      </c>
      <c r="Z1540">
        <f t="shared" si="260"/>
        <v>1</v>
      </c>
      <c r="AA1540">
        <f t="shared" si="257"/>
        <v>0</v>
      </c>
      <c r="AB1540">
        <f t="shared" si="254"/>
        <v>0</v>
      </c>
    </row>
    <row r="1541" spans="1:28">
      <c r="A1541" s="27">
        <v>44651</v>
      </c>
      <c r="B1541" s="24">
        <v>1235.47</v>
      </c>
      <c r="C1541" s="25">
        <f t="shared" si="268"/>
        <v>-1.7210730446023609E-3</v>
      </c>
      <c r="E1541" s="25">
        <f t="shared" si="264"/>
        <v>0.22109768030283572</v>
      </c>
      <c r="F1541" s="25">
        <f t="shared" si="261"/>
        <v>0.44652031952681637</v>
      </c>
      <c r="G1541" s="25">
        <f t="shared" si="258"/>
        <v>0.16855312276825907</v>
      </c>
      <c r="H1541" s="25">
        <f t="shared" si="255"/>
        <v>0.1351840398044597</v>
      </c>
      <c r="I1541" s="25">
        <f t="shared" si="252"/>
        <v>0.1368686865108637</v>
      </c>
      <c r="K1541" s="29">
        <v>44651</v>
      </c>
      <c r="L1541" s="24">
        <v>22889.14</v>
      </c>
      <c r="M1541" s="25">
        <f t="shared" si="269"/>
        <v>-1.6033804677685102E-4</v>
      </c>
      <c r="O1541" t="b">
        <f t="shared" si="267"/>
        <v>1</v>
      </c>
      <c r="Q1541" s="25">
        <f t="shared" si="265"/>
        <v>0.22436126486780261</v>
      </c>
      <c r="R1541" s="25">
        <f t="shared" si="262"/>
        <v>0.45782662597756785</v>
      </c>
      <c r="S1541" s="25">
        <f t="shared" si="259"/>
        <v>0.16821840060617466</v>
      </c>
      <c r="T1541" s="25">
        <f t="shared" si="256"/>
        <v>0.14063784885531683</v>
      </c>
      <c r="U1541" s="25">
        <f t="shared" si="253"/>
        <v>0.14397140393457231</v>
      </c>
      <c r="X1541">
        <f t="shared" si="266"/>
        <v>0</v>
      </c>
      <c r="Y1541">
        <f t="shared" si="263"/>
        <v>0</v>
      </c>
      <c r="Z1541">
        <f t="shared" si="260"/>
        <v>1</v>
      </c>
      <c r="AA1541">
        <f t="shared" si="257"/>
        <v>0</v>
      </c>
      <c r="AB1541">
        <f t="shared" si="254"/>
        <v>0</v>
      </c>
    </row>
    <row r="1542" spans="1:28">
      <c r="A1542" s="26">
        <v>44652</v>
      </c>
      <c r="B1542" s="23">
        <v>1244.7</v>
      </c>
      <c r="C1542" s="25">
        <f t="shared" si="268"/>
        <v>7.4708410564400737E-3</v>
      </c>
      <c r="E1542" s="25">
        <f t="shared" si="264"/>
        <v>0.22911482403128347</v>
      </c>
      <c r="F1542" s="25">
        <f t="shared" si="261"/>
        <v>0.44847102165575814</v>
      </c>
      <c r="G1542" s="25">
        <f t="shared" si="258"/>
        <v>0.17141558689440672</v>
      </c>
      <c r="H1542" s="25">
        <f t="shared" si="255"/>
        <v>0.13621556297449655</v>
      </c>
      <c r="I1542" s="25">
        <f t="shared" si="252"/>
        <v>0.13769969430243867</v>
      </c>
      <c r="K1542" s="28">
        <v>44652</v>
      </c>
      <c r="L1542" s="23">
        <v>23185.39</v>
      </c>
      <c r="M1542" s="25">
        <f t="shared" si="269"/>
        <v>1.2777443036325893E-2</v>
      </c>
      <c r="O1542" t="b">
        <f t="shared" si="267"/>
        <v>1</v>
      </c>
      <c r="Q1542" s="25">
        <f t="shared" si="265"/>
        <v>0.23423508788553571</v>
      </c>
      <c r="R1542" s="25">
        <f t="shared" si="262"/>
        <v>0.46595429531018606</v>
      </c>
      <c r="S1542" s="25">
        <f t="shared" si="259"/>
        <v>0.17452428357986816</v>
      </c>
      <c r="T1542" s="25">
        <f t="shared" si="256"/>
        <v>0.14387732615369853</v>
      </c>
      <c r="U1542" s="25">
        <f t="shared" si="253"/>
        <v>0.14572720590771548</v>
      </c>
      <c r="X1542">
        <f t="shared" si="266"/>
        <v>0</v>
      </c>
      <c r="Y1542">
        <f t="shared" si="263"/>
        <v>0</v>
      </c>
      <c r="Z1542">
        <f t="shared" si="260"/>
        <v>0</v>
      </c>
      <c r="AA1542">
        <f t="shared" si="257"/>
        <v>0</v>
      </c>
      <c r="AB1542">
        <f t="shared" si="254"/>
        <v>0</v>
      </c>
    </row>
    <row r="1543" spans="1:28">
      <c r="A1543" s="27">
        <v>44655</v>
      </c>
      <c r="B1543" s="24">
        <v>1264.95</v>
      </c>
      <c r="C1543" s="25">
        <f t="shared" si="268"/>
        <v>1.6268980477223426E-2</v>
      </c>
      <c r="E1543" s="25">
        <f t="shared" si="264"/>
        <v>0.23299087648159689</v>
      </c>
      <c r="F1543" s="25">
        <f t="shared" si="261"/>
        <v>0.43353578826055261</v>
      </c>
      <c r="G1543" s="25">
        <f t="shared" si="258"/>
        <v>0.17517980402917499</v>
      </c>
      <c r="H1543" s="25">
        <f t="shared" si="255"/>
        <v>0.14028250928026642</v>
      </c>
      <c r="I1543" s="25">
        <f t="shared" si="252"/>
        <v>0.14146858920306271</v>
      </c>
      <c r="K1543" s="29">
        <v>44655</v>
      </c>
      <c r="L1543" s="24">
        <v>23642.61</v>
      </c>
      <c r="M1543" s="25">
        <f t="shared" si="269"/>
        <v>1.9338812423839887E-2</v>
      </c>
      <c r="O1543" t="b">
        <f t="shared" si="267"/>
        <v>1</v>
      </c>
      <c r="Q1543" s="25">
        <f t="shared" si="265"/>
        <v>0.24614496695234189</v>
      </c>
      <c r="R1543" s="25">
        <f t="shared" si="262"/>
        <v>0.45220023042849533</v>
      </c>
      <c r="S1543" s="25">
        <f t="shared" si="259"/>
        <v>0.17981342870287409</v>
      </c>
      <c r="T1543" s="25">
        <f t="shared" si="256"/>
        <v>0.14911076924470001</v>
      </c>
      <c r="U1543" s="25">
        <f t="shared" si="253"/>
        <v>0.15029521074332175</v>
      </c>
      <c r="X1543">
        <f t="shared" si="266"/>
        <v>0</v>
      </c>
      <c r="Y1543">
        <f t="shared" si="263"/>
        <v>0</v>
      </c>
      <c r="Z1543">
        <f t="shared" si="260"/>
        <v>0</v>
      </c>
      <c r="AA1543">
        <f t="shared" si="257"/>
        <v>0</v>
      </c>
      <c r="AB1543">
        <f t="shared" si="254"/>
        <v>0</v>
      </c>
    </row>
    <row r="1544" spans="1:28">
      <c r="A1544" s="26">
        <v>44656</v>
      </c>
      <c r="B1544" s="23">
        <v>1265.9100000000001</v>
      </c>
      <c r="C1544" s="25">
        <f t="shared" si="268"/>
        <v>7.5892327759993381E-4</v>
      </c>
      <c r="E1544" s="25">
        <f t="shared" si="264"/>
        <v>0.22696609610948504</v>
      </c>
      <c r="F1544" s="25">
        <f t="shared" si="261"/>
        <v>0.43910333364493859</v>
      </c>
      <c r="G1544" s="25">
        <f t="shared" si="258"/>
        <v>0.17762647468942983</v>
      </c>
      <c r="H1544" s="25">
        <f t="shared" si="255"/>
        <v>0.14068178421528632</v>
      </c>
      <c r="I1544" s="25">
        <f t="shared" si="252"/>
        <v>0.14264131300929117</v>
      </c>
      <c r="K1544" s="28">
        <v>44656</v>
      </c>
      <c r="L1544" s="23">
        <v>23653.78</v>
      </c>
      <c r="M1544" s="25">
        <f t="shared" si="269"/>
        <v>4.7222896298174138E-4</v>
      </c>
      <c r="O1544" t="b">
        <f t="shared" si="267"/>
        <v>1</v>
      </c>
      <c r="Q1544" s="25">
        <f t="shared" si="265"/>
        <v>0.24063795839885183</v>
      </c>
      <c r="R1544" s="25">
        <f t="shared" si="262"/>
        <v>0.46054339036537928</v>
      </c>
      <c r="S1544" s="25">
        <f t="shared" si="259"/>
        <v>0.182058213061707</v>
      </c>
      <c r="T1544" s="25">
        <f t="shared" si="256"/>
        <v>0.1487370220020221</v>
      </c>
      <c r="U1544" s="25">
        <f t="shared" si="253"/>
        <v>0.15173790309156754</v>
      </c>
      <c r="X1544">
        <f t="shared" si="266"/>
        <v>0</v>
      </c>
      <c r="Y1544">
        <f t="shared" si="263"/>
        <v>0</v>
      </c>
      <c r="Z1544">
        <f t="shared" si="260"/>
        <v>0</v>
      </c>
      <c r="AA1544">
        <f t="shared" si="257"/>
        <v>0</v>
      </c>
      <c r="AB1544">
        <f t="shared" si="254"/>
        <v>0</v>
      </c>
    </row>
    <row r="1545" spans="1:28">
      <c r="A1545" s="27">
        <v>44657</v>
      </c>
      <c r="B1545" s="24">
        <v>1258.7</v>
      </c>
      <c r="C1545" s="25">
        <f t="shared" si="268"/>
        <v>-5.6955075795277988E-3</v>
      </c>
      <c r="E1545" s="25">
        <f t="shared" si="264"/>
        <v>0.22125628238216288</v>
      </c>
      <c r="F1545" s="25">
        <f t="shared" si="261"/>
        <v>0.4362098380215651</v>
      </c>
      <c r="G1545" s="25">
        <f t="shared" si="258"/>
        <v>0.17384386702495958</v>
      </c>
      <c r="H1545" s="25">
        <f t="shared" si="255"/>
        <v>0.13856716228034305</v>
      </c>
      <c r="I1545" s="25">
        <f t="shared" si="252"/>
        <v>0.14030693282557483</v>
      </c>
      <c r="K1545" s="29">
        <v>44657</v>
      </c>
      <c r="L1545" s="24">
        <v>23557.599999999999</v>
      </c>
      <c r="M1545" s="25">
        <f t="shared" si="269"/>
        <v>-4.0827588548918523E-3</v>
      </c>
      <c r="O1545" t="b">
        <f t="shared" si="267"/>
        <v>1</v>
      </c>
      <c r="Q1545" s="25">
        <f t="shared" si="265"/>
        <v>0.23699474171165824</v>
      </c>
      <c r="R1545" s="25">
        <f t="shared" si="262"/>
        <v>0.45915949401638079</v>
      </c>
      <c r="S1545" s="25">
        <f t="shared" si="259"/>
        <v>0.17868839706310458</v>
      </c>
      <c r="T1545" s="25">
        <f t="shared" si="256"/>
        <v>0.14693539660129784</v>
      </c>
      <c r="U1545" s="25">
        <f t="shared" si="253"/>
        <v>0.15060383392407517</v>
      </c>
      <c r="X1545">
        <f t="shared" si="266"/>
        <v>0</v>
      </c>
      <c r="Y1545">
        <f t="shared" si="263"/>
        <v>0</v>
      </c>
      <c r="Z1545">
        <f t="shared" si="260"/>
        <v>0</v>
      </c>
      <c r="AA1545">
        <f t="shared" si="257"/>
        <v>0</v>
      </c>
      <c r="AB1545">
        <f t="shared" si="254"/>
        <v>0</v>
      </c>
    </row>
    <row r="1546" spans="1:28">
      <c r="A1546" s="26">
        <v>44658</v>
      </c>
      <c r="B1546" s="23">
        <v>1255.79</v>
      </c>
      <c r="C1546" s="25">
        <f t="shared" si="268"/>
        <v>-2.3119091125765327E-3</v>
      </c>
      <c r="E1546" s="25">
        <f t="shared" si="264"/>
        <v>0.26415873079788188</v>
      </c>
      <c r="F1546" s="25">
        <f t="shared" si="261"/>
        <v>0.42587106502407401</v>
      </c>
      <c r="G1546" s="25">
        <f t="shared" si="258"/>
        <v>0.17529933672024178</v>
      </c>
      <c r="H1546" s="25">
        <f t="shared" si="255"/>
        <v>0.13670394240739037</v>
      </c>
      <c r="I1546" s="25">
        <f t="shared" si="252"/>
        <v>0.13847082473211048</v>
      </c>
      <c r="K1546" s="28">
        <v>44658</v>
      </c>
      <c r="L1546" s="23">
        <v>23362.93</v>
      </c>
      <c r="M1546" s="25">
        <f t="shared" si="269"/>
        <v>-8.3324309065685789E-3</v>
      </c>
      <c r="O1546" t="b">
        <f t="shared" si="267"/>
        <v>1</v>
      </c>
      <c r="Q1546" s="25">
        <f t="shared" si="265"/>
        <v>0.27812605140857993</v>
      </c>
      <c r="R1546" s="25">
        <f t="shared" si="262"/>
        <v>0.44644462805502361</v>
      </c>
      <c r="S1546" s="25">
        <f t="shared" si="259"/>
        <v>0.17766111075275548</v>
      </c>
      <c r="T1546" s="25">
        <f t="shared" si="256"/>
        <v>0.14321460650090656</v>
      </c>
      <c r="U1546" s="25">
        <f t="shared" si="253"/>
        <v>0.14704902805961195</v>
      </c>
      <c r="X1546">
        <f t="shared" si="266"/>
        <v>0</v>
      </c>
      <c r="Y1546">
        <f t="shared" si="263"/>
        <v>0</v>
      </c>
      <c r="Z1546">
        <f t="shared" si="260"/>
        <v>0</v>
      </c>
      <c r="AA1546">
        <f t="shared" si="257"/>
        <v>0</v>
      </c>
      <c r="AB1546">
        <f t="shared" si="254"/>
        <v>0</v>
      </c>
    </row>
    <row r="1547" spans="1:28">
      <c r="A1547" s="27">
        <v>44659</v>
      </c>
      <c r="B1547" s="24">
        <v>1265.45</v>
      </c>
      <c r="C1547" s="25">
        <f t="shared" si="268"/>
        <v>7.6923689470373884E-3</v>
      </c>
      <c r="E1547" s="25">
        <f t="shared" si="264"/>
        <v>0.2615643817043507</v>
      </c>
      <c r="F1547" s="25">
        <f t="shared" si="261"/>
        <v>0.41086721597132225</v>
      </c>
      <c r="G1547" s="25">
        <f t="shared" si="258"/>
        <v>0.17829002170807584</v>
      </c>
      <c r="H1547" s="25">
        <f t="shared" si="255"/>
        <v>0.13846387830517459</v>
      </c>
      <c r="I1547" s="25">
        <f t="shared" si="252"/>
        <v>0.14041503425522106</v>
      </c>
      <c r="K1547" s="29">
        <v>44659</v>
      </c>
      <c r="L1547" s="24">
        <v>23579.95</v>
      </c>
      <c r="M1547" s="25">
        <f t="shared" si="269"/>
        <v>9.2035818566197306E-3</v>
      </c>
      <c r="O1547" t="b">
        <f t="shared" si="267"/>
        <v>1</v>
      </c>
      <c r="Q1547" s="25">
        <f t="shared" si="265"/>
        <v>0.27278659889972268</v>
      </c>
      <c r="R1547" s="25">
        <f t="shared" si="262"/>
        <v>0.43373256558291207</v>
      </c>
      <c r="S1547" s="25">
        <f t="shared" si="259"/>
        <v>0.18081417033250835</v>
      </c>
      <c r="T1547" s="25">
        <f t="shared" si="256"/>
        <v>0.14527583608283146</v>
      </c>
      <c r="U1547" s="25">
        <f t="shared" si="253"/>
        <v>0.14997435120103431</v>
      </c>
      <c r="X1547">
        <f t="shared" si="266"/>
        <v>0</v>
      </c>
      <c r="Y1547">
        <f t="shared" si="263"/>
        <v>0</v>
      </c>
      <c r="Z1547">
        <f t="shared" si="260"/>
        <v>0</v>
      </c>
      <c r="AA1547">
        <f t="shared" si="257"/>
        <v>0</v>
      </c>
      <c r="AB1547">
        <f t="shared" si="254"/>
        <v>0</v>
      </c>
    </row>
    <row r="1548" spans="1:28">
      <c r="A1548" s="26">
        <v>44662</v>
      </c>
      <c r="B1548" s="23">
        <v>1259.3</v>
      </c>
      <c r="C1548" s="25">
        <f t="shared" si="268"/>
        <v>-4.8599312497531241E-3</v>
      </c>
      <c r="E1548" s="25">
        <f t="shared" si="264"/>
        <v>0.2512544339894478</v>
      </c>
      <c r="F1548" s="25">
        <f t="shared" si="261"/>
        <v>0.40846527012179346</v>
      </c>
      <c r="G1548" s="25">
        <f t="shared" si="258"/>
        <v>0.17524985991494701</v>
      </c>
      <c r="H1548" s="25">
        <f t="shared" si="255"/>
        <v>0.13751630214256916</v>
      </c>
      <c r="I1548" s="25">
        <f t="shared" si="252"/>
        <v>0.14074081263566307</v>
      </c>
      <c r="K1548" s="28">
        <v>44662</v>
      </c>
      <c r="L1548" s="23">
        <v>23553.95</v>
      </c>
      <c r="M1548" s="25">
        <f t="shared" si="269"/>
        <v>-1.1038488236580276E-3</v>
      </c>
      <c r="O1548" t="b">
        <f t="shared" si="267"/>
        <v>1</v>
      </c>
      <c r="Q1548" s="25">
        <f t="shared" si="265"/>
        <v>0.26609090244510769</v>
      </c>
      <c r="R1548" s="25">
        <f t="shared" si="262"/>
        <v>0.43292317089224519</v>
      </c>
      <c r="S1548" s="25">
        <f t="shared" si="259"/>
        <v>0.17874880007955607</v>
      </c>
      <c r="T1548" s="25">
        <f t="shared" si="256"/>
        <v>0.14553484175858467</v>
      </c>
      <c r="U1548" s="25">
        <f t="shared" si="253"/>
        <v>0.15068877168414008</v>
      </c>
      <c r="X1548">
        <f t="shared" si="266"/>
        <v>0</v>
      </c>
      <c r="Y1548">
        <f t="shared" si="263"/>
        <v>0</v>
      </c>
      <c r="Z1548">
        <f t="shared" si="260"/>
        <v>0</v>
      </c>
      <c r="AA1548">
        <f t="shared" si="257"/>
        <v>0</v>
      </c>
      <c r="AB1548">
        <f t="shared" si="254"/>
        <v>0</v>
      </c>
    </row>
    <row r="1549" spans="1:28">
      <c r="A1549" s="27">
        <v>44663</v>
      </c>
      <c r="B1549" s="24">
        <v>1248.5</v>
      </c>
      <c r="C1549" s="25">
        <f t="shared" si="268"/>
        <v>-8.5761931231636262E-3</v>
      </c>
      <c r="E1549" s="25">
        <f t="shared" si="264"/>
        <v>0.23268465586524889</v>
      </c>
      <c r="F1549" s="25">
        <f t="shared" si="261"/>
        <v>0.42624778437690902</v>
      </c>
      <c r="G1549" s="25">
        <f t="shared" si="258"/>
        <v>0.17011841566745223</v>
      </c>
      <c r="H1549" s="25">
        <f t="shared" si="255"/>
        <v>0.13229097212733687</v>
      </c>
      <c r="I1549" s="25">
        <f t="shared" si="252"/>
        <v>0.13885429797398752</v>
      </c>
      <c r="K1549" s="29">
        <v>44663</v>
      </c>
      <c r="L1549" s="24">
        <v>23306.86</v>
      </c>
      <c r="M1549" s="25">
        <f t="shared" si="269"/>
        <v>-1.0601599700688987E-2</v>
      </c>
      <c r="O1549" t="b">
        <f t="shared" si="267"/>
        <v>1</v>
      </c>
      <c r="Q1549" s="25">
        <f t="shared" si="265"/>
        <v>0.24665081265197442</v>
      </c>
      <c r="R1549" s="25">
        <f t="shared" si="262"/>
        <v>0.44631028980279708</v>
      </c>
      <c r="S1549" s="25">
        <f t="shared" si="259"/>
        <v>0.17292093172338885</v>
      </c>
      <c r="T1549" s="25">
        <f t="shared" si="256"/>
        <v>0.14114875363148371</v>
      </c>
      <c r="U1549" s="25">
        <f t="shared" si="253"/>
        <v>0.14833005138474231</v>
      </c>
      <c r="X1549">
        <f t="shared" si="266"/>
        <v>0</v>
      </c>
      <c r="Y1549">
        <f t="shared" si="263"/>
        <v>0</v>
      </c>
      <c r="Z1549">
        <f t="shared" si="260"/>
        <v>0</v>
      </c>
      <c r="AA1549">
        <f t="shared" si="257"/>
        <v>0</v>
      </c>
      <c r="AB1549">
        <f t="shared" si="254"/>
        <v>0</v>
      </c>
    </row>
    <row r="1550" spans="1:28">
      <c r="A1550" s="26">
        <v>44664</v>
      </c>
      <c r="B1550" s="23">
        <v>1245.1600000000001</v>
      </c>
      <c r="C1550" s="25">
        <f t="shared" si="268"/>
        <v>-2.6752102523026977E-3</v>
      </c>
      <c r="E1550" s="25">
        <f t="shared" si="264"/>
        <v>0.24731785989762289</v>
      </c>
      <c r="F1550" s="25">
        <f t="shared" si="261"/>
        <v>0.41625098251372572</v>
      </c>
      <c r="G1550" s="25">
        <f t="shared" si="258"/>
        <v>0.16593065025946419</v>
      </c>
      <c r="H1550" s="25">
        <f t="shared" si="255"/>
        <v>0.13131330191905999</v>
      </c>
      <c r="I1550" s="25">
        <f t="shared" si="252"/>
        <v>0.13935839686636098</v>
      </c>
      <c r="K1550" s="28">
        <v>44664</v>
      </c>
      <c r="L1550" s="23">
        <v>23266.65</v>
      </c>
      <c r="M1550" s="25">
        <f t="shared" si="269"/>
        <v>-1.7282247336853017E-3</v>
      </c>
      <c r="O1550" t="b">
        <f t="shared" si="267"/>
        <v>1</v>
      </c>
      <c r="Q1550" s="25">
        <f t="shared" si="265"/>
        <v>0.26728262456235163</v>
      </c>
      <c r="R1550" s="25">
        <f t="shared" si="262"/>
        <v>0.43177298341270953</v>
      </c>
      <c r="S1550" s="25">
        <f t="shared" si="259"/>
        <v>0.16964828581229185</v>
      </c>
      <c r="T1550" s="25">
        <f t="shared" si="256"/>
        <v>0.14092363834649113</v>
      </c>
      <c r="U1550" s="25">
        <f t="shared" si="253"/>
        <v>0.14906355493092049</v>
      </c>
      <c r="X1550">
        <f t="shared" si="266"/>
        <v>0</v>
      </c>
      <c r="Y1550">
        <f t="shared" si="263"/>
        <v>0</v>
      </c>
      <c r="Z1550">
        <f t="shared" si="260"/>
        <v>0</v>
      </c>
      <c r="AA1550">
        <f t="shared" si="257"/>
        <v>0</v>
      </c>
      <c r="AB1550">
        <f t="shared" si="254"/>
        <v>0</v>
      </c>
    </row>
    <row r="1551" spans="1:28">
      <c r="A1551" s="27">
        <v>44669</v>
      </c>
      <c r="B1551" s="24">
        <v>1225.8800000000001</v>
      </c>
      <c r="C1551" s="25">
        <f t="shared" si="268"/>
        <v>-1.5483953869382226E-2</v>
      </c>
      <c r="E1551" s="25">
        <f t="shared" si="264"/>
        <v>0.22449631915935009</v>
      </c>
      <c r="F1551" s="25">
        <f t="shared" si="261"/>
        <v>0.39480131344679004</v>
      </c>
      <c r="G1551" s="25">
        <f t="shared" si="258"/>
        <v>0.16367603782769979</v>
      </c>
      <c r="H1551" s="25">
        <f t="shared" si="255"/>
        <v>0.1259578414221425</v>
      </c>
      <c r="I1551" s="25">
        <f t="shared" si="252"/>
        <v>0.13486807683846158</v>
      </c>
      <c r="K1551" s="29">
        <v>44669</v>
      </c>
      <c r="L1551" s="24">
        <v>22940.09</v>
      </c>
      <c r="M1551" s="25">
        <f t="shared" si="269"/>
        <v>-1.4235340837808452E-2</v>
      </c>
      <c r="O1551" t="b">
        <f t="shared" si="267"/>
        <v>1</v>
      </c>
      <c r="Q1551" s="25">
        <f t="shared" si="265"/>
        <v>0.25167794572846103</v>
      </c>
      <c r="R1551" s="25">
        <f t="shared" si="262"/>
        <v>0.41313257021094163</v>
      </c>
      <c r="S1551" s="25">
        <f t="shared" si="259"/>
        <v>0.1658496524870039</v>
      </c>
      <c r="T1551" s="25">
        <f t="shared" si="256"/>
        <v>0.13611422240133075</v>
      </c>
      <c r="U1551" s="25">
        <f t="shared" si="253"/>
        <v>0.14529229673511268</v>
      </c>
      <c r="X1551">
        <f t="shared" si="266"/>
        <v>0</v>
      </c>
      <c r="Y1551">
        <f t="shared" si="263"/>
        <v>0</v>
      </c>
      <c r="Z1551">
        <f t="shared" si="260"/>
        <v>0</v>
      </c>
      <c r="AA1551">
        <f t="shared" si="257"/>
        <v>0</v>
      </c>
      <c r="AB1551">
        <f t="shared" si="254"/>
        <v>0</v>
      </c>
    </row>
    <row r="1552" spans="1:28">
      <c r="A1552" s="26">
        <v>44670</v>
      </c>
      <c r="B1552" s="23">
        <v>1210.42</v>
      </c>
      <c r="C1552" s="25">
        <f t="shared" si="268"/>
        <v>-1.2611348582242988E-2</v>
      </c>
      <c r="E1552" s="25">
        <f t="shared" si="264"/>
        <v>0.19994448464901415</v>
      </c>
      <c r="F1552" s="25">
        <f t="shared" si="261"/>
        <v>0.4002508233259372</v>
      </c>
      <c r="G1552" s="25">
        <f t="shared" si="258"/>
        <v>0.16461630697589924</v>
      </c>
      <c r="H1552" s="25">
        <f t="shared" si="255"/>
        <v>0.12317964680985716</v>
      </c>
      <c r="I1552" s="25">
        <f t="shared" si="252"/>
        <v>0.13123470812646554</v>
      </c>
      <c r="K1552" s="28">
        <v>44670</v>
      </c>
      <c r="L1552" s="23">
        <v>22634.01</v>
      </c>
      <c r="M1552" s="25">
        <f t="shared" si="269"/>
        <v>-1.3523012493146453E-2</v>
      </c>
      <c r="O1552" t="b">
        <f t="shared" si="267"/>
        <v>1</v>
      </c>
      <c r="Q1552" s="25">
        <f t="shared" si="265"/>
        <v>0.22712612220401152</v>
      </c>
      <c r="R1552" s="25">
        <f t="shared" si="262"/>
        <v>0.41596787357027076</v>
      </c>
      <c r="S1552" s="25">
        <f t="shared" si="259"/>
        <v>0.16621103857513631</v>
      </c>
      <c r="T1552" s="25">
        <f t="shared" si="256"/>
        <v>0.1317922571432586</v>
      </c>
      <c r="U1552" s="25">
        <f t="shared" si="253"/>
        <v>0.14102402641250578</v>
      </c>
      <c r="X1552">
        <f t="shared" si="266"/>
        <v>0</v>
      </c>
      <c r="Y1552">
        <f t="shared" si="263"/>
        <v>0</v>
      </c>
      <c r="Z1552">
        <f t="shared" si="260"/>
        <v>0</v>
      </c>
      <c r="AA1552">
        <f t="shared" si="257"/>
        <v>0</v>
      </c>
      <c r="AB1552">
        <f t="shared" si="254"/>
        <v>0</v>
      </c>
    </row>
    <row r="1553" spans="1:28">
      <c r="A1553" s="27">
        <v>44671</v>
      </c>
      <c r="B1553" s="24">
        <v>1215.8399999999999</v>
      </c>
      <c r="C1553" s="25">
        <f t="shared" si="268"/>
        <v>4.4777845706447722E-3</v>
      </c>
      <c r="E1553" s="25">
        <f t="shared" si="264"/>
        <v>0.21005593264197131</v>
      </c>
      <c r="F1553" s="25">
        <f t="shared" si="261"/>
        <v>0.39159776606160346</v>
      </c>
      <c r="G1553" s="25">
        <f t="shared" si="258"/>
        <v>0.16721581830891652</v>
      </c>
      <c r="H1553" s="25">
        <f t="shared" si="255"/>
        <v>0.12604097868217345</v>
      </c>
      <c r="I1553" s="25">
        <f t="shared" si="252"/>
        <v>0.13248527247800457</v>
      </c>
      <c r="K1553" s="29">
        <v>44671</v>
      </c>
      <c r="L1553" s="24">
        <v>22824.1</v>
      </c>
      <c r="M1553" s="25">
        <f t="shared" si="269"/>
        <v>8.3284773550764395E-3</v>
      </c>
      <c r="O1553" t="b">
        <f t="shared" si="267"/>
        <v>1</v>
      </c>
      <c r="Q1553" s="25">
        <f t="shared" si="265"/>
        <v>0.24013894450641593</v>
      </c>
      <c r="R1553" s="25">
        <f t="shared" si="262"/>
        <v>0.41153393102352176</v>
      </c>
      <c r="S1553" s="25">
        <f t="shared" si="259"/>
        <v>0.16997416708053281</v>
      </c>
      <c r="T1553" s="25">
        <f t="shared" si="256"/>
        <v>0.13538002527918414</v>
      </c>
      <c r="U1553" s="25">
        <f t="shared" si="253"/>
        <v>0.14308777022560104</v>
      </c>
      <c r="X1553">
        <f t="shared" si="266"/>
        <v>0</v>
      </c>
      <c r="Y1553">
        <f t="shared" si="263"/>
        <v>0</v>
      </c>
      <c r="Z1553">
        <f t="shared" si="260"/>
        <v>0</v>
      </c>
      <c r="AA1553">
        <f t="shared" si="257"/>
        <v>0</v>
      </c>
      <c r="AB1553">
        <f t="shared" si="254"/>
        <v>0</v>
      </c>
    </row>
    <row r="1554" spans="1:28">
      <c r="A1554" s="26">
        <v>44672</v>
      </c>
      <c r="B1554" s="23">
        <v>1227.8399999999999</v>
      </c>
      <c r="C1554" s="25">
        <f t="shared" si="268"/>
        <v>9.8697196999605226E-3</v>
      </c>
      <c r="E1554" s="25">
        <f t="shared" si="264"/>
        <v>0.20993299172250679</v>
      </c>
      <c r="F1554" s="25">
        <f t="shared" si="261"/>
        <v>0.39196730710956662</v>
      </c>
      <c r="G1554" s="25">
        <f t="shared" si="258"/>
        <v>0.16752647993730485</v>
      </c>
      <c r="H1554" s="25">
        <f t="shared" si="255"/>
        <v>0.12751428921818975</v>
      </c>
      <c r="I1554" s="25">
        <f t="shared" ref="I1554:I1617" si="270">((B1554/B323)^(1/5))-1</f>
        <v>0.13318135039643408</v>
      </c>
      <c r="K1554" s="28">
        <v>44672</v>
      </c>
      <c r="L1554" s="23">
        <v>23137.67</v>
      </c>
      <c r="M1554" s="25">
        <f t="shared" si="269"/>
        <v>1.3552358556414701E-2</v>
      </c>
      <c r="O1554" t="b">
        <f t="shared" si="267"/>
        <v>1</v>
      </c>
      <c r="Q1554" s="25">
        <f t="shared" si="265"/>
        <v>0.24572418913440375</v>
      </c>
      <c r="R1554" s="25">
        <f t="shared" si="262"/>
        <v>0.41483527411441146</v>
      </c>
      <c r="S1554" s="25">
        <f t="shared" si="259"/>
        <v>0.17124012699058055</v>
      </c>
      <c r="T1554" s="25">
        <f t="shared" si="256"/>
        <v>0.13830266567666905</v>
      </c>
      <c r="U1554" s="25">
        <f t="shared" ref="U1554:U1617" si="271">((L1554/L323)^(1/5))-1</f>
        <v>0.14395907625173043</v>
      </c>
      <c r="X1554">
        <f t="shared" si="266"/>
        <v>0</v>
      </c>
      <c r="Y1554">
        <f t="shared" si="263"/>
        <v>0</v>
      </c>
      <c r="Z1554">
        <f t="shared" si="260"/>
        <v>0</v>
      </c>
      <c r="AA1554">
        <f t="shared" si="257"/>
        <v>0</v>
      </c>
      <c r="AB1554">
        <f t="shared" ref="AB1554:AB1617" si="272">IF(I1554&gt;U1554,1,0)</f>
        <v>0</v>
      </c>
    </row>
    <row r="1555" spans="1:28">
      <c r="A1555" s="27">
        <v>44673</v>
      </c>
      <c r="B1555" s="24">
        <v>1212.25</v>
      </c>
      <c r="C1555" s="25">
        <f t="shared" si="268"/>
        <v>-1.2697094083919664E-2</v>
      </c>
      <c r="E1555" s="25">
        <f t="shared" si="264"/>
        <v>0.17922004649760215</v>
      </c>
      <c r="F1555" s="25">
        <f t="shared" si="261"/>
        <v>0.36861153903160893</v>
      </c>
      <c r="G1555" s="25">
        <f t="shared" si="258"/>
        <v>0.16493947739933179</v>
      </c>
      <c r="H1555" s="25">
        <f t="shared" si="255"/>
        <v>0.12217181529802734</v>
      </c>
      <c r="I1555" s="25">
        <f t="shared" si="270"/>
        <v>0.12873021206088242</v>
      </c>
      <c r="K1555" s="29">
        <v>44673</v>
      </c>
      <c r="L1555" s="24">
        <v>22893.200000000001</v>
      </c>
      <c r="M1555" s="25">
        <f t="shared" si="269"/>
        <v>-1.06787168242097E-2</v>
      </c>
      <c r="O1555" t="b">
        <f t="shared" si="267"/>
        <v>1</v>
      </c>
      <c r="Q1555" s="25">
        <f t="shared" si="265"/>
        <v>0.2180363359309867</v>
      </c>
      <c r="R1555" s="25">
        <f t="shared" si="262"/>
        <v>0.39598902227604138</v>
      </c>
      <c r="S1555" s="25">
        <f t="shared" si="259"/>
        <v>0.16946326202703377</v>
      </c>
      <c r="T1555" s="25">
        <f t="shared" si="256"/>
        <v>0.13340683958641764</v>
      </c>
      <c r="U1555" s="25">
        <f t="shared" si="271"/>
        <v>0.13931609620477725</v>
      </c>
      <c r="X1555">
        <f t="shared" si="266"/>
        <v>0</v>
      </c>
      <c r="Y1555">
        <f t="shared" si="263"/>
        <v>0</v>
      </c>
      <c r="Z1555">
        <f t="shared" si="260"/>
        <v>0</v>
      </c>
      <c r="AA1555">
        <f t="shared" si="257"/>
        <v>0</v>
      </c>
      <c r="AB1555">
        <f t="shared" si="272"/>
        <v>0</v>
      </c>
    </row>
    <row r="1556" spans="1:28">
      <c r="A1556" s="26">
        <v>44676</v>
      </c>
      <c r="B1556" s="23">
        <v>1195.6199999999999</v>
      </c>
      <c r="C1556" s="25">
        <f t="shared" si="268"/>
        <v>-1.371829243142925E-2</v>
      </c>
      <c r="E1556" s="25">
        <f t="shared" si="264"/>
        <v>0.14848612925535987</v>
      </c>
      <c r="F1556" s="25">
        <f t="shared" si="261"/>
        <v>0.34404409794221702</v>
      </c>
      <c r="G1556" s="25">
        <f t="shared" si="258"/>
        <v>0.15631485322219851</v>
      </c>
      <c r="H1556" s="25">
        <f t="shared" si="255"/>
        <v>0.11593144330928173</v>
      </c>
      <c r="I1556" s="25">
        <f t="shared" si="270"/>
        <v>0.12520159918099649</v>
      </c>
      <c r="K1556" s="28">
        <v>44676</v>
      </c>
      <c r="L1556" s="23">
        <v>22552.63</v>
      </c>
      <c r="M1556" s="25">
        <f t="shared" si="269"/>
        <v>-1.5101121243952466E-2</v>
      </c>
      <c r="O1556" t="b">
        <f t="shared" si="267"/>
        <v>1</v>
      </c>
      <c r="Q1556" s="25">
        <f t="shared" si="265"/>
        <v>0.18501963067429483</v>
      </c>
      <c r="R1556" s="25">
        <f t="shared" si="262"/>
        <v>0.36678829060273199</v>
      </c>
      <c r="S1556" s="25">
        <f t="shared" si="259"/>
        <v>0.16119053725859067</v>
      </c>
      <c r="T1556" s="25">
        <f t="shared" si="256"/>
        <v>0.12759327740623982</v>
      </c>
      <c r="U1556" s="25">
        <f t="shared" si="271"/>
        <v>0.1355154468479014</v>
      </c>
      <c r="X1556">
        <f t="shared" si="266"/>
        <v>0</v>
      </c>
      <c r="Y1556">
        <f t="shared" si="263"/>
        <v>0</v>
      </c>
      <c r="Z1556">
        <f t="shared" si="260"/>
        <v>0</v>
      </c>
      <c r="AA1556">
        <f t="shared" si="257"/>
        <v>0</v>
      </c>
      <c r="AB1556">
        <f t="shared" si="272"/>
        <v>0</v>
      </c>
    </row>
    <row r="1557" spans="1:28">
      <c r="A1557" s="27">
        <v>44677</v>
      </c>
      <c r="B1557" s="24">
        <v>1210.2</v>
      </c>
      <c r="C1557" s="25">
        <f t="shared" si="268"/>
        <v>1.2194509961359091E-2</v>
      </c>
      <c r="E1557" s="25">
        <f t="shared" si="264"/>
        <v>0.1568683682248353</v>
      </c>
      <c r="F1557" s="25">
        <f t="shared" si="261"/>
        <v>0.38573133644784985</v>
      </c>
      <c r="G1557" s="25">
        <f t="shared" si="258"/>
        <v>0.16074599898356245</v>
      </c>
      <c r="H1557" s="25">
        <f t="shared" si="255"/>
        <v>0.12184754563113476</v>
      </c>
      <c r="I1557" s="25">
        <f t="shared" si="270"/>
        <v>0.1278781254366308</v>
      </c>
      <c r="K1557" s="29">
        <v>44677</v>
      </c>
      <c r="L1557" s="24">
        <v>22899.02</v>
      </c>
      <c r="M1557" s="25">
        <f t="shared" si="269"/>
        <v>1.5126848223199046E-2</v>
      </c>
      <c r="O1557" t="b">
        <f t="shared" si="267"/>
        <v>1</v>
      </c>
      <c r="Q1557" s="25">
        <f t="shared" si="265"/>
        <v>0.20153362129397601</v>
      </c>
      <c r="R1557" s="25">
        <f t="shared" si="262"/>
        <v>0.4144483038423985</v>
      </c>
      <c r="S1557" s="25">
        <f t="shared" si="259"/>
        <v>0.16812778127360861</v>
      </c>
      <c r="T1557" s="25">
        <f t="shared" si="256"/>
        <v>0.13343822277028927</v>
      </c>
      <c r="U1557" s="25">
        <f t="shared" si="271"/>
        <v>0.13922198130009855</v>
      </c>
      <c r="X1557">
        <f t="shared" si="266"/>
        <v>0</v>
      </c>
      <c r="Y1557">
        <f t="shared" si="263"/>
        <v>0</v>
      </c>
      <c r="Z1557">
        <f t="shared" si="260"/>
        <v>0</v>
      </c>
      <c r="AA1557">
        <f t="shared" si="257"/>
        <v>0</v>
      </c>
      <c r="AB1557">
        <f t="shared" si="272"/>
        <v>0</v>
      </c>
    </row>
    <row r="1558" spans="1:28">
      <c r="A1558" s="26">
        <v>44678</v>
      </c>
      <c r="B1558" s="23">
        <v>1195.92</v>
      </c>
      <c r="C1558" s="25">
        <f t="shared" si="268"/>
        <v>-1.1799702528507662E-2</v>
      </c>
      <c r="E1558" s="25">
        <f t="shared" si="264"/>
        <v>0.15493148171397131</v>
      </c>
      <c r="F1558" s="25">
        <f t="shared" si="261"/>
        <v>0.38750750507011134</v>
      </c>
      <c r="G1558" s="25">
        <f t="shared" si="258"/>
        <v>0.15859302778204221</v>
      </c>
      <c r="H1558" s="25">
        <f t="shared" si="255"/>
        <v>0.12053807066122046</v>
      </c>
      <c r="I1558" s="25">
        <f t="shared" si="270"/>
        <v>0.12467502587518675</v>
      </c>
      <c r="K1558" s="28">
        <v>44678</v>
      </c>
      <c r="L1558" s="23">
        <v>22680.26</v>
      </c>
      <c r="M1558" s="25">
        <f t="shared" si="269"/>
        <v>-9.6453920722250116E-3</v>
      </c>
      <c r="O1558" t="b">
        <f t="shared" si="267"/>
        <v>1</v>
      </c>
      <c r="Q1558" s="25">
        <f t="shared" si="265"/>
        <v>0.20626655738768629</v>
      </c>
      <c r="R1558" s="25">
        <f t="shared" si="262"/>
        <v>0.4145248134555799</v>
      </c>
      <c r="S1558" s="25">
        <f t="shared" si="259"/>
        <v>0.16547359744412704</v>
      </c>
      <c r="T1558" s="25">
        <f t="shared" si="256"/>
        <v>0.13239728329667866</v>
      </c>
      <c r="U1558" s="25">
        <f t="shared" si="271"/>
        <v>0.13725356055399085</v>
      </c>
      <c r="X1558">
        <f t="shared" si="266"/>
        <v>0</v>
      </c>
      <c r="Y1558">
        <f t="shared" si="263"/>
        <v>0</v>
      </c>
      <c r="Z1558">
        <f t="shared" si="260"/>
        <v>0</v>
      </c>
      <c r="AA1558">
        <f t="shared" si="257"/>
        <v>0</v>
      </c>
      <c r="AB1558">
        <f t="shared" si="272"/>
        <v>0</v>
      </c>
    </row>
    <row r="1559" spans="1:28">
      <c r="A1559" s="27">
        <v>44679</v>
      </c>
      <c r="B1559" s="24">
        <v>1205.48</v>
      </c>
      <c r="C1559" s="25">
        <f t="shared" si="268"/>
        <v>7.9938457421900675E-3</v>
      </c>
      <c r="E1559" s="25">
        <f t="shared" si="264"/>
        <v>0.1599072443687517</v>
      </c>
      <c r="F1559" s="25">
        <f t="shared" si="261"/>
        <v>0.38490650059896114</v>
      </c>
      <c r="G1559" s="25">
        <f t="shared" si="258"/>
        <v>0.16177277240753751</v>
      </c>
      <c r="H1559" s="25">
        <f t="shared" si="255"/>
        <v>0.12425202846130157</v>
      </c>
      <c r="I1559" s="25">
        <f t="shared" si="270"/>
        <v>0.12674557402660347</v>
      </c>
      <c r="K1559" s="29">
        <v>44679</v>
      </c>
      <c r="L1559" s="24">
        <v>22926.74</v>
      </c>
      <c r="M1559" s="25">
        <f t="shared" si="269"/>
        <v>1.0750765263618079E-2</v>
      </c>
      <c r="O1559" t="b">
        <f t="shared" si="267"/>
        <v>1</v>
      </c>
      <c r="Q1559" s="25">
        <f t="shared" si="265"/>
        <v>0.21633914213880123</v>
      </c>
      <c r="R1559" s="25">
        <f t="shared" si="262"/>
        <v>0.41725946209336118</v>
      </c>
      <c r="S1559" s="25">
        <f t="shared" si="259"/>
        <v>0.17020635257006611</v>
      </c>
      <c r="T1559" s="25">
        <f t="shared" si="256"/>
        <v>0.13694416043669455</v>
      </c>
      <c r="U1559" s="25">
        <f t="shared" si="271"/>
        <v>0.13924193140975927</v>
      </c>
      <c r="X1559">
        <f t="shared" si="266"/>
        <v>0</v>
      </c>
      <c r="Y1559">
        <f t="shared" si="263"/>
        <v>0</v>
      </c>
      <c r="Z1559">
        <f t="shared" si="260"/>
        <v>0</v>
      </c>
      <c r="AA1559">
        <f t="shared" si="257"/>
        <v>0</v>
      </c>
      <c r="AB1559">
        <f t="shared" si="272"/>
        <v>0</v>
      </c>
    </row>
    <row r="1560" spans="1:28">
      <c r="A1560" s="26">
        <v>44680</v>
      </c>
      <c r="B1560" s="23">
        <v>1197.6500000000001</v>
      </c>
      <c r="C1560" s="25">
        <f t="shared" si="268"/>
        <v>-6.4953379566645049E-3</v>
      </c>
      <c r="E1560" s="25">
        <f t="shared" si="264"/>
        <v>0.16320742805528332</v>
      </c>
      <c r="F1560" s="25">
        <f t="shared" si="261"/>
        <v>0.38574733066432576</v>
      </c>
      <c r="G1560" s="25">
        <f t="shared" si="258"/>
        <v>0.16170006278875682</v>
      </c>
      <c r="H1560" s="25">
        <f t="shared" ref="H1560:H1623" si="273">((B1560/B579)^(1/4))-1</f>
        <v>0.12062929672526823</v>
      </c>
      <c r="I1560" s="25">
        <f t="shared" si="270"/>
        <v>0.1254951528504924</v>
      </c>
      <c r="K1560" s="28">
        <v>44680</v>
      </c>
      <c r="L1560" s="23">
        <v>22726.01</v>
      </c>
      <c r="M1560" s="25">
        <f t="shared" si="269"/>
        <v>-8.8326107398528485E-3</v>
      </c>
      <c r="O1560" t="b">
        <f t="shared" si="267"/>
        <v>1</v>
      </c>
      <c r="Q1560" s="25">
        <f t="shared" si="265"/>
        <v>0.21497953739270836</v>
      </c>
      <c r="R1560" s="25">
        <f t="shared" si="262"/>
        <v>0.41615567331647085</v>
      </c>
      <c r="S1560" s="25">
        <f t="shared" si="259"/>
        <v>0.17052437919934427</v>
      </c>
      <c r="T1560" s="25">
        <f t="shared" ref="T1560:T1623" si="274">((L1560/L579)^(1/4))-1</f>
        <v>0.13206021656860822</v>
      </c>
      <c r="U1560" s="25">
        <f t="shared" si="271"/>
        <v>0.13734095993924633</v>
      </c>
      <c r="X1560">
        <f t="shared" si="266"/>
        <v>0</v>
      </c>
      <c r="Y1560">
        <f t="shared" si="263"/>
        <v>0</v>
      </c>
      <c r="Z1560">
        <f t="shared" si="260"/>
        <v>0</v>
      </c>
      <c r="AA1560">
        <f t="shared" ref="AA1560:AA1623" si="275">IF(H1560&gt;T1560,1,0)</f>
        <v>0</v>
      </c>
      <c r="AB1560">
        <f t="shared" si="272"/>
        <v>0</v>
      </c>
    </row>
    <row r="1561" spans="1:28">
      <c r="A1561" s="27">
        <v>44683</v>
      </c>
      <c r="B1561" s="24">
        <v>1190.1600000000001</v>
      </c>
      <c r="C1561" s="25">
        <f t="shared" si="268"/>
        <v>-6.2539139147497255E-3</v>
      </c>
      <c r="E1561" s="25">
        <f t="shared" si="264"/>
        <v>0.14089610613700421</v>
      </c>
      <c r="F1561" s="25">
        <f t="shared" si="261"/>
        <v>0.37842688092236609</v>
      </c>
      <c r="G1561" s="25">
        <f t="shared" si="258"/>
        <v>0.16195139749577692</v>
      </c>
      <c r="H1561" s="25">
        <f t="shared" si="273"/>
        <v>0.1184646180435327</v>
      </c>
      <c r="I1561" s="25">
        <f t="shared" si="270"/>
        <v>0.12305609231482517</v>
      </c>
      <c r="K1561" s="29">
        <v>44683</v>
      </c>
      <c r="L1561" s="24">
        <v>22653.68</v>
      </c>
      <c r="M1561" s="25">
        <f t="shared" si="269"/>
        <v>-3.1928587320028405E-3</v>
      </c>
      <c r="O1561" t="b">
        <f t="shared" si="267"/>
        <v>1</v>
      </c>
      <c r="Q1561" s="25">
        <f t="shared" si="265"/>
        <v>0.20012947637824285</v>
      </c>
      <c r="R1561" s="25">
        <f t="shared" si="262"/>
        <v>0.41098342488883199</v>
      </c>
      <c r="S1561" s="25">
        <f t="shared" si="259"/>
        <v>0.17258144701204903</v>
      </c>
      <c r="T1561" s="25">
        <f t="shared" si="274"/>
        <v>0.13112671317554114</v>
      </c>
      <c r="U1561" s="25">
        <f t="shared" si="271"/>
        <v>0.13555437655749381</v>
      </c>
      <c r="X1561">
        <f t="shared" si="266"/>
        <v>0</v>
      </c>
      <c r="Y1561">
        <f t="shared" si="263"/>
        <v>0</v>
      </c>
      <c r="Z1561">
        <f t="shared" si="260"/>
        <v>0</v>
      </c>
      <c r="AA1561">
        <f t="shared" si="275"/>
        <v>0</v>
      </c>
      <c r="AB1561">
        <f t="shared" si="272"/>
        <v>0</v>
      </c>
    </row>
    <row r="1562" spans="1:28">
      <c r="A1562" s="26">
        <v>44685</v>
      </c>
      <c r="B1562" s="23">
        <v>1161.6600000000001</v>
      </c>
      <c r="C1562" s="25">
        <f t="shared" si="268"/>
        <v>-2.3946360153256702E-2</v>
      </c>
      <c r="E1562" s="25">
        <f t="shared" si="264"/>
        <v>0.10333757574606328</v>
      </c>
      <c r="F1562" s="25">
        <f t="shared" si="261"/>
        <v>0.36455946618182877</v>
      </c>
      <c r="G1562" s="25">
        <f t="shared" si="258"/>
        <v>0.15609157953840858</v>
      </c>
      <c r="H1562" s="25">
        <f t="shared" si="273"/>
        <v>0.11231530436256953</v>
      </c>
      <c r="I1562" s="25">
        <f t="shared" si="270"/>
        <v>0.11970359327448454</v>
      </c>
      <c r="K1562" s="28">
        <v>44685</v>
      </c>
      <c r="L1562" s="23">
        <v>22126.53</v>
      </c>
      <c r="M1562" s="25">
        <f t="shared" si="269"/>
        <v>-2.3824341186801611E-2</v>
      </c>
      <c r="O1562" t="b">
        <f t="shared" si="267"/>
        <v>1</v>
      </c>
      <c r="Q1562" s="25">
        <f t="shared" si="265"/>
        <v>0.16386997749217969</v>
      </c>
      <c r="R1562" s="25">
        <f t="shared" si="262"/>
        <v>0.39406395946994355</v>
      </c>
      <c r="S1562" s="25">
        <f t="shared" si="259"/>
        <v>0.16798356201456111</v>
      </c>
      <c r="T1562" s="25">
        <f t="shared" si="274"/>
        <v>0.12451195313041863</v>
      </c>
      <c r="U1562" s="25">
        <f t="shared" si="271"/>
        <v>0.13221329238239443</v>
      </c>
      <c r="X1562">
        <f t="shared" si="266"/>
        <v>0</v>
      </c>
      <c r="Y1562">
        <f t="shared" si="263"/>
        <v>0</v>
      </c>
      <c r="Z1562">
        <f t="shared" si="260"/>
        <v>0</v>
      </c>
      <c r="AA1562">
        <f t="shared" si="275"/>
        <v>0</v>
      </c>
      <c r="AB1562">
        <f t="shared" si="272"/>
        <v>0</v>
      </c>
    </row>
    <row r="1563" spans="1:28">
      <c r="A1563" s="27">
        <v>44686</v>
      </c>
      <c r="B1563" s="24">
        <v>1163.77</v>
      </c>
      <c r="C1563" s="25">
        <f t="shared" si="268"/>
        <v>1.8163662345263673E-3</v>
      </c>
      <c r="E1563" s="25">
        <f t="shared" si="264"/>
        <v>0.1027650380927112</v>
      </c>
      <c r="F1563" s="25">
        <f t="shared" si="261"/>
        <v>0.36491239600003733</v>
      </c>
      <c r="G1563" s="25">
        <f t="shared" si="258"/>
        <v>0.15688345452902674</v>
      </c>
      <c r="H1563" s="25">
        <f t="shared" si="273"/>
        <v>0.11389312011899988</v>
      </c>
      <c r="I1563" s="25">
        <f t="shared" si="270"/>
        <v>0.119118219883108</v>
      </c>
      <c r="K1563" s="29">
        <v>44686</v>
      </c>
      <c r="L1563" s="24">
        <v>22130.39</v>
      </c>
      <c r="M1563" s="25">
        <f t="shared" si="269"/>
        <v>1.7442078517371733E-4</v>
      </c>
      <c r="O1563" t="b">
        <f t="shared" si="267"/>
        <v>1</v>
      </c>
      <c r="Q1563" s="25">
        <f t="shared" si="265"/>
        <v>0.15840200918748915</v>
      </c>
      <c r="R1563" s="25">
        <f t="shared" si="262"/>
        <v>0.39747031755328543</v>
      </c>
      <c r="S1563" s="25">
        <f t="shared" si="259"/>
        <v>0.16973491626440484</v>
      </c>
      <c r="T1563" s="25">
        <f t="shared" si="274"/>
        <v>0.12629482928516778</v>
      </c>
      <c r="U1563" s="25">
        <f t="shared" si="271"/>
        <v>0.13134726084178938</v>
      </c>
      <c r="X1563">
        <f t="shared" si="266"/>
        <v>0</v>
      </c>
      <c r="Y1563">
        <f t="shared" si="263"/>
        <v>0</v>
      </c>
      <c r="Z1563">
        <f t="shared" si="260"/>
        <v>0</v>
      </c>
      <c r="AA1563">
        <f t="shared" si="275"/>
        <v>0</v>
      </c>
      <c r="AB1563">
        <f t="shared" si="272"/>
        <v>0</v>
      </c>
    </row>
    <row r="1564" spans="1:28">
      <c r="A1564" s="26">
        <v>44687</v>
      </c>
      <c r="B1564" s="23">
        <v>1141.28</v>
      </c>
      <c r="C1564" s="25">
        <f t="shared" si="268"/>
        <v>-1.9325124380246965E-2</v>
      </c>
      <c r="E1564" s="25">
        <f t="shared" si="264"/>
        <v>7.0548838256399682E-2</v>
      </c>
      <c r="F1564" s="25">
        <f t="shared" si="261"/>
        <v>0.34062039191852955</v>
      </c>
      <c r="G1564" s="25">
        <f t="shared" si="258"/>
        <v>0.15011246922189425</v>
      </c>
      <c r="H1564" s="25">
        <f t="shared" si="273"/>
        <v>0.10667585925301348</v>
      </c>
      <c r="I1564" s="25">
        <f t="shared" si="270"/>
        <v>0.11445654993322685</v>
      </c>
      <c r="K1564" s="28">
        <v>44687</v>
      </c>
      <c r="L1564" s="23">
        <v>21746.45</v>
      </c>
      <c r="M1564" s="25">
        <f t="shared" si="269"/>
        <v>-1.7655295462017877E-2</v>
      </c>
      <c r="O1564" t="b">
        <f t="shared" si="267"/>
        <v>1</v>
      </c>
      <c r="Q1564" s="25">
        <f t="shared" si="265"/>
        <v>0.12870828223040109</v>
      </c>
      <c r="R1564" s="25">
        <f t="shared" si="262"/>
        <v>0.37206359765405539</v>
      </c>
      <c r="S1564" s="25">
        <f t="shared" si="259"/>
        <v>0.16332360065313734</v>
      </c>
      <c r="T1564" s="25">
        <f t="shared" si="274"/>
        <v>0.11972467469580295</v>
      </c>
      <c r="U1564" s="25">
        <f t="shared" si="271"/>
        <v>0.12693887464196396</v>
      </c>
      <c r="X1564">
        <f t="shared" si="266"/>
        <v>0</v>
      </c>
      <c r="Y1564">
        <f t="shared" si="263"/>
        <v>0</v>
      </c>
      <c r="Z1564">
        <f t="shared" si="260"/>
        <v>0</v>
      </c>
      <c r="AA1564">
        <f t="shared" si="275"/>
        <v>0</v>
      </c>
      <c r="AB1564">
        <f t="shared" si="272"/>
        <v>0</v>
      </c>
    </row>
    <row r="1565" spans="1:28">
      <c r="A1565" s="27">
        <v>44690</v>
      </c>
      <c r="B1565" s="24">
        <v>1134.56</v>
      </c>
      <c r="C1565" s="25">
        <f t="shared" si="268"/>
        <v>-5.8881256133464423E-3</v>
      </c>
      <c r="E1565" s="25">
        <f t="shared" si="264"/>
        <v>6.5714822468532885E-2</v>
      </c>
      <c r="F1565" s="25">
        <f t="shared" si="261"/>
        <v>0.34933852171790725</v>
      </c>
      <c r="G1565" s="25">
        <f t="shared" si="258"/>
        <v>0.1554370659491906</v>
      </c>
      <c r="H1565" s="25">
        <f t="shared" si="273"/>
        <v>0.10579969883488594</v>
      </c>
      <c r="I1565" s="25">
        <f t="shared" si="270"/>
        <v>0.11146847743555721</v>
      </c>
      <c r="K1565" s="29">
        <v>44690</v>
      </c>
      <c r="L1565" s="24">
        <v>21509.71</v>
      </c>
      <c r="M1565" s="25">
        <f t="shared" si="269"/>
        <v>-1.1006192087201622E-2</v>
      </c>
      <c r="O1565" t="b">
        <f t="shared" si="267"/>
        <v>1</v>
      </c>
      <c r="Q1565" s="25">
        <f t="shared" si="265"/>
        <v>0.11883475248503261</v>
      </c>
      <c r="R1565" s="25">
        <f t="shared" si="262"/>
        <v>0.37834339176789822</v>
      </c>
      <c r="S1565" s="25">
        <f t="shared" si="259"/>
        <v>0.16455506659413821</v>
      </c>
      <c r="T1565" s="25">
        <f t="shared" si="274"/>
        <v>0.11744927751905854</v>
      </c>
      <c r="U1565" s="25">
        <f t="shared" si="271"/>
        <v>0.12237237213194763</v>
      </c>
      <c r="X1565">
        <f t="shared" si="266"/>
        <v>0</v>
      </c>
      <c r="Y1565">
        <f t="shared" si="263"/>
        <v>0</v>
      </c>
      <c r="Z1565">
        <f t="shared" si="260"/>
        <v>0</v>
      </c>
      <c r="AA1565">
        <f t="shared" si="275"/>
        <v>0</v>
      </c>
      <c r="AB1565">
        <f t="shared" si="272"/>
        <v>0</v>
      </c>
    </row>
    <row r="1566" spans="1:28">
      <c r="A1566" s="26">
        <v>44691</v>
      </c>
      <c r="B1566" s="23">
        <v>1126.22</v>
      </c>
      <c r="C1566" s="25">
        <f t="shared" si="268"/>
        <v>-7.3508672965730487E-3</v>
      </c>
      <c r="E1566" s="25">
        <f t="shared" si="264"/>
        <v>6.6981203577383797E-2</v>
      </c>
      <c r="F1566" s="25">
        <f t="shared" si="261"/>
        <v>0.34527700021055763</v>
      </c>
      <c r="G1566" s="25">
        <f t="shared" si="258"/>
        <v>0.150029990431779</v>
      </c>
      <c r="H1566" s="25">
        <f t="shared" si="273"/>
        <v>0.10450503876365635</v>
      </c>
      <c r="I1566" s="25">
        <f t="shared" si="270"/>
        <v>0.10881691061506893</v>
      </c>
      <c r="K1566" s="28">
        <v>44691</v>
      </c>
      <c r="L1566" s="23">
        <v>21301.05</v>
      </c>
      <c r="M1566" s="25">
        <f t="shared" si="269"/>
        <v>-9.7957612418167108E-3</v>
      </c>
      <c r="O1566" t="b">
        <f t="shared" si="267"/>
        <v>1</v>
      </c>
      <c r="Q1566" s="25">
        <f t="shared" si="265"/>
        <v>0.1171953589901471</v>
      </c>
      <c r="R1566" s="25">
        <f t="shared" si="262"/>
        <v>0.37259849548282298</v>
      </c>
      <c r="S1566" s="25">
        <f t="shared" si="259"/>
        <v>0.15857296094009543</v>
      </c>
      <c r="T1566" s="25">
        <f t="shared" si="274"/>
        <v>0.11543549643346163</v>
      </c>
      <c r="U1566" s="25">
        <f t="shared" si="271"/>
        <v>0.11989527969706004</v>
      </c>
      <c r="X1566">
        <f t="shared" si="266"/>
        <v>0</v>
      </c>
      <c r="Y1566">
        <f t="shared" si="263"/>
        <v>0</v>
      </c>
      <c r="Z1566">
        <f t="shared" si="260"/>
        <v>0</v>
      </c>
      <c r="AA1566">
        <f t="shared" si="275"/>
        <v>0</v>
      </c>
      <c r="AB1566">
        <f t="shared" si="272"/>
        <v>0</v>
      </c>
    </row>
    <row r="1567" spans="1:28">
      <c r="A1567" s="27">
        <v>44692</v>
      </c>
      <c r="B1567" s="24">
        <v>1121.1600000000001</v>
      </c>
      <c r="C1567" s="25">
        <f t="shared" si="268"/>
        <v>-4.4929054713998559E-3</v>
      </c>
      <c r="E1567" s="25">
        <f t="shared" si="264"/>
        <v>7.2254473465250157E-2</v>
      </c>
      <c r="F1567" s="25">
        <f t="shared" si="261"/>
        <v>0.36940029316792389</v>
      </c>
      <c r="G1567" s="25">
        <f t="shared" si="258"/>
        <v>0.15088061281542853</v>
      </c>
      <c r="H1567" s="25">
        <f t="shared" si="273"/>
        <v>0.10457468838786732</v>
      </c>
      <c r="I1567" s="25">
        <f t="shared" si="270"/>
        <v>0.10890348713867182</v>
      </c>
      <c r="K1567" s="29">
        <v>44692</v>
      </c>
      <c r="L1567" s="24">
        <v>21171.75</v>
      </c>
      <c r="M1567" s="25">
        <f t="shared" si="269"/>
        <v>-6.1071947288249325E-3</v>
      </c>
      <c r="O1567" t="b">
        <f t="shared" si="267"/>
        <v>1</v>
      </c>
      <c r="Q1567" s="25">
        <f t="shared" si="265"/>
        <v>0.11627138178967211</v>
      </c>
      <c r="R1567" s="25">
        <f t="shared" si="262"/>
        <v>0.39265145637030274</v>
      </c>
      <c r="S1567" s="25">
        <f t="shared" si="259"/>
        <v>0.15841886877965239</v>
      </c>
      <c r="T1567" s="25">
        <f t="shared" si="274"/>
        <v>0.11484852702579529</v>
      </c>
      <c r="U1567" s="25">
        <f t="shared" si="271"/>
        <v>0.11938736412065598</v>
      </c>
      <c r="X1567">
        <f t="shared" si="266"/>
        <v>0</v>
      </c>
      <c r="Y1567">
        <f t="shared" si="263"/>
        <v>0</v>
      </c>
      <c r="Z1567">
        <f t="shared" si="260"/>
        <v>0</v>
      </c>
      <c r="AA1567">
        <f t="shared" si="275"/>
        <v>0</v>
      </c>
      <c r="AB1567">
        <f t="shared" si="272"/>
        <v>0</v>
      </c>
    </row>
    <row r="1568" spans="1:28">
      <c r="A1568" s="26">
        <v>44693</v>
      </c>
      <c r="B1568" s="23">
        <v>1098.29</v>
      </c>
      <c r="C1568" s="25">
        <f t="shared" si="268"/>
        <v>-2.0398515822897818E-2</v>
      </c>
      <c r="E1568" s="25">
        <f t="shared" si="264"/>
        <v>3.74439144193075E-2</v>
      </c>
      <c r="F1568" s="25">
        <f t="shared" si="261"/>
        <v>0.34685044127289455</v>
      </c>
      <c r="G1568" s="25">
        <f t="shared" si="258"/>
        <v>0.13922930230263741</v>
      </c>
      <c r="H1568" s="25">
        <f t="shared" si="273"/>
        <v>9.9413076376022591E-2</v>
      </c>
      <c r="I1568" s="25">
        <f t="shared" si="270"/>
        <v>0.10260951733136348</v>
      </c>
      <c r="K1568" s="28">
        <v>44693</v>
      </c>
      <c r="L1568" s="23">
        <v>20714.03</v>
      </c>
      <c r="M1568" s="25">
        <f t="shared" si="269"/>
        <v>-2.2097100371101189E-2</v>
      </c>
      <c r="O1568" t="b">
        <f t="shared" si="267"/>
        <v>1</v>
      </c>
      <c r="Q1568" s="25">
        <f t="shared" si="265"/>
        <v>7.4907125024584076E-2</v>
      </c>
      <c r="R1568" s="25">
        <f t="shared" si="262"/>
        <v>0.37377244659665432</v>
      </c>
      <c r="S1568" s="25">
        <f t="shared" si="259"/>
        <v>0.14743899791174542</v>
      </c>
      <c r="T1568" s="25">
        <f t="shared" si="274"/>
        <v>0.10948876714919664</v>
      </c>
      <c r="U1568" s="25">
        <f t="shared" si="271"/>
        <v>0.11311068294795401</v>
      </c>
      <c r="X1568">
        <f t="shared" si="266"/>
        <v>0</v>
      </c>
      <c r="Y1568">
        <f t="shared" si="263"/>
        <v>0</v>
      </c>
      <c r="Z1568">
        <f t="shared" si="260"/>
        <v>0</v>
      </c>
      <c r="AA1568">
        <f t="shared" si="275"/>
        <v>0</v>
      </c>
      <c r="AB1568">
        <f t="shared" si="272"/>
        <v>0</v>
      </c>
    </row>
    <row r="1569" spans="1:28">
      <c r="A1569" s="27">
        <v>44694</v>
      </c>
      <c r="B1569" s="24">
        <v>1097.47</v>
      </c>
      <c r="C1569" s="25">
        <f t="shared" si="268"/>
        <v>-7.4661519270860738E-4</v>
      </c>
      <c r="E1569" s="25">
        <f t="shared" si="264"/>
        <v>2.5212988565876948E-2</v>
      </c>
      <c r="F1569" s="25">
        <f t="shared" si="261"/>
        <v>0.33401082728116904</v>
      </c>
      <c r="G1569" s="25">
        <f t="shared" si="258"/>
        <v>0.13494656256175208</v>
      </c>
      <c r="H1569" s="25">
        <f t="shared" si="273"/>
        <v>0.10165963695872882</v>
      </c>
      <c r="I1569" s="25">
        <f t="shared" si="270"/>
        <v>0.10137481572698648</v>
      </c>
      <c r="K1569" s="29">
        <v>44694</v>
      </c>
      <c r="L1569" s="24">
        <v>20723.68</v>
      </c>
      <c r="M1569" s="25">
        <f t="shared" si="269"/>
        <v>4.6565088825929832E-4</v>
      </c>
      <c r="O1569" t="b">
        <f t="shared" si="267"/>
        <v>1</v>
      </c>
      <c r="Q1569" s="25">
        <f t="shared" si="265"/>
        <v>6.1411088034868611E-2</v>
      </c>
      <c r="R1569" s="25">
        <f t="shared" si="262"/>
        <v>0.36085969042960953</v>
      </c>
      <c r="S1569" s="25">
        <f t="shared" si="259"/>
        <v>0.14316893378450724</v>
      </c>
      <c r="T1569" s="25">
        <f t="shared" si="274"/>
        <v>0.11247521577333797</v>
      </c>
      <c r="U1569" s="25">
        <f t="shared" si="271"/>
        <v>0.11194261394656158</v>
      </c>
      <c r="X1569">
        <f t="shared" si="266"/>
        <v>0</v>
      </c>
      <c r="Y1569">
        <f t="shared" si="263"/>
        <v>0</v>
      </c>
      <c r="Z1569">
        <f t="shared" si="260"/>
        <v>0</v>
      </c>
      <c r="AA1569">
        <f t="shared" si="275"/>
        <v>0</v>
      </c>
      <c r="AB1569">
        <f t="shared" si="272"/>
        <v>0</v>
      </c>
    </row>
    <row r="1570" spans="1:28">
      <c r="A1570" s="26">
        <v>44697</v>
      </c>
      <c r="B1570" s="23">
        <v>1104.9000000000001</v>
      </c>
      <c r="C1570" s="25">
        <f t="shared" si="268"/>
        <v>6.7701167230084314E-3</v>
      </c>
      <c r="E1570" s="25">
        <f t="shared" si="264"/>
        <v>3.5384298217665977E-2</v>
      </c>
      <c r="F1570" s="25">
        <f t="shared" si="261"/>
        <v>0.33567386431822355</v>
      </c>
      <c r="G1570" s="25">
        <f t="shared" si="258"/>
        <v>0.12649553873157626</v>
      </c>
      <c r="H1570" s="25">
        <f t="shared" si="273"/>
        <v>0.10694123883638795</v>
      </c>
      <c r="I1570" s="25">
        <f t="shared" si="270"/>
        <v>0.10269929671240741</v>
      </c>
      <c r="K1570" s="28">
        <v>44697</v>
      </c>
      <c r="L1570" s="23">
        <v>20877.04</v>
      </c>
      <c r="M1570" s="25">
        <f t="shared" si="269"/>
        <v>7.3458689546027876E-3</v>
      </c>
      <c r="O1570" t="b">
        <f t="shared" si="267"/>
        <v>1</v>
      </c>
      <c r="Q1570" s="25">
        <f t="shared" si="265"/>
        <v>7.1777153740714361E-2</v>
      </c>
      <c r="R1570" s="25">
        <f t="shared" si="262"/>
        <v>0.36188032897565114</v>
      </c>
      <c r="S1570" s="25">
        <f t="shared" si="259"/>
        <v>0.1323017024803339</v>
      </c>
      <c r="T1570" s="25">
        <f t="shared" si="274"/>
        <v>0.11758896905403859</v>
      </c>
      <c r="U1570" s="25">
        <f t="shared" si="271"/>
        <v>0.1136432371057039</v>
      </c>
      <c r="X1570">
        <f t="shared" si="266"/>
        <v>0</v>
      </c>
      <c r="Y1570">
        <f t="shared" si="263"/>
        <v>0</v>
      </c>
      <c r="Z1570">
        <f t="shared" si="260"/>
        <v>0</v>
      </c>
      <c r="AA1570">
        <f t="shared" si="275"/>
        <v>0</v>
      </c>
      <c r="AB1570">
        <f t="shared" si="272"/>
        <v>0</v>
      </c>
    </row>
    <row r="1571" spans="1:28">
      <c r="A1571" s="27">
        <v>44698</v>
      </c>
      <c r="B1571" s="24">
        <v>1129.93</v>
      </c>
      <c r="C1571" s="25">
        <f t="shared" si="268"/>
        <v>2.2653633813014724E-2</v>
      </c>
      <c r="E1571" s="25">
        <f t="shared" si="264"/>
        <v>6.3683774522724779E-2</v>
      </c>
      <c r="F1571" s="25">
        <f t="shared" si="261"/>
        <v>0.35646863770362325</v>
      </c>
      <c r="G1571" s="25">
        <f t="shared" si="258"/>
        <v>0.13878713895146766</v>
      </c>
      <c r="H1571" s="25">
        <f t="shared" si="273"/>
        <v>0.11161642432866548</v>
      </c>
      <c r="I1571" s="25">
        <f t="shared" si="270"/>
        <v>0.11152869532072684</v>
      </c>
      <c r="K1571" s="29">
        <v>44698</v>
      </c>
      <c r="L1571" s="24">
        <v>21423.03</v>
      </c>
      <c r="M1571" s="25">
        <f t="shared" si="269"/>
        <v>2.5486124045011278E-2</v>
      </c>
      <c r="O1571" t="b">
        <f t="shared" si="267"/>
        <v>1</v>
      </c>
      <c r="Q1571" s="25">
        <f t="shared" si="265"/>
        <v>0.10607356052650307</v>
      </c>
      <c r="R1571" s="25">
        <f t="shared" si="262"/>
        <v>0.38464129746014875</v>
      </c>
      <c r="S1571" s="25">
        <f t="shared" si="259"/>
        <v>0.14577124226249061</v>
      </c>
      <c r="T1571" s="25">
        <f t="shared" si="274"/>
        <v>0.12368641265864655</v>
      </c>
      <c r="U1571" s="25">
        <f t="shared" si="271"/>
        <v>0.12254924709696668</v>
      </c>
      <c r="X1571">
        <f t="shared" si="266"/>
        <v>0</v>
      </c>
      <c r="Y1571">
        <f t="shared" si="263"/>
        <v>0</v>
      </c>
      <c r="Z1571">
        <f t="shared" si="260"/>
        <v>0</v>
      </c>
      <c r="AA1571">
        <f t="shared" si="275"/>
        <v>0</v>
      </c>
      <c r="AB1571">
        <f t="shared" si="272"/>
        <v>0</v>
      </c>
    </row>
    <row r="1572" spans="1:28">
      <c r="A1572" s="26">
        <v>44699</v>
      </c>
      <c r="B1572" s="23">
        <v>1127.29</v>
      </c>
      <c r="C1572" s="25">
        <f t="shared" si="268"/>
        <v>-2.3364279203137361E-3</v>
      </c>
      <c r="E1572" s="25">
        <f t="shared" si="264"/>
        <v>4.793998438255298E-2</v>
      </c>
      <c r="F1572" s="25">
        <f t="shared" si="261"/>
        <v>0.35487203392112998</v>
      </c>
      <c r="G1572" s="25">
        <f t="shared" ref="G1572:G1635" si="276">((B1572/B835)^(1/3))-1</f>
        <v>0.13636194555758663</v>
      </c>
      <c r="H1572" s="25">
        <f t="shared" si="273"/>
        <v>0.11406952904904566</v>
      </c>
      <c r="I1572" s="25">
        <f t="shared" si="270"/>
        <v>0.1115869347274403</v>
      </c>
      <c r="K1572" s="28">
        <v>44699</v>
      </c>
      <c r="L1572" s="23">
        <v>21410.98</v>
      </c>
      <c r="M1572" s="25">
        <f t="shared" si="269"/>
        <v>-5.6279535079661338E-4</v>
      </c>
      <c r="O1572" t="b">
        <f t="shared" si="267"/>
        <v>1</v>
      </c>
      <c r="Q1572" s="25">
        <f t="shared" si="265"/>
        <v>8.9929582877944281E-2</v>
      </c>
      <c r="R1572" s="25">
        <f t="shared" si="262"/>
        <v>0.38346089839298481</v>
      </c>
      <c r="S1572" s="25">
        <f t="shared" ref="S1572:S1635" si="277">((L1572/L835)^(1/3))-1</f>
        <v>0.14450358328517221</v>
      </c>
      <c r="T1572" s="25">
        <f t="shared" si="274"/>
        <v>0.12586728259980351</v>
      </c>
      <c r="U1572" s="25">
        <f t="shared" si="271"/>
        <v>0.12299217621526282</v>
      </c>
      <c r="X1572">
        <f t="shared" si="266"/>
        <v>0</v>
      </c>
      <c r="Y1572">
        <f t="shared" si="263"/>
        <v>0</v>
      </c>
      <c r="Z1572">
        <f t="shared" ref="Z1572:Z1635" si="278">IF(G1572&gt;S1572,1,0)</f>
        <v>0</v>
      </c>
      <c r="AA1572">
        <f t="shared" si="275"/>
        <v>0</v>
      </c>
      <c r="AB1572">
        <f t="shared" si="272"/>
        <v>0</v>
      </c>
    </row>
    <row r="1573" spans="1:28">
      <c r="A1573" s="27">
        <v>44700</v>
      </c>
      <c r="B1573" s="24">
        <v>1094.3699999999999</v>
      </c>
      <c r="C1573" s="25">
        <f t="shared" si="268"/>
        <v>-2.9202778344525431E-2</v>
      </c>
      <c r="E1573" s="25">
        <f t="shared" si="264"/>
        <v>1.3784287024428021E-2</v>
      </c>
      <c r="F1573" s="25">
        <f t="shared" si="261"/>
        <v>0.32028586909295331</v>
      </c>
      <c r="G1573" s="25">
        <f t="shared" si="276"/>
        <v>0.12676733428799669</v>
      </c>
      <c r="H1573" s="25">
        <f t="shared" si="273"/>
        <v>0.10514385789870118</v>
      </c>
      <c r="I1573" s="25">
        <f t="shared" si="270"/>
        <v>0.10602836987530795</v>
      </c>
      <c r="K1573" s="29">
        <v>44700</v>
      </c>
      <c r="L1573" s="24">
        <v>20845.900000000001</v>
      </c>
      <c r="M1573" s="25">
        <f t="shared" si="269"/>
        <v>-2.7107488762778201E-2</v>
      </c>
      <c r="O1573" t="b">
        <f t="shared" si="267"/>
        <v>1</v>
      </c>
      <c r="Q1573" s="25">
        <f t="shared" si="265"/>
        <v>5.751099698004758E-2</v>
      </c>
      <c r="R1573" s="25">
        <f t="shared" si="262"/>
        <v>0.34962362603934438</v>
      </c>
      <c r="S1573" s="25">
        <f t="shared" si="277"/>
        <v>0.13613967039133867</v>
      </c>
      <c r="T1573" s="25">
        <f t="shared" si="274"/>
        <v>0.11695775867336611</v>
      </c>
      <c r="U1573" s="25">
        <f t="shared" si="271"/>
        <v>0.11762423944676303</v>
      </c>
      <c r="X1573">
        <f t="shared" si="266"/>
        <v>0</v>
      </c>
      <c r="Y1573">
        <f t="shared" si="263"/>
        <v>0</v>
      </c>
      <c r="Z1573">
        <f t="shared" si="278"/>
        <v>0</v>
      </c>
      <c r="AA1573">
        <f t="shared" si="275"/>
        <v>0</v>
      </c>
      <c r="AB1573">
        <f t="shared" si="272"/>
        <v>0</v>
      </c>
    </row>
    <row r="1574" spans="1:28">
      <c r="A1574" s="26">
        <v>44701</v>
      </c>
      <c r="B1574" s="23">
        <v>1121.74</v>
      </c>
      <c r="C1574" s="25">
        <f t="shared" si="268"/>
        <v>2.5009823003189161E-2</v>
      </c>
      <c r="E1574" s="25">
        <f t="shared" si="264"/>
        <v>3.7754526195035609E-2</v>
      </c>
      <c r="F1574" s="25">
        <f t="shared" si="261"/>
        <v>0.3262985658024995</v>
      </c>
      <c r="G1574" s="25">
        <f t="shared" si="276"/>
        <v>0.12738231251817722</v>
      </c>
      <c r="H1574" s="25">
        <f t="shared" si="273"/>
        <v>0.10798680439561692</v>
      </c>
      <c r="I1574" s="25">
        <f t="shared" si="270"/>
        <v>0.11268663854699579</v>
      </c>
      <c r="K1574" s="28">
        <v>44701</v>
      </c>
      <c r="L1574" s="23">
        <v>21375.43</v>
      </c>
      <c r="M1574" s="25">
        <f t="shared" si="269"/>
        <v>2.4772834979226093E-2</v>
      </c>
      <c r="O1574" t="b">
        <f t="shared" si="267"/>
        <v>1</v>
      </c>
      <c r="Q1574" s="25">
        <f t="shared" si="265"/>
        <v>8.4095735265850458E-2</v>
      </c>
      <c r="R1574" s="25">
        <f t="shared" si="262"/>
        <v>0.35452437713420282</v>
      </c>
      <c r="S1574" s="25">
        <f t="shared" si="277"/>
        <v>0.13898427965769788</v>
      </c>
      <c r="T1574" s="25">
        <f t="shared" si="274"/>
        <v>0.12072468915182433</v>
      </c>
      <c r="U1574" s="25">
        <f t="shared" si="271"/>
        <v>0.12532739693072359</v>
      </c>
      <c r="X1574">
        <f t="shared" si="266"/>
        <v>0</v>
      </c>
      <c r="Y1574">
        <f t="shared" si="263"/>
        <v>0</v>
      </c>
      <c r="Z1574">
        <f t="shared" si="278"/>
        <v>0</v>
      </c>
      <c r="AA1574">
        <f t="shared" si="275"/>
        <v>0</v>
      </c>
      <c r="AB1574">
        <f t="shared" si="272"/>
        <v>0</v>
      </c>
    </row>
    <row r="1575" spans="1:28">
      <c r="A1575" s="27">
        <v>44704</v>
      </c>
      <c r="B1575" s="24">
        <v>1115.56</v>
      </c>
      <c r="C1575" s="25">
        <f t="shared" si="268"/>
        <v>-5.5092980548077661E-3</v>
      </c>
      <c r="E1575" s="25">
        <f t="shared" si="264"/>
        <v>2.7768052919606934E-2</v>
      </c>
      <c r="F1575" s="25">
        <f t="shared" si="261"/>
        <v>0.3147772309219361</v>
      </c>
      <c r="G1575" s="25">
        <f t="shared" si="276"/>
        <v>0.12201655965545499</v>
      </c>
      <c r="H1575" s="25">
        <f t="shared" si="273"/>
        <v>0.10471036883502505</v>
      </c>
      <c r="I1575" s="25">
        <f t="shared" si="270"/>
        <v>0.11348330920537508</v>
      </c>
      <c r="K1575" s="29">
        <v>44704</v>
      </c>
      <c r="L1575" s="24">
        <v>21284.62</v>
      </c>
      <c r="M1575" s="25">
        <f t="shared" si="269"/>
        <v>-4.2664609469185407E-3</v>
      </c>
      <c r="O1575" t="b">
        <f t="shared" si="267"/>
        <v>1</v>
      </c>
      <c r="Q1575" s="25">
        <f t="shared" si="265"/>
        <v>7.4581910250487882E-2</v>
      </c>
      <c r="R1575" s="25">
        <f t="shared" si="262"/>
        <v>0.34341762717518032</v>
      </c>
      <c r="S1575" s="25">
        <f t="shared" si="277"/>
        <v>0.13415182318550878</v>
      </c>
      <c r="T1575" s="25">
        <f t="shared" si="274"/>
        <v>0.11675578364839589</v>
      </c>
      <c r="U1575" s="25">
        <f t="shared" si="271"/>
        <v>0.12580832498254924</v>
      </c>
      <c r="X1575">
        <f t="shared" si="266"/>
        <v>0</v>
      </c>
      <c r="Y1575">
        <f t="shared" si="263"/>
        <v>0</v>
      </c>
      <c r="Z1575">
        <f t="shared" si="278"/>
        <v>0</v>
      </c>
      <c r="AA1575">
        <f t="shared" si="275"/>
        <v>0</v>
      </c>
      <c r="AB1575">
        <f t="shared" si="272"/>
        <v>0</v>
      </c>
    </row>
    <row r="1576" spans="1:28">
      <c r="A1576" s="26">
        <v>44705</v>
      </c>
      <c r="B1576" s="23">
        <v>1107.79</v>
      </c>
      <c r="C1576" s="25">
        <f t="shared" si="268"/>
        <v>-6.9651116927820847E-3</v>
      </c>
      <c r="E1576" s="25">
        <f t="shared" si="264"/>
        <v>1.8516986162828042E-2</v>
      </c>
      <c r="F1576" s="25">
        <f t="shared" si="261"/>
        <v>0.29671738331554254</v>
      </c>
      <c r="G1576" s="25">
        <f t="shared" si="276"/>
        <v>0.11933463690065693</v>
      </c>
      <c r="H1576" s="25">
        <f t="shared" si="273"/>
        <v>0.10410705984162072</v>
      </c>
      <c r="I1576" s="25">
        <f t="shared" si="270"/>
        <v>0.10893244216117859</v>
      </c>
      <c r="K1576" s="28">
        <v>44705</v>
      </c>
      <c r="L1576" s="23">
        <v>21148.400000000001</v>
      </c>
      <c r="M1576" s="25">
        <f t="shared" si="269"/>
        <v>-6.4411492122334324E-3</v>
      </c>
      <c r="O1576" t="b">
        <f t="shared" si="267"/>
        <v>1</v>
      </c>
      <c r="Q1576" s="25">
        <f t="shared" si="265"/>
        <v>6.4106847429245439E-2</v>
      </c>
      <c r="R1576" s="25">
        <f t="shared" si="262"/>
        <v>0.32248011313415925</v>
      </c>
      <c r="S1576" s="25">
        <f t="shared" si="277"/>
        <v>0.13130393596676027</v>
      </c>
      <c r="T1576" s="25">
        <f t="shared" si="274"/>
        <v>0.1160661050439955</v>
      </c>
      <c r="U1576" s="25">
        <f t="shared" si="271"/>
        <v>0.12086307496342297</v>
      </c>
      <c r="X1576">
        <f t="shared" si="266"/>
        <v>0</v>
      </c>
      <c r="Y1576">
        <f t="shared" si="263"/>
        <v>0</v>
      </c>
      <c r="Z1576">
        <f t="shared" si="278"/>
        <v>0</v>
      </c>
      <c r="AA1576">
        <f t="shared" si="275"/>
        <v>0</v>
      </c>
      <c r="AB1576">
        <f t="shared" si="272"/>
        <v>0</v>
      </c>
    </row>
    <row r="1577" spans="1:28">
      <c r="A1577" s="27">
        <v>44706</v>
      </c>
      <c r="B1577" s="24">
        <v>1098.46</v>
      </c>
      <c r="C1577" s="25">
        <f t="shared" si="268"/>
        <v>-8.4221738777204413E-3</v>
      </c>
      <c r="E1577" s="25">
        <f t="shared" si="264"/>
        <v>9.8181617606500904E-3</v>
      </c>
      <c r="F1577" s="25">
        <f t="shared" si="261"/>
        <v>0.28374573829591077</v>
      </c>
      <c r="G1577" s="25">
        <f t="shared" si="276"/>
        <v>0.11945243696298391</v>
      </c>
      <c r="H1577" s="25">
        <f t="shared" si="273"/>
        <v>0.10211144211583045</v>
      </c>
      <c r="I1577" s="25">
        <f t="shared" si="270"/>
        <v>0.10420131207687477</v>
      </c>
      <c r="K1577" s="29">
        <v>44706</v>
      </c>
      <c r="L1577" s="24">
        <v>20912.97</v>
      </c>
      <c r="M1577" s="25">
        <f t="shared" si="269"/>
        <v>-1.1257607121322332E-2</v>
      </c>
      <c r="O1577" t="b">
        <f t="shared" si="267"/>
        <v>1</v>
      </c>
      <c r="Q1577" s="25">
        <f t="shared" si="265"/>
        <v>4.8148859103391173E-2</v>
      </c>
      <c r="R1577" s="25">
        <f t="shared" si="262"/>
        <v>0.30558201529621365</v>
      </c>
      <c r="S1577" s="25">
        <f t="shared" si="277"/>
        <v>0.12933126392593031</v>
      </c>
      <c r="T1577" s="25">
        <f t="shared" si="274"/>
        <v>0.11341571859368238</v>
      </c>
      <c r="U1577" s="25">
        <f t="shared" si="271"/>
        <v>0.11568052568131693</v>
      </c>
      <c r="X1577">
        <f t="shared" si="266"/>
        <v>0</v>
      </c>
      <c r="Y1577">
        <f t="shared" si="263"/>
        <v>0</v>
      </c>
      <c r="Z1577">
        <f t="shared" si="278"/>
        <v>0</v>
      </c>
      <c r="AA1577">
        <f t="shared" si="275"/>
        <v>0</v>
      </c>
      <c r="AB1577">
        <f t="shared" si="272"/>
        <v>0</v>
      </c>
    </row>
    <row r="1578" spans="1:28">
      <c r="A1578" s="26">
        <v>44707</v>
      </c>
      <c r="B1578" s="23">
        <v>1111.8599999999999</v>
      </c>
      <c r="C1578" s="25">
        <f t="shared" si="268"/>
        <v>1.2198896637110011E-2</v>
      </c>
      <c r="E1578" s="25">
        <f t="shared" si="264"/>
        <v>1.3379755372864732E-2</v>
      </c>
      <c r="F1578" s="25">
        <f t="shared" si="261"/>
        <v>0.28767490350724989</v>
      </c>
      <c r="G1578" s="25">
        <f t="shared" si="276"/>
        <v>0.12284957697740362</v>
      </c>
      <c r="H1578" s="25">
        <f t="shared" si="273"/>
        <v>0.10444996477829793</v>
      </c>
      <c r="I1578" s="25">
        <f t="shared" si="270"/>
        <v>0.10760818579925013</v>
      </c>
      <c r="K1578" s="28">
        <v>44707</v>
      </c>
      <c r="L1578" s="23">
        <v>21131.35</v>
      </c>
      <c r="M1578" s="25">
        <f t="shared" si="269"/>
        <v>1.0334408355358147E-2</v>
      </c>
      <c r="O1578" t="b">
        <f t="shared" si="267"/>
        <v>1</v>
      </c>
      <c r="Q1578" s="25">
        <f t="shared" si="265"/>
        <v>4.9321932059131601E-2</v>
      </c>
      <c r="R1578" s="25">
        <f t="shared" si="262"/>
        <v>0.30705449068154067</v>
      </c>
      <c r="S1578" s="25">
        <f t="shared" si="277"/>
        <v>0.13099957419126329</v>
      </c>
      <c r="T1578" s="25">
        <f t="shared" si="274"/>
        <v>0.11431285124355361</v>
      </c>
      <c r="U1578" s="25">
        <f t="shared" si="271"/>
        <v>0.11885285765271769</v>
      </c>
      <c r="X1578">
        <f t="shared" si="266"/>
        <v>0</v>
      </c>
      <c r="Y1578">
        <f t="shared" si="263"/>
        <v>0</v>
      </c>
      <c r="Z1578">
        <f t="shared" si="278"/>
        <v>0</v>
      </c>
      <c r="AA1578">
        <f t="shared" si="275"/>
        <v>0</v>
      </c>
      <c r="AB1578">
        <f t="shared" si="272"/>
        <v>0</v>
      </c>
    </row>
    <row r="1579" spans="1:28">
      <c r="A1579" s="27">
        <v>44708</v>
      </c>
      <c r="B1579" s="24">
        <v>1127.7</v>
      </c>
      <c r="C1579" s="25">
        <f t="shared" si="268"/>
        <v>1.4246397927796797E-2</v>
      </c>
      <c r="E1579" s="25">
        <f t="shared" si="264"/>
        <v>3.1304013827539778E-2</v>
      </c>
      <c r="F1579" s="25">
        <f t="shared" si="261"/>
        <v>0.29617710485671411</v>
      </c>
      <c r="G1579" s="25">
        <f t="shared" si="276"/>
        <v>0.12903902936404177</v>
      </c>
      <c r="H1579" s="25">
        <f t="shared" si="273"/>
        <v>0.1101872028196007</v>
      </c>
      <c r="I1579" s="25">
        <f t="shared" si="270"/>
        <v>0.109379085362586</v>
      </c>
      <c r="K1579" s="29">
        <v>44708</v>
      </c>
      <c r="L1579" s="24">
        <v>21363.35</v>
      </c>
      <c r="M1579" s="25">
        <f t="shared" si="269"/>
        <v>1.0859720034545144E-2</v>
      </c>
      <c r="O1579" t="b">
        <f t="shared" si="267"/>
        <v>1</v>
      </c>
      <c r="Q1579" s="25">
        <f t="shared" si="265"/>
        <v>6.2124542415924466E-2</v>
      </c>
      <c r="R1579" s="25">
        <f t="shared" si="262"/>
        <v>0.31558164061284488</v>
      </c>
      <c r="S1579" s="25">
        <f t="shared" si="277"/>
        <v>0.13551968356142607</v>
      </c>
      <c r="T1579" s="25">
        <f t="shared" si="274"/>
        <v>0.1191680544592153</v>
      </c>
      <c r="U1579" s="25">
        <f t="shared" si="271"/>
        <v>0.12050604720728297</v>
      </c>
      <c r="X1579">
        <f t="shared" si="266"/>
        <v>0</v>
      </c>
      <c r="Y1579">
        <f t="shared" si="263"/>
        <v>0</v>
      </c>
      <c r="Z1579">
        <f t="shared" si="278"/>
        <v>0</v>
      </c>
      <c r="AA1579">
        <f t="shared" si="275"/>
        <v>0</v>
      </c>
      <c r="AB1579">
        <f t="shared" si="272"/>
        <v>0</v>
      </c>
    </row>
    <row r="1580" spans="1:28">
      <c r="A1580" s="26">
        <v>44711</v>
      </c>
      <c r="B1580" s="23">
        <v>1148.25</v>
      </c>
      <c r="C1580" s="25">
        <f t="shared" si="268"/>
        <v>1.8222931630752819E-2</v>
      </c>
      <c r="E1580" s="25">
        <f t="shared" si="264"/>
        <v>4.7616006423006008E-2</v>
      </c>
      <c r="F1580" s="25">
        <f t="shared" si="261"/>
        <v>0.29783175062774059</v>
      </c>
      <c r="G1580" s="25">
        <f t="shared" si="276"/>
        <v>0.13176857196500458</v>
      </c>
      <c r="H1580" s="25">
        <f t="shared" si="273"/>
        <v>0.11723668611864402</v>
      </c>
      <c r="I1580" s="25">
        <f t="shared" si="270"/>
        <v>0.11245321451379375</v>
      </c>
      <c r="K1580" s="28">
        <v>44711</v>
      </c>
      <c r="L1580" s="23">
        <v>21797.25</v>
      </c>
      <c r="M1580" s="25">
        <f t="shared" si="269"/>
        <v>1.9906180825562926E-2</v>
      </c>
      <c r="O1580" t="b">
        <f t="shared" si="267"/>
        <v>1</v>
      </c>
      <c r="Q1580" s="25">
        <f t="shared" si="265"/>
        <v>7.8485022257692494E-2</v>
      </c>
      <c r="R1580" s="25">
        <f t="shared" si="262"/>
        <v>0.31976213202995418</v>
      </c>
      <c r="S1580" s="25">
        <f t="shared" si="277"/>
        <v>0.1386038634769089</v>
      </c>
      <c r="T1580" s="25">
        <f t="shared" si="274"/>
        <v>0.12720960273761128</v>
      </c>
      <c r="U1580" s="25">
        <f t="shared" si="271"/>
        <v>0.12442730838004668</v>
      </c>
      <c r="X1580">
        <f t="shared" si="266"/>
        <v>0</v>
      </c>
      <c r="Y1580">
        <f t="shared" si="263"/>
        <v>0</v>
      </c>
      <c r="Z1580">
        <f t="shared" si="278"/>
        <v>0</v>
      </c>
      <c r="AA1580">
        <f t="shared" si="275"/>
        <v>0</v>
      </c>
      <c r="AB1580">
        <f t="shared" si="272"/>
        <v>0</v>
      </c>
    </row>
    <row r="1581" spans="1:28">
      <c r="A1581" s="27">
        <v>44712</v>
      </c>
      <c r="B1581" s="24">
        <v>1143.6400000000001</v>
      </c>
      <c r="C1581" s="25">
        <f t="shared" si="268"/>
        <v>-4.0148051382537771E-3</v>
      </c>
      <c r="E1581" s="25">
        <f t="shared" si="264"/>
        <v>3.7042410613081556E-2</v>
      </c>
      <c r="F1581" s="25">
        <f t="shared" si="261"/>
        <v>0.29419909702609393</v>
      </c>
      <c r="G1581" s="25">
        <f t="shared" si="276"/>
        <v>0.13255871957885978</v>
      </c>
      <c r="H1581" s="25">
        <f t="shared" si="273"/>
        <v>0.117869688435148</v>
      </c>
      <c r="I1581" s="25">
        <f t="shared" si="270"/>
        <v>0.11140025297662959</v>
      </c>
      <c r="K1581" s="29">
        <v>44712</v>
      </c>
      <c r="L1581" s="24">
        <v>21765.82</v>
      </c>
      <c r="M1581" s="25">
        <f t="shared" si="269"/>
        <v>-1.4440071635252103E-3</v>
      </c>
      <c r="O1581" t="b">
        <f t="shared" si="267"/>
        <v>1</v>
      </c>
      <c r="Q1581" s="25">
        <f t="shared" si="265"/>
        <v>6.820133744664103E-2</v>
      </c>
      <c r="R1581" s="25">
        <f t="shared" si="262"/>
        <v>0.31686028924554699</v>
      </c>
      <c r="S1581" s="25">
        <f t="shared" si="277"/>
        <v>0.13971299793364533</v>
      </c>
      <c r="T1581" s="25">
        <f t="shared" si="274"/>
        <v>0.12882002454287056</v>
      </c>
      <c r="U1581" s="25">
        <f t="shared" si="271"/>
        <v>0.12354509796975521</v>
      </c>
      <c r="X1581">
        <f t="shared" si="266"/>
        <v>0</v>
      </c>
      <c r="Y1581">
        <f t="shared" si="263"/>
        <v>0</v>
      </c>
      <c r="Z1581">
        <f t="shared" si="278"/>
        <v>0</v>
      </c>
      <c r="AA1581">
        <f t="shared" si="275"/>
        <v>0</v>
      </c>
      <c r="AB1581">
        <f t="shared" si="272"/>
        <v>0</v>
      </c>
    </row>
    <row r="1582" spans="1:28">
      <c r="A1582" s="26">
        <v>44713</v>
      </c>
      <c r="B1582" s="23">
        <v>1137.02</v>
      </c>
      <c r="C1582" s="25">
        <f t="shared" si="268"/>
        <v>-5.7885348536253697E-3</v>
      </c>
      <c r="E1582" s="25">
        <f t="shared" si="264"/>
        <v>2.9359309789152688E-2</v>
      </c>
      <c r="F1582" s="25">
        <f t="shared" si="261"/>
        <v>0.29565778277943511</v>
      </c>
      <c r="G1582" s="25">
        <f t="shared" si="276"/>
        <v>0.1376165394551605</v>
      </c>
      <c r="H1582" s="25">
        <f t="shared" si="273"/>
        <v>0.11381169559656512</v>
      </c>
      <c r="I1582" s="25">
        <f t="shared" si="270"/>
        <v>0.1093058017244386</v>
      </c>
      <c r="K1582" s="28">
        <v>44713</v>
      </c>
      <c r="L1582" s="23">
        <v>21709.49</v>
      </c>
      <c r="M1582" s="25">
        <f t="shared" si="269"/>
        <v>-2.5947177939232152E-3</v>
      </c>
      <c r="O1582" t="b">
        <f t="shared" si="267"/>
        <v>1</v>
      </c>
      <c r="Q1582" s="25">
        <f t="shared" si="265"/>
        <v>6.4364428114981775E-2</v>
      </c>
      <c r="R1582" s="25">
        <f t="shared" si="262"/>
        <v>0.32198628756404979</v>
      </c>
      <c r="S1582" s="25">
        <f t="shared" si="277"/>
        <v>0.14465738903384229</v>
      </c>
      <c r="T1582" s="25">
        <f t="shared" si="274"/>
        <v>0.12515481358999825</v>
      </c>
      <c r="U1582" s="25">
        <f t="shared" si="271"/>
        <v>0.12190587180546952</v>
      </c>
      <c r="X1582">
        <f t="shared" si="266"/>
        <v>0</v>
      </c>
      <c r="Y1582">
        <f t="shared" si="263"/>
        <v>0</v>
      </c>
      <c r="Z1582">
        <f t="shared" si="278"/>
        <v>0</v>
      </c>
      <c r="AA1582">
        <f t="shared" si="275"/>
        <v>0</v>
      </c>
      <c r="AB1582">
        <f t="shared" si="272"/>
        <v>0</v>
      </c>
    </row>
    <row r="1583" spans="1:28">
      <c r="A1583" s="27">
        <v>44714</v>
      </c>
      <c r="B1583" s="24">
        <v>1144.08</v>
      </c>
      <c r="C1583" s="25">
        <f t="shared" si="268"/>
        <v>6.2092135582487076E-3</v>
      </c>
      <c r="E1583" s="25">
        <f t="shared" si="264"/>
        <v>2.6181955170465177E-2</v>
      </c>
      <c r="F1583" s="25">
        <f t="shared" ref="F1583:F1646" si="279">((B1583/B1091)^(1/2))-1</f>
        <v>0.29738705954942479</v>
      </c>
      <c r="G1583" s="25">
        <f t="shared" si="276"/>
        <v>0.13891034852869377</v>
      </c>
      <c r="H1583" s="25">
        <f t="shared" si="273"/>
        <v>0.11296574806057125</v>
      </c>
      <c r="I1583" s="25">
        <f t="shared" si="270"/>
        <v>0.1098744182267215</v>
      </c>
      <c r="K1583" s="29">
        <v>44714</v>
      </c>
      <c r="L1583" s="24">
        <v>21841.16</v>
      </c>
      <c r="M1583" s="25">
        <f t="shared" si="269"/>
        <v>6.0285259574124382E-3</v>
      </c>
      <c r="O1583" t="b">
        <f t="shared" si="267"/>
        <v>1</v>
      </c>
      <c r="Q1583" s="25">
        <f t="shared" si="265"/>
        <v>6.4007050133797705E-2</v>
      </c>
      <c r="R1583" s="25">
        <f t="shared" ref="R1583:R1646" si="280">((L1583/L1091)^(1/2))-1</f>
        <v>0.32156660651529889</v>
      </c>
      <c r="S1583" s="25">
        <f t="shared" si="277"/>
        <v>0.14644148847010618</v>
      </c>
      <c r="T1583" s="25">
        <f t="shared" si="274"/>
        <v>0.12398804398056695</v>
      </c>
      <c r="U1583" s="25">
        <f t="shared" si="271"/>
        <v>0.12231553098807768</v>
      </c>
      <c r="X1583">
        <f t="shared" si="266"/>
        <v>0</v>
      </c>
      <c r="Y1583">
        <f t="shared" ref="Y1583:Y1646" si="281">IF(F1583&gt;R1583,1,0)</f>
        <v>0</v>
      </c>
      <c r="Z1583">
        <f t="shared" si="278"/>
        <v>0</v>
      </c>
      <c r="AA1583">
        <f t="shared" si="275"/>
        <v>0</v>
      </c>
      <c r="AB1583">
        <f t="shared" si="272"/>
        <v>0</v>
      </c>
    </row>
    <row r="1584" spans="1:28">
      <c r="A1584" s="26">
        <v>44715</v>
      </c>
      <c r="B1584" s="23">
        <v>1136.6600000000001</v>
      </c>
      <c r="C1584" s="25">
        <f t="shared" si="268"/>
        <v>-6.4855604503180246E-3</v>
      </c>
      <c r="E1584" s="25">
        <f t="shared" si="264"/>
        <v>1.5165047156330491E-2</v>
      </c>
      <c r="F1584" s="25">
        <f t="shared" si="279"/>
        <v>0.30586692487192524</v>
      </c>
      <c r="G1584" s="25">
        <f t="shared" si="276"/>
        <v>0.13481378290752799</v>
      </c>
      <c r="H1584" s="25">
        <f t="shared" si="273"/>
        <v>0.11116424205147157</v>
      </c>
      <c r="I1584" s="25">
        <f t="shared" si="270"/>
        <v>0.10954060638529639</v>
      </c>
      <c r="K1584" s="28">
        <v>44715</v>
      </c>
      <c r="L1584" s="23">
        <v>21702.58</v>
      </c>
      <c r="M1584" s="25">
        <f t="shared" si="269"/>
        <v>-6.3854159275071485E-3</v>
      </c>
      <c r="O1584" t="b">
        <f t="shared" si="267"/>
        <v>1</v>
      </c>
      <c r="Q1584" s="25">
        <f t="shared" si="265"/>
        <v>5.5931439759217882E-2</v>
      </c>
      <c r="R1584" s="25">
        <f t="shared" si="280"/>
        <v>0.32993980845616466</v>
      </c>
      <c r="S1584" s="25">
        <f t="shared" si="277"/>
        <v>0.14283835886099894</v>
      </c>
      <c r="T1584" s="25">
        <f t="shared" si="274"/>
        <v>0.12171144060884842</v>
      </c>
      <c r="U1584" s="25">
        <f t="shared" si="271"/>
        <v>0.12191308042568783</v>
      </c>
      <c r="X1584">
        <f t="shared" si="266"/>
        <v>0</v>
      </c>
      <c r="Y1584">
        <f t="shared" si="281"/>
        <v>0</v>
      </c>
      <c r="Z1584">
        <f t="shared" si="278"/>
        <v>0</v>
      </c>
      <c r="AA1584">
        <f t="shared" si="275"/>
        <v>0</v>
      </c>
      <c r="AB1584">
        <f t="shared" si="272"/>
        <v>0</v>
      </c>
    </row>
    <row r="1585" spans="1:28">
      <c r="A1585" s="27">
        <v>44718</v>
      </c>
      <c r="B1585" s="24">
        <v>1133.3</v>
      </c>
      <c r="C1585" s="25">
        <f t="shared" si="268"/>
        <v>-2.9560290676192767E-3</v>
      </c>
      <c r="E1585" s="25">
        <f t="shared" si="264"/>
        <v>2.0871429472223868E-2</v>
      </c>
      <c r="F1585" s="25">
        <f t="shared" si="279"/>
        <v>0.29890774007067433</v>
      </c>
      <c r="G1585" s="25">
        <f t="shared" si="276"/>
        <v>0.13139597886846155</v>
      </c>
      <c r="H1585" s="25">
        <f t="shared" si="273"/>
        <v>0.10973988249379896</v>
      </c>
      <c r="I1585" s="25">
        <f t="shared" si="270"/>
        <v>0.10816672484048362</v>
      </c>
      <c r="K1585" s="29">
        <v>44718</v>
      </c>
      <c r="L1585" s="24">
        <v>21666.17</v>
      </c>
      <c r="M1585" s="25">
        <f t="shared" si="269"/>
        <v>-1.6805000606938602E-3</v>
      </c>
      <c r="O1585" t="b">
        <f t="shared" si="267"/>
        <v>1</v>
      </c>
      <c r="Q1585" s="25">
        <f t="shared" si="265"/>
        <v>6.2038523471180884E-2</v>
      </c>
      <c r="R1585" s="25">
        <f t="shared" si="280"/>
        <v>0.32399197141371183</v>
      </c>
      <c r="S1585" s="25">
        <f t="shared" si="277"/>
        <v>0.14067243238610438</v>
      </c>
      <c r="T1585" s="25">
        <f t="shared" si="274"/>
        <v>0.12075555970369289</v>
      </c>
      <c r="U1585" s="25">
        <f t="shared" si="271"/>
        <v>0.12062247182988539</v>
      </c>
      <c r="X1585">
        <f t="shared" si="266"/>
        <v>0</v>
      </c>
      <c r="Y1585">
        <f t="shared" si="281"/>
        <v>0</v>
      </c>
      <c r="Z1585">
        <f t="shared" si="278"/>
        <v>0</v>
      </c>
      <c r="AA1585">
        <f t="shared" si="275"/>
        <v>0</v>
      </c>
      <c r="AB1585">
        <f t="shared" si="272"/>
        <v>0</v>
      </c>
    </row>
    <row r="1586" spans="1:28">
      <c r="A1586" s="26">
        <v>44719</v>
      </c>
      <c r="B1586" s="23">
        <v>1119.69</v>
      </c>
      <c r="C1586" s="25">
        <f t="shared" si="268"/>
        <v>-1.200917674049228E-2</v>
      </c>
      <c r="E1586" s="25">
        <f t="shared" si="264"/>
        <v>-2.8142672663310497E-3</v>
      </c>
      <c r="F1586" s="25">
        <f t="shared" si="279"/>
        <v>0.29943964035524684</v>
      </c>
      <c r="G1586" s="25">
        <f t="shared" si="276"/>
        <v>0.12892512125929501</v>
      </c>
      <c r="H1586" s="25">
        <f t="shared" si="273"/>
        <v>0.10537003268604161</v>
      </c>
      <c r="I1586" s="25">
        <f t="shared" si="270"/>
        <v>0.10542701652885311</v>
      </c>
      <c r="K1586" s="28">
        <v>44719</v>
      </c>
      <c r="L1586" s="23">
        <v>21483.599999999999</v>
      </c>
      <c r="M1586" s="25">
        <f t="shared" si="269"/>
        <v>-8.4981101863747105E-3</v>
      </c>
      <c r="O1586" t="b">
        <f t="shared" si="267"/>
        <v>1</v>
      </c>
      <c r="Q1586" s="25">
        <f t="shared" si="265"/>
        <v>4.3063334602148728E-2</v>
      </c>
      <c r="R1586" s="25">
        <f t="shared" si="280"/>
        <v>0.32733519956893553</v>
      </c>
      <c r="S1586" s="25">
        <f t="shared" si="277"/>
        <v>0.13959824153320644</v>
      </c>
      <c r="T1586" s="25">
        <f t="shared" si="274"/>
        <v>0.11677258572797511</v>
      </c>
      <c r="U1586" s="25">
        <f t="shared" si="271"/>
        <v>0.11878133455422835</v>
      </c>
      <c r="X1586">
        <f t="shared" si="266"/>
        <v>0</v>
      </c>
      <c r="Y1586">
        <f t="shared" si="281"/>
        <v>0</v>
      </c>
      <c r="Z1586">
        <f t="shared" si="278"/>
        <v>0</v>
      </c>
      <c r="AA1586">
        <f t="shared" si="275"/>
        <v>0</v>
      </c>
      <c r="AB1586">
        <f t="shared" si="272"/>
        <v>0</v>
      </c>
    </row>
    <row r="1587" spans="1:28">
      <c r="A1587" s="27">
        <v>44720</v>
      </c>
      <c r="B1587" s="24">
        <v>1118.93</v>
      </c>
      <c r="C1587" s="25">
        <f t="shared" si="268"/>
        <v>-6.7875929944894646E-4</v>
      </c>
      <c r="E1587" s="25">
        <f t="shared" si="264"/>
        <v>-7.9000567456375403E-3</v>
      </c>
      <c r="F1587" s="25">
        <f t="shared" si="279"/>
        <v>0.29367375777598115</v>
      </c>
      <c r="G1587" s="25">
        <f t="shared" si="276"/>
        <v>0.12934242447536581</v>
      </c>
      <c r="H1587" s="25">
        <f t="shared" si="273"/>
        <v>0.10555849160308051</v>
      </c>
      <c r="I1587" s="25">
        <f t="shared" si="270"/>
        <v>0.10408157278226349</v>
      </c>
      <c r="K1587" s="29">
        <v>44720</v>
      </c>
      <c r="L1587" s="24">
        <v>21408.54</v>
      </c>
      <c r="M1587" s="25">
        <f t="shared" si="269"/>
        <v>-3.5060774812293444E-3</v>
      </c>
      <c r="O1587" t="b">
        <f t="shared" si="267"/>
        <v>1</v>
      </c>
      <c r="Q1587" s="25">
        <f t="shared" si="265"/>
        <v>3.561330532165452E-2</v>
      </c>
      <c r="R1587" s="25">
        <f t="shared" si="280"/>
        <v>0.3196548102609349</v>
      </c>
      <c r="S1587" s="25">
        <f t="shared" si="277"/>
        <v>0.13813309860039635</v>
      </c>
      <c r="T1587" s="25">
        <f t="shared" si="274"/>
        <v>0.11579484247838967</v>
      </c>
      <c r="U1587" s="25">
        <f t="shared" si="271"/>
        <v>0.11737197797218113</v>
      </c>
      <c r="X1587">
        <f t="shared" si="266"/>
        <v>0</v>
      </c>
      <c r="Y1587">
        <f t="shared" si="281"/>
        <v>0</v>
      </c>
      <c r="Z1587">
        <f t="shared" si="278"/>
        <v>0</v>
      </c>
      <c r="AA1587">
        <f t="shared" si="275"/>
        <v>0</v>
      </c>
      <c r="AB1587">
        <f t="shared" si="272"/>
        <v>0</v>
      </c>
    </row>
    <row r="1588" spans="1:28">
      <c r="A1588" s="26">
        <v>44721</v>
      </c>
      <c r="B1588" s="23">
        <v>1126.67</v>
      </c>
      <c r="C1588" s="25">
        <f t="shared" si="268"/>
        <v>6.9173227994602064E-3</v>
      </c>
      <c r="E1588" s="25">
        <f t="shared" si="264"/>
        <v>-6.9182668854494977E-4</v>
      </c>
      <c r="F1588" s="25">
        <f t="shared" si="279"/>
        <v>0.29747107912256454</v>
      </c>
      <c r="G1588" s="25">
        <f t="shared" si="276"/>
        <v>0.13538065020228984</v>
      </c>
      <c r="H1588" s="25">
        <f t="shared" si="273"/>
        <v>0.10783539007151499</v>
      </c>
      <c r="I1588" s="25">
        <f t="shared" si="270"/>
        <v>0.10647577172837441</v>
      </c>
      <c r="K1588" s="28">
        <v>44721</v>
      </c>
      <c r="L1588" s="23">
        <v>21551</v>
      </c>
      <c r="M1588" s="25">
        <f t="shared" si="269"/>
        <v>6.6103661083011982E-3</v>
      </c>
      <c r="O1588" t="b">
        <f t="shared" si="267"/>
        <v>1</v>
      </c>
      <c r="Q1588" s="25">
        <f t="shared" si="265"/>
        <v>4.307784194062525E-2</v>
      </c>
      <c r="R1588" s="25">
        <f t="shared" si="280"/>
        <v>0.32499894750514025</v>
      </c>
      <c r="S1588" s="25">
        <f t="shared" si="277"/>
        <v>0.14367619499999384</v>
      </c>
      <c r="T1588" s="25">
        <f t="shared" si="274"/>
        <v>0.11826634686376436</v>
      </c>
      <c r="U1588" s="25">
        <f t="shared" si="271"/>
        <v>0.12001476771216324</v>
      </c>
      <c r="X1588">
        <f t="shared" si="266"/>
        <v>0</v>
      </c>
      <c r="Y1588">
        <f t="shared" si="281"/>
        <v>0</v>
      </c>
      <c r="Z1588">
        <f t="shared" si="278"/>
        <v>0</v>
      </c>
      <c r="AA1588">
        <f t="shared" si="275"/>
        <v>0</v>
      </c>
      <c r="AB1588">
        <f t="shared" si="272"/>
        <v>0</v>
      </c>
    </row>
    <row r="1589" spans="1:28">
      <c r="A1589" s="27">
        <v>44722</v>
      </c>
      <c r="B1589" s="24">
        <v>1112.01</v>
      </c>
      <c r="C1589" s="25">
        <f t="shared" si="268"/>
        <v>-1.3011795823089353E-2</v>
      </c>
      <c r="E1589" s="25">
        <f t="shared" si="264"/>
        <v>-1.9763229110654756E-2</v>
      </c>
      <c r="F1589" s="25">
        <f t="shared" si="279"/>
        <v>0.28098845693497765</v>
      </c>
      <c r="G1589" s="25">
        <f t="shared" si="276"/>
        <v>0.13645546294006539</v>
      </c>
      <c r="H1589" s="25">
        <f t="shared" si="273"/>
        <v>0.10474232715894782</v>
      </c>
      <c r="I1589" s="25">
        <f t="shared" si="270"/>
        <v>0.10325012177505588</v>
      </c>
      <c r="K1589" s="29">
        <v>44722</v>
      </c>
      <c r="L1589" s="24">
        <v>21250.32</v>
      </c>
      <c r="M1589" s="25">
        <f t="shared" si="269"/>
        <v>-1.4149433984994122E-2</v>
      </c>
      <c r="O1589" t="b">
        <f t="shared" si="267"/>
        <v>1</v>
      </c>
      <c r="Q1589" s="25">
        <f t="shared" si="265"/>
        <v>2.4469754492533413E-2</v>
      </c>
      <c r="R1589" s="25">
        <f t="shared" si="280"/>
        <v>0.30428861277855401</v>
      </c>
      <c r="S1589" s="25">
        <f t="shared" si="277"/>
        <v>0.14333236757298851</v>
      </c>
      <c r="T1589" s="25">
        <f t="shared" si="274"/>
        <v>0.11473088375471963</v>
      </c>
      <c r="U1589" s="25">
        <f t="shared" si="271"/>
        <v>0.11683005632245624</v>
      </c>
      <c r="X1589">
        <f t="shared" si="266"/>
        <v>0</v>
      </c>
      <c r="Y1589">
        <f t="shared" si="281"/>
        <v>0</v>
      </c>
      <c r="Z1589">
        <f t="shared" si="278"/>
        <v>0</v>
      </c>
      <c r="AA1589">
        <f t="shared" si="275"/>
        <v>0</v>
      </c>
      <c r="AB1589">
        <f t="shared" si="272"/>
        <v>0</v>
      </c>
    </row>
    <row r="1590" spans="1:28">
      <c r="A1590" s="26">
        <v>44725</v>
      </c>
      <c r="B1590" s="23">
        <v>1081.31</v>
      </c>
      <c r="C1590" s="25">
        <f t="shared" si="268"/>
        <v>-2.7607665398692499E-2</v>
      </c>
      <c r="E1590" s="25">
        <f t="shared" si="264"/>
        <v>-4.1986355984761303E-2</v>
      </c>
      <c r="F1590" s="25">
        <f t="shared" si="279"/>
        <v>0.25556261708488281</v>
      </c>
      <c r="G1590" s="25">
        <f t="shared" si="276"/>
        <v>0.12495485845829202</v>
      </c>
      <c r="H1590" s="25">
        <f t="shared" si="273"/>
        <v>9.7917014190957108E-2</v>
      </c>
      <c r="I1590" s="25">
        <f t="shared" si="270"/>
        <v>9.7393487343174323E-2</v>
      </c>
      <c r="K1590" s="28">
        <v>44725</v>
      </c>
      <c r="L1590" s="23">
        <v>20687.8</v>
      </c>
      <c r="M1590" s="25">
        <f t="shared" si="269"/>
        <v>-2.7190904784462362E-2</v>
      </c>
      <c r="O1590" t="b">
        <f t="shared" si="267"/>
        <v>1</v>
      </c>
      <c r="Q1590" s="25">
        <f t="shared" si="265"/>
        <v>4.5035093384089286E-3</v>
      </c>
      <c r="R1590" s="25">
        <f t="shared" si="280"/>
        <v>0.27759622892576852</v>
      </c>
      <c r="S1590" s="25">
        <f t="shared" si="277"/>
        <v>0.13284718275767915</v>
      </c>
      <c r="T1590" s="25">
        <f t="shared" si="274"/>
        <v>0.10802030795944151</v>
      </c>
      <c r="U1590" s="25">
        <f t="shared" si="271"/>
        <v>0.11051429439741178</v>
      </c>
      <c r="X1590">
        <f t="shared" si="266"/>
        <v>0</v>
      </c>
      <c r="Y1590">
        <f t="shared" si="281"/>
        <v>0</v>
      </c>
      <c r="Z1590">
        <f t="shared" si="278"/>
        <v>0</v>
      </c>
      <c r="AA1590">
        <f t="shared" si="275"/>
        <v>0</v>
      </c>
      <c r="AB1590">
        <f t="shared" si="272"/>
        <v>0</v>
      </c>
    </row>
    <row r="1591" spans="1:28">
      <c r="A1591" s="27">
        <v>44726</v>
      </c>
      <c r="B1591" s="24">
        <v>1083.02</v>
      </c>
      <c r="C1591" s="25">
        <f t="shared" si="268"/>
        <v>1.5814151353451245E-3</v>
      </c>
      <c r="E1591" s="25">
        <f t="shared" si="264"/>
        <v>-3.4225075798109628E-2</v>
      </c>
      <c r="F1591" s="25">
        <f t="shared" si="279"/>
        <v>0.24919177651808533</v>
      </c>
      <c r="G1591" s="25">
        <f t="shared" si="276"/>
        <v>0.12711283128391959</v>
      </c>
      <c r="H1591" s="25">
        <f t="shared" si="273"/>
        <v>0.10057968536957684</v>
      </c>
      <c r="I1591" s="25">
        <f t="shared" si="270"/>
        <v>9.7892294001679092E-2</v>
      </c>
      <c r="K1591" s="29">
        <v>44726</v>
      </c>
      <c r="L1591" s="24">
        <v>20644.23</v>
      </c>
      <c r="M1591" s="25">
        <f t="shared" si="269"/>
        <v>-2.1105170791063514E-3</v>
      </c>
      <c r="O1591" t="b">
        <f t="shared" si="267"/>
        <v>1</v>
      </c>
      <c r="Q1591" s="25">
        <f t="shared" si="265"/>
        <v>8.4917734875722406E-3</v>
      </c>
      <c r="R1591" s="25">
        <f t="shared" si="280"/>
        <v>0.2699929650910553</v>
      </c>
      <c r="S1591" s="25">
        <f t="shared" si="277"/>
        <v>0.13303581324465075</v>
      </c>
      <c r="T1591" s="25">
        <f t="shared" si="274"/>
        <v>0.10994192700486294</v>
      </c>
      <c r="U1591" s="25">
        <f t="shared" si="271"/>
        <v>0.11057523402656622</v>
      </c>
      <c r="X1591">
        <f t="shared" si="266"/>
        <v>0</v>
      </c>
      <c r="Y1591">
        <f t="shared" si="281"/>
        <v>0</v>
      </c>
      <c r="Z1591">
        <f t="shared" si="278"/>
        <v>0</v>
      </c>
      <c r="AA1591">
        <f t="shared" si="275"/>
        <v>0</v>
      </c>
      <c r="AB1591">
        <f t="shared" si="272"/>
        <v>0</v>
      </c>
    </row>
    <row r="1592" spans="1:28">
      <c r="A1592" s="26">
        <v>44727</v>
      </c>
      <c r="B1592" s="23">
        <v>1086.27</v>
      </c>
      <c r="C1592" s="25">
        <f t="shared" si="268"/>
        <v>3.0008679433436132E-3</v>
      </c>
      <c r="E1592" s="25">
        <f t="shared" ref="E1592:E1655" si="282">(B1592/B1347)-1</f>
        <v>-3.0202660476743137E-2</v>
      </c>
      <c r="F1592" s="25">
        <f t="shared" si="279"/>
        <v>0.24281889377969756</v>
      </c>
      <c r="G1592" s="25">
        <f t="shared" si="276"/>
        <v>0.12268078932282678</v>
      </c>
      <c r="H1592" s="25">
        <f t="shared" si="273"/>
        <v>0.10068195196611196</v>
      </c>
      <c r="I1592" s="25">
        <f t="shared" si="270"/>
        <v>9.8269112299846473E-2</v>
      </c>
      <c r="K1592" s="28">
        <v>44727</v>
      </c>
      <c r="L1592" s="23">
        <v>20646.77</v>
      </c>
      <c r="M1592" s="25">
        <f t="shared" si="269"/>
        <v>1.2302166392132391E-4</v>
      </c>
      <c r="O1592" t="b">
        <f t="shared" si="267"/>
        <v>1</v>
      </c>
      <c r="Q1592" s="25">
        <f t="shared" ref="Q1592:Q1655" si="283">(L1592/L1347)-1</f>
        <v>1.1518416434528111E-2</v>
      </c>
      <c r="R1592" s="25">
        <f t="shared" si="280"/>
        <v>0.26010465712128816</v>
      </c>
      <c r="S1592" s="25">
        <f t="shared" si="277"/>
        <v>0.12813713330962329</v>
      </c>
      <c r="T1592" s="25">
        <f t="shared" si="274"/>
        <v>0.10871660814473372</v>
      </c>
      <c r="U1592" s="25">
        <f t="shared" si="271"/>
        <v>0.11030269646576496</v>
      </c>
      <c r="X1592">
        <f t="shared" ref="X1592:X1655" si="284">IF(E1592&gt;Q1592,1,0)</f>
        <v>0</v>
      </c>
      <c r="Y1592">
        <f t="shared" si="281"/>
        <v>0</v>
      </c>
      <c r="Z1592">
        <f t="shared" si="278"/>
        <v>0</v>
      </c>
      <c r="AA1592">
        <f t="shared" si="275"/>
        <v>0</v>
      </c>
      <c r="AB1592">
        <f t="shared" si="272"/>
        <v>0</v>
      </c>
    </row>
    <row r="1593" spans="1:28">
      <c r="A1593" s="27">
        <v>44728</v>
      </c>
      <c r="B1593" s="24">
        <v>1061.1500000000001</v>
      </c>
      <c r="C1593" s="25">
        <f t="shared" si="268"/>
        <v>-2.3125005753633895E-2</v>
      </c>
      <c r="E1593" s="25">
        <f t="shared" si="282"/>
        <v>-5.5924769352585724E-2</v>
      </c>
      <c r="F1593" s="25">
        <f t="shared" si="279"/>
        <v>0.24104701216409996</v>
      </c>
      <c r="G1593" s="25">
        <f t="shared" si="276"/>
        <v>0.11554542776080812</v>
      </c>
      <c r="H1593" s="25">
        <f t="shared" si="273"/>
        <v>9.5660665941175616E-2</v>
      </c>
      <c r="I1593" s="25">
        <f t="shared" si="270"/>
        <v>9.2093369026647443E-2</v>
      </c>
      <c r="K1593" s="29">
        <v>44728</v>
      </c>
      <c r="L1593" s="24">
        <v>20197</v>
      </c>
      <c r="M1593" s="25">
        <f t="shared" si="269"/>
        <v>-2.2269148883497569E-2</v>
      </c>
      <c r="O1593" t="b">
        <f t="shared" si="267"/>
        <v>1</v>
      </c>
      <c r="Q1593" s="25">
        <f t="shared" si="283"/>
        <v>-1.5648157940781005E-2</v>
      </c>
      <c r="R1593" s="25">
        <f t="shared" si="280"/>
        <v>0.25542538370176837</v>
      </c>
      <c r="S1593" s="25">
        <f t="shared" si="277"/>
        <v>0.12238937381044801</v>
      </c>
      <c r="T1593" s="25">
        <f t="shared" si="274"/>
        <v>0.10365885062482949</v>
      </c>
      <c r="U1593" s="25">
        <f t="shared" si="271"/>
        <v>0.10433002610954301</v>
      </c>
      <c r="X1593">
        <f t="shared" si="284"/>
        <v>0</v>
      </c>
      <c r="Y1593">
        <f t="shared" si="281"/>
        <v>0</v>
      </c>
      <c r="Z1593">
        <f t="shared" si="278"/>
        <v>0</v>
      </c>
      <c r="AA1593">
        <f t="shared" si="275"/>
        <v>0</v>
      </c>
      <c r="AB1593">
        <f t="shared" si="272"/>
        <v>0</v>
      </c>
    </row>
    <row r="1594" spans="1:28">
      <c r="A1594" s="26">
        <v>44729</v>
      </c>
      <c r="B1594" s="23">
        <v>1055.8</v>
      </c>
      <c r="C1594" s="25">
        <f t="shared" si="268"/>
        <v>-5.0417000424069509E-3</v>
      </c>
      <c r="E1594" s="25">
        <f t="shared" si="282"/>
        <v>-6.2069700711576359E-2</v>
      </c>
      <c r="F1594" s="25">
        <f t="shared" si="279"/>
        <v>0.23648860805502814</v>
      </c>
      <c r="G1594" s="25">
        <f t="shared" si="276"/>
        <v>0.11459177810471521</v>
      </c>
      <c r="H1594" s="25">
        <f t="shared" si="273"/>
        <v>9.2928840031090809E-2</v>
      </c>
      <c r="I1594" s="25">
        <f t="shared" si="270"/>
        <v>9.0425430076871427E-2</v>
      </c>
      <c r="K1594" s="28">
        <v>44729</v>
      </c>
      <c r="L1594" s="23">
        <v>20052.330000000002</v>
      </c>
      <c r="M1594" s="25">
        <f t="shared" si="269"/>
        <v>-7.21462293907981E-3</v>
      </c>
      <c r="O1594" t="b">
        <f t="shared" si="267"/>
        <v>1</v>
      </c>
      <c r="Q1594" s="25">
        <f t="shared" si="283"/>
        <v>-2.5234499869722149E-2</v>
      </c>
      <c r="R1594" s="25">
        <f t="shared" si="280"/>
        <v>0.25065315939994415</v>
      </c>
      <c r="S1594" s="25">
        <f t="shared" si="277"/>
        <v>0.1203848337019664</v>
      </c>
      <c r="T1594" s="25">
        <f t="shared" si="274"/>
        <v>0.10000223280672138</v>
      </c>
      <c r="U1594" s="25">
        <f t="shared" si="271"/>
        <v>0.1026614759424811</v>
      </c>
      <c r="X1594">
        <f t="shared" si="284"/>
        <v>0</v>
      </c>
      <c r="Y1594">
        <f t="shared" si="281"/>
        <v>0</v>
      </c>
      <c r="Z1594">
        <f t="shared" si="278"/>
        <v>0</v>
      </c>
      <c r="AA1594">
        <f t="shared" si="275"/>
        <v>0</v>
      </c>
      <c r="AB1594">
        <f t="shared" si="272"/>
        <v>0</v>
      </c>
    </row>
    <row r="1595" spans="1:28">
      <c r="A1595" s="27">
        <v>44732</v>
      </c>
      <c r="B1595" s="24">
        <v>1052.96</v>
      </c>
      <c r="C1595" s="25">
        <f t="shared" si="268"/>
        <v>-2.6899033907936336E-3</v>
      </c>
      <c r="E1595" s="25">
        <f t="shared" si="282"/>
        <v>-6.1591522810519717E-2</v>
      </c>
      <c r="F1595" s="25">
        <f t="shared" si="279"/>
        <v>0.23357466617170641</v>
      </c>
      <c r="G1595" s="25">
        <f t="shared" si="276"/>
        <v>0.11084964230937211</v>
      </c>
      <c r="H1595" s="25">
        <f t="shared" si="273"/>
        <v>9.3032366952646273E-2</v>
      </c>
      <c r="I1595" s="25">
        <f t="shared" si="270"/>
        <v>9.0019672306660636E-2</v>
      </c>
      <c r="K1595" s="29">
        <v>44732</v>
      </c>
      <c r="L1595" s="24">
        <v>19985.84</v>
      </c>
      <c r="M1595" s="25">
        <f t="shared" si="269"/>
        <v>-3.3268554136329322E-3</v>
      </c>
      <c r="O1595" t="b">
        <f t="shared" si="267"/>
        <v>1</v>
      </c>
      <c r="Q1595" s="25">
        <f t="shared" si="283"/>
        <v>-2.3561542106985911E-2</v>
      </c>
      <c r="R1595" s="25">
        <f t="shared" si="280"/>
        <v>0.24424331124122056</v>
      </c>
      <c r="S1595" s="25">
        <f t="shared" si="277"/>
        <v>0.11647663241512651</v>
      </c>
      <c r="T1595" s="25">
        <f t="shared" si="274"/>
        <v>0.10093589145733395</v>
      </c>
      <c r="U1595" s="25">
        <f t="shared" si="271"/>
        <v>0.10219011406871359</v>
      </c>
      <c r="X1595">
        <f t="shared" si="284"/>
        <v>0</v>
      </c>
      <c r="Y1595">
        <f t="shared" si="281"/>
        <v>0</v>
      </c>
      <c r="Z1595">
        <f t="shared" si="278"/>
        <v>0</v>
      </c>
      <c r="AA1595">
        <f t="shared" si="275"/>
        <v>0</v>
      </c>
      <c r="AB1595">
        <f t="shared" si="272"/>
        <v>0</v>
      </c>
    </row>
    <row r="1596" spans="1:28">
      <c r="A1596" s="26">
        <v>44733</v>
      </c>
      <c r="B1596" s="23">
        <v>1074.8699999999999</v>
      </c>
      <c r="C1596" s="25">
        <f t="shared" si="268"/>
        <v>2.0808007901534583E-2</v>
      </c>
      <c r="E1596" s="25">
        <f t="shared" si="282"/>
        <v>-4.6585476188364505E-2</v>
      </c>
      <c r="F1596" s="25">
        <f t="shared" si="279"/>
        <v>0.25166303400030743</v>
      </c>
      <c r="G1596" s="25">
        <f t="shared" si="276"/>
        <v>0.11506706276360079</v>
      </c>
      <c r="H1596" s="25">
        <f t="shared" si="273"/>
        <v>9.8254155135734988E-2</v>
      </c>
      <c r="I1596" s="25">
        <f t="shared" si="270"/>
        <v>9.5316900954398154E-2</v>
      </c>
      <c r="K1596" s="28">
        <v>44733</v>
      </c>
      <c r="L1596" s="23">
        <v>20435.5</v>
      </c>
      <c r="M1596" s="25">
        <f t="shared" si="269"/>
        <v>2.2003865821731784E-2</v>
      </c>
      <c r="O1596" t="b">
        <f t="shared" si="267"/>
        <v>1</v>
      </c>
      <c r="Q1596" s="25">
        <f t="shared" si="283"/>
        <v>-4.9704006022132097E-3</v>
      </c>
      <c r="R1596" s="25">
        <f t="shared" si="280"/>
        <v>0.26337422530954724</v>
      </c>
      <c r="S1596" s="25">
        <f t="shared" si="277"/>
        <v>0.12285072657016838</v>
      </c>
      <c r="T1596" s="25">
        <f t="shared" si="274"/>
        <v>0.10715411190011115</v>
      </c>
      <c r="U1596" s="25">
        <f t="shared" si="271"/>
        <v>0.10757826722692498</v>
      </c>
      <c r="X1596">
        <f t="shared" si="284"/>
        <v>0</v>
      </c>
      <c r="Y1596">
        <f t="shared" si="281"/>
        <v>0</v>
      </c>
      <c r="Z1596">
        <f t="shared" si="278"/>
        <v>0</v>
      </c>
      <c r="AA1596">
        <f t="shared" si="275"/>
        <v>0</v>
      </c>
      <c r="AB1596">
        <f t="shared" si="272"/>
        <v>0</v>
      </c>
    </row>
    <row r="1597" spans="1:28">
      <c r="A1597" s="27">
        <v>44734</v>
      </c>
      <c r="B1597" s="24">
        <v>1059.27</v>
      </c>
      <c r="C1597" s="25">
        <f t="shared" si="268"/>
        <v>-1.451338301375972E-2</v>
      </c>
      <c r="E1597" s="25">
        <f t="shared" si="282"/>
        <v>-6.8560725968133451E-2</v>
      </c>
      <c r="F1597" s="25">
        <f t="shared" si="279"/>
        <v>0.24158815563813762</v>
      </c>
      <c r="G1597" s="25">
        <f t="shared" si="276"/>
        <v>0.10906483451637961</v>
      </c>
      <c r="H1597" s="25">
        <f t="shared" si="273"/>
        <v>9.612156201096278E-2</v>
      </c>
      <c r="I1597" s="25">
        <f t="shared" si="270"/>
        <v>9.3811886877638306E-2</v>
      </c>
      <c r="K1597" s="29">
        <v>44734</v>
      </c>
      <c r="L1597" s="24">
        <v>20136.400000000001</v>
      </c>
      <c r="M1597" s="25">
        <f t="shared" si="269"/>
        <v>-1.4853697781132602E-2</v>
      </c>
      <c r="O1597" t="b">
        <f t="shared" si="267"/>
        <v>1</v>
      </c>
      <c r="Q1597" s="25">
        <f t="shared" si="283"/>
        <v>-2.4687471241541803E-2</v>
      </c>
      <c r="R1597" s="25">
        <f t="shared" si="280"/>
        <v>0.25506690069794291</v>
      </c>
      <c r="S1597" s="25">
        <f t="shared" si="277"/>
        <v>0.11697152499456331</v>
      </c>
      <c r="T1597" s="25">
        <f t="shared" si="274"/>
        <v>0.10607305363323039</v>
      </c>
      <c r="U1597" s="25">
        <f t="shared" si="271"/>
        <v>0.10612867486708866</v>
      </c>
      <c r="X1597">
        <f t="shared" si="284"/>
        <v>0</v>
      </c>
      <c r="Y1597">
        <f t="shared" si="281"/>
        <v>0</v>
      </c>
      <c r="Z1597">
        <f t="shared" si="278"/>
        <v>0</v>
      </c>
      <c r="AA1597">
        <f t="shared" si="275"/>
        <v>0</v>
      </c>
      <c r="AB1597">
        <f t="shared" si="272"/>
        <v>0</v>
      </c>
    </row>
    <row r="1598" spans="1:28">
      <c r="A1598" s="26">
        <v>44735</v>
      </c>
      <c r="B1598" s="23">
        <v>1071.81</v>
      </c>
      <c r="C1598" s="25">
        <f t="shared" si="268"/>
        <v>1.1838341499334413E-2</v>
      </c>
      <c r="E1598" s="25">
        <f t="shared" si="282"/>
        <v>-5.9105992239759986E-2</v>
      </c>
      <c r="F1598" s="25">
        <f t="shared" si="279"/>
        <v>0.24493624033471484</v>
      </c>
      <c r="G1598" s="25">
        <f t="shared" si="276"/>
        <v>0.11522717588090248</v>
      </c>
      <c r="H1598" s="25">
        <f t="shared" si="273"/>
        <v>0.10208367368326376</v>
      </c>
      <c r="I1598" s="25">
        <f t="shared" si="270"/>
        <v>9.7801599749765655E-2</v>
      </c>
      <c r="K1598" s="28">
        <v>44735</v>
      </c>
      <c r="L1598" s="23">
        <v>20339.150000000001</v>
      </c>
      <c r="M1598" s="25">
        <f t="shared" si="269"/>
        <v>9.9684598422254602E-3</v>
      </c>
      <c r="O1598" t="b">
        <f t="shared" si="267"/>
        <v>1</v>
      </c>
      <c r="Q1598" s="25">
        <f t="shared" si="283"/>
        <v>-1.4406547637796141E-2</v>
      </c>
      <c r="R1598" s="25">
        <f t="shared" si="280"/>
        <v>0.25545998817104421</v>
      </c>
      <c r="S1598" s="25">
        <f t="shared" si="277"/>
        <v>0.12202405185831044</v>
      </c>
      <c r="T1598" s="25">
        <f t="shared" si="274"/>
        <v>0.11165603699426674</v>
      </c>
      <c r="U1598" s="25">
        <f t="shared" si="271"/>
        <v>0.11019958230911331</v>
      </c>
      <c r="X1598">
        <f t="shared" si="284"/>
        <v>0</v>
      </c>
      <c r="Y1598">
        <f t="shared" si="281"/>
        <v>0</v>
      </c>
      <c r="Z1598">
        <f t="shared" si="278"/>
        <v>0</v>
      </c>
      <c r="AA1598">
        <f t="shared" si="275"/>
        <v>0</v>
      </c>
      <c r="AB1598">
        <f t="shared" si="272"/>
        <v>0</v>
      </c>
    </row>
    <row r="1599" spans="1:28">
      <c r="A1599" s="27">
        <v>44736</v>
      </c>
      <c r="B1599" s="24">
        <v>1082.8499999999999</v>
      </c>
      <c r="C1599" s="25">
        <f t="shared" si="268"/>
        <v>1.030033308142298E-2</v>
      </c>
      <c r="E1599" s="25">
        <f t="shared" si="282"/>
        <v>-4.5341538244525248E-2</v>
      </c>
      <c r="F1599" s="25">
        <f t="shared" si="279"/>
        <v>0.24651904469966546</v>
      </c>
      <c r="G1599" s="25">
        <f t="shared" si="276"/>
        <v>0.11701826149201722</v>
      </c>
      <c r="H1599" s="25">
        <f t="shared" si="273"/>
        <v>0.10248702727903991</v>
      </c>
      <c r="I1599" s="25">
        <f t="shared" si="270"/>
        <v>9.9279820202917923E-2</v>
      </c>
      <c r="K1599" s="29">
        <v>44736</v>
      </c>
      <c r="L1599" s="24">
        <v>20561.02</v>
      </c>
      <c r="M1599" s="25">
        <f t="shared" si="269"/>
        <v>1.0790807070855385E-2</v>
      </c>
      <c r="O1599" t="b">
        <f t="shared" si="267"/>
        <v>1</v>
      </c>
      <c r="Q1599" s="25">
        <f t="shared" si="283"/>
        <v>-1.7505793931515967E-4</v>
      </c>
      <c r="R1599" s="25">
        <f t="shared" si="280"/>
        <v>0.25516868846633312</v>
      </c>
      <c r="S1599" s="25">
        <f t="shared" si="277"/>
        <v>0.12395157700948745</v>
      </c>
      <c r="T1599" s="25">
        <f t="shared" si="274"/>
        <v>0.11083937439014835</v>
      </c>
      <c r="U1599" s="25">
        <f t="shared" si="271"/>
        <v>0.11276590198038172</v>
      </c>
      <c r="X1599">
        <f t="shared" si="284"/>
        <v>0</v>
      </c>
      <c r="Y1599">
        <f t="shared" si="281"/>
        <v>0</v>
      </c>
      <c r="Z1599">
        <f t="shared" si="278"/>
        <v>0</v>
      </c>
      <c r="AA1599">
        <f t="shared" si="275"/>
        <v>0</v>
      </c>
      <c r="AB1599">
        <f t="shared" si="272"/>
        <v>0</v>
      </c>
    </row>
    <row r="1600" spans="1:28">
      <c r="A1600" s="26">
        <v>44739</v>
      </c>
      <c r="B1600" s="23">
        <v>1093.6400000000001</v>
      </c>
      <c r="C1600" s="25">
        <f t="shared" si="268"/>
        <v>9.9644456757632099E-3</v>
      </c>
      <c r="E1600" s="25">
        <f t="shared" si="282"/>
        <v>-3.4816298793564293E-2</v>
      </c>
      <c r="F1600" s="25">
        <f t="shared" si="279"/>
        <v>0.24955340879382404</v>
      </c>
      <c r="G1600" s="25">
        <f t="shared" si="276"/>
        <v>0.12010138128003023</v>
      </c>
      <c r="H1600" s="25">
        <f t="shared" si="273"/>
        <v>0.107150430561471</v>
      </c>
      <c r="I1600" s="25">
        <f t="shared" si="270"/>
        <v>0.10064727576061538</v>
      </c>
      <c r="K1600" s="28">
        <v>44739</v>
      </c>
      <c r="L1600" s="23">
        <v>20749.400000000001</v>
      </c>
      <c r="M1600" s="25">
        <f t="shared" si="269"/>
        <v>9.078816736869548E-3</v>
      </c>
      <c r="O1600" t="b">
        <f t="shared" si="267"/>
        <v>1</v>
      </c>
      <c r="Q1600" s="25">
        <f t="shared" si="283"/>
        <v>9.595079845466703E-3</v>
      </c>
      <c r="R1600" s="25">
        <f t="shared" si="280"/>
        <v>0.25739092752670589</v>
      </c>
      <c r="S1600" s="25">
        <f t="shared" si="277"/>
        <v>0.12614141118050526</v>
      </c>
      <c r="T1600" s="25">
        <f t="shared" si="274"/>
        <v>0.11500427479883468</v>
      </c>
      <c r="U1600" s="25">
        <f t="shared" si="271"/>
        <v>0.11413006805198833</v>
      </c>
      <c r="X1600">
        <f t="shared" si="284"/>
        <v>0</v>
      </c>
      <c r="Y1600">
        <f t="shared" si="281"/>
        <v>0</v>
      </c>
      <c r="Z1600">
        <f t="shared" si="278"/>
        <v>0</v>
      </c>
      <c r="AA1600">
        <f t="shared" si="275"/>
        <v>0</v>
      </c>
      <c r="AB1600">
        <f t="shared" si="272"/>
        <v>0</v>
      </c>
    </row>
    <row r="1601" spans="1:28">
      <c r="A1601" s="27">
        <v>44740</v>
      </c>
      <c r="B1601" s="24">
        <v>1094.6300000000001</v>
      </c>
      <c r="C1601" s="25">
        <f t="shared" si="268"/>
        <v>9.0523389780915934E-4</v>
      </c>
      <c r="E1601" s="25">
        <f t="shared" si="282"/>
        <v>-3.4181247077300303E-2</v>
      </c>
      <c r="F1601" s="25">
        <f t="shared" si="279"/>
        <v>0.24283854335583177</v>
      </c>
      <c r="G1601" s="25">
        <f t="shared" si="276"/>
        <v>0.11996455023283592</v>
      </c>
      <c r="H1601" s="25">
        <f t="shared" si="273"/>
        <v>0.10631951673150386</v>
      </c>
      <c r="I1601" s="25">
        <f t="shared" si="270"/>
        <v>9.9808838459817917E-2</v>
      </c>
      <c r="K1601" s="29">
        <v>44740</v>
      </c>
      <c r="L1601" s="24">
        <v>20779.919999999998</v>
      </c>
      <c r="M1601" s="25">
        <f t="shared" si="269"/>
        <v>1.4687255773841671E-3</v>
      </c>
      <c r="O1601" t="b">
        <f t="shared" si="267"/>
        <v>1</v>
      </c>
      <c r="Q1601" s="25">
        <f t="shared" si="283"/>
        <v>1.2464864459276859E-2</v>
      </c>
      <c r="R1601" s="25">
        <f t="shared" si="280"/>
        <v>0.2497392002844403</v>
      </c>
      <c r="S1601" s="25">
        <f t="shared" si="277"/>
        <v>0.12620824064270297</v>
      </c>
      <c r="T1601" s="25">
        <f t="shared" si="274"/>
        <v>0.11417720473108295</v>
      </c>
      <c r="U1601" s="25">
        <f t="shared" si="271"/>
        <v>0.11362250346203329</v>
      </c>
      <c r="X1601">
        <f t="shared" si="284"/>
        <v>0</v>
      </c>
      <c r="Y1601">
        <f t="shared" si="281"/>
        <v>0</v>
      </c>
      <c r="Z1601">
        <f t="shared" si="278"/>
        <v>0</v>
      </c>
      <c r="AA1601">
        <f t="shared" si="275"/>
        <v>0</v>
      </c>
      <c r="AB1601">
        <f t="shared" si="272"/>
        <v>0</v>
      </c>
    </row>
    <row r="1602" spans="1:28">
      <c r="A1602" s="26">
        <v>44741</v>
      </c>
      <c r="B1602" s="23">
        <v>1088.18</v>
      </c>
      <c r="C1602" s="25">
        <f t="shared" si="268"/>
        <v>-5.8924019988489673E-3</v>
      </c>
      <c r="E1602" s="25">
        <f t="shared" si="282"/>
        <v>-4.4240481313951863E-2</v>
      </c>
      <c r="F1602" s="25">
        <f t="shared" si="279"/>
        <v>0.23521244292932297</v>
      </c>
      <c r="G1602" s="25">
        <f t="shared" si="276"/>
        <v>0.11742594348680457</v>
      </c>
      <c r="H1602" s="25">
        <f t="shared" si="273"/>
        <v>0.10352139600442234</v>
      </c>
      <c r="I1602" s="25">
        <f t="shared" si="270"/>
        <v>9.6569298760265765E-2</v>
      </c>
      <c r="K1602" s="28">
        <v>44741</v>
      </c>
      <c r="L1602" s="23">
        <v>20708.330000000002</v>
      </c>
      <c r="M1602" s="25">
        <f t="shared" si="269"/>
        <v>-3.4570629307141862E-3</v>
      </c>
      <c r="O1602" t="b">
        <f t="shared" si="267"/>
        <v>1</v>
      </c>
      <c r="Q1602" s="25">
        <f t="shared" si="283"/>
        <v>5.9599798694625061E-3</v>
      </c>
      <c r="R1602" s="25">
        <f t="shared" si="280"/>
        <v>0.24514155062927889</v>
      </c>
      <c r="S1602" s="25">
        <f t="shared" si="277"/>
        <v>0.12409752876394298</v>
      </c>
      <c r="T1602" s="25">
        <f t="shared" si="274"/>
        <v>0.11182568542532612</v>
      </c>
      <c r="U1602" s="25">
        <f t="shared" si="271"/>
        <v>0.11059193863923755</v>
      </c>
      <c r="X1602">
        <f t="shared" si="284"/>
        <v>0</v>
      </c>
      <c r="Y1602">
        <f t="shared" si="281"/>
        <v>0</v>
      </c>
      <c r="Z1602">
        <f t="shared" si="278"/>
        <v>0</v>
      </c>
      <c r="AA1602">
        <f t="shared" si="275"/>
        <v>0</v>
      </c>
      <c r="AB1602">
        <f t="shared" si="272"/>
        <v>0</v>
      </c>
    </row>
    <row r="1603" spans="1:28">
      <c r="A1603" s="27">
        <v>44742</v>
      </c>
      <c r="B1603" s="24">
        <v>1085.75</v>
      </c>
      <c r="C1603" s="25">
        <f t="shared" si="268"/>
        <v>-2.2330864379055521E-3</v>
      </c>
      <c r="E1603" s="25">
        <f t="shared" si="282"/>
        <v>-5.2565903716437323E-2</v>
      </c>
      <c r="F1603" s="25">
        <f t="shared" si="279"/>
        <v>0.23661851519079069</v>
      </c>
      <c r="G1603" s="25">
        <f t="shared" si="276"/>
        <v>0.12101893430867583</v>
      </c>
      <c r="H1603" s="25">
        <f t="shared" si="273"/>
        <v>0.10358220569971865</v>
      </c>
      <c r="I1603" s="25">
        <f t="shared" si="270"/>
        <v>9.6411605016237134E-2</v>
      </c>
      <c r="K1603" s="29">
        <v>44742</v>
      </c>
      <c r="L1603" s="24">
        <v>20667.27</v>
      </c>
      <c r="M1603" s="25">
        <f t="shared" si="269"/>
        <v>-1.9867161942531022E-3</v>
      </c>
      <c r="O1603" t="b">
        <f t="shared" ref="O1603:O1666" si="285">K1603=A1603</f>
        <v>1</v>
      </c>
      <c r="Q1603" s="25">
        <f t="shared" si="283"/>
        <v>-2.8543265772252857E-3</v>
      </c>
      <c r="R1603" s="25">
        <f t="shared" si="280"/>
        <v>0.24851718326763561</v>
      </c>
      <c r="S1603" s="25">
        <f t="shared" si="277"/>
        <v>0.12795583799751542</v>
      </c>
      <c r="T1603" s="25">
        <f t="shared" si="274"/>
        <v>0.11203396245120212</v>
      </c>
      <c r="U1603" s="25">
        <f t="shared" si="271"/>
        <v>0.11029923691220689</v>
      </c>
      <c r="X1603">
        <f t="shared" si="284"/>
        <v>0</v>
      </c>
      <c r="Y1603">
        <f t="shared" si="281"/>
        <v>0</v>
      </c>
      <c r="Z1603">
        <f t="shared" si="278"/>
        <v>0</v>
      </c>
      <c r="AA1603">
        <f t="shared" si="275"/>
        <v>0</v>
      </c>
      <c r="AB1603">
        <f t="shared" si="272"/>
        <v>0</v>
      </c>
    </row>
    <row r="1604" spans="1:28">
      <c r="A1604" s="26">
        <v>44743</v>
      </c>
      <c r="B1604" s="23">
        <v>1090.03</v>
      </c>
      <c r="C1604" s="25">
        <f t="shared" ref="C1604:C1667" si="286">(B1604-B1603)/B1603</f>
        <v>3.9419755929081032E-3</v>
      </c>
      <c r="E1604" s="25">
        <f t="shared" si="282"/>
        <v>-5.0281422621848204E-2</v>
      </c>
      <c r="F1604" s="25">
        <f t="shared" si="279"/>
        <v>0.23375622292955645</v>
      </c>
      <c r="G1604" s="25">
        <f t="shared" si="276"/>
        <v>0.13140729635507475</v>
      </c>
      <c r="H1604" s="25">
        <f t="shared" si="273"/>
        <v>0.10416320115040301</v>
      </c>
      <c r="I1604" s="25">
        <f t="shared" si="270"/>
        <v>9.5667695640737849E-2</v>
      </c>
      <c r="K1604" s="28">
        <v>44743</v>
      </c>
      <c r="L1604" s="23">
        <v>20678.080000000002</v>
      </c>
      <c r="M1604" s="25">
        <f t="shared" ref="M1604:M1667" si="287">(L1604-L1603)/L1604</f>
        <v>5.227758089726565E-4</v>
      </c>
      <c r="O1604" t="b">
        <f t="shared" si="285"/>
        <v>1</v>
      </c>
      <c r="Q1604" s="25">
        <f t="shared" si="283"/>
        <v>-1.5215173260310078E-3</v>
      </c>
      <c r="R1604" s="25">
        <f t="shared" si="280"/>
        <v>0.2437807112164454</v>
      </c>
      <c r="S1604" s="25">
        <f t="shared" si="277"/>
        <v>0.13640241508378059</v>
      </c>
      <c r="T1604" s="25">
        <f t="shared" si="274"/>
        <v>0.11131837650240262</v>
      </c>
      <c r="U1604" s="25">
        <f t="shared" si="271"/>
        <v>0.10933300314973748</v>
      </c>
      <c r="X1604">
        <f t="shared" si="284"/>
        <v>0</v>
      </c>
      <c r="Y1604">
        <f t="shared" si="281"/>
        <v>0</v>
      </c>
      <c r="Z1604">
        <f t="shared" si="278"/>
        <v>0</v>
      </c>
      <c r="AA1604">
        <f t="shared" si="275"/>
        <v>0</v>
      </c>
      <c r="AB1604">
        <f t="shared" si="272"/>
        <v>0</v>
      </c>
    </row>
    <row r="1605" spans="1:28">
      <c r="A1605" s="27">
        <v>44746</v>
      </c>
      <c r="B1605" s="24">
        <v>1097.1099999999999</v>
      </c>
      <c r="C1605" s="25">
        <f t="shared" si="286"/>
        <v>6.4952340761262788E-3</v>
      </c>
      <c r="E1605" s="25">
        <f t="shared" si="282"/>
        <v>-4.8679817905918132E-2</v>
      </c>
      <c r="F1605" s="25">
        <f t="shared" si="279"/>
        <v>0.2410014128303104</v>
      </c>
      <c r="G1605" s="25">
        <f t="shared" si="276"/>
        <v>0.13243399920211241</v>
      </c>
      <c r="H1605" s="25">
        <f t="shared" si="273"/>
        <v>0.10346614983645752</v>
      </c>
      <c r="I1605" s="25">
        <f t="shared" si="270"/>
        <v>9.6839577883225392E-2</v>
      </c>
      <c r="K1605" s="29">
        <v>44746</v>
      </c>
      <c r="L1605" s="24">
        <v>20802.77</v>
      </c>
      <c r="M1605" s="25">
        <f t="shared" si="287"/>
        <v>5.9939133105830949E-3</v>
      </c>
      <c r="O1605" t="b">
        <f t="shared" si="285"/>
        <v>1</v>
      </c>
      <c r="Q1605" s="25">
        <f t="shared" si="283"/>
        <v>3.0967002350879014E-4</v>
      </c>
      <c r="R1605" s="25">
        <f t="shared" si="280"/>
        <v>0.25017855639483488</v>
      </c>
      <c r="S1605" s="25">
        <f t="shared" si="277"/>
        <v>0.1383554574567214</v>
      </c>
      <c r="T1605" s="25">
        <f t="shared" si="274"/>
        <v>0.11045384880431164</v>
      </c>
      <c r="U1605" s="25">
        <f t="shared" si="271"/>
        <v>0.10979100992647539</v>
      </c>
      <c r="X1605">
        <f t="shared" si="284"/>
        <v>0</v>
      </c>
      <c r="Y1605">
        <f t="shared" si="281"/>
        <v>0</v>
      </c>
      <c r="Z1605">
        <f t="shared" si="278"/>
        <v>0</v>
      </c>
      <c r="AA1605">
        <f t="shared" si="275"/>
        <v>0</v>
      </c>
      <c r="AB1605">
        <f t="shared" si="272"/>
        <v>0</v>
      </c>
    </row>
    <row r="1606" spans="1:28">
      <c r="A1606" s="26">
        <v>44747</v>
      </c>
      <c r="B1606" s="23">
        <v>1096.31</v>
      </c>
      <c r="C1606" s="25">
        <f t="shared" si="286"/>
        <v>-7.2918850434318763E-4</v>
      </c>
      <c r="E1606" s="25">
        <f t="shared" si="282"/>
        <v>-4.2432024037243887E-2</v>
      </c>
      <c r="F1606" s="25">
        <f t="shared" si="279"/>
        <v>0.23838644405056941</v>
      </c>
      <c r="G1606" s="25">
        <f t="shared" si="276"/>
        <v>0.13417400396136303</v>
      </c>
      <c r="H1606" s="25">
        <f t="shared" si="273"/>
        <v>0.10128343499254933</v>
      </c>
      <c r="I1606" s="25">
        <f t="shared" si="270"/>
        <v>9.7076722720581321E-2</v>
      </c>
      <c r="K1606" s="28">
        <v>44747</v>
      </c>
      <c r="L1606" s="23">
        <v>20787.259999999998</v>
      </c>
      <c r="M1606" s="25">
        <f t="shared" si="287"/>
        <v>-7.4613008159815381E-4</v>
      </c>
      <c r="O1606" t="b">
        <f t="shared" si="285"/>
        <v>1</v>
      </c>
      <c r="Q1606" s="25">
        <f t="shared" si="283"/>
        <v>6.5704447652163989E-3</v>
      </c>
      <c r="R1606" s="25">
        <f t="shared" si="280"/>
        <v>0.24824558114074402</v>
      </c>
      <c r="S1606" s="25">
        <f t="shared" si="277"/>
        <v>0.14029721491029967</v>
      </c>
      <c r="T1606" s="25">
        <f t="shared" si="274"/>
        <v>0.10781707379901428</v>
      </c>
      <c r="U1606" s="25">
        <f t="shared" si="271"/>
        <v>0.10968187537647811</v>
      </c>
      <c r="X1606">
        <f t="shared" si="284"/>
        <v>0</v>
      </c>
      <c r="Y1606">
        <f t="shared" si="281"/>
        <v>0</v>
      </c>
      <c r="Z1606">
        <f t="shared" si="278"/>
        <v>0</v>
      </c>
      <c r="AA1606">
        <f t="shared" si="275"/>
        <v>0</v>
      </c>
      <c r="AB1606">
        <f t="shared" si="272"/>
        <v>0</v>
      </c>
    </row>
    <row r="1607" spans="1:28">
      <c r="A1607" s="27">
        <v>44748</v>
      </c>
      <c r="B1607" s="24">
        <v>1109.53</v>
      </c>
      <c r="C1607" s="25">
        <f t="shared" si="286"/>
        <v>1.2058633050870673E-2</v>
      </c>
      <c r="E1607" s="25">
        <f t="shared" si="282"/>
        <v>-3.4368418304294157E-2</v>
      </c>
      <c r="F1607" s="25">
        <f t="shared" si="279"/>
        <v>0.25393450085930058</v>
      </c>
      <c r="G1607" s="25">
        <f t="shared" si="276"/>
        <v>0.13499610279797247</v>
      </c>
      <c r="H1607" s="25">
        <f t="shared" si="273"/>
        <v>0.10650120875065583</v>
      </c>
      <c r="I1607" s="25">
        <f t="shared" si="270"/>
        <v>9.8454829717873782E-2</v>
      </c>
      <c r="K1607" s="29">
        <v>44748</v>
      </c>
      <c r="L1607" s="24">
        <v>21048.95</v>
      </c>
      <c r="M1607" s="25">
        <f t="shared" si="287"/>
        <v>1.2432449124540765E-2</v>
      </c>
      <c r="O1607" t="b">
        <f t="shared" si="285"/>
        <v>1</v>
      </c>
      <c r="Q1607" s="25">
        <f t="shared" si="283"/>
        <v>1.9564999421168183E-2</v>
      </c>
      <c r="R1607" s="25">
        <f t="shared" si="280"/>
        <v>0.2661861966450092</v>
      </c>
      <c r="S1607" s="25">
        <f t="shared" si="277"/>
        <v>0.1422877350245122</v>
      </c>
      <c r="T1607" s="25">
        <f t="shared" si="274"/>
        <v>0.11170296841726701</v>
      </c>
      <c r="U1607" s="25">
        <f t="shared" si="271"/>
        <v>0.11043356493122714</v>
      </c>
      <c r="X1607">
        <f t="shared" si="284"/>
        <v>0</v>
      </c>
      <c r="Y1607">
        <f t="shared" si="281"/>
        <v>0</v>
      </c>
      <c r="Z1607">
        <f t="shared" si="278"/>
        <v>0</v>
      </c>
      <c r="AA1607">
        <f t="shared" si="275"/>
        <v>0</v>
      </c>
      <c r="AB1607">
        <f t="shared" si="272"/>
        <v>0</v>
      </c>
    </row>
    <row r="1608" spans="1:28">
      <c r="A1608" s="26">
        <v>44749</v>
      </c>
      <c r="B1608" s="23">
        <v>1120.96</v>
      </c>
      <c r="C1608" s="25">
        <f t="shared" si="286"/>
        <v>1.0301659261128644E-2</v>
      </c>
      <c r="E1608" s="25">
        <f t="shared" si="282"/>
        <v>-2.5184360651175797E-2</v>
      </c>
      <c r="F1608" s="25">
        <f t="shared" si="279"/>
        <v>0.25990369909453737</v>
      </c>
      <c r="G1608" s="25">
        <f t="shared" si="276"/>
        <v>0.13819071208795042</v>
      </c>
      <c r="H1608" s="25">
        <f t="shared" si="273"/>
        <v>0.1089618498805065</v>
      </c>
      <c r="I1608" s="25">
        <f t="shared" si="270"/>
        <v>0.1011757721268447</v>
      </c>
      <c r="K1608" s="28">
        <v>44749</v>
      </c>
      <c r="L1608" s="23">
        <v>21257.79</v>
      </c>
      <c r="M1608" s="25">
        <f t="shared" si="287"/>
        <v>9.8241632832011296E-3</v>
      </c>
      <c r="O1608" t="b">
        <f t="shared" si="285"/>
        <v>1</v>
      </c>
      <c r="Q1608" s="25">
        <f t="shared" si="283"/>
        <v>2.8068312230593806E-2</v>
      </c>
      <c r="R1608" s="25">
        <f t="shared" si="280"/>
        <v>0.27265558932650502</v>
      </c>
      <c r="S1608" s="25">
        <f t="shared" si="277"/>
        <v>0.14639224357844816</v>
      </c>
      <c r="T1608" s="25">
        <f t="shared" si="274"/>
        <v>0.11330927145349579</v>
      </c>
      <c r="U1608" s="25">
        <f t="shared" si="271"/>
        <v>0.11292933403637151</v>
      </c>
      <c r="X1608">
        <f t="shared" si="284"/>
        <v>0</v>
      </c>
      <c r="Y1608">
        <f t="shared" si="281"/>
        <v>0</v>
      </c>
      <c r="Z1608">
        <f t="shared" si="278"/>
        <v>0</v>
      </c>
      <c r="AA1608">
        <f t="shared" si="275"/>
        <v>0</v>
      </c>
      <c r="AB1608">
        <f t="shared" si="272"/>
        <v>0</v>
      </c>
    </row>
    <row r="1609" spans="1:28">
      <c r="A1609" s="27">
        <v>44750</v>
      </c>
      <c r="B1609" s="24">
        <v>1125.9100000000001</v>
      </c>
      <c r="C1609" s="25">
        <f t="shared" si="286"/>
        <v>4.4158578361404915E-3</v>
      </c>
      <c r="E1609" s="25">
        <f t="shared" si="282"/>
        <v>-2.5135504874712056E-2</v>
      </c>
      <c r="F1609" s="25">
        <f t="shared" si="279"/>
        <v>0.25619740788114598</v>
      </c>
      <c r="G1609" s="25">
        <f t="shared" si="276"/>
        <v>0.14006860202397009</v>
      </c>
      <c r="H1609" s="25">
        <f t="shared" si="273"/>
        <v>0.11226458491672919</v>
      </c>
      <c r="I1609" s="25">
        <f t="shared" si="270"/>
        <v>0.10084579620518674</v>
      </c>
      <c r="K1609" s="29">
        <v>44750</v>
      </c>
      <c r="L1609" s="24">
        <v>21355.42</v>
      </c>
      <c r="M1609" s="25">
        <f t="shared" si="287"/>
        <v>4.5716731396524815E-3</v>
      </c>
      <c r="O1609" t="b">
        <f t="shared" si="285"/>
        <v>1</v>
      </c>
      <c r="Q1609" s="25">
        <f t="shared" si="283"/>
        <v>2.6734970083199805E-2</v>
      </c>
      <c r="R1609" s="25">
        <f t="shared" si="280"/>
        <v>0.26986942118515556</v>
      </c>
      <c r="S1609" s="25">
        <f t="shared" si="277"/>
        <v>0.14764103821572983</v>
      </c>
      <c r="T1609" s="25">
        <f t="shared" si="274"/>
        <v>0.11552187142445391</v>
      </c>
      <c r="U1609" s="25">
        <f t="shared" si="271"/>
        <v>0.11288396205205875</v>
      </c>
      <c r="X1609">
        <f t="shared" si="284"/>
        <v>0</v>
      </c>
      <c r="Y1609">
        <f t="shared" si="281"/>
        <v>0</v>
      </c>
      <c r="Z1609">
        <f t="shared" si="278"/>
        <v>0</v>
      </c>
      <c r="AA1609">
        <f t="shared" si="275"/>
        <v>0</v>
      </c>
      <c r="AB1609">
        <f t="shared" si="272"/>
        <v>0</v>
      </c>
    </row>
    <row r="1610" spans="1:28">
      <c r="A1610" s="26">
        <v>44753</v>
      </c>
      <c r="B1610" s="23">
        <v>1126.56</v>
      </c>
      <c r="C1610" s="25">
        <f t="shared" si="286"/>
        <v>5.7731079748813276E-4</v>
      </c>
      <c r="E1610" s="25">
        <f t="shared" si="282"/>
        <v>-2.712505505323981E-2</v>
      </c>
      <c r="F1610" s="25">
        <f t="shared" si="279"/>
        <v>0.24889916498038422</v>
      </c>
      <c r="G1610" s="25">
        <f t="shared" si="276"/>
        <v>0.13753494442458503</v>
      </c>
      <c r="H1610" s="25">
        <f t="shared" si="273"/>
        <v>0.11776603771324901</v>
      </c>
      <c r="I1610" s="25">
        <f t="shared" si="270"/>
        <v>9.9455178525469812E-2</v>
      </c>
      <c r="K1610" s="28">
        <v>44753</v>
      </c>
      <c r="L1610" s="23">
        <v>21446.79</v>
      </c>
      <c r="M1610" s="25">
        <f t="shared" si="287"/>
        <v>4.2603112167369853E-3</v>
      </c>
      <c r="O1610" t="b">
        <f t="shared" si="285"/>
        <v>1</v>
      </c>
      <c r="Q1610" s="25">
        <f t="shared" si="283"/>
        <v>2.8637822126936996E-2</v>
      </c>
      <c r="R1610" s="25">
        <f t="shared" si="280"/>
        <v>0.26332368736153233</v>
      </c>
      <c r="S1610" s="25">
        <f t="shared" si="277"/>
        <v>0.14677361737144423</v>
      </c>
      <c r="T1610" s="25">
        <f t="shared" si="274"/>
        <v>0.12022923065948032</v>
      </c>
      <c r="U1610" s="25">
        <f t="shared" si="271"/>
        <v>0.11215098812948865</v>
      </c>
      <c r="X1610">
        <f t="shared" si="284"/>
        <v>0</v>
      </c>
      <c r="Y1610">
        <f t="shared" si="281"/>
        <v>0</v>
      </c>
      <c r="Z1610">
        <f t="shared" si="278"/>
        <v>0</v>
      </c>
      <c r="AA1610">
        <f t="shared" si="275"/>
        <v>0</v>
      </c>
      <c r="AB1610">
        <f t="shared" si="272"/>
        <v>0</v>
      </c>
    </row>
    <row r="1611" spans="1:28">
      <c r="A1611" s="27">
        <v>44754</v>
      </c>
      <c r="B1611" s="24">
        <v>1114.3399999999999</v>
      </c>
      <c r="C1611" s="25">
        <f t="shared" si="286"/>
        <v>-1.0847180798182102E-2</v>
      </c>
      <c r="E1611" s="25">
        <f t="shared" si="282"/>
        <v>-4.1452693693926235E-2</v>
      </c>
      <c r="F1611" s="25">
        <f t="shared" si="279"/>
        <v>0.2362332491208583</v>
      </c>
      <c r="G1611" s="25">
        <f t="shared" si="276"/>
        <v>0.13184645600206957</v>
      </c>
      <c r="H1611" s="25">
        <f t="shared" si="273"/>
        <v>0.11239079030051524</v>
      </c>
      <c r="I1611" s="25">
        <f t="shared" si="270"/>
        <v>9.677193012585783E-2</v>
      </c>
      <c r="K1611" s="29">
        <v>44754</v>
      </c>
      <c r="L1611" s="24">
        <v>21281.05</v>
      </c>
      <c r="M1611" s="25">
        <f t="shared" si="287"/>
        <v>-7.7881495508915965E-3</v>
      </c>
      <c r="O1611" t="b">
        <f t="shared" si="285"/>
        <v>1</v>
      </c>
      <c r="Q1611" s="25">
        <f t="shared" si="283"/>
        <v>1.609097385222702E-2</v>
      </c>
      <c r="R1611" s="25">
        <f t="shared" si="280"/>
        <v>0.25212049158621141</v>
      </c>
      <c r="S1611" s="25">
        <f t="shared" si="277"/>
        <v>0.14324809642831204</v>
      </c>
      <c r="T1611" s="25">
        <f t="shared" si="274"/>
        <v>0.11550671345935237</v>
      </c>
      <c r="U1611" s="25">
        <f t="shared" si="271"/>
        <v>0.11047076972365777</v>
      </c>
      <c r="X1611">
        <f t="shared" si="284"/>
        <v>0</v>
      </c>
      <c r="Y1611">
        <f t="shared" si="281"/>
        <v>0</v>
      </c>
      <c r="Z1611">
        <f t="shared" si="278"/>
        <v>0</v>
      </c>
      <c r="AA1611">
        <f t="shared" si="275"/>
        <v>0</v>
      </c>
      <c r="AB1611">
        <f t="shared" si="272"/>
        <v>0</v>
      </c>
    </row>
    <row r="1612" spans="1:28">
      <c r="A1612" s="26">
        <v>44755</v>
      </c>
      <c r="B1612" s="23">
        <v>1111.18</v>
      </c>
      <c r="C1612" s="25">
        <f t="shared" si="286"/>
        <v>-2.8357592835219544E-3</v>
      </c>
      <c r="E1612" s="25">
        <f t="shared" si="282"/>
        <v>-4.4819997936939027E-2</v>
      </c>
      <c r="F1612" s="25">
        <f t="shared" si="279"/>
        <v>0.23206522838062593</v>
      </c>
      <c r="G1612" s="25">
        <f t="shared" si="276"/>
        <v>0.13463218046694836</v>
      </c>
      <c r="H1612" s="25">
        <f t="shared" si="273"/>
        <v>0.11415528436637534</v>
      </c>
      <c r="I1612" s="25">
        <f t="shared" si="270"/>
        <v>9.5451145257541059E-2</v>
      </c>
      <c r="K1612" s="28">
        <v>44755</v>
      </c>
      <c r="L1612" s="23">
        <v>21200.87</v>
      </c>
      <c r="M1612" s="25">
        <f t="shared" si="287"/>
        <v>-3.7819202702530741E-3</v>
      </c>
      <c r="O1612" t="b">
        <f t="shared" si="285"/>
        <v>1</v>
      </c>
      <c r="Q1612" s="25">
        <f t="shared" si="283"/>
        <v>1.0629768117655258E-2</v>
      </c>
      <c r="R1612" s="25">
        <f t="shared" si="280"/>
        <v>0.24385377795501562</v>
      </c>
      <c r="S1612" s="25">
        <f t="shared" si="277"/>
        <v>0.14522394707571151</v>
      </c>
      <c r="T1612" s="25">
        <f t="shared" si="274"/>
        <v>0.11579792434682235</v>
      </c>
      <c r="U1612" s="25">
        <f t="shared" si="271"/>
        <v>0.10913855649135251</v>
      </c>
      <c r="X1612">
        <f t="shared" si="284"/>
        <v>0</v>
      </c>
      <c r="Y1612">
        <f t="shared" si="281"/>
        <v>0</v>
      </c>
      <c r="Z1612">
        <f t="shared" si="278"/>
        <v>0</v>
      </c>
      <c r="AA1612">
        <f t="shared" si="275"/>
        <v>0</v>
      </c>
      <c r="AB1612">
        <f t="shared" si="272"/>
        <v>0</v>
      </c>
    </row>
    <row r="1613" spans="1:28">
      <c r="A1613" s="27">
        <v>44756</v>
      </c>
      <c r="B1613" s="24">
        <v>1110.1099999999999</v>
      </c>
      <c r="C1613" s="25">
        <f t="shared" si="286"/>
        <v>-9.6294029770168982E-4</v>
      </c>
      <c r="E1613" s="25">
        <f t="shared" si="282"/>
        <v>-3.8299604962228839E-2</v>
      </c>
      <c r="F1613" s="25">
        <f t="shared" si="279"/>
        <v>0.2330985347868737</v>
      </c>
      <c r="G1613" s="25">
        <f t="shared" si="276"/>
        <v>0.14104288612133375</v>
      </c>
      <c r="H1613" s="25">
        <f t="shared" si="273"/>
        <v>0.11459478708532922</v>
      </c>
      <c r="I1613" s="25">
        <f t="shared" si="270"/>
        <v>9.615351930368865E-2</v>
      </c>
      <c r="K1613" s="29">
        <v>44756</v>
      </c>
      <c r="L1613" s="24">
        <v>21171.19</v>
      </c>
      <c r="M1613" s="25">
        <f t="shared" si="287"/>
        <v>-1.4019051361779992E-3</v>
      </c>
      <c r="O1613" t="b">
        <f t="shared" si="285"/>
        <v>1</v>
      </c>
      <c r="Q1613" s="25">
        <f t="shared" si="283"/>
        <v>1.8240241170376592E-2</v>
      </c>
      <c r="R1613" s="25">
        <f t="shared" si="280"/>
        <v>0.24462243898367997</v>
      </c>
      <c r="S1613" s="25">
        <f t="shared" si="277"/>
        <v>0.15067107557303716</v>
      </c>
      <c r="T1613" s="25">
        <f t="shared" si="274"/>
        <v>0.11621335130267729</v>
      </c>
      <c r="U1613" s="25">
        <f t="shared" si="271"/>
        <v>0.11060600718113167</v>
      </c>
      <c r="X1613">
        <f t="shared" si="284"/>
        <v>0</v>
      </c>
      <c r="Y1613">
        <f t="shared" si="281"/>
        <v>0</v>
      </c>
      <c r="Z1613">
        <f t="shared" si="278"/>
        <v>0</v>
      </c>
      <c r="AA1613">
        <f t="shared" si="275"/>
        <v>0</v>
      </c>
      <c r="AB1613">
        <f t="shared" si="272"/>
        <v>0</v>
      </c>
    </row>
    <row r="1614" spans="1:28">
      <c r="A1614" s="26">
        <v>44757</v>
      </c>
      <c r="B1614" s="23">
        <v>1112.67</v>
      </c>
      <c r="C1614" s="25">
        <f t="shared" si="286"/>
        <v>2.3060777760764008E-3</v>
      </c>
      <c r="E1614" s="25">
        <f t="shared" si="282"/>
        <v>-2.3211103405289979E-2</v>
      </c>
      <c r="F1614" s="25">
        <f t="shared" si="279"/>
        <v>0.22994572162267235</v>
      </c>
      <c r="G1614" s="25">
        <f t="shared" si="276"/>
        <v>0.14262826135332629</v>
      </c>
      <c r="H1614" s="25">
        <f t="shared" si="273"/>
        <v>0.11322639696601944</v>
      </c>
      <c r="I1614" s="25">
        <f t="shared" si="270"/>
        <v>9.4523076033387943E-2</v>
      </c>
      <c r="K1614" s="28">
        <v>44757</v>
      </c>
      <c r="L1614" s="23">
        <v>21306.94</v>
      </c>
      <c r="M1614" s="25">
        <f t="shared" si="287"/>
        <v>6.3711635739341268E-3</v>
      </c>
      <c r="O1614" t="b">
        <f t="shared" si="285"/>
        <v>1</v>
      </c>
      <c r="Q1614" s="25">
        <f t="shared" si="283"/>
        <v>3.4176907993088257E-2</v>
      </c>
      <c r="R1614" s="25">
        <f t="shared" si="280"/>
        <v>0.24391733838665441</v>
      </c>
      <c r="S1614" s="25">
        <f t="shared" si="277"/>
        <v>0.15543051477054748</v>
      </c>
      <c r="T1614" s="25">
        <f t="shared" si="274"/>
        <v>0.11648713586515957</v>
      </c>
      <c r="U1614" s="25">
        <f t="shared" si="271"/>
        <v>0.11015934159817431</v>
      </c>
      <c r="X1614">
        <f t="shared" si="284"/>
        <v>0</v>
      </c>
      <c r="Y1614">
        <f t="shared" si="281"/>
        <v>0</v>
      </c>
      <c r="Z1614">
        <f t="shared" si="278"/>
        <v>0</v>
      </c>
      <c r="AA1614">
        <f t="shared" si="275"/>
        <v>0</v>
      </c>
      <c r="AB1614">
        <f t="shared" si="272"/>
        <v>0</v>
      </c>
    </row>
    <row r="1615" spans="1:28">
      <c r="A1615" s="27">
        <v>44760</v>
      </c>
      <c r="B1615" s="24">
        <v>1130.79</v>
      </c>
      <c r="C1615" s="25">
        <f t="shared" si="286"/>
        <v>1.628515193183953E-2</v>
      </c>
      <c r="E1615" s="25">
        <f t="shared" si="282"/>
        <v>-2.2501339880015903E-2</v>
      </c>
      <c r="F1615" s="25">
        <f t="shared" si="279"/>
        <v>0.24216838172933541</v>
      </c>
      <c r="G1615" s="25">
        <f t="shared" si="276"/>
        <v>0.15011488201140377</v>
      </c>
      <c r="H1615" s="25">
        <f t="shared" si="273"/>
        <v>0.11434745820815229</v>
      </c>
      <c r="I1615" s="25">
        <f t="shared" si="270"/>
        <v>9.9299984212484649E-2</v>
      </c>
      <c r="K1615" s="29">
        <v>44760</v>
      </c>
      <c r="L1615" s="24">
        <v>21606.99</v>
      </c>
      <c r="M1615" s="25">
        <f t="shared" si="287"/>
        <v>1.3886709810112509E-2</v>
      </c>
      <c r="O1615" t="b">
        <f t="shared" si="285"/>
        <v>1</v>
      </c>
      <c r="Q1615" s="25">
        <f t="shared" si="283"/>
        <v>3.5259794893220731E-2</v>
      </c>
      <c r="R1615" s="25">
        <f t="shared" si="280"/>
        <v>0.25457875592655155</v>
      </c>
      <c r="S1615" s="25">
        <f t="shared" si="277"/>
        <v>0.16138665732109447</v>
      </c>
      <c r="T1615" s="25">
        <f t="shared" si="274"/>
        <v>0.11804598723217063</v>
      </c>
      <c r="U1615" s="25">
        <f t="shared" si="271"/>
        <v>0.11374585499351864</v>
      </c>
      <c r="X1615">
        <f t="shared" si="284"/>
        <v>0</v>
      </c>
      <c r="Y1615">
        <f t="shared" si="281"/>
        <v>0</v>
      </c>
      <c r="Z1615">
        <f t="shared" si="278"/>
        <v>0</v>
      </c>
      <c r="AA1615">
        <f t="shared" si="275"/>
        <v>0</v>
      </c>
      <c r="AB1615">
        <f t="shared" si="272"/>
        <v>0</v>
      </c>
    </row>
    <row r="1616" spans="1:28">
      <c r="A1616" s="26">
        <v>44761</v>
      </c>
      <c r="B1616" s="23">
        <v>1135.47</v>
      </c>
      <c r="C1616" s="25">
        <f t="shared" si="286"/>
        <v>4.1386994932746694E-3</v>
      </c>
      <c r="E1616" s="25">
        <f t="shared" si="282"/>
        <v>-2.3327226279255653E-2</v>
      </c>
      <c r="F1616" s="25">
        <f t="shared" si="279"/>
        <v>0.25096506201103841</v>
      </c>
      <c r="G1616" s="25">
        <f t="shared" si="276"/>
        <v>0.15539517582115026</v>
      </c>
      <c r="H1616" s="25">
        <f t="shared" si="273"/>
        <v>0.11267587722015837</v>
      </c>
      <c r="I1616" s="25">
        <f t="shared" si="270"/>
        <v>0.10005540631934839</v>
      </c>
      <c r="K1616" s="28">
        <v>44761</v>
      </c>
      <c r="L1616" s="23">
        <v>21714.15</v>
      </c>
      <c r="M1616" s="25">
        <f t="shared" si="287"/>
        <v>4.9350308439427672E-3</v>
      </c>
      <c r="O1616" t="b">
        <f t="shared" si="285"/>
        <v>1</v>
      </c>
      <c r="Q1616" s="25">
        <f t="shared" si="283"/>
        <v>3.8923228629950346E-2</v>
      </c>
      <c r="R1616" s="25">
        <f t="shared" si="280"/>
        <v>0.26192948184081311</v>
      </c>
      <c r="S1616" s="25">
        <f t="shared" si="277"/>
        <v>0.16624228488391335</v>
      </c>
      <c r="T1616" s="25">
        <f t="shared" si="274"/>
        <v>0.11685299400903126</v>
      </c>
      <c r="U1616" s="25">
        <f t="shared" si="271"/>
        <v>0.1141145439090625</v>
      </c>
      <c r="X1616">
        <f t="shared" si="284"/>
        <v>0</v>
      </c>
      <c r="Y1616">
        <f t="shared" si="281"/>
        <v>0</v>
      </c>
      <c r="Z1616">
        <f t="shared" si="278"/>
        <v>0</v>
      </c>
      <c r="AA1616">
        <f t="shared" si="275"/>
        <v>0</v>
      </c>
      <c r="AB1616">
        <f t="shared" si="272"/>
        <v>0</v>
      </c>
    </row>
    <row r="1617" spans="1:28">
      <c r="A1617" s="27">
        <v>44762</v>
      </c>
      <c r="B1617" s="24">
        <v>1141.1300000000001</v>
      </c>
      <c r="C1617" s="25">
        <f t="shared" si="286"/>
        <v>4.9847199837953285E-3</v>
      </c>
      <c r="E1617" s="25">
        <f t="shared" si="282"/>
        <v>-1.8796378300759198E-2</v>
      </c>
      <c r="F1617" s="25">
        <f t="shared" si="279"/>
        <v>0.24642384485527158</v>
      </c>
      <c r="G1617" s="25">
        <f t="shared" si="276"/>
        <v>0.15649023017037811</v>
      </c>
      <c r="H1617" s="25">
        <f t="shared" si="273"/>
        <v>0.11445500070327563</v>
      </c>
      <c r="I1617" s="25">
        <f t="shared" si="270"/>
        <v>0.10129682771669346</v>
      </c>
      <c r="K1617" s="29">
        <v>44762</v>
      </c>
      <c r="L1617" s="24">
        <v>21888.95</v>
      </c>
      <c r="M1617" s="25">
        <f t="shared" si="287"/>
        <v>7.9857645067488055E-3</v>
      </c>
      <c r="O1617" t="b">
        <f t="shared" si="285"/>
        <v>1</v>
      </c>
      <c r="Q1617" s="25">
        <f t="shared" si="283"/>
        <v>4.8194351929579549E-2</v>
      </c>
      <c r="R1617" s="25">
        <f t="shared" si="280"/>
        <v>0.25887043892702288</v>
      </c>
      <c r="S1617" s="25">
        <f t="shared" si="277"/>
        <v>0.16933745083557561</v>
      </c>
      <c r="T1617" s="25">
        <f t="shared" si="274"/>
        <v>0.11910093769986863</v>
      </c>
      <c r="U1617" s="25">
        <f t="shared" si="271"/>
        <v>0.11502143369428697</v>
      </c>
      <c r="X1617">
        <f t="shared" si="284"/>
        <v>0</v>
      </c>
      <c r="Y1617">
        <f t="shared" si="281"/>
        <v>0</v>
      </c>
      <c r="Z1617">
        <f t="shared" si="278"/>
        <v>0</v>
      </c>
      <c r="AA1617">
        <f t="shared" si="275"/>
        <v>0</v>
      </c>
      <c r="AB1617">
        <f t="shared" si="272"/>
        <v>0</v>
      </c>
    </row>
    <row r="1618" spans="1:28">
      <c r="A1618" s="26">
        <v>44763</v>
      </c>
      <c r="B1618" s="23">
        <v>1149.8699999999999</v>
      </c>
      <c r="C1618" s="25">
        <f t="shared" si="286"/>
        <v>7.6590747767561812E-3</v>
      </c>
      <c r="E1618" s="25">
        <f t="shared" si="282"/>
        <v>-2.6108528207621218E-3</v>
      </c>
      <c r="F1618" s="25">
        <f t="shared" si="279"/>
        <v>0.25087295512340591</v>
      </c>
      <c r="G1618" s="25">
        <f t="shared" si="276"/>
        <v>0.15703028531272656</v>
      </c>
      <c r="H1618" s="25">
        <f t="shared" si="273"/>
        <v>0.11542359520108181</v>
      </c>
      <c r="I1618" s="25">
        <f t="shared" ref="I1618:I1681" si="288">((B1618/B387)^(1/5))-1</f>
        <v>0.10204154121023135</v>
      </c>
      <c r="K1618" s="28">
        <v>44763</v>
      </c>
      <c r="L1618" s="23">
        <v>22064.83</v>
      </c>
      <c r="M1618" s="25">
        <f t="shared" si="287"/>
        <v>7.971056201203499E-3</v>
      </c>
      <c r="O1618" t="b">
        <f t="shared" si="285"/>
        <v>1</v>
      </c>
      <c r="Q1618" s="25">
        <f t="shared" si="283"/>
        <v>6.1535367705887412E-2</v>
      </c>
      <c r="R1618" s="25">
        <f t="shared" si="280"/>
        <v>0.26707156698793888</v>
      </c>
      <c r="S1618" s="25">
        <f t="shared" si="277"/>
        <v>0.17103141244461062</v>
      </c>
      <c r="T1618" s="25">
        <f t="shared" si="274"/>
        <v>0.12015077467436042</v>
      </c>
      <c r="U1618" s="25">
        <f t="shared" ref="U1618:U1681" si="289">((L1618/L387)^(1/5))-1</f>
        <v>0.11660366382244325</v>
      </c>
      <c r="X1618">
        <f t="shared" si="284"/>
        <v>0</v>
      </c>
      <c r="Y1618">
        <f t="shared" si="281"/>
        <v>0</v>
      </c>
      <c r="Z1618">
        <f t="shared" si="278"/>
        <v>0</v>
      </c>
      <c r="AA1618">
        <f t="shared" si="275"/>
        <v>0</v>
      </c>
      <c r="AB1618">
        <f t="shared" ref="AB1618:AB1681" si="290">IF(I1618&gt;U1618,1,0)</f>
        <v>0</v>
      </c>
    </row>
    <row r="1619" spans="1:28">
      <c r="A1619" s="27">
        <v>44764</v>
      </c>
      <c r="B1619" s="24">
        <v>1155.73</v>
      </c>
      <c r="C1619" s="25">
        <f t="shared" si="286"/>
        <v>5.0962282692827258E-3</v>
      </c>
      <c r="E1619" s="25">
        <f t="shared" si="282"/>
        <v>1.5685662784248322E-3</v>
      </c>
      <c r="F1619" s="25">
        <f t="shared" si="279"/>
        <v>0.25551784128427935</v>
      </c>
      <c r="G1619" s="25">
        <f t="shared" si="276"/>
        <v>0.16220023478403922</v>
      </c>
      <c r="H1619" s="25">
        <f t="shared" si="273"/>
        <v>0.11336606929719917</v>
      </c>
      <c r="I1619" s="25">
        <f t="shared" si="288"/>
        <v>0.10179216723901852</v>
      </c>
      <c r="K1619" s="29">
        <v>44764</v>
      </c>
      <c r="L1619" s="24">
        <v>22165.119999999999</v>
      </c>
      <c r="M1619" s="25">
        <f t="shared" si="287"/>
        <v>4.5246766090143989E-3</v>
      </c>
      <c r="O1619" t="b">
        <f t="shared" si="285"/>
        <v>1</v>
      </c>
      <c r="Q1619" s="25">
        <f t="shared" si="283"/>
        <v>6.856315311441219E-2</v>
      </c>
      <c r="R1619" s="25">
        <f t="shared" si="280"/>
        <v>0.27435105031573892</v>
      </c>
      <c r="S1619" s="25">
        <f t="shared" si="277"/>
        <v>0.17635175422481586</v>
      </c>
      <c r="T1619" s="25">
        <f t="shared" si="274"/>
        <v>0.1187317312472298</v>
      </c>
      <c r="U1619" s="25">
        <f t="shared" si="289"/>
        <v>0.11663196220392713</v>
      </c>
      <c r="X1619">
        <f t="shared" si="284"/>
        <v>0</v>
      </c>
      <c r="Y1619">
        <f t="shared" si="281"/>
        <v>0</v>
      </c>
      <c r="Z1619">
        <f t="shared" si="278"/>
        <v>0</v>
      </c>
      <c r="AA1619">
        <f t="shared" si="275"/>
        <v>0</v>
      </c>
      <c r="AB1619">
        <f t="shared" si="290"/>
        <v>0</v>
      </c>
    </row>
    <row r="1620" spans="1:28">
      <c r="A1620" s="26">
        <v>44767</v>
      </c>
      <c r="B1620" s="23">
        <v>1155.6300000000001</v>
      </c>
      <c r="C1620" s="25">
        <f t="shared" si="286"/>
        <v>-8.6525399530953639E-5</v>
      </c>
      <c r="E1620" s="25">
        <f t="shared" si="282"/>
        <v>-8.3068024817428698E-3</v>
      </c>
      <c r="F1620" s="25">
        <f t="shared" si="279"/>
        <v>0.25554914946458029</v>
      </c>
      <c r="G1620" s="25">
        <f t="shared" si="276"/>
        <v>0.16772326170023866</v>
      </c>
      <c r="H1620" s="25">
        <f t="shared" si="273"/>
        <v>0.11266212621384253</v>
      </c>
      <c r="I1620" s="25">
        <f t="shared" si="288"/>
        <v>0.10180096373211245</v>
      </c>
      <c r="K1620" s="28">
        <v>44767</v>
      </c>
      <c r="L1620" s="23">
        <v>22077.13</v>
      </c>
      <c r="M1620" s="25">
        <f t="shared" si="287"/>
        <v>-3.9855724000356007E-3</v>
      </c>
      <c r="O1620" t="b">
        <f t="shared" si="285"/>
        <v>1</v>
      </c>
      <c r="Q1620" s="25">
        <f t="shared" si="283"/>
        <v>5.910050145909107E-2</v>
      </c>
      <c r="R1620" s="25">
        <f t="shared" si="280"/>
        <v>0.27153639307023769</v>
      </c>
      <c r="S1620" s="25">
        <f t="shared" si="277"/>
        <v>0.17932524120799997</v>
      </c>
      <c r="T1620" s="25">
        <f t="shared" si="274"/>
        <v>0.11645470294873617</v>
      </c>
      <c r="U1620" s="25">
        <f t="shared" si="289"/>
        <v>0.11600267030765843</v>
      </c>
      <c r="X1620">
        <f t="shared" si="284"/>
        <v>0</v>
      </c>
      <c r="Y1620">
        <f t="shared" si="281"/>
        <v>0</v>
      </c>
      <c r="Z1620">
        <f t="shared" si="278"/>
        <v>0</v>
      </c>
      <c r="AA1620">
        <f t="shared" si="275"/>
        <v>0</v>
      </c>
      <c r="AB1620">
        <f t="shared" si="290"/>
        <v>0</v>
      </c>
    </row>
    <row r="1621" spans="1:28">
      <c r="A1621" s="27">
        <v>44768</v>
      </c>
      <c r="B1621" s="24">
        <v>1142.1600000000001</v>
      </c>
      <c r="C1621" s="25">
        <f t="shared" si="286"/>
        <v>-1.165597985514397E-2</v>
      </c>
      <c r="E1621" s="25">
        <f t="shared" si="282"/>
        <v>-2.100012000068574E-2</v>
      </c>
      <c r="F1621" s="25">
        <f t="shared" si="279"/>
        <v>0.2543942353069033</v>
      </c>
      <c r="G1621" s="25">
        <f t="shared" si="276"/>
        <v>0.1600600186535448</v>
      </c>
      <c r="H1621" s="25">
        <f t="shared" si="273"/>
        <v>0.10776736393887854</v>
      </c>
      <c r="I1621" s="25">
        <f t="shared" si="288"/>
        <v>9.9309991532434028E-2</v>
      </c>
      <c r="K1621" s="29">
        <v>44768</v>
      </c>
      <c r="L1621" s="24">
        <v>21864.15</v>
      </c>
      <c r="M1621" s="25">
        <f t="shared" si="287"/>
        <v>-9.7410601372566307E-3</v>
      </c>
      <c r="O1621" t="b">
        <f t="shared" si="285"/>
        <v>1</v>
      </c>
      <c r="Q1621" s="25">
        <f t="shared" si="283"/>
        <v>4.7304158723163958E-2</v>
      </c>
      <c r="R1621" s="25">
        <f t="shared" si="280"/>
        <v>0.27266674514323674</v>
      </c>
      <c r="S1621" s="25">
        <f t="shared" si="277"/>
        <v>0.17371544162205588</v>
      </c>
      <c r="T1621" s="25">
        <f t="shared" si="274"/>
        <v>0.11282265842333206</v>
      </c>
      <c r="U1621" s="25">
        <f t="shared" si="289"/>
        <v>0.11356442042593073</v>
      </c>
      <c r="X1621">
        <f t="shared" si="284"/>
        <v>0</v>
      </c>
      <c r="Y1621">
        <f t="shared" si="281"/>
        <v>0</v>
      </c>
      <c r="Z1621">
        <f t="shared" si="278"/>
        <v>0</v>
      </c>
      <c r="AA1621">
        <f t="shared" si="275"/>
        <v>0</v>
      </c>
      <c r="AB1621">
        <f t="shared" si="290"/>
        <v>0</v>
      </c>
    </row>
    <row r="1622" spans="1:28">
      <c r="A1622" s="26">
        <v>44769</v>
      </c>
      <c r="B1622" s="23">
        <v>1152.24</v>
      </c>
      <c r="C1622" s="25">
        <f t="shared" si="286"/>
        <v>8.82538348392513E-3</v>
      </c>
      <c r="E1622" s="25">
        <f t="shared" si="282"/>
        <v>-1.7932633301513623E-2</v>
      </c>
      <c r="F1622" s="25">
        <f t="shared" si="279"/>
        <v>0.25029979581758743</v>
      </c>
      <c r="G1622" s="25">
        <f t="shared" si="276"/>
        <v>0.16895816965347832</v>
      </c>
      <c r="H1622" s="25">
        <f t="shared" si="273"/>
        <v>0.11057700728177733</v>
      </c>
      <c r="I1622" s="25">
        <f t="shared" si="288"/>
        <v>0.10040338505552993</v>
      </c>
      <c r="K1622" s="28">
        <v>44769</v>
      </c>
      <c r="L1622" s="23">
        <v>22053.68</v>
      </c>
      <c r="M1622" s="25">
        <f t="shared" si="287"/>
        <v>8.5940305654203207E-3</v>
      </c>
      <c r="O1622" t="b">
        <f t="shared" si="285"/>
        <v>1</v>
      </c>
      <c r="Q1622" s="25">
        <f t="shared" si="283"/>
        <v>4.7173838412663871E-2</v>
      </c>
      <c r="R1622" s="25">
        <f t="shared" si="280"/>
        <v>0.26806223898954906</v>
      </c>
      <c r="S1622" s="25">
        <f t="shared" si="277"/>
        <v>0.18177736362187136</v>
      </c>
      <c r="T1622" s="25">
        <f t="shared" si="274"/>
        <v>0.11518992573324094</v>
      </c>
      <c r="U1622" s="25">
        <f t="shared" si="289"/>
        <v>0.1143028334337437</v>
      </c>
      <c r="X1622">
        <f t="shared" si="284"/>
        <v>0</v>
      </c>
      <c r="Y1622">
        <f t="shared" si="281"/>
        <v>0</v>
      </c>
      <c r="Z1622">
        <f t="shared" si="278"/>
        <v>0</v>
      </c>
      <c r="AA1622">
        <f t="shared" si="275"/>
        <v>0</v>
      </c>
      <c r="AB1622">
        <f t="shared" si="290"/>
        <v>0</v>
      </c>
    </row>
    <row r="1623" spans="1:28">
      <c r="A1623" s="27">
        <v>44770</v>
      </c>
      <c r="B1623" s="24">
        <v>1168.52</v>
      </c>
      <c r="C1623" s="25">
        <f t="shared" si="286"/>
        <v>1.4129000902589714E-2</v>
      </c>
      <c r="E1623" s="25">
        <f t="shared" si="282"/>
        <v>-1.225676658044661E-2</v>
      </c>
      <c r="F1623" s="25">
        <f t="shared" si="279"/>
        <v>0.25464126961576539</v>
      </c>
      <c r="G1623" s="25">
        <f t="shared" si="276"/>
        <v>0.17510069231128189</v>
      </c>
      <c r="H1623" s="25">
        <f t="shared" si="273"/>
        <v>0.11566684319614917</v>
      </c>
      <c r="I1623" s="25">
        <f t="shared" si="288"/>
        <v>0.10286919184459542</v>
      </c>
      <c r="K1623" s="29">
        <v>44770</v>
      </c>
      <c r="L1623" s="24">
        <v>22374.32</v>
      </c>
      <c r="M1623" s="25">
        <f t="shared" si="287"/>
        <v>1.4330714855244737E-2</v>
      </c>
      <c r="O1623" t="b">
        <f t="shared" si="285"/>
        <v>1</v>
      </c>
      <c r="Q1623" s="25">
        <f t="shared" si="283"/>
        <v>5.0538173609115722E-2</v>
      </c>
      <c r="R1623" s="25">
        <f t="shared" si="280"/>
        <v>0.27615714722960005</v>
      </c>
      <c r="S1623" s="25">
        <f t="shared" si="277"/>
        <v>0.18697072538161219</v>
      </c>
      <c r="T1623" s="25">
        <f t="shared" si="274"/>
        <v>0.12099811787679537</v>
      </c>
      <c r="U1623" s="25">
        <f t="shared" si="289"/>
        <v>0.11703347464908509</v>
      </c>
      <c r="X1623">
        <f t="shared" si="284"/>
        <v>0</v>
      </c>
      <c r="Y1623">
        <f t="shared" si="281"/>
        <v>0</v>
      </c>
      <c r="Z1623">
        <f t="shared" si="278"/>
        <v>0</v>
      </c>
      <c r="AA1623">
        <f t="shared" si="275"/>
        <v>0</v>
      </c>
      <c r="AB1623">
        <f t="shared" si="290"/>
        <v>0</v>
      </c>
    </row>
    <row r="1624" spans="1:28">
      <c r="A1624" s="26">
        <v>44771</v>
      </c>
      <c r="B1624" s="23">
        <v>1183.3900000000001</v>
      </c>
      <c r="C1624" s="25">
        <f t="shared" si="286"/>
        <v>1.2725498921713038E-2</v>
      </c>
      <c r="E1624" s="25">
        <f t="shared" si="282"/>
        <v>-4.3922257604034343E-4</v>
      </c>
      <c r="F1624" s="25">
        <f t="shared" si="279"/>
        <v>0.2570065333673619</v>
      </c>
      <c r="G1624" s="25">
        <f t="shared" si="276"/>
        <v>0.18457764816110411</v>
      </c>
      <c r="H1624" s="25">
        <f t="shared" ref="H1624:H1687" si="291">((B1624/B643)^(1/4))-1</f>
        <v>0.11661382311935942</v>
      </c>
      <c r="I1624" s="25">
        <f t="shared" si="288"/>
        <v>0.10605138680151871</v>
      </c>
      <c r="K1624" s="28">
        <v>44771</v>
      </c>
      <c r="L1624" s="23">
        <v>22678.29</v>
      </c>
      <c r="M1624" s="25">
        <f t="shared" si="287"/>
        <v>1.3403567905693116E-2</v>
      </c>
      <c r="O1624" t="b">
        <f t="shared" si="285"/>
        <v>1</v>
      </c>
      <c r="Q1624" s="25">
        <f t="shared" si="283"/>
        <v>6.2492679585578026E-2</v>
      </c>
      <c r="R1624" s="25">
        <f t="shared" si="280"/>
        <v>0.27903195965111238</v>
      </c>
      <c r="S1624" s="25">
        <f t="shared" si="277"/>
        <v>0.19733134332823021</v>
      </c>
      <c r="T1624" s="25">
        <f t="shared" ref="T1624:T1687" si="292">((L1624/L643)^(1/4))-1</f>
        <v>0.12195854740248513</v>
      </c>
      <c r="U1624" s="25">
        <f t="shared" si="289"/>
        <v>0.12068013009772738</v>
      </c>
      <c r="X1624">
        <f t="shared" si="284"/>
        <v>0</v>
      </c>
      <c r="Y1624">
        <f t="shared" si="281"/>
        <v>0</v>
      </c>
      <c r="Z1624">
        <f t="shared" si="278"/>
        <v>0</v>
      </c>
      <c r="AA1624">
        <f t="shared" ref="AA1624:AA1687" si="293">IF(H1624&gt;T1624,1,0)</f>
        <v>0</v>
      </c>
      <c r="AB1624">
        <f t="shared" si="290"/>
        <v>0</v>
      </c>
    </row>
    <row r="1625" spans="1:28">
      <c r="A1625" s="27">
        <v>44774</v>
      </c>
      <c r="B1625" s="24">
        <v>1194.9100000000001</v>
      </c>
      <c r="C1625" s="25">
        <f t="shared" si="286"/>
        <v>9.7347450967136626E-3</v>
      </c>
      <c r="E1625" s="25">
        <f t="shared" si="282"/>
        <v>8.0991470585756176E-3</v>
      </c>
      <c r="F1625" s="25">
        <f t="shared" si="279"/>
        <v>0.26098199201279249</v>
      </c>
      <c r="G1625" s="25">
        <f t="shared" si="276"/>
        <v>0.182557944639264</v>
      </c>
      <c r="H1625" s="25">
        <f t="shared" si="291"/>
        <v>0.11867906417784568</v>
      </c>
      <c r="I1625" s="25">
        <f t="shared" si="288"/>
        <v>0.10968749048041393</v>
      </c>
      <c r="K1625" s="29">
        <v>44774</v>
      </c>
      <c r="L1625" s="24">
        <v>22960.55</v>
      </c>
      <c r="M1625" s="25">
        <f t="shared" si="287"/>
        <v>1.2293259525577497E-2</v>
      </c>
      <c r="O1625" t="b">
        <f t="shared" si="285"/>
        <v>1</v>
      </c>
      <c r="Q1625" s="25">
        <f t="shared" si="283"/>
        <v>7.464383384045381E-2</v>
      </c>
      <c r="R1625" s="25">
        <f t="shared" si="280"/>
        <v>0.28489703427373514</v>
      </c>
      <c r="S1625" s="25">
        <f t="shared" si="277"/>
        <v>0.19836786606089651</v>
      </c>
      <c r="T1625" s="25">
        <f t="shared" si="292"/>
        <v>0.12472916479748775</v>
      </c>
      <c r="U1625" s="25">
        <f t="shared" si="289"/>
        <v>0.1249253897217979</v>
      </c>
      <c r="X1625">
        <f t="shared" si="284"/>
        <v>0</v>
      </c>
      <c r="Y1625">
        <f t="shared" si="281"/>
        <v>0</v>
      </c>
      <c r="Z1625">
        <f t="shared" si="278"/>
        <v>0</v>
      </c>
      <c r="AA1625">
        <f t="shared" si="293"/>
        <v>0</v>
      </c>
      <c r="AB1625">
        <f t="shared" si="290"/>
        <v>0</v>
      </c>
    </row>
    <row r="1626" spans="1:28">
      <c r="A1626" s="26">
        <v>44775</v>
      </c>
      <c r="B1626" s="23">
        <v>1193.22</v>
      </c>
      <c r="C1626" s="25">
        <f t="shared" si="286"/>
        <v>-1.4143324601853316E-3</v>
      </c>
      <c r="E1626" s="25">
        <f t="shared" si="282"/>
        <v>8.4600366798792681E-3</v>
      </c>
      <c r="F1626" s="25">
        <f t="shared" si="279"/>
        <v>0.2531718115907422</v>
      </c>
      <c r="G1626" s="25">
        <f t="shared" si="276"/>
        <v>0.18444222580947134</v>
      </c>
      <c r="H1626" s="25">
        <f t="shared" si="291"/>
        <v>0.1181074959034456</v>
      </c>
      <c r="I1626" s="25">
        <f t="shared" si="288"/>
        <v>0.10770315114231366</v>
      </c>
      <c r="K1626" s="28">
        <v>44775</v>
      </c>
      <c r="L1626" s="23">
        <v>23008.71</v>
      </c>
      <c r="M1626" s="25">
        <f t="shared" si="287"/>
        <v>2.093120387887885E-3</v>
      </c>
      <c r="O1626" t="b">
        <f t="shared" si="285"/>
        <v>1</v>
      </c>
      <c r="Q1626" s="25">
        <f t="shared" si="283"/>
        <v>7.896233736696856E-2</v>
      </c>
      <c r="R1626" s="25">
        <f t="shared" si="280"/>
        <v>0.28138182488185293</v>
      </c>
      <c r="S1626" s="25">
        <f t="shared" si="277"/>
        <v>0.20207836223996822</v>
      </c>
      <c r="T1626" s="25">
        <f t="shared" si="292"/>
        <v>0.12544989377850402</v>
      </c>
      <c r="U1626" s="25">
        <f t="shared" si="289"/>
        <v>0.1241816556966655</v>
      </c>
      <c r="X1626">
        <f t="shared" si="284"/>
        <v>0</v>
      </c>
      <c r="Y1626">
        <f t="shared" si="281"/>
        <v>0</v>
      </c>
      <c r="Z1626">
        <f t="shared" si="278"/>
        <v>0</v>
      </c>
      <c r="AA1626">
        <f t="shared" si="293"/>
        <v>0</v>
      </c>
      <c r="AB1626">
        <f t="shared" si="290"/>
        <v>0</v>
      </c>
    </row>
    <row r="1627" spans="1:28">
      <c r="A1627" s="27">
        <v>44776</v>
      </c>
      <c r="B1627" s="24">
        <v>1194.32</v>
      </c>
      <c r="C1627" s="25">
        <f t="shared" si="286"/>
        <v>9.2187526189630494E-4</v>
      </c>
      <c r="E1627" s="25">
        <f t="shared" si="282"/>
        <v>1.1724044456492111E-2</v>
      </c>
      <c r="F1627" s="25">
        <f t="shared" si="279"/>
        <v>0.25528673294544868</v>
      </c>
      <c r="G1627" s="25">
        <f t="shared" si="276"/>
        <v>0.18000542406620879</v>
      </c>
      <c r="H1627" s="25">
        <f t="shared" si="291"/>
        <v>0.11754627289046327</v>
      </c>
      <c r="I1627" s="25">
        <f t="shared" si="288"/>
        <v>0.10702062580780258</v>
      </c>
      <c r="K1627" s="29">
        <v>44776</v>
      </c>
      <c r="L1627" s="24">
        <v>23012.66</v>
      </c>
      <c r="M1627" s="25">
        <f t="shared" si="287"/>
        <v>1.7164465124851831E-4</v>
      </c>
      <c r="O1627" t="b">
        <f t="shared" si="285"/>
        <v>1</v>
      </c>
      <c r="Q1627" s="25">
        <f t="shared" si="283"/>
        <v>8.0598848339681117E-2</v>
      </c>
      <c r="R1627" s="25">
        <f t="shared" si="280"/>
        <v>0.27994318346948677</v>
      </c>
      <c r="S1627" s="25">
        <f t="shared" si="277"/>
        <v>0.19645674558175341</v>
      </c>
      <c r="T1627" s="25">
        <f t="shared" si="292"/>
        <v>0.12433597292466692</v>
      </c>
      <c r="U1627" s="25">
        <f t="shared" si="289"/>
        <v>0.12344405943588943</v>
      </c>
      <c r="X1627">
        <f t="shared" si="284"/>
        <v>0</v>
      </c>
      <c r="Y1627">
        <f t="shared" si="281"/>
        <v>0</v>
      </c>
      <c r="Z1627">
        <f t="shared" si="278"/>
        <v>0</v>
      </c>
      <c r="AA1627">
        <f t="shared" si="293"/>
        <v>0</v>
      </c>
      <c r="AB1627">
        <f t="shared" si="290"/>
        <v>0</v>
      </c>
    </row>
    <row r="1628" spans="1:28">
      <c r="A1628" s="26">
        <v>44777</v>
      </c>
      <c r="B1628" s="23">
        <v>1197.53</v>
      </c>
      <c r="C1628" s="25">
        <f t="shared" si="286"/>
        <v>2.6877218835823203E-3</v>
      </c>
      <c r="E1628" s="25">
        <f t="shared" si="282"/>
        <v>1.7338928911241114E-2</v>
      </c>
      <c r="F1628" s="25">
        <f t="shared" si="279"/>
        <v>0.25595385153657713</v>
      </c>
      <c r="G1628" s="25">
        <f t="shared" si="276"/>
        <v>0.17877413859184865</v>
      </c>
      <c r="H1628" s="25">
        <f t="shared" si="291"/>
        <v>0.11739275600463617</v>
      </c>
      <c r="I1628" s="25">
        <f t="shared" si="288"/>
        <v>0.1089644852834164</v>
      </c>
      <c r="K1628" s="28">
        <v>44777</v>
      </c>
      <c r="L1628" s="23">
        <v>23035.97</v>
      </c>
      <c r="M1628" s="25">
        <f t="shared" si="287"/>
        <v>1.0118957439170702E-3</v>
      </c>
      <c r="O1628" t="b">
        <f t="shared" si="285"/>
        <v>1</v>
      </c>
      <c r="Q1628" s="25">
        <f t="shared" si="283"/>
        <v>8.4963653952850438E-2</v>
      </c>
      <c r="R1628" s="25">
        <f t="shared" si="280"/>
        <v>0.28101812242922342</v>
      </c>
      <c r="S1628" s="25">
        <f t="shared" si="277"/>
        <v>0.19389951287770013</v>
      </c>
      <c r="T1628" s="25">
        <f t="shared" si="292"/>
        <v>0.12389274228432234</v>
      </c>
      <c r="U1628" s="25">
        <f t="shared" si="289"/>
        <v>0.12570672400386274</v>
      </c>
      <c r="X1628">
        <f t="shared" si="284"/>
        <v>0</v>
      </c>
      <c r="Y1628">
        <f t="shared" si="281"/>
        <v>0</v>
      </c>
      <c r="Z1628">
        <f t="shared" si="278"/>
        <v>0</v>
      </c>
      <c r="AA1628">
        <f t="shared" si="293"/>
        <v>0</v>
      </c>
      <c r="AB1628">
        <f t="shared" si="290"/>
        <v>0</v>
      </c>
    </row>
    <row r="1629" spans="1:28">
      <c r="A1629" s="27">
        <v>44778</v>
      </c>
      <c r="B1629" s="24">
        <v>1200.8699999999999</v>
      </c>
      <c r="C1629" s="25">
        <f t="shared" si="286"/>
        <v>2.7890741776823279E-3</v>
      </c>
      <c r="E1629" s="25">
        <f t="shared" si="282"/>
        <v>2.1921352043638542E-2</v>
      </c>
      <c r="F1629" s="25">
        <f t="shared" si="279"/>
        <v>0.25527583268420817</v>
      </c>
      <c r="G1629" s="25">
        <f t="shared" si="276"/>
        <v>0.18876973986160905</v>
      </c>
      <c r="H1629" s="25">
        <f t="shared" si="291"/>
        <v>0.11897673938975206</v>
      </c>
      <c r="I1629" s="25">
        <f t="shared" si="288"/>
        <v>0.11178351617395799</v>
      </c>
      <c r="K1629" s="29">
        <v>44778</v>
      </c>
      <c r="L1629" s="24">
        <v>23048.31</v>
      </c>
      <c r="M1629" s="25">
        <f t="shared" si="287"/>
        <v>5.3539717228725863E-4</v>
      </c>
      <c r="O1629" t="b">
        <f t="shared" si="285"/>
        <v>1</v>
      </c>
      <c r="Q1629" s="25">
        <f t="shared" si="283"/>
        <v>8.6764081817410244E-2</v>
      </c>
      <c r="R1629" s="25">
        <f t="shared" si="280"/>
        <v>0.27956356613941113</v>
      </c>
      <c r="S1629" s="25">
        <f t="shared" si="277"/>
        <v>0.20100248248686658</v>
      </c>
      <c r="T1629" s="25">
        <f t="shared" si="292"/>
        <v>0.12533030945234369</v>
      </c>
      <c r="U1629" s="25">
        <f t="shared" si="289"/>
        <v>0.12815423163067963</v>
      </c>
      <c r="X1629">
        <f t="shared" si="284"/>
        <v>0</v>
      </c>
      <c r="Y1629">
        <f t="shared" si="281"/>
        <v>0</v>
      </c>
      <c r="Z1629">
        <f t="shared" si="278"/>
        <v>0</v>
      </c>
      <c r="AA1629">
        <f t="shared" si="293"/>
        <v>0</v>
      </c>
      <c r="AB1629">
        <f t="shared" si="290"/>
        <v>0</v>
      </c>
    </row>
    <row r="1630" spans="1:28">
      <c r="A1630" s="26">
        <v>44781</v>
      </c>
      <c r="B1630" s="23">
        <v>1207.3800000000001</v>
      </c>
      <c r="C1630" s="25">
        <f t="shared" si="286"/>
        <v>5.4210697244499563E-3</v>
      </c>
      <c r="E1630" s="25">
        <f t="shared" si="282"/>
        <v>1.9255932532480369E-2</v>
      </c>
      <c r="F1630" s="25">
        <f t="shared" si="279"/>
        <v>0.26550864749640568</v>
      </c>
      <c r="G1630" s="25">
        <f t="shared" si="276"/>
        <v>0.18635647613276873</v>
      </c>
      <c r="H1630" s="25">
        <f t="shared" si="291"/>
        <v>0.12249589679642447</v>
      </c>
      <c r="I1630" s="25">
        <f t="shared" si="288"/>
        <v>0.11625488800140049</v>
      </c>
      <c r="K1630" s="28">
        <v>44781</v>
      </c>
      <c r="L1630" s="23">
        <v>23199.97</v>
      </c>
      <c r="M1630" s="25">
        <f t="shared" si="287"/>
        <v>6.5370774186345867E-3</v>
      </c>
      <c r="O1630" t="b">
        <f t="shared" si="285"/>
        <v>1</v>
      </c>
      <c r="Q1630" s="25">
        <f t="shared" si="283"/>
        <v>8.6353000562375604E-2</v>
      </c>
      <c r="R1630" s="25">
        <f t="shared" si="280"/>
        <v>0.29025600606904822</v>
      </c>
      <c r="S1630" s="25">
        <f t="shared" si="277"/>
        <v>0.19988884941569451</v>
      </c>
      <c r="T1630" s="25">
        <f t="shared" si="292"/>
        <v>0.12913357514313306</v>
      </c>
      <c r="U1630" s="25">
        <f t="shared" si="289"/>
        <v>0.13329887642846883</v>
      </c>
      <c r="X1630">
        <f t="shared" si="284"/>
        <v>0</v>
      </c>
      <c r="Y1630">
        <f t="shared" si="281"/>
        <v>0</v>
      </c>
      <c r="Z1630">
        <f t="shared" si="278"/>
        <v>0</v>
      </c>
      <c r="AA1630">
        <f t="shared" si="293"/>
        <v>0</v>
      </c>
      <c r="AB1630">
        <f t="shared" si="290"/>
        <v>0</v>
      </c>
    </row>
    <row r="1631" spans="1:28">
      <c r="A1631" s="27">
        <v>44783</v>
      </c>
      <c r="B1631" s="24">
        <v>1209.79</v>
      </c>
      <c r="C1631" s="25">
        <f t="shared" si="286"/>
        <v>1.9960575792210026E-3</v>
      </c>
      <c r="E1631" s="25">
        <f t="shared" si="282"/>
        <v>1.5486762804908905E-2</v>
      </c>
      <c r="F1631" s="25">
        <f t="shared" si="279"/>
        <v>0.2654121861461185</v>
      </c>
      <c r="G1631" s="25">
        <f t="shared" si="276"/>
        <v>0.186418348035162</v>
      </c>
      <c r="H1631" s="25">
        <f t="shared" si="291"/>
        <v>0.1200558785543322</v>
      </c>
      <c r="I1631" s="25">
        <f t="shared" si="288"/>
        <v>0.11837145415896266</v>
      </c>
      <c r="K1631" s="29">
        <v>44783</v>
      </c>
      <c r="L1631" s="24">
        <v>23191.7</v>
      </c>
      <c r="M1631" s="25">
        <f t="shared" si="287"/>
        <v>-3.5659309149395845E-4</v>
      </c>
      <c r="O1631" t="b">
        <f t="shared" si="285"/>
        <v>1</v>
      </c>
      <c r="Q1631" s="25">
        <f t="shared" si="283"/>
        <v>7.8735901643614437E-2</v>
      </c>
      <c r="R1631" s="25">
        <f t="shared" si="280"/>
        <v>0.28628592140497378</v>
      </c>
      <c r="S1631" s="25">
        <f t="shared" si="277"/>
        <v>0.1989412350529538</v>
      </c>
      <c r="T1631" s="25">
        <f t="shared" si="292"/>
        <v>0.12687229464777938</v>
      </c>
      <c r="U1631" s="25">
        <f t="shared" si="289"/>
        <v>0.13502395759863606</v>
      </c>
      <c r="X1631">
        <f t="shared" si="284"/>
        <v>0</v>
      </c>
      <c r="Y1631">
        <f t="shared" si="281"/>
        <v>0</v>
      </c>
      <c r="Z1631">
        <f t="shared" si="278"/>
        <v>0</v>
      </c>
      <c r="AA1631">
        <f t="shared" si="293"/>
        <v>0</v>
      </c>
      <c r="AB1631">
        <f t="shared" si="290"/>
        <v>0</v>
      </c>
    </row>
    <row r="1632" spans="1:28">
      <c r="A1632" s="26">
        <v>44784</v>
      </c>
      <c r="B1632" s="23">
        <v>1219.18</v>
      </c>
      <c r="C1632" s="25">
        <f t="shared" si="286"/>
        <v>7.7616776465337786E-3</v>
      </c>
      <c r="E1632" s="25">
        <f t="shared" si="282"/>
        <v>2.4219767295333483E-2</v>
      </c>
      <c r="F1632" s="25">
        <f t="shared" si="279"/>
        <v>0.26165140210818727</v>
      </c>
      <c r="G1632" s="25">
        <f t="shared" si="276"/>
        <v>0.18874201058358575</v>
      </c>
      <c r="H1632" s="25">
        <f t="shared" si="291"/>
        <v>0.12266867596140041</v>
      </c>
      <c r="I1632" s="25">
        <f t="shared" si="288"/>
        <v>0.11646722765488793</v>
      </c>
      <c r="K1632" s="28">
        <v>44784</v>
      </c>
      <c r="L1632" s="23">
        <v>23369.29</v>
      </c>
      <c r="M1632" s="25">
        <f t="shared" si="287"/>
        <v>7.5992894948883833E-3</v>
      </c>
      <c r="O1632" t="b">
        <f t="shared" si="285"/>
        <v>1</v>
      </c>
      <c r="Q1632" s="25">
        <f t="shared" si="283"/>
        <v>8.6573275250809711E-2</v>
      </c>
      <c r="R1632" s="25">
        <f t="shared" si="280"/>
        <v>0.2833153754672566</v>
      </c>
      <c r="S1632" s="25">
        <f t="shared" si="277"/>
        <v>0.20148592811966171</v>
      </c>
      <c r="T1632" s="25">
        <f t="shared" si="292"/>
        <v>0.13020080027288605</v>
      </c>
      <c r="U1632" s="25">
        <f t="shared" si="289"/>
        <v>0.13369512436546449</v>
      </c>
      <c r="X1632">
        <f t="shared" si="284"/>
        <v>0</v>
      </c>
      <c r="Y1632">
        <f t="shared" si="281"/>
        <v>0</v>
      </c>
      <c r="Z1632">
        <f t="shared" si="278"/>
        <v>0</v>
      </c>
      <c r="AA1632">
        <f t="shared" si="293"/>
        <v>0</v>
      </c>
      <c r="AB1632">
        <f t="shared" si="290"/>
        <v>0</v>
      </c>
    </row>
    <row r="1633" spans="1:28">
      <c r="A1633" s="27">
        <v>44785</v>
      </c>
      <c r="B1633" s="24">
        <v>1220.6099999999999</v>
      </c>
      <c r="C1633" s="25">
        <f t="shared" si="286"/>
        <v>1.1729195032725572E-3</v>
      </c>
      <c r="E1633" s="25">
        <f t="shared" si="282"/>
        <v>2.1533543117300269E-2</v>
      </c>
      <c r="F1633" s="25">
        <f t="shared" si="279"/>
        <v>0.25918936242112189</v>
      </c>
      <c r="G1633" s="25">
        <f t="shared" si="276"/>
        <v>0.1917957703891815</v>
      </c>
      <c r="H1633" s="25">
        <f t="shared" si="291"/>
        <v>0.11935831958539489</v>
      </c>
      <c r="I1633" s="25">
        <f t="shared" si="288"/>
        <v>0.11410048489361713</v>
      </c>
      <c r="K1633" s="29">
        <v>44785</v>
      </c>
      <c r="L1633" s="24">
        <v>23440.39</v>
      </c>
      <c r="M1633" s="25">
        <f t="shared" si="287"/>
        <v>3.0332259830147257E-3</v>
      </c>
      <c r="O1633" t="b">
        <f t="shared" si="285"/>
        <v>1</v>
      </c>
      <c r="Q1633" s="25">
        <f t="shared" si="283"/>
        <v>8.6550361976561518E-2</v>
      </c>
      <c r="R1633" s="25">
        <f t="shared" si="280"/>
        <v>0.28313652943840961</v>
      </c>
      <c r="S1633" s="25">
        <f t="shared" si="277"/>
        <v>0.20448028240871841</v>
      </c>
      <c r="T1633" s="25">
        <f t="shared" si="292"/>
        <v>0.1286054177087399</v>
      </c>
      <c r="U1633" s="25">
        <f t="shared" si="289"/>
        <v>0.13189359213175589</v>
      </c>
      <c r="X1633">
        <f t="shared" si="284"/>
        <v>0</v>
      </c>
      <c r="Y1633">
        <f t="shared" si="281"/>
        <v>0</v>
      </c>
      <c r="Z1633">
        <f t="shared" si="278"/>
        <v>0</v>
      </c>
      <c r="AA1633">
        <f t="shared" si="293"/>
        <v>0</v>
      </c>
      <c r="AB1633">
        <f t="shared" si="290"/>
        <v>0</v>
      </c>
    </row>
    <row r="1634" spans="1:28">
      <c r="A1634" s="26">
        <v>44789</v>
      </c>
      <c r="B1634" s="23">
        <v>1226.6500000000001</v>
      </c>
      <c r="C1634" s="25">
        <f t="shared" si="286"/>
        <v>4.948345499381614E-3</v>
      </c>
      <c r="E1634" s="25">
        <f t="shared" si="282"/>
        <v>2.6450997456152203E-2</v>
      </c>
      <c r="F1634" s="25">
        <f t="shared" si="279"/>
        <v>0.26468529358707271</v>
      </c>
      <c r="G1634" s="25">
        <f t="shared" si="276"/>
        <v>0.19821171016974737</v>
      </c>
      <c r="H1634" s="25">
        <f t="shared" si="291"/>
        <v>0.11966199980561965</v>
      </c>
      <c r="I1634" s="25">
        <f t="shared" si="288"/>
        <v>0.11486874101593569</v>
      </c>
      <c r="K1634" s="28">
        <v>44789</v>
      </c>
      <c r="L1634" s="23">
        <v>23657</v>
      </c>
      <c r="M1634" s="25">
        <f t="shared" si="287"/>
        <v>9.1562750982796034E-3</v>
      </c>
      <c r="O1634" t="b">
        <f t="shared" si="285"/>
        <v>1</v>
      </c>
      <c r="Q1634" s="25">
        <f t="shared" si="283"/>
        <v>9.7918331620809207E-2</v>
      </c>
      <c r="R1634" s="25">
        <f t="shared" si="280"/>
        <v>0.29204987819298101</v>
      </c>
      <c r="S1634" s="25">
        <f t="shared" si="277"/>
        <v>0.21232674672120111</v>
      </c>
      <c r="T1634" s="25">
        <f t="shared" si="292"/>
        <v>0.12917074827938069</v>
      </c>
      <c r="U1634" s="25">
        <f t="shared" si="289"/>
        <v>0.13377913018351828</v>
      </c>
      <c r="X1634">
        <f t="shared" si="284"/>
        <v>0</v>
      </c>
      <c r="Y1634">
        <f t="shared" si="281"/>
        <v>0</v>
      </c>
      <c r="Z1634">
        <f t="shared" si="278"/>
        <v>0</v>
      </c>
      <c r="AA1634">
        <f t="shared" si="293"/>
        <v>0</v>
      </c>
      <c r="AB1634">
        <f t="shared" si="290"/>
        <v>0</v>
      </c>
    </row>
    <row r="1635" spans="1:28">
      <c r="A1635" s="27">
        <v>44790</v>
      </c>
      <c r="B1635" s="24">
        <v>1237.19</v>
      </c>
      <c r="C1635" s="25">
        <f t="shared" si="286"/>
        <v>8.5925080503810886E-3</v>
      </c>
      <c r="E1635" s="25">
        <f t="shared" si="282"/>
        <v>5.341178073327324E-2</v>
      </c>
      <c r="F1635" s="25">
        <f t="shared" si="279"/>
        <v>0.26704613033535574</v>
      </c>
      <c r="G1635" s="25">
        <f t="shared" si="276"/>
        <v>0.20811817230828544</v>
      </c>
      <c r="H1635" s="25">
        <f t="shared" si="291"/>
        <v>0.12147798422907163</v>
      </c>
      <c r="I1635" s="25">
        <f t="shared" si="288"/>
        <v>0.11808100169446956</v>
      </c>
      <c r="K1635" s="29">
        <v>44790</v>
      </c>
      <c r="L1635" s="24">
        <v>23809.95</v>
      </c>
      <c r="M1635" s="25">
        <f t="shared" si="287"/>
        <v>6.4237850142482757E-3</v>
      </c>
      <c r="O1635" t="b">
        <f t="shared" si="285"/>
        <v>1</v>
      </c>
      <c r="Q1635" s="25">
        <f t="shared" si="283"/>
        <v>0.1170225492656769</v>
      </c>
      <c r="R1635" s="25">
        <f t="shared" si="280"/>
        <v>0.29242418277139071</v>
      </c>
      <c r="S1635" s="25">
        <f t="shared" si="277"/>
        <v>0.22156692543672363</v>
      </c>
      <c r="T1635" s="25">
        <f t="shared" si="292"/>
        <v>0.13033372385273023</v>
      </c>
      <c r="U1635" s="25">
        <f t="shared" si="289"/>
        <v>0.136520347813476</v>
      </c>
      <c r="X1635">
        <f t="shared" si="284"/>
        <v>0</v>
      </c>
      <c r="Y1635">
        <f t="shared" si="281"/>
        <v>0</v>
      </c>
      <c r="Z1635">
        <f t="shared" si="278"/>
        <v>0</v>
      </c>
      <c r="AA1635">
        <f t="shared" si="293"/>
        <v>0</v>
      </c>
      <c r="AB1635">
        <f t="shared" si="290"/>
        <v>0</v>
      </c>
    </row>
    <row r="1636" spans="1:28">
      <c r="A1636" s="26">
        <v>44791</v>
      </c>
      <c r="B1636" s="23">
        <v>1237.05</v>
      </c>
      <c r="C1636" s="25">
        <f t="shared" si="286"/>
        <v>-1.1315966019778695E-4</v>
      </c>
      <c r="E1636" s="25">
        <f t="shared" si="282"/>
        <v>5.4441773640873325E-2</v>
      </c>
      <c r="F1636" s="25">
        <f t="shared" si="279"/>
        <v>0.26157554391617688</v>
      </c>
      <c r="G1636" s="25">
        <f t="shared" ref="G1636:G1699" si="294">((B1636/B899)^(1/3))-1</f>
        <v>0.20504028561232612</v>
      </c>
      <c r="H1636" s="25">
        <f t="shared" si="291"/>
        <v>0.12102724561853018</v>
      </c>
      <c r="I1636" s="25">
        <f t="shared" si="288"/>
        <v>0.12002406042881875</v>
      </c>
      <c r="K1636" s="28">
        <v>44791</v>
      </c>
      <c r="L1636" s="23">
        <v>23858.77</v>
      </c>
      <c r="M1636" s="25">
        <f t="shared" si="287"/>
        <v>2.046207746669242E-3</v>
      </c>
      <c r="O1636" t="b">
        <f t="shared" si="285"/>
        <v>1</v>
      </c>
      <c r="Q1636" s="25">
        <f t="shared" si="283"/>
        <v>0.12034043951915852</v>
      </c>
      <c r="R1636" s="25">
        <f t="shared" si="280"/>
        <v>0.28864628078122023</v>
      </c>
      <c r="S1636" s="25">
        <f t="shared" ref="S1636:S1699" si="295">((L1636/L899)^(1/3))-1</f>
        <v>0.21908365886763392</v>
      </c>
      <c r="T1636" s="25">
        <f t="shared" si="292"/>
        <v>0.1306130211968537</v>
      </c>
      <c r="U1636" s="25">
        <f t="shared" si="289"/>
        <v>0.13924412781936457</v>
      </c>
      <c r="X1636">
        <f t="shared" si="284"/>
        <v>0</v>
      </c>
      <c r="Y1636">
        <f t="shared" si="281"/>
        <v>0</v>
      </c>
      <c r="Z1636">
        <f t="shared" ref="Z1636:Z1699" si="296">IF(G1636&gt;S1636,1,0)</f>
        <v>0</v>
      </c>
      <c r="AA1636">
        <f t="shared" si="293"/>
        <v>0</v>
      </c>
      <c r="AB1636">
        <f t="shared" si="290"/>
        <v>0</v>
      </c>
    </row>
    <row r="1637" spans="1:28">
      <c r="A1637" s="27">
        <v>44792</v>
      </c>
      <c r="B1637" s="24">
        <v>1221.33</v>
      </c>
      <c r="C1637" s="25">
        <f t="shared" si="286"/>
        <v>-1.2707651267127463E-2</v>
      </c>
      <c r="E1637" s="25">
        <f t="shared" si="282"/>
        <v>3.0719114209277976E-2</v>
      </c>
      <c r="F1637" s="25">
        <f t="shared" si="279"/>
        <v>0.25259971690714234</v>
      </c>
      <c r="G1637" s="25">
        <f t="shared" si="294"/>
        <v>0.19219542100499232</v>
      </c>
      <c r="H1637" s="25">
        <f t="shared" si="291"/>
        <v>0.11849976597733014</v>
      </c>
      <c r="I1637" s="25">
        <f t="shared" si="288"/>
        <v>0.11768572134787969</v>
      </c>
      <c r="K1637" s="29">
        <v>44792</v>
      </c>
      <c r="L1637" s="24">
        <v>23602.41</v>
      </c>
      <c r="M1637" s="25">
        <f t="shared" si="287"/>
        <v>-1.0861602692267467E-2</v>
      </c>
      <c r="O1637" t="b">
        <f t="shared" si="285"/>
        <v>1</v>
      </c>
      <c r="Q1637" s="25">
        <f t="shared" si="283"/>
        <v>9.7837573840643843E-2</v>
      </c>
      <c r="R1637" s="25">
        <f t="shared" si="280"/>
        <v>0.28096994986980284</v>
      </c>
      <c r="S1637" s="25">
        <f t="shared" si="295"/>
        <v>0.20678410648768253</v>
      </c>
      <c r="T1637" s="25">
        <f t="shared" si="292"/>
        <v>0.12814219223108747</v>
      </c>
      <c r="U1637" s="25">
        <f t="shared" si="289"/>
        <v>0.13705195552870841</v>
      </c>
      <c r="X1637">
        <f t="shared" si="284"/>
        <v>0</v>
      </c>
      <c r="Y1637">
        <f t="shared" si="281"/>
        <v>0</v>
      </c>
      <c r="Z1637">
        <f t="shared" si="296"/>
        <v>0</v>
      </c>
      <c r="AA1637">
        <f t="shared" si="293"/>
        <v>0</v>
      </c>
      <c r="AB1637">
        <f t="shared" si="290"/>
        <v>0</v>
      </c>
    </row>
    <row r="1638" spans="1:28">
      <c r="A1638" s="26">
        <v>44795</v>
      </c>
      <c r="B1638" s="23">
        <v>1200.52</v>
      </c>
      <c r="C1638" s="25">
        <f t="shared" si="286"/>
        <v>-1.7038801961795705E-2</v>
      </c>
      <c r="E1638" s="25">
        <f t="shared" si="282"/>
        <v>1.4912755309075987E-2</v>
      </c>
      <c r="F1638" s="25">
        <f t="shared" si="279"/>
        <v>0.23956763716133378</v>
      </c>
      <c r="G1638" s="25">
        <f t="shared" si="294"/>
        <v>0.18327138786228492</v>
      </c>
      <c r="H1638" s="25">
        <f t="shared" si="291"/>
        <v>0.11043192689278114</v>
      </c>
      <c r="I1638" s="25">
        <f t="shared" si="288"/>
        <v>0.11172813700875084</v>
      </c>
      <c r="K1638" s="28">
        <v>44795</v>
      </c>
      <c r="L1638" s="23">
        <v>23238.86</v>
      </c>
      <c r="M1638" s="25">
        <f t="shared" si="287"/>
        <v>-1.5644054828851298E-2</v>
      </c>
      <c r="O1638" t="b">
        <f t="shared" si="285"/>
        <v>1</v>
      </c>
      <c r="Q1638" s="25">
        <f t="shared" si="283"/>
        <v>7.859560334696658E-2</v>
      </c>
      <c r="R1638" s="25">
        <f t="shared" si="280"/>
        <v>0.26710214293310597</v>
      </c>
      <c r="S1638" s="25">
        <f t="shared" si="295"/>
        <v>0.19799619421117187</v>
      </c>
      <c r="T1638" s="25">
        <f t="shared" si="292"/>
        <v>0.12071296098879647</v>
      </c>
      <c r="U1638" s="25">
        <f t="shared" si="289"/>
        <v>0.13124765952172179</v>
      </c>
      <c r="X1638">
        <f t="shared" si="284"/>
        <v>0</v>
      </c>
      <c r="Y1638">
        <f t="shared" si="281"/>
        <v>0</v>
      </c>
      <c r="Z1638">
        <f t="shared" si="296"/>
        <v>0</v>
      </c>
      <c r="AA1638">
        <f t="shared" si="293"/>
        <v>0</v>
      </c>
      <c r="AB1638">
        <f t="shared" si="290"/>
        <v>0</v>
      </c>
    </row>
    <row r="1639" spans="1:28">
      <c r="A1639" s="27">
        <v>44796</v>
      </c>
      <c r="B1639" s="24">
        <v>1209.17</v>
      </c>
      <c r="C1639" s="25">
        <f t="shared" si="286"/>
        <v>7.2052110752008226E-3</v>
      </c>
      <c r="E1639" s="25">
        <f t="shared" si="282"/>
        <v>2.4581412689804738E-2</v>
      </c>
      <c r="F1639" s="25">
        <f t="shared" si="279"/>
        <v>0.24182593105925299</v>
      </c>
      <c r="G1639" s="25">
        <f t="shared" si="294"/>
        <v>0.18916123782772898</v>
      </c>
      <c r="H1639" s="25">
        <f t="shared" si="291"/>
        <v>0.11236690032361585</v>
      </c>
      <c r="I1639" s="25">
        <f t="shared" si="288"/>
        <v>0.11269984349016804</v>
      </c>
      <c r="K1639" s="29">
        <v>44796</v>
      </c>
      <c r="L1639" s="24">
        <v>23376.55</v>
      </c>
      <c r="M1639" s="25">
        <f t="shared" si="287"/>
        <v>5.8900907105624524E-3</v>
      </c>
      <c r="O1639" t="b">
        <f t="shared" si="285"/>
        <v>1</v>
      </c>
      <c r="Q1639" s="25">
        <f t="shared" si="283"/>
        <v>8.3934809643528396E-2</v>
      </c>
      <c r="R1639" s="25">
        <f t="shared" si="280"/>
        <v>0.26994348472384666</v>
      </c>
      <c r="S1639" s="25">
        <f t="shared" si="295"/>
        <v>0.20264185093333231</v>
      </c>
      <c r="T1639" s="25">
        <f t="shared" si="292"/>
        <v>0.12160644978312374</v>
      </c>
      <c r="U1639" s="25">
        <f t="shared" si="289"/>
        <v>0.13199687869247922</v>
      </c>
      <c r="X1639">
        <f t="shared" si="284"/>
        <v>0</v>
      </c>
      <c r="Y1639">
        <f t="shared" si="281"/>
        <v>0</v>
      </c>
      <c r="Z1639">
        <f t="shared" si="296"/>
        <v>0</v>
      </c>
      <c r="AA1639">
        <f t="shared" si="293"/>
        <v>0</v>
      </c>
      <c r="AB1639">
        <f t="shared" si="290"/>
        <v>0</v>
      </c>
    </row>
    <row r="1640" spans="1:28">
      <c r="A1640" s="26">
        <v>44797</v>
      </c>
      <c r="B1640" s="23">
        <v>1212.71</v>
      </c>
      <c r="C1640" s="25">
        <f t="shared" si="286"/>
        <v>2.927628042376145E-3</v>
      </c>
      <c r="E1640" s="25">
        <f t="shared" si="282"/>
        <v>2.0653610173628323E-2</v>
      </c>
      <c r="F1640" s="25">
        <f t="shared" si="279"/>
        <v>0.23751802793369281</v>
      </c>
      <c r="G1640" s="25">
        <f t="shared" si="294"/>
        <v>0.19257489761972102</v>
      </c>
      <c r="H1640" s="25">
        <f t="shared" si="291"/>
        <v>0.11327179461942438</v>
      </c>
      <c r="I1640" s="25">
        <f t="shared" si="288"/>
        <v>0.11134808098218496</v>
      </c>
      <c r="K1640" s="28">
        <v>44797</v>
      </c>
      <c r="L1640" s="23">
        <v>23453.99</v>
      </c>
      <c r="M1640" s="25">
        <f t="shared" si="287"/>
        <v>3.3017836197594664E-3</v>
      </c>
      <c r="O1640" t="b">
        <f t="shared" si="285"/>
        <v>1</v>
      </c>
      <c r="Q1640" s="25">
        <f t="shared" si="283"/>
        <v>8.0961537220691548E-2</v>
      </c>
      <c r="R1640" s="25">
        <f t="shared" si="280"/>
        <v>0.26804612925625437</v>
      </c>
      <c r="S1640" s="25">
        <f t="shared" si="295"/>
        <v>0.20687723780540823</v>
      </c>
      <c r="T1640" s="25">
        <f t="shared" si="292"/>
        <v>0.12287357155517431</v>
      </c>
      <c r="U1640" s="25">
        <f t="shared" si="289"/>
        <v>0.13107155564104778</v>
      </c>
      <c r="X1640">
        <f t="shared" si="284"/>
        <v>0</v>
      </c>
      <c r="Y1640">
        <f t="shared" si="281"/>
        <v>0</v>
      </c>
      <c r="Z1640">
        <f t="shared" si="296"/>
        <v>0</v>
      </c>
      <c r="AA1640">
        <f t="shared" si="293"/>
        <v>0</v>
      </c>
      <c r="AB1640">
        <f t="shared" si="290"/>
        <v>0</v>
      </c>
    </row>
    <row r="1641" spans="1:28">
      <c r="A1641" s="27">
        <v>44798</v>
      </c>
      <c r="B1641" s="24">
        <v>1211.21</v>
      </c>
      <c r="C1641" s="25">
        <f t="shared" si="286"/>
        <v>-1.2368991762251487E-3</v>
      </c>
      <c r="E1641" s="25">
        <f t="shared" si="282"/>
        <v>2.8980467165131696E-3</v>
      </c>
      <c r="F1641" s="25">
        <f t="shared" si="279"/>
        <v>0.25654507151073935</v>
      </c>
      <c r="G1641" s="25">
        <f t="shared" si="294"/>
        <v>0.18822886621303714</v>
      </c>
      <c r="H1641" s="25">
        <f t="shared" si="291"/>
        <v>0.11251192160750922</v>
      </c>
      <c r="I1641" s="25">
        <f t="shared" si="288"/>
        <v>0.11314727791511592</v>
      </c>
      <c r="K1641" s="29">
        <v>44798</v>
      </c>
      <c r="L1641" s="24">
        <v>23392.71</v>
      </c>
      <c r="M1641" s="25">
        <f t="shared" si="287"/>
        <v>-2.6196195310420416E-3</v>
      </c>
      <c r="O1641" t="b">
        <f t="shared" si="285"/>
        <v>1</v>
      </c>
      <c r="Q1641" s="25">
        <f t="shared" si="283"/>
        <v>6.2758162618143709E-2</v>
      </c>
      <c r="R1641" s="25">
        <f t="shared" si="280"/>
        <v>0.28443538140811131</v>
      </c>
      <c r="S1641" s="25">
        <f t="shared" si="295"/>
        <v>0.20261592910776449</v>
      </c>
      <c r="T1641" s="25">
        <f t="shared" si="292"/>
        <v>0.12209015468324069</v>
      </c>
      <c r="U1641" s="25">
        <f t="shared" si="289"/>
        <v>0.13304848565523986</v>
      </c>
      <c r="X1641">
        <f t="shared" si="284"/>
        <v>0</v>
      </c>
      <c r="Y1641">
        <f t="shared" si="281"/>
        <v>0</v>
      </c>
      <c r="Z1641">
        <f t="shared" si="296"/>
        <v>0</v>
      </c>
      <c r="AA1641">
        <f t="shared" si="293"/>
        <v>0</v>
      </c>
      <c r="AB1641">
        <f t="shared" si="290"/>
        <v>0</v>
      </c>
    </row>
    <row r="1642" spans="1:28">
      <c r="A1642" s="26">
        <v>44799</v>
      </c>
      <c r="B1642" s="23">
        <v>1213.79</v>
      </c>
      <c r="C1642" s="25">
        <f t="shared" si="286"/>
        <v>2.1301013036549624E-3</v>
      </c>
      <c r="E1642" s="25">
        <f t="shared" si="282"/>
        <v>-7.0841343204222085E-3</v>
      </c>
      <c r="F1642" s="25">
        <f t="shared" si="279"/>
        <v>0.25131801409720955</v>
      </c>
      <c r="G1642" s="25">
        <f t="shared" si="294"/>
        <v>0.19620016333757273</v>
      </c>
      <c r="H1642" s="25">
        <f t="shared" si="291"/>
        <v>0.11220472899417877</v>
      </c>
      <c r="I1642" s="25">
        <f t="shared" si="288"/>
        <v>0.1116578706409872</v>
      </c>
      <c r="K1642" s="28">
        <v>44799</v>
      </c>
      <c r="L1642" s="23">
        <v>23465.33</v>
      </c>
      <c r="M1642" s="25">
        <f t="shared" si="287"/>
        <v>3.0947785520170656E-3</v>
      </c>
      <c r="O1642" t="b">
        <f t="shared" si="285"/>
        <v>1</v>
      </c>
      <c r="Q1642" s="25">
        <f t="shared" si="283"/>
        <v>5.44504914034174E-2</v>
      </c>
      <c r="R1642" s="25">
        <f t="shared" si="280"/>
        <v>0.28163644993729897</v>
      </c>
      <c r="S1642" s="25">
        <f t="shared" si="295"/>
        <v>0.21179356837627084</v>
      </c>
      <c r="T1642" s="25">
        <f t="shared" si="292"/>
        <v>0.12244841121443772</v>
      </c>
      <c r="U1642" s="25">
        <f t="shared" si="289"/>
        <v>0.1313484772519935</v>
      </c>
      <c r="X1642">
        <f t="shared" si="284"/>
        <v>0</v>
      </c>
      <c r="Y1642">
        <f t="shared" si="281"/>
        <v>0</v>
      </c>
      <c r="Z1642">
        <f t="shared" si="296"/>
        <v>0</v>
      </c>
      <c r="AA1642">
        <f t="shared" si="293"/>
        <v>0</v>
      </c>
      <c r="AB1642">
        <f t="shared" si="290"/>
        <v>0</v>
      </c>
    </row>
    <row r="1643" spans="1:28">
      <c r="A1643" s="27">
        <v>44802</v>
      </c>
      <c r="B1643" s="24">
        <v>1197.45</v>
      </c>
      <c r="C1643" s="25">
        <f t="shared" si="286"/>
        <v>-1.3461966237981791E-2</v>
      </c>
      <c r="E1643" s="25">
        <f t="shared" si="282"/>
        <v>-2.2481816178091196E-2</v>
      </c>
      <c r="F1643" s="25">
        <f t="shared" si="279"/>
        <v>0.2382987124581124</v>
      </c>
      <c r="G1643" s="25">
        <f t="shared" si="294"/>
        <v>0.18863868862586886</v>
      </c>
      <c r="H1643" s="25">
        <f t="shared" si="291"/>
        <v>0.11004834452584644</v>
      </c>
      <c r="I1643" s="25">
        <f t="shared" si="288"/>
        <v>0.10819946814012393</v>
      </c>
      <c r="K1643" s="29">
        <v>44802</v>
      </c>
      <c r="L1643" s="24">
        <v>23194.58</v>
      </c>
      <c r="M1643" s="25">
        <f t="shared" si="287"/>
        <v>-1.16729856716526E-2</v>
      </c>
      <c r="O1643" t="b">
        <f t="shared" si="285"/>
        <v>1</v>
      </c>
      <c r="Q1643" s="25">
        <f t="shared" si="283"/>
        <v>4.260485571831607E-2</v>
      </c>
      <c r="R1643" s="25">
        <f t="shared" si="280"/>
        <v>0.26901594102952164</v>
      </c>
      <c r="S1643" s="25">
        <f t="shared" si="295"/>
        <v>0.20571176660208645</v>
      </c>
      <c r="T1643" s="25">
        <f t="shared" si="292"/>
        <v>0.12117555452199746</v>
      </c>
      <c r="U1643" s="25">
        <f t="shared" si="289"/>
        <v>0.1278877870494628</v>
      </c>
      <c r="X1643">
        <f t="shared" si="284"/>
        <v>0</v>
      </c>
      <c r="Y1643">
        <f t="shared" si="281"/>
        <v>0</v>
      </c>
      <c r="Z1643">
        <f t="shared" si="296"/>
        <v>0</v>
      </c>
      <c r="AA1643">
        <f t="shared" si="293"/>
        <v>0</v>
      </c>
      <c r="AB1643">
        <f t="shared" si="290"/>
        <v>0</v>
      </c>
    </row>
    <row r="1644" spans="1:28">
      <c r="A1644" s="26">
        <v>44803</v>
      </c>
      <c r="B1644" s="23">
        <v>1221.83</v>
      </c>
      <c r="C1644" s="25">
        <f t="shared" si="286"/>
        <v>2.0359931521149011E-2</v>
      </c>
      <c r="E1644" s="25">
        <f t="shared" si="282"/>
        <v>-1.1024323121129997E-2</v>
      </c>
      <c r="F1644" s="25">
        <f t="shared" si="279"/>
        <v>0.25115349133120146</v>
      </c>
      <c r="G1644" s="25">
        <f t="shared" si="294"/>
        <v>0.19563500333355077</v>
      </c>
      <c r="H1644" s="25">
        <f t="shared" si="291"/>
        <v>0.11969912497902424</v>
      </c>
      <c r="I1644" s="25">
        <f t="shared" si="288"/>
        <v>0.11076596847184472</v>
      </c>
      <c r="K1644" s="28">
        <v>44803</v>
      </c>
      <c r="L1644" s="23">
        <v>23740.37</v>
      </c>
      <c r="M1644" s="25">
        <f t="shared" si="287"/>
        <v>2.29899534000522E-2</v>
      </c>
      <c r="O1644" t="b">
        <f t="shared" si="285"/>
        <v>1</v>
      </c>
      <c r="Q1644" s="25">
        <f t="shared" si="283"/>
        <v>5.7383306609656071E-2</v>
      </c>
      <c r="R1644" s="25">
        <f t="shared" si="280"/>
        <v>0.28274957325352679</v>
      </c>
      <c r="S1644" s="25">
        <f t="shared" si="295"/>
        <v>0.2144884501135409</v>
      </c>
      <c r="T1644" s="25">
        <f t="shared" si="292"/>
        <v>0.13102136102142348</v>
      </c>
      <c r="U1644" s="25">
        <f t="shared" si="289"/>
        <v>0.13158185928609822</v>
      </c>
      <c r="X1644">
        <f t="shared" si="284"/>
        <v>0</v>
      </c>
      <c r="Y1644">
        <f t="shared" si="281"/>
        <v>0</v>
      </c>
      <c r="Z1644">
        <f t="shared" si="296"/>
        <v>0</v>
      </c>
      <c r="AA1644">
        <f t="shared" si="293"/>
        <v>0</v>
      </c>
      <c r="AB1644">
        <f t="shared" si="290"/>
        <v>0</v>
      </c>
    </row>
    <row r="1645" spans="1:28">
      <c r="A1645" s="27">
        <v>44805</v>
      </c>
      <c r="B1645" s="24">
        <v>1213.48</v>
      </c>
      <c r="C1645" s="25">
        <f t="shared" si="286"/>
        <v>-6.8340112781646459E-3</v>
      </c>
      <c r="E1645" s="25">
        <f t="shared" si="282"/>
        <v>-2.1884042784714342E-2</v>
      </c>
      <c r="F1645" s="25">
        <f t="shared" si="279"/>
        <v>0.25673125460681678</v>
      </c>
      <c r="G1645" s="25">
        <f t="shared" si="294"/>
        <v>0.18916290657733792</v>
      </c>
      <c r="H1645" s="25">
        <f t="shared" si="291"/>
        <v>0.11790705190062978</v>
      </c>
      <c r="I1645" s="25">
        <f t="shared" si="288"/>
        <v>0.11081604315408922</v>
      </c>
      <c r="K1645" s="29">
        <v>44805</v>
      </c>
      <c r="L1645" s="24">
        <v>23564.7</v>
      </c>
      <c r="M1645" s="25">
        <f t="shared" si="287"/>
        <v>-7.4547946716910568E-3</v>
      </c>
      <c r="O1645" t="b">
        <f t="shared" si="285"/>
        <v>1</v>
      </c>
      <c r="Q1645" s="25">
        <f t="shared" si="283"/>
        <v>4.4226768262014993E-2</v>
      </c>
      <c r="R1645" s="25">
        <f t="shared" si="280"/>
        <v>0.28862786420903208</v>
      </c>
      <c r="S1645" s="25">
        <f t="shared" si="295"/>
        <v>0.20811617615827083</v>
      </c>
      <c r="T1645" s="25">
        <f t="shared" si="292"/>
        <v>0.13012106123327527</v>
      </c>
      <c r="U1645" s="25">
        <f t="shared" si="289"/>
        <v>0.13132397941763929</v>
      </c>
      <c r="X1645">
        <f t="shared" si="284"/>
        <v>0</v>
      </c>
      <c r="Y1645">
        <f t="shared" si="281"/>
        <v>0</v>
      </c>
      <c r="Z1645">
        <f t="shared" si="296"/>
        <v>0</v>
      </c>
      <c r="AA1645">
        <f t="shared" si="293"/>
        <v>0</v>
      </c>
      <c r="AB1645">
        <f t="shared" si="290"/>
        <v>0</v>
      </c>
    </row>
    <row r="1646" spans="1:28">
      <c r="A1646" s="26">
        <v>44806</v>
      </c>
      <c r="B1646" s="23">
        <v>1212.31</v>
      </c>
      <c r="C1646" s="25">
        <f t="shared" si="286"/>
        <v>-9.6416916636456532E-4</v>
      </c>
      <c r="E1646" s="25">
        <f t="shared" si="282"/>
        <v>-2.5685743447965481E-2</v>
      </c>
      <c r="F1646" s="25">
        <f t="shared" si="279"/>
        <v>0.25782899010651095</v>
      </c>
      <c r="G1646" s="25">
        <f t="shared" si="294"/>
        <v>0.1861019987625665</v>
      </c>
      <c r="H1646" s="25">
        <f t="shared" si="291"/>
        <v>0.11701981759064517</v>
      </c>
      <c r="I1646" s="25">
        <f t="shared" si="288"/>
        <v>0.10948447456600285</v>
      </c>
      <c r="K1646" s="28">
        <v>44806</v>
      </c>
      <c r="L1646" s="23">
        <v>23550.07</v>
      </c>
      <c r="M1646" s="25">
        <f t="shared" si="287"/>
        <v>-6.2122957596308706E-4</v>
      </c>
      <c r="O1646" t="b">
        <f t="shared" si="285"/>
        <v>1</v>
      </c>
      <c r="Q1646" s="25">
        <f t="shared" si="283"/>
        <v>4.0294391394251061E-2</v>
      </c>
      <c r="R1646" s="25">
        <f t="shared" si="280"/>
        <v>0.28814654414283369</v>
      </c>
      <c r="S1646" s="25">
        <f t="shared" si="295"/>
        <v>0.20552437523762523</v>
      </c>
      <c r="T1646" s="25">
        <f t="shared" si="292"/>
        <v>0.12842882956865487</v>
      </c>
      <c r="U1646" s="25">
        <f t="shared" si="289"/>
        <v>0.12995800306192007</v>
      </c>
      <c r="X1646">
        <f t="shared" si="284"/>
        <v>0</v>
      </c>
      <c r="Y1646">
        <f t="shared" si="281"/>
        <v>0</v>
      </c>
      <c r="Z1646">
        <f t="shared" si="296"/>
        <v>0</v>
      </c>
      <c r="AA1646">
        <f t="shared" si="293"/>
        <v>0</v>
      </c>
      <c r="AB1646">
        <f t="shared" si="290"/>
        <v>0</v>
      </c>
    </row>
    <row r="1647" spans="1:28">
      <c r="A1647" s="27">
        <v>44809</v>
      </c>
      <c r="B1647" s="24">
        <v>1222.51</v>
      </c>
      <c r="C1647" s="25">
        <f t="shared" si="286"/>
        <v>8.4136895678498455E-3</v>
      </c>
      <c r="E1647" s="25">
        <f t="shared" si="282"/>
        <v>-1.618354766541652E-2</v>
      </c>
      <c r="F1647" s="25">
        <f t="shared" ref="F1647:F1710" si="297">((B1647/B1155)^(1/2))-1</f>
        <v>0.26902738286922512</v>
      </c>
      <c r="G1647" s="25">
        <f t="shared" si="294"/>
        <v>0.18700605992811337</v>
      </c>
      <c r="H1647" s="25">
        <f t="shared" si="291"/>
        <v>0.11643442333299725</v>
      </c>
      <c r="I1647" s="25">
        <f t="shared" si="288"/>
        <v>0.1114531055055703</v>
      </c>
      <c r="K1647" s="29">
        <v>44809</v>
      </c>
      <c r="L1647" s="24">
        <v>23693.79</v>
      </c>
      <c r="M1647" s="25">
        <f t="shared" si="287"/>
        <v>6.0657243944510844E-3</v>
      </c>
      <c r="O1647" t="b">
        <f t="shared" si="285"/>
        <v>1</v>
      </c>
      <c r="Q1647" s="25">
        <f t="shared" si="283"/>
        <v>4.8169602015844415E-2</v>
      </c>
      <c r="R1647" s="25">
        <f t="shared" ref="R1647:R1710" si="298">((L1647/L1155)^(1/2))-1</f>
        <v>0.29547576961975208</v>
      </c>
      <c r="S1647" s="25">
        <f t="shared" si="295"/>
        <v>0.2060395390377876</v>
      </c>
      <c r="T1647" s="25">
        <f t="shared" si="292"/>
        <v>0.12843091678640728</v>
      </c>
      <c r="U1647" s="25">
        <f t="shared" si="289"/>
        <v>0.13171560914976133</v>
      </c>
      <c r="X1647">
        <f t="shared" si="284"/>
        <v>0</v>
      </c>
      <c r="Y1647">
        <f t="shared" ref="Y1647:Y1710" si="299">IF(F1647&gt;R1647,1,0)</f>
        <v>0</v>
      </c>
      <c r="Z1647">
        <f t="shared" si="296"/>
        <v>0</v>
      </c>
      <c r="AA1647">
        <f t="shared" si="293"/>
        <v>0</v>
      </c>
      <c r="AB1647">
        <f t="shared" si="290"/>
        <v>0</v>
      </c>
    </row>
    <row r="1648" spans="1:28">
      <c r="A1648" s="26">
        <v>44810</v>
      </c>
      <c r="B1648" s="23">
        <v>1224.6600000000001</v>
      </c>
      <c r="C1648" s="25">
        <f t="shared" si="286"/>
        <v>1.7586768206395785E-3</v>
      </c>
      <c r="E1648" s="25">
        <f t="shared" si="282"/>
        <v>-1.6005399411849641E-2</v>
      </c>
      <c r="F1648" s="25">
        <f t="shared" si="297"/>
        <v>0.27335067893429654</v>
      </c>
      <c r="G1648" s="25">
        <f t="shared" si="294"/>
        <v>0.18683618067600927</v>
      </c>
      <c r="H1648" s="25">
        <f t="shared" si="291"/>
        <v>0.12075806428646518</v>
      </c>
      <c r="I1648" s="25">
        <f t="shared" si="288"/>
        <v>0.11058008942904962</v>
      </c>
      <c r="K1648" s="28">
        <v>44810</v>
      </c>
      <c r="L1648" s="23">
        <v>23722.71</v>
      </c>
      <c r="M1648" s="25">
        <f t="shared" si="287"/>
        <v>1.2190850033574686E-3</v>
      </c>
      <c r="O1648" t="b">
        <f t="shared" si="285"/>
        <v>1</v>
      </c>
      <c r="Q1648" s="25">
        <f t="shared" si="283"/>
        <v>4.7756700879758807E-2</v>
      </c>
      <c r="R1648" s="25">
        <f t="shared" si="298"/>
        <v>0.29902018950109044</v>
      </c>
      <c r="S1648" s="25">
        <f t="shared" si="295"/>
        <v>0.2079949844444573</v>
      </c>
      <c r="T1648" s="25">
        <f t="shared" si="292"/>
        <v>0.13264068732755674</v>
      </c>
      <c r="U1648" s="25">
        <f t="shared" si="289"/>
        <v>0.13131550991693008</v>
      </c>
      <c r="X1648">
        <f t="shared" si="284"/>
        <v>0</v>
      </c>
      <c r="Y1648">
        <f t="shared" si="299"/>
        <v>0</v>
      </c>
      <c r="Z1648">
        <f t="shared" si="296"/>
        <v>0</v>
      </c>
      <c r="AA1648">
        <f t="shared" si="293"/>
        <v>0</v>
      </c>
      <c r="AB1648">
        <f t="shared" si="290"/>
        <v>0</v>
      </c>
    </row>
    <row r="1649" spans="1:28">
      <c r="A1649" s="27">
        <v>44811</v>
      </c>
      <c r="B1649" s="24">
        <v>1224.06</v>
      </c>
      <c r="C1649" s="25">
        <f t="shared" si="286"/>
        <v>-4.8993189946608558E-4</v>
      </c>
      <c r="E1649" s="25">
        <f t="shared" si="282"/>
        <v>-1.9599048481013681E-2</v>
      </c>
      <c r="F1649" s="25">
        <f t="shared" si="297"/>
        <v>0.26963929272350584</v>
      </c>
      <c r="G1649" s="25">
        <f t="shared" si="294"/>
        <v>0.18394408304716103</v>
      </c>
      <c r="H1649" s="25">
        <f t="shared" si="291"/>
        <v>0.12494282495127051</v>
      </c>
      <c r="I1649" s="25">
        <f t="shared" si="288"/>
        <v>0.11047431027558097</v>
      </c>
      <c r="K1649" s="29">
        <v>44811</v>
      </c>
      <c r="L1649" s="24">
        <v>23732.85</v>
      </c>
      <c r="M1649" s="25">
        <f t="shared" si="287"/>
        <v>4.2725589214946452E-4</v>
      </c>
      <c r="O1649" t="b">
        <f t="shared" si="285"/>
        <v>1</v>
      </c>
      <c r="Q1649" s="25">
        <f t="shared" si="283"/>
        <v>4.5884258798166266E-2</v>
      </c>
      <c r="R1649" s="25">
        <f t="shared" si="298"/>
        <v>0.29028560619030674</v>
      </c>
      <c r="S1649" s="25">
        <f t="shared" si="295"/>
        <v>0.2050746441495519</v>
      </c>
      <c r="T1649" s="25">
        <f t="shared" si="292"/>
        <v>0.13664305936670074</v>
      </c>
      <c r="U1649" s="25">
        <f t="shared" si="289"/>
        <v>0.13159790544106675</v>
      </c>
      <c r="X1649">
        <f t="shared" si="284"/>
        <v>0</v>
      </c>
      <c r="Y1649">
        <f t="shared" si="299"/>
        <v>0</v>
      </c>
      <c r="Z1649">
        <f t="shared" si="296"/>
        <v>0</v>
      </c>
      <c r="AA1649">
        <f t="shared" si="293"/>
        <v>0</v>
      </c>
      <c r="AB1649">
        <f t="shared" si="290"/>
        <v>0</v>
      </c>
    </row>
    <row r="1650" spans="1:28">
      <c r="A1650" s="26">
        <v>44812</v>
      </c>
      <c r="B1650" s="23">
        <v>1233.0899999999999</v>
      </c>
      <c r="C1650" s="25">
        <f t="shared" si="286"/>
        <v>7.3770893583647639E-3</v>
      </c>
      <c r="E1650" s="25">
        <f t="shared" si="282"/>
        <v>-1.6298104537622149E-2</v>
      </c>
      <c r="F1650" s="25">
        <f t="shared" si="297"/>
        <v>0.27232147576564092</v>
      </c>
      <c r="G1650" s="25">
        <f t="shared" si="294"/>
        <v>0.18843483183270315</v>
      </c>
      <c r="H1650" s="25">
        <f t="shared" si="291"/>
        <v>0.12554576789949468</v>
      </c>
      <c r="I1650" s="25">
        <f t="shared" si="288"/>
        <v>0.1101180177810559</v>
      </c>
      <c r="K1650" s="28">
        <v>44812</v>
      </c>
      <c r="L1650" s="23">
        <v>23921</v>
      </c>
      <c r="M1650" s="25">
        <f t="shared" si="287"/>
        <v>7.8654738514276762E-3</v>
      </c>
      <c r="O1650" t="b">
        <f t="shared" si="285"/>
        <v>1</v>
      </c>
      <c r="Q1650" s="25">
        <f t="shared" si="283"/>
        <v>5.3000419509802832E-2</v>
      </c>
      <c r="R1650" s="25">
        <f t="shared" si="298"/>
        <v>0.29358962089881158</v>
      </c>
      <c r="S1650" s="25">
        <f t="shared" si="295"/>
        <v>0.21010907289579994</v>
      </c>
      <c r="T1650" s="25">
        <f t="shared" si="292"/>
        <v>0.13727152174867863</v>
      </c>
      <c r="U1650" s="25">
        <f t="shared" si="289"/>
        <v>0.13178164425019645</v>
      </c>
      <c r="X1650">
        <f t="shared" si="284"/>
        <v>0</v>
      </c>
      <c r="Y1650">
        <f t="shared" si="299"/>
        <v>0</v>
      </c>
      <c r="Z1650">
        <f t="shared" si="296"/>
        <v>0</v>
      </c>
      <c r="AA1650">
        <f t="shared" si="293"/>
        <v>0</v>
      </c>
      <c r="AB1650">
        <f t="shared" si="290"/>
        <v>0</v>
      </c>
    </row>
    <row r="1651" spans="1:28">
      <c r="A1651" s="27">
        <v>44813</v>
      </c>
      <c r="B1651" s="24">
        <v>1237.45</v>
      </c>
      <c r="C1651" s="25">
        <f t="shared" si="286"/>
        <v>3.5358327453795975E-3</v>
      </c>
      <c r="E1651" s="25">
        <f t="shared" si="282"/>
        <v>-1.7787690695791447E-2</v>
      </c>
      <c r="F1651" s="25">
        <f t="shared" si="297"/>
        <v>0.26985148906247014</v>
      </c>
      <c r="G1651" s="25">
        <f t="shared" si="294"/>
        <v>0.1970911165010385</v>
      </c>
      <c r="H1651" s="25">
        <f t="shared" si="291"/>
        <v>0.12265459132317758</v>
      </c>
      <c r="I1651" s="25">
        <f t="shared" si="288"/>
        <v>0.10930490978452645</v>
      </c>
      <c r="K1651" s="29">
        <v>44813</v>
      </c>
      <c r="L1651" s="24">
        <v>23962.62</v>
      </c>
      <c r="M1651" s="25">
        <f t="shared" si="287"/>
        <v>1.7368718445645336E-3</v>
      </c>
      <c r="O1651" t="b">
        <f t="shared" si="285"/>
        <v>1</v>
      </c>
      <c r="Q1651" s="25">
        <f t="shared" si="283"/>
        <v>5.1115196384839745E-2</v>
      </c>
      <c r="R1651" s="25">
        <f t="shared" si="298"/>
        <v>0.29148598267896797</v>
      </c>
      <c r="S1651" s="25">
        <f t="shared" si="295"/>
        <v>0.21784401001526499</v>
      </c>
      <c r="T1651" s="25">
        <f t="shared" si="292"/>
        <v>0.13390409508319623</v>
      </c>
      <c r="U1651" s="25">
        <f t="shared" si="289"/>
        <v>0.13013350176436522</v>
      </c>
      <c r="X1651">
        <f t="shared" si="284"/>
        <v>0</v>
      </c>
      <c r="Y1651">
        <f t="shared" si="299"/>
        <v>0</v>
      </c>
      <c r="Z1651">
        <f t="shared" si="296"/>
        <v>0</v>
      </c>
      <c r="AA1651">
        <f t="shared" si="293"/>
        <v>0</v>
      </c>
      <c r="AB1651">
        <f t="shared" si="290"/>
        <v>0</v>
      </c>
    </row>
    <row r="1652" spans="1:28">
      <c r="A1652" s="26">
        <v>44816</v>
      </c>
      <c r="B1652" s="23">
        <v>1251.6600000000001</v>
      </c>
      <c r="C1652" s="25">
        <f t="shared" si="286"/>
        <v>1.1483292254232523E-2</v>
      </c>
      <c r="E1652" s="25">
        <f t="shared" si="282"/>
        <v>-1.5688772501002535E-2</v>
      </c>
      <c r="F1652" s="25">
        <f t="shared" si="297"/>
        <v>0.26895452659357511</v>
      </c>
      <c r="G1652" s="25">
        <f t="shared" si="294"/>
        <v>0.2005086327823058</v>
      </c>
      <c r="H1652" s="25">
        <f t="shared" si="291"/>
        <v>0.12822460245105849</v>
      </c>
      <c r="I1652" s="25">
        <f t="shared" si="288"/>
        <v>0.11261231721745002</v>
      </c>
      <c r="K1652" s="28">
        <v>44816</v>
      </c>
      <c r="L1652" s="23">
        <v>24133.13</v>
      </c>
      <c r="M1652" s="25">
        <f t="shared" si="287"/>
        <v>7.0653910205597881E-3</v>
      </c>
      <c r="O1652" t="b">
        <f t="shared" si="285"/>
        <v>1</v>
      </c>
      <c r="Q1652" s="25">
        <f t="shared" si="283"/>
        <v>5.0399126014136986E-2</v>
      </c>
      <c r="R1652" s="25">
        <f t="shared" si="298"/>
        <v>0.29062139583604507</v>
      </c>
      <c r="S1652" s="25">
        <f t="shared" si="295"/>
        <v>0.21963000671270838</v>
      </c>
      <c r="T1652" s="25">
        <f t="shared" si="292"/>
        <v>0.13870978339243845</v>
      </c>
      <c r="U1652" s="25">
        <f t="shared" si="289"/>
        <v>0.13233551003020505</v>
      </c>
      <c r="X1652">
        <f t="shared" si="284"/>
        <v>0</v>
      </c>
      <c r="Y1652">
        <f t="shared" si="299"/>
        <v>0</v>
      </c>
      <c r="Z1652">
        <f t="shared" si="296"/>
        <v>0</v>
      </c>
      <c r="AA1652">
        <f t="shared" si="293"/>
        <v>0</v>
      </c>
      <c r="AB1652">
        <f t="shared" si="290"/>
        <v>0</v>
      </c>
    </row>
    <row r="1653" spans="1:28">
      <c r="A1653" s="27">
        <v>44817</v>
      </c>
      <c r="B1653" s="24">
        <v>1257.78</v>
      </c>
      <c r="C1653" s="25">
        <f t="shared" si="286"/>
        <v>4.8895067350557585E-3</v>
      </c>
      <c r="E1653" s="25">
        <f t="shared" si="282"/>
        <v>-1.2785796698768448E-2</v>
      </c>
      <c r="F1653" s="25">
        <f t="shared" si="297"/>
        <v>0.26637988473833452</v>
      </c>
      <c r="G1653" s="25">
        <f t="shared" si="294"/>
        <v>0.20830279219139136</v>
      </c>
      <c r="H1653" s="25">
        <f t="shared" si="291"/>
        <v>0.1327967471855469</v>
      </c>
      <c r="I1653" s="25">
        <f t="shared" si="288"/>
        <v>0.11331328880849934</v>
      </c>
      <c r="K1653" s="29">
        <v>44817</v>
      </c>
      <c r="L1653" s="24">
        <v>24276.42</v>
      </c>
      <c r="M1653" s="25">
        <f t="shared" si="287"/>
        <v>5.9024353673234045E-3</v>
      </c>
      <c r="O1653" t="b">
        <f t="shared" si="285"/>
        <v>1</v>
      </c>
      <c r="Q1653" s="25">
        <f t="shared" si="283"/>
        <v>5.0650737814462499E-2</v>
      </c>
      <c r="R1653" s="25">
        <f t="shared" si="298"/>
        <v>0.29045333881837299</v>
      </c>
      <c r="S1653" s="25">
        <f t="shared" si="295"/>
        <v>0.22716972628104748</v>
      </c>
      <c r="T1653" s="25">
        <f t="shared" si="292"/>
        <v>0.14341119078097053</v>
      </c>
      <c r="U1653" s="25">
        <f t="shared" si="289"/>
        <v>0.13318405741467831</v>
      </c>
      <c r="X1653">
        <f t="shared" si="284"/>
        <v>0</v>
      </c>
      <c r="Y1653">
        <f t="shared" si="299"/>
        <v>0</v>
      </c>
      <c r="Z1653">
        <f t="shared" si="296"/>
        <v>0</v>
      </c>
      <c r="AA1653">
        <f t="shared" si="293"/>
        <v>0</v>
      </c>
      <c r="AB1653">
        <f t="shared" si="290"/>
        <v>0</v>
      </c>
    </row>
    <row r="1654" spans="1:28">
      <c r="A1654" s="26">
        <v>44818</v>
      </c>
      <c r="B1654" s="23">
        <v>1254.42</v>
      </c>
      <c r="C1654" s="25">
        <f t="shared" si="286"/>
        <v>-2.6713733721317719E-3</v>
      </c>
      <c r="E1654" s="25">
        <f t="shared" si="282"/>
        <v>-1.2073242764323644E-2</v>
      </c>
      <c r="F1654" s="25">
        <f t="shared" si="297"/>
        <v>0.26615722346584691</v>
      </c>
      <c r="G1654" s="25">
        <f t="shared" si="294"/>
        <v>0.18552715182041957</v>
      </c>
      <c r="H1654" s="25">
        <f t="shared" si="291"/>
        <v>0.13332135213908392</v>
      </c>
      <c r="I1654" s="25">
        <f t="shared" si="288"/>
        <v>0.1129752424658268</v>
      </c>
      <c r="K1654" s="28">
        <v>44818</v>
      </c>
      <c r="L1654" s="23">
        <v>24215.82</v>
      </c>
      <c r="M1654" s="25">
        <f t="shared" si="287"/>
        <v>-2.5024963020041668E-3</v>
      </c>
      <c r="O1654" t="b">
        <f t="shared" si="285"/>
        <v>1</v>
      </c>
      <c r="Q1654" s="25">
        <f t="shared" si="283"/>
        <v>5.3422343020807617E-2</v>
      </c>
      <c r="R1654" s="25">
        <f t="shared" si="298"/>
        <v>0.29320822527051482</v>
      </c>
      <c r="S1654" s="25">
        <f t="shared" si="295"/>
        <v>0.20524365449749116</v>
      </c>
      <c r="T1654" s="25">
        <f t="shared" si="292"/>
        <v>0.14411718098308834</v>
      </c>
      <c r="U1654" s="25">
        <f t="shared" si="289"/>
        <v>0.13254488390615138</v>
      </c>
      <c r="X1654">
        <f t="shared" si="284"/>
        <v>0</v>
      </c>
      <c r="Y1654">
        <f t="shared" si="299"/>
        <v>0</v>
      </c>
      <c r="Z1654">
        <f t="shared" si="296"/>
        <v>0</v>
      </c>
      <c r="AA1654">
        <f t="shared" si="293"/>
        <v>0</v>
      </c>
      <c r="AB1654">
        <f t="shared" si="290"/>
        <v>0</v>
      </c>
    </row>
    <row r="1655" spans="1:28">
      <c r="A1655" s="27">
        <v>44819</v>
      </c>
      <c r="B1655" s="24">
        <v>1244.23</v>
      </c>
      <c r="C1655" s="25">
        <f t="shared" si="286"/>
        <v>-8.1232760957255581E-3</v>
      </c>
      <c r="E1655" s="25">
        <f t="shared" si="282"/>
        <v>-6.1822567633409431E-3</v>
      </c>
      <c r="F1655" s="25">
        <f t="shared" si="297"/>
        <v>0.25920297393888458</v>
      </c>
      <c r="G1655" s="25">
        <f t="shared" si="294"/>
        <v>0.17093554231060448</v>
      </c>
      <c r="H1655" s="25">
        <f t="shared" si="291"/>
        <v>0.13598662205602796</v>
      </c>
      <c r="I1655" s="25">
        <f t="shared" si="288"/>
        <v>0.10957054721518866</v>
      </c>
      <c r="K1655" s="29">
        <v>44819</v>
      </c>
      <c r="L1655" s="24">
        <v>24139.94</v>
      </c>
      <c r="M1655" s="25">
        <f t="shared" si="287"/>
        <v>-3.1433383844367891E-3</v>
      </c>
      <c r="O1655" t="b">
        <f t="shared" si="285"/>
        <v>1</v>
      </c>
      <c r="Q1655" s="25">
        <f t="shared" si="283"/>
        <v>6.4284908102693494E-2</v>
      </c>
      <c r="R1655" s="25">
        <f t="shared" si="298"/>
        <v>0.29166587380958786</v>
      </c>
      <c r="S1655" s="25">
        <f t="shared" si="295"/>
        <v>0.19305078842680623</v>
      </c>
      <c r="T1655" s="25">
        <f t="shared" si="292"/>
        <v>0.14684595609102313</v>
      </c>
      <c r="U1655" s="25">
        <f t="shared" si="289"/>
        <v>0.13031354255401473</v>
      </c>
      <c r="X1655">
        <f t="shared" si="284"/>
        <v>0</v>
      </c>
      <c r="Y1655">
        <f t="shared" si="299"/>
        <v>0</v>
      </c>
      <c r="Z1655">
        <f t="shared" si="296"/>
        <v>0</v>
      </c>
      <c r="AA1655">
        <f t="shared" si="293"/>
        <v>0</v>
      </c>
      <c r="AB1655">
        <f t="shared" si="290"/>
        <v>0</v>
      </c>
    </row>
    <row r="1656" spans="1:28">
      <c r="A1656" s="26">
        <v>44820</v>
      </c>
      <c r="B1656" s="23">
        <v>1218.33</v>
      </c>
      <c r="C1656" s="25">
        <f t="shared" si="286"/>
        <v>-2.0816087057859152E-2</v>
      </c>
      <c r="E1656" s="25">
        <f t="shared" ref="E1656:E1719" si="300">(B1656/B1411)-1</f>
        <v>-3.2879539591188833E-2</v>
      </c>
      <c r="F1656" s="25">
        <f t="shared" si="297"/>
        <v>0.26640565043889053</v>
      </c>
      <c r="G1656" s="25">
        <f t="shared" si="294"/>
        <v>0.16369045178481922</v>
      </c>
      <c r="H1656" s="25">
        <f t="shared" si="291"/>
        <v>0.13667368751306319</v>
      </c>
      <c r="I1656" s="25">
        <f t="shared" si="288"/>
        <v>0.10470026004629029</v>
      </c>
      <c r="K1656" s="28">
        <v>44820</v>
      </c>
      <c r="L1656" s="23">
        <v>23618.75</v>
      </c>
      <c r="M1656" s="25">
        <f t="shared" si="287"/>
        <v>-2.2066790156125903E-2</v>
      </c>
      <c r="O1656" t="b">
        <f t="shared" si="285"/>
        <v>1</v>
      </c>
      <c r="Q1656" s="25">
        <f t="shared" ref="Q1656:Q1719" si="301">(L1656/L1411)-1</f>
        <v>3.2960713051768842E-2</v>
      </c>
      <c r="R1656" s="25">
        <f t="shared" si="298"/>
        <v>0.29442659757602763</v>
      </c>
      <c r="S1656" s="25">
        <f t="shared" si="295"/>
        <v>0.18489326290795627</v>
      </c>
      <c r="T1656" s="25">
        <f t="shared" si="292"/>
        <v>0.14618995255225675</v>
      </c>
      <c r="U1656" s="25">
        <f t="shared" si="289"/>
        <v>0.12526315024944989</v>
      </c>
      <c r="X1656">
        <f t="shared" ref="X1656:X1719" si="302">IF(E1656&gt;Q1656,1,0)</f>
        <v>0</v>
      </c>
      <c r="Y1656">
        <f t="shared" si="299"/>
        <v>0</v>
      </c>
      <c r="Z1656">
        <f t="shared" si="296"/>
        <v>0</v>
      </c>
      <c r="AA1656">
        <f t="shared" si="293"/>
        <v>0</v>
      </c>
      <c r="AB1656">
        <f t="shared" si="290"/>
        <v>0</v>
      </c>
    </row>
    <row r="1657" spans="1:28">
      <c r="A1657" s="27">
        <v>44823</v>
      </c>
      <c r="B1657" s="24">
        <v>1220.8800000000001</v>
      </c>
      <c r="C1657" s="25">
        <f t="shared" si="286"/>
        <v>2.0930289822955867E-3</v>
      </c>
      <c r="E1657" s="25">
        <f t="shared" si="300"/>
        <v>-3.4885099722531732E-2</v>
      </c>
      <c r="F1657" s="25">
        <f t="shared" si="297"/>
        <v>0.27146818911532478</v>
      </c>
      <c r="G1657" s="25">
        <f t="shared" si="294"/>
        <v>0.17122612216807709</v>
      </c>
      <c r="H1657" s="25">
        <f t="shared" si="291"/>
        <v>0.13538640704541183</v>
      </c>
      <c r="I1657" s="25">
        <f t="shared" si="288"/>
        <v>0.1059729655472248</v>
      </c>
      <c r="K1657" s="29">
        <v>44823</v>
      </c>
      <c r="L1657" s="24">
        <v>23696.71</v>
      </c>
      <c r="M1657" s="25">
        <f t="shared" si="287"/>
        <v>3.2899081771266617E-3</v>
      </c>
      <c r="O1657" t="b">
        <f t="shared" si="285"/>
        <v>1</v>
      </c>
      <c r="Q1657" s="25">
        <f t="shared" si="301"/>
        <v>3.3304946206175856E-2</v>
      </c>
      <c r="R1657" s="25">
        <f t="shared" si="298"/>
        <v>0.30351140901047247</v>
      </c>
      <c r="S1657" s="25">
        <f t="shared" si="295"/>
        <v>0.19169655340673031</v>
      </c>
      <c r="T1657" s="25">
        <f t="shared" si="292"/>
        <v>0.14527471824628146</v>
      </c>
      <c r="U1657" s="25">
        <f t="shared" si="289"/>
        <v>0.12633524625380232</v>
      </c>
      <c r="X1657">
        <f t="shared" si="302"/>
        <v>0</v>
      </c>
      <c r="Y1657">
        <f t="shared" si="299"/>
        <v>0</v>
      </c>
      <c r="Z1657">
        <f t="shared" si="296"/>
        <v>0</v>
      </c>
      <c r="AA1657">
        <f t="shared" si="293"/>
        <v>0</v>
      </c>
      <c r="AB1657">
        <f t="shared" si="290"/>
        <v>0</v>
      </c>
    </row>
    <row r="1658" spans="1:28">
      <c r="A1658" s="26">
        <v>44824</v>
      </c>
      <c r="B1658" s="23">
        <v>1240.56</v>
      </c>
      <c r="C1658" s="25">
        <f t="shared" si="286"/>
        <v>1.6119520345979813E-2</v>
      </c>
      <c r="E1658" s="25">
        <f t="shared" si="300"/>
        <v>-3.0645892262732732E-2</v>
      </c>
      <c r="F1658" s="25">
        <f t="shared" si="297"/>
        <v>0.28598182341352318</v>
      </c>
      <c r="G1658" s="25">
        <f t="shared" si="294"/>
        <v>0.17074570374791387</v>
      </c>
      <c r="H1658" s="25">
        <f t="shared" si="291"/>
        <v>0.13925665826651112</v>
      </c>
      <c r="I1658" s="25">
        <f t="shared" si="288"/>
        <v>0.10981373370083047</v>
      </c>
      <c r="K1658" s="28">
        <v>44824</v>
      </c>
      <c r="L1658" s="23">
        <v>23971.119999999999</v>
      </c>
      <c r="M1658" s="25">
        <f t="shared" si="287"/>
        <v>1.1447525188643662E-2</v>
      </c>
      <c r="O1658" t="b">
        <f t="shared" si="285"/>
        <v>1</v>
      </c>
      <c r="Q1658" s="25">
        <f t="shared" si="301"/>
        <v>3.0491139136026968E-2</v>
      </c>
      <c r="R1658" s="25">
        <f t="shared" si="298"/>
        <v>0.31243105573352925</v>
      </c>
      <c r="S1658" s="25">
        <f t="shared" si="295"/>
        <v>0.19205728116448295</v>
      </c>
      <c r="T1658" s="25">
        <f t="shared" si="292"/>
        <v>0.14860937046145817</v>
      </c>
      <c r="U1658" s="25">
        <f t="shared" si="289"/>
        <v>0.12960911038981071</v>
      </c>
      <c r="X1658">
        <f t="shared" si="302"/>
        <v>0</v>
      </c>
      <c r="Y1658">
        <f t="shared" si="299"/>
        <v>0</v>
      </c>
      <c r="Z1658">
        <f t="shared" si="296"/>
        <v>0</v>
      </c>
      <c r="AA1658">
        <f t="shared" si="293"/>
        <v>0</v>
      </c>
      <c r="AB1658">
        <f t="shared" si="290"/>
        <v>0</v>
      </c>
    </row>
    <row r="1659" spans="1:28">
      <c r="A1659" s="27">
        <v>44825</v>
      </c>
      <c r="B1659" s="24">
        <v>1234.23</v>
      </c>
      <c r="C1659" s="25">
        <f t="shared" si="286"/>
        <v>-5.1025343393305668E-3</v>
      </c>
      <c r="E1659" s="25">
        <f t="shared" si="300"/>
        <v>-3.5614661551323978E-2</v>
      </c>
      <c r="F1659" s="25">
        <f t="shared" si="297"/>
        <v>0.29930954068819005</v>
      </c>
      <c r="G1659" s="25">
        <f t="shared" si="294"/>
        <v>0.17194317090032363</v>
      </c>
      <c r="H1659" s="25">
        <f t="shared" si="291"/>
        <v>0.14232579719584626</v>
      </c>
      <c r="I1659" s="25">
        <f t="shared" si="288"/>
        <v>0.11336295832752175</v>
      </c>
      <c r="K1659" s="29">
        <v>44825</v>
      </c>
      <c r="L1659" s="24">
        <v>23802.29</v>
      </c>
      <c r="M1659" s="25">
        <f t="shared" si="287"/>
        <v>-7.0930149998171647E-3</v>
      </c>
      <c r="O1659" t="b">
        <f t="shared" si="285"/>
        <v>1</v>
      </c>
      <c r="Q1659" s="25">
        <f t="shared" si="301"/>
        <v>2.4138956261856581E-2</v>
      </c>
      <c r="R1659" s="25">
        <f t="shared" si="298"/>
        <v>0.32592158679294014</v>
      </c>
      <c r="S1659" s="25">
        <f t="shared" si="295"/>
        <v>0.19128266408257111</v>
      </c>
      <c r="T1659" s="25">
        <f t="shared" si="292"/>
        <v>0.14968199471923649</v>
      </c>
      <c r="U1659" s="25">
        <f t="shared" si="289"/>
        <v>0.13245045041070336</v>
      </c>
      <c r="X1659">
        <f t="shared" si="302"/>
        <v>0</v>
      </c>
      <c r="Y1659">
        <f t="shared" si="299"/>
        <v>0</v>
      </c>
      <c r="Z1659">
        <f t="shared" si="296"/>
        <v>0</v>
      </c>
      <c r="AA1659">
        <f t="shared" si="293"/>
        <v>0</v>
      </c>
      <c r="AB1659">
        <f t="shared" si="290"/>
        <v>0</v>
      </c>
    </row>
    <row r="1660" spans="1:28">
      <c r="A1660" s="26">
        <v>44826</v>
      </c>
      <c r="B1660" s="23">
        <v>1231.33</v>
      </c>
      <c r="C1660" s="25">
        <f t="shared" si="286"/>
        <v>-2.3496430973158088E-3</v>
      </c>
      <c r="E1660" s="25">
        <f t="shared" si="300"/>
        <v>-3.4160077811245082E-2</v>
      </c>
      <c r="F1660" s="25">
        <f t="shared" si="297"/>
        <v>0.28121453770345339</v>
      </c>
      <c r="G1660" s="25">
        <f t="shared" si="294"/>
        <v>0.17433683114035747</v>
      </c>
      <c r="H1660" s="25">
        <f t="shared" si="291"/>
        <v>0.14544993689020402</v>
      </c>
      <c r="I1660" s="25">
        <f t="shared" si="288"/>
        <v>0.11474316601212853</v>
      </c>
      <c r="K1660" s="28">
        <v>44826</v>
      </c>
      <c r="L1660" s="23">
        <v>23763.439999999999</v>
      </c>
      <c r="M1660" s="25">
        <f t="shared" si="287"/>
        <v>-1.6348643125743657E-3</v>
      </c>
      <c r="O1660" t="b">
        <f t="shared" si="285"/>
        <v>1</v>
      </c>
      <c r="Q1660" s="25">
        <f t="shared" si="301"/>
        <v>2.2664050127384039E-2</v>
      </c>
      <c r="R1660" s="25">
        <f t="shared" si="298"/>
        <v>0.3094597521072282</v>
      </c>
      <c r="S1660" s="25">
        <f t="shared" si="295"/>
        <v>0.19295243361968217</v>
      </c>
      <c r="T1660" s="25">
        <f t="shared" si="292"/>
        <v>0.1519243754216224</v>
      </c>
      <c r="U1660" s="25">
        <f t="shared" si="289"/>
        <v>0.13468111004383654</v>
      </c>
      <c r="X1660">
        <f t="shared" si="302"/>
        <v>0</v>
      </c>
      <c r="Y1660">
        <f t="shared" si="299"/>
        <v>0</v>
      </c>
      <c r="Z1660">
        <f t="shared" si="296"/>
        <v>0</v>
      </c>
      <c r="AA1660">
        <f t="shared" si="293"/>
        <v>0</v>
      </c>
      <c r="AB1660">
        <f t="shared" si="290"/>
        <v>0</v>
      </c>
    </row>
    <row r="1661" spans="1:28">
      <c r="A1661" s="27">
        <v>44827</v>
      </c>
      <c r="B1661" s="24">
        <v>1209.06</v>
      </c>
      <c r="C1661" s="25">
        <f t="shared" si="286"/>
        <v>-1.8086134504966159E-2</v>
      </c>
      <c r="E1661" s="25">
        <f t="shared" si="300"/>
        <v>-4.2419730401862754E-2</v>
      </c>
      <c r="F1661" s="25">
        <f t="shared" si="297"/>
        <v>0.25625661352080553</v>
      </c>
      <c r="G1661" s="25">
        <f t="shared" si="294"/>
        <v>0.17212141766017752</v>
      </c>
      <c r="H1661" s="25">
        <f t="shared" si="291"/>
        <v>0.13706515073634717</v>
      </c>
      <c r="I1661" s="25">
        <f t="shared" si="288"/>
        <v>0.11032771632319593</v>
      </c>
      <c r="K1661" s="29">
        <v>44827</v>
      </c>
      <c r="L1661" s="24">
        <v>23333.25</v>
      </c>
      <c r="M1661" s="25">
        <f t="shared" si="287"/>
        <v>-1.8436780131357557E-2</v>
      </c>
      <c r="O1661" t="b">
        <f t="shared" si="285"/>
        <v>1</v>
      </c>
      <c r="Q1661" s="25">
        <f t="shared" si="301"/>
        <v>1.0327022375215211E-2</v>
      </c>
      <c r="R1661" s="25">
        <f t="shared" si="298"/>
        <v>0.28538449081346928</v>
      </c>
      <c r="S1661" s="25">
        <f t="shared" si="295"/>
        <v>0.19016533076295228</v>
      </c>
      <c r="T1661" s="25">
        <f t="shared" si="292"/>
        <v>0.14512318320106576</v>
      </c>
      <c r="U1661" s="25">
        <f t="shared" si="289"/>
        <v>0.13011751762725376</v>
      </c>
      <c r="X1661">
        <f t="shared" si="302"/>
        <v>0</v>
      </c>
      <c r="Y1661">
        <f t="shared" si="299"/>
        <v>0</v>
      </c>
      <c r="Z1661">
        <f t="shared" si="296"/>
        <v>0</v>
      </c>
      <c r="AA1661">
        <f t="shared" si="293"/>
        <v>0</v>
      </c>
      <c r="AB1661">
        <f t="shared" si="290"/>
        <v>0</v>
      </c>
    </row>
    <row r="1662" spans="1:28">
      <c r="A1662" s="26">
        <v>44830</v>
      </c>
      <c r="B1662" s="23">
        <v>1183.98</v>
      </c>
      <c r="C1662" s="25">
        <f t="shared" si="286"/>
        <v>-2.0743387424941633E-2</v>
      </c>
      <c r="E1662" s="25">
        <f t="shared" si="300"/>
        <v>-6.3603290098070309E-2</v>
      </c>
      <c r="F1662" s="25">
        <f t="shared" si="297"/>
        <v>0.2454694712781651</v>
      </c>
      <c r="G1662" s="25">
        <f t="shared" si="294"/>
        <v>0.16618029926914901</v>
      </c>
      <c r="H1662" s="25">
        <f t="shared" si="291"/>
        <v>0.13392303137096873</v>
      </c>
      <c r="I1662" s="25">
        <f t="shared" si="288"/>
        <v>0.10887688522705408</v>
      </c>
      <c r="K1662" s="28">
        <v>44830</v>
      </c>
      <c r="L1662" s="23">
        <v>22818.87</v>
      </c>
      <c r="M1662" s="25">
        <f t="shared" si="287"/>
        <v>-2.2541869952368416E-2</v>
      </c>
      <c r="O1662" t="b">
        <f t="shared" si="285"/>
        <v>1</v>
      </c>
      <c r="Q1662" s="25">
        <f t="shared" si="301"/>
        <v>-1.1378804939538134E-2</v>
      </c>
      <c r="R1662" s="25">
        <f t="shared" si="298"/>
        <v>0.27185675276144572</v>
      </c>
      <c r="S1662" s="25">
        <f t="shared" si="295"/>
        <v>0.18297990557544197</v>
      </c>
      <c r="T1662" s="25">
        <f t="shared" si="292"/>
        <v>0.14216361878034589</v>
      </c>
      <c r="U1662" s="25">
        <f t="shared" si="289"/>
        <v>0.12859740436360934</v>
      </c>
      <c r="X1662">
        <f t="shared" si="302"/>
        <v>0</v>
      </c>
      <c r="Y1662">
        <f t="shared" si="299"/>
        <v>0</v>
      </c>
      <c r="Z1662">
        <f t="shared" si="296"/>
        <v>0</v>
      </c>
      <c r="AA1662">
        <f t="shared" si="293"/>
        <v>0</v>
      </c>
      <c r="AB1662">
        <f t="shared" si="290"/>
        <v>0</v>
      </c>
    </row>
    <row r="1663" spans="1:28">
      <c r="A1663" s="27">
        <v>44831</v>
      </c>
      <c r="B1663" s="24">
        <v>1182.73</v>
      </c>
      <c r="C1663" s="25">
        <f t="shared" si="286"/>
        <v>-1.0557610770452204E-3</v>
      </c>
      <c r="E1663" s="25">
        <f t="shared" si="300"/>
        <v>-6.2768435900280584E-2</v>
      </c>
      <c r="F1663" s="25">
        <f t="shared" si="297"/>
        <v>0.24376937789321174</v>
      </c>
      <c r="G1663" s="25">
        <f t="shared" si="294"/>
        <v>0.17209983347160751</v>
      </c>
      <c r="H1663" s="25">
        <f t="shared" si="291"/>
        <v>0.13882323619615078</v>
      </c>
      <c r="I1663" s="25">
        <f t="shared" si="288"/>
        <v>0.10731305158512972</v>
      </c>
      <c r="K1663" s="29">
        <v>44831</v>
      </c>
      <c r="L1663" s="24">
        <v>22821.33</v>
      </c>
      <c r="M1663" s="25">
        <f t="shared" si="287"/>
        <v>1.0779389281881313E-4</v>
      </c>
      <c r="O1663" t="b">
        <f t="shared" si="285"/>
        <v>1</v>
      </c>
      <c r="Q1663" s="25">
        <f t="shared" si="301"/>
        <v>-9.021202757556912E-3</v>
      </c>
      <c r="R1663" s="25">
        <f t="shared" si="298"/>
        <v>0.27042534490689052</v>
      </c>
      <c r="S1663" s="25">
        <f t="shared" si="295"/>
        <v>0.18763451303066625</v>
      </c>
      <c r="T1663" s="25">
        <f t="shared" si="292"/>
        <v>0.14864889157795824</v>
      </c>
      <c r="U1663" s="25">
        <f t="shared" si="289"/>
        <v>0.12766709739740056</v>
      </c>
      <c r="X1663">
        <f t="shared" si="302"/>
        <v>0</v>
      </c>
      <c r="Y1663">
        <f t="shared" si="299"/>
        <v>0</v>
      </c>
      <c r="Z1663">
        <f t="shared" si="296"/>
        <v>0</v>
      </c>
      <c r="AA1663">
        <f t="shared" si="293"/>
        <v>0</v>
      </c>
      <c r="AB1663">
        <f t="shared" si="290"/>
        <v>0</v>
      </c>
    </row>
    <row r="1664" spans="1:28">
      <c r="A1664" s="26">
        <v>44832</v>
      </c>
      <c r="B1664" s="23">
        <v>1177.27</v>
      </c>
      <c r="C1664" s="25">
        <f t="shared" si="286"/>
        <v>-4.61643824034229E-3</v>
      </c>
      <c r="E1664" s="25">
        <f t="shared" si="300"/>
        <v>-6.4812608232845514E-2</v>
      </c>
      <c r="F1664" s="25">
        <f t="shared" si="297"/>
        <v>0.23295422848556568</v>
      </c>
      <c r="G1664" s="25">
        <f t="shared" si="294"/>
        <v>0.17185904185007206</v>
      </c>
      <c r="H1664" s="25">
        <f t="shared" si="291"/>
        <v>0.14350976936194559</v>
      </c>
      <c r="I1664" s="25">
        <f t="shared" si="288"/>
        <v>0.1051834087615493</v>
      </c>
      <c r="K1664" s="28">
        <v>44832</v>
      </c>
      <c r="L1664" s="23">
        <v>22656</v>
      </c>
      <c r="M1664" s="25">
        <f t="shared" si="287"/>
        <v>-7.2974046610170262E-3</v>
      </c>
      <c r="O1664" t="b">
        <f t="shared" si="285"/>
        <v>1</v>
      </c>
      <c r="Q1664" s="25">
        <f t="shared" si="301"/>
        <v>-1.3663992727861674E-2</v>
      </c>
      <c r="R1664" s="25">
        <f t="shared" si="298"/>
        <v>0.25776670345696373</v>
      </c>
      <c r="S1664" s="25">
        <f t="shared" si="295"/>
        <v>0.1869820107902862</v>
      </c>
      <c r="T1664" s="25">
        <f t="shared" si="292"/>
        <v>0.15412860859657274</v>
      </c>
      <c r="U1664" s="25">
        <f t="shared" si="289"/>
        <v>0.12490196239189166</v>
      </c>
      <c r="X1664">
        <f t="shared" si="302"/>
        <v>0</v>
      </c>
      <c r="Y1664">
        <f t="shared" si="299"/>
        <v>0</v>
      </c>
      <c r="Z1664">
        <f t="shared" si="296"/>
        <v>0</v>
      </c>
      <c r="AA1664">
        <f t="shared" si="293"/>
        <v>0</v>
      </c>
      <c r="AB1664">
        <f t="shared" si="290"/>
        <v>0</v>
      </c>
    </row>
    <row r="1665" spans="1:28">
      <c r="A1665" s="27">
        <v>44833</v>
      </c>
      <c r="B1665" s="24">
        <v>1178.3499999999999</v>
      </c>
      <c r="C1665" s="25">
        <f t="shared" si="286"/>
        <v>9.1737664257131096E-4</v>
      </c>
      <c r="E1665" s="25">
        <f t="shared" si="300"/>
        <v>-7.5230927398152625E-2</v>
      </c>
      <c r="F1665" s="25">
        <f t="shared" si="297"/>
        <v>0.23056764520376838</v>
      </c>
      <c r="G1665" s="25">
        <f t="shared" si="294"/>
        <v>0.16390291468272711</v>
      </c>
      <c r="H1665" s="25">
        <f t="shared" si="291"/>
        <v>0.14695860229293856</v>
      </c>
      <c r="I1665" s="25">
        <f t="shared" si="288"/>
        <v>0.10383523048519017</v>
      </c>
      <c r="K1665" s="29">
        <v>44833</v>
      </c>
      <c r="L1665" s="24">
        <v>22627.96</v>
      </c>
      <c r="M1665" s="25">
        <f t="shared" si="287"/>
        <v>-1.2391748968975053E-3</v>
      </c>
      <c r="O1665" t="b">
        <f t="shared" si="285"/>
        <v>1</v>
      </c>
      <c r="Q1665" s="25">
        <f t="shared" si="301"/>
        <v>-2.5733209389799172E-2</v>
      </c>
      <c r="R1665" s="25">
        <f t="shared" si="298"/>
        <v>0.25337664255174963</v>
      </c>
      <c r="S1665" s="25">
        <f t="shared" si="295"/>
        <v>0.18054700753655628</v>
      </c>
      <c r="T1665" s="25">
        <f t="shared" si="292"/>
        <v>0.15451956687677604</v>
      </c>
      <c r="U1665" s="25">
        <f t="shared" si="289"/>
        <v>0.12299920219092719</v>
      </c>
      <c r="X1665">
        <f t="shared" si="302"/>
        <v>0</v>
      </c>
      <c r="Y1665">
        <f t="shared" si="299"/>
        <v>0</v>
      </c>
      <c r="Z1665">
        <f t="shared" si="296"/>
        <v>0</v>
      </c>
      <c r="AA1665">
        <f t="shared" si="293"/>
        <v>0</v>
      </c>
      <c r="AB1665">
        <f t="shared" si="290"/>
        <v>0</v>
      </c>
    </row>
    <row r="1666" spans="1:28">
      <c r="A1666" s="26">
        <v>44834</v>
      </c>
      <c r="B1666" s="23">
        <v>1198.43</v>
      </c>
      <c r="C1666" s="25">
        <f t="shared" si="286"/>
        <v>1.7040777358170455E-2</v>
      </c>
      <c r="E1666" s="25">
        <f t="shared" si="300"/>
        <v>-6.3192289352521303E-2</v>
      </c>
      <c r="F1666" s="25">
        <f t="shared" si="297"/>
        <v>0.23584947970294645</v>
      </c>
      <c r="G1666" s="25">
        <f t="shared" si="294"/>
        <v>0.17534093185688171</v>
      </c>
      <c r="H1666" s="25">
        <f t="shared" si="291"/>
        <v>0.15169134222922631</v>
      </c>
      <c r="I1666" s="25">
        <f t="shared" si="288"/>
        <v>0.10725792458343575</v>
      </c>
      <c r="K1666" s="28">
        <v>44834</v>
      </c>
      <c r="L1666" s="23">
        <v>22979.45</v>
      </c>
      <c r="M1666" s="25">
        <f t="shared" si="287"/>
        <v>1.5295840413935129E-2</v>
      </c>
      <c r="O1666" t="b">
        <f t="shared" si="285"/>
        <v>1</v>
      </c>
      <c r="Q1666" s="25">
        <f t="shared" si="301"/>
        <v>-1.700939552758518E-2</v>
      </c>
      <c r="R1666" s="25">
        <f t="shared" si="298"/>
        <v>0.25609366418788593</v>
      </c>
      <c r="S1666" s="25">
        <f t="shared" si="295"/>
        <v>0.18945186094372435</v>
      </c>
      <c r="T1666" s="25">
        <f t="shared" si="292"/>
        <v>0.16031682125370517</v>
      </c>
      <c r="U1666" s="25">
        <f t="shared" si="289"/>
        <v>0.12531313482498851</v>
      </c>
      <c r="X1666">
        <f t="shared" si="302"/>
        <v>0</v>
      </c>
      <c r="Y1666">
        <f t="shared" si="299"/>
        <v>0</v>
      </c>
      <c r="Z1666">
        <f t="shared" si="296"/>
        <v>0</v>
      </c>
      <c r="AA1666">
        <f t="shared" si="293"/>
        <v>0</v>
      </c>
      <c r="AB1666">
        <f t="shared" si="290"/>
        <v>0</v>
      </c>
    </row>
    <row r="1667" spans="1:28">
      <c r="A1667" s="27">
        <v>44837</v>
      </c>
      <c r="B1667" s="24">
        <v>1186.68</v>
      </c>
      <c r="C1667" s="25">
        <f t="shared" si="286"/>
        <v>-9.8044942132623509E-3</v>
      </c>
      <c r="E1667" s="25">
        <f t="shared" si="300"/>
        <v>-6.4331727471279687E-2</v>
      </c>
      <c r="F1667" s="25">
        <f t="shared" si="297"/>
        <v>0.22865704637943218</v>
      </c>
      <c r="G1667" s="25">
        <f t="shared" si="294"/>
        <v>0.16870697526444411</v>
      </c>
      <c r="H1667" s="25">
        <f t="shared" si="291"/>
        <v>0.14191849269066448</v>
      </c>
      <c r="I1667" s="25">
        <f t="shared" si="288"/>
        <v>0.10477145320507919</v>
      </c>
      <c r="K1667" s="29">
        <v>44837</v>
      </c>
      <c r="L1667" s="24">
        <v>22683.759999999998</v>
      </c>
      <c r="M1667" s="25">
        <f t="shared" si="287"/>
        <v>-1.3035316896317116E-2</v>
      </c>
      <c r="O1667" t="b">
        <f t="shared" ref="O1667:O1730" si="303">K1667=A1667</f>
        <v>1</v>
      </c>
      <c r="Q1667" s="25">
        <f t="shared" si="301"/>
        <v>-2.0323619675620241E-2</v>
      </c>
      <c r="R1667" s="25">
        <f t="shared" si="298"/>
        <v>0.2459069278669801</v>
      </c>
      <c r="S1667" s="25">
        <f t="shared" si="295"/>
        <v>0.18222679510625128</v>
      </c>
      <c r="T1667" s="25">
        <f t="shared" si="292"/>
        <v>0.15038455721063881</v>
      </c>
      <c r="U1667" s="25">
        <f t="shared" si="289"/>
        <v>0.12241250147229832</v>
      </c>
      <c r="X1667">
        <f t="shared" si="302"/>
        <v>0</v>
      </c>
      <c r="Y1667">
        <f t="shared" si="299"/>
        <v>0</v>
      </c>
      <c r="Z1667">
        <f t="shared" si="296"/>
        <v>0</v>
      </c>
      <c r="AA1667">
        <f t="shared" si="293"/>
        <v>0</v>
      </c>
      <c r="AB1667">
        <f t="shared" si="290"/>
        <v>0</v>
      </c>
    </row>
    <row r="1668" spans="1:28">
      <c r="A1668" s="26">
        <v>44838</v>
      </c>
      <c r="B1668" s="23">
        <v>1211.53</v>
      </c>
      <c r="C1668" s="25">
        <f t="shared" ref="C1668:C1731" si="304">(B1668-B1667)/B1667</f>
        <v>2.0940775946337604E-2</v>
      </c>
      <c r="E1668" s="25">
        <f t="shared" si="300"/>
        <v>-5.5234099628809319E-2</v>
      </c>
      <c r="F1668" s="25">
        <f t="shared" si="297"/>
        <v>0.23761149679398064</v>
      </c>
      <c r="G1668" s="25">
        <f t="shared" si="294"/>
        <v>0.17505662761114382</v>
      </c>
      <c r="H1668" s="25">
        <f t="shared" si="291"/>
        <v>0.15397547424752456</v>
      </c>
      <c r="I1668" s="25">
        <f t="shared" si="288"/>
        <v>0.10734341601832531</v>
      </c>
      <c r="K1668" s="28">
        <v>44838</v>
      </c>
      <c r="L1668" s="23">
        <v>23190.95</v>
      </c>
      <c r="M1668" s="25">
        <f t="shared" ref="M1668:M1731" si="305">(L1668-L1667)/L1668</f>
        <v>2.187016918237512E-2</v>
      </c>
      <c r="O1668" t="b">
        <f t="shared" si="303"/>
        <v>1</v>
      </c>
      <c r="Q1668" s="25">
        <f t="shared" si="301"/>
        <v>-8.6138903791608268E-3</v>
      </c>
      <c r="R1668" s="25">
        <f t="shared" si="298"/>
        <v>0.25603426925077244</v>
      </c>
      <c r="S1668" s="25">
        <f t="shared" si="295"/>
        <v>0.18962312471918907</v>
      </c>
      <c r="T1668" s="25">
        <f t="shared" si="292"/>
        <v>0.16288808343004457</v>
      </c>
      <c r="U1668" s="25">
        <f t="shared" si="289"/>
        <v>0.12530252717638413</v>
      </c>
      <c r="X1668">
        <f t="shared" si="302"/>
        <v>0</v>
      </c>
      <c r="Y1668">
        <f t="shared" si="299"/>
        <v>0</v>
      </c>
      <c r="Z1668">
        <f t="shared" si="296"/>
        <v>0</v>
      </c>
      <c r="AA1668">
        <f t="shared" si="293"/>
        <v>0</v>
      </c>
      <c r="AB1668">
        <f t="shared" si="290"/>
        <v>0</v>
      </c>
    </row>
    <row r="1669" spans="1:28">
      <c r="A1669" s="27">
        <v>44840</v>
      </c>
      <c r="B1669" s="24">
        <v>1220.46</v>
      </c>
      <c r="C1669" s="25">
        <f t="shared" si="304"/>
        <v>7.3708451297120701E-3</v>
      </c>
      <c r="E1669" s="25">
        <f t="shared" si="300"/>
        <v>-5.1561613602629675E-2</v>
      </c>
      <c r="F1669" s="25">
        <f t="shared" si="297"/>
        <v>0.23883271820572971</v>
      </c>
      <c r="G1669" s="25">
        <f t="shared" si="294"/>
        <v>0.17540255607772659</v>
      </c>
      <c r="H1669" s="25">
        <f t="shared" si="291"/>
        <v>0.14827276141374179</v>
      </c>
      <c r="I1669" s="25">
        <f t="shared" si="288"/>
        <v>0.10886133701062639</v>
      </c>
      <c r="K1669" s="29">
        <v>44840</v>
      </c>
      <c r="L1669" s="24">
        <v>23326.09</v>
      </c>
      <c r="M1669" s="25">
        <f t="shared" si="305"/>
        <v>5.7935127576031571E-3</v>
      </c>
      <c r="O1669" t="b">
        <f t="shared" si="303"/>
        <v>1</v>
      </c>
      <c r="Q1669" s="25">
        <f t="shared" si="301"/>
        <v>-7.7048701228260574E-3</v>
      </c>
      <c r="R1669" s="25">
        <f t="shared" si="298"/>
        <v>0.25721165235033849</v>
      </c>
      <c r="S1669" s="25">
        <f t="shared" si="295"/>
        <v>0.18929532965729123</v>
      </c>
      <c r="T1669" s="25">
        <f t="shared" si="292"/>
        <v>0.15782761828103342</v>
      </c>
      <c r="U1669" s="25">
        <f t="shared" si="289"/>
        <v>0.12633241754812019</v>
      </c>
      <c r="X1669">
        <f t="shared" si="302"/>
        <v>0</v>
      </c>
      <c r="Y1669">
        <f t="shared" si="299"/>
        <v>0</v>
      </c>
      <c r="Z1669">
        <f t="shared" si="296"/>
        <v>0</v>
      </c>
      <c r="AA1669">
        <f t="shared" si="293"/>
        <v>0</v>
      </c>
      <c r="AB1669">
        <f t="shared" si="290"/>
        <v>0</v>
      </c>
    </row>
    <row r="1670" spans="1:28">
      <c r="A1670" s="26">
        <v>44841</v>
      </c>
      <c r="B1670" s="23">
        <v>1218.0999999999999</v>
      </c>
      <c r="C1670" s="25">
        <f t="shared" si="304"/>
        <v>-1.9336971305902097E-3</v>
      </c>
      <c r="E1670" s="25">
        <f t="shared" si="300"/>
        <v>-5.7861722780394698E-2</v>
      </c>
      <c r="F1670" s="25">
        <f t="shared" si="297"/>
        <v>0.23820281695151202</v>
      </c>
      <c r="G1670" s="25">
        <f t="shared" si="294"/>
        <v>0.17401993100734114</v>
      </c>
      <c r="H1670" s="25">
        <f t="shared" si="291"/>
        <v>0.14636428394208401</v>
      </c>
      <c r="I1670" s="25">
        <f t="shared" si="288"/>
        <v>0.108076230799516</v>
      </c>
      <c r="K1670" s="28">
        <v>44841</v>
      </c>
      <c r="L1670" s="23">
        <v>23300.77</v>
      </c>
      <c r="M1670" s="25">
        <f t="shared" si="305"/>
        <v>-1.0866593679092883E-3</v>
      </c>
      <c r="O1670" t="b">
        <f t="shared" si="303"/>
        <v>1</v>
      </c>
      <c r="Q1670" s="25">
        <f t="shared" si="301"/>
        <v>-1.2817275550452645E-2</v>
      </c>
      <c r="R1670" s="25">
        <f t="shared" si="298"/>
        <v>0.25683831021687387</v>
      </c>
      <c r="S1670" s="25">
        <f t="shared" si="295"/>
        <v>0.18766840208694835</v>
      </c>
      <c r="T1670" s="25">
        <f t="shared" si="292"/>
        <v>0.15603587213009296</v>
      </c>
      <c r="U1670" s="25">
        <f t="shared" si="289"/>
        <v>0.12511422032425967</v>
      </c>
      <c r="X1670">
        <f t="shared" si="302"/>
        <v>0</v>
      </c>
      <c r="Y1670">
        <f t="shared" si="299"/>
        <v>0</v>
      </c>
      <c r="Z1670">
        <f t="shared" si="296"/>
        <v>0</v>
      </c>
      <c r="AA1670">
        <f t="shared" si="293"/>
        <v>0</v>
      </c>
      <c r="AB1670">
        <f t="shared" si="290"/>
        <v>0</v>
      </c>
    </row>
    <row r="1671" spans="1:28">
      <c r="A1671" s="27">
        <v>44844</v>
      </c>
      <c r="B1671" s="24">
        <v>1214.22</v>
      </c>
      <c r="C1671" s="25">
        <f t="shared" si="304"/>
        <v>-3.1852885641571972E-3</v>
      </c>
      <c r="E1671" s="25">
        <f t="shared" si="300"/>
        <v>-6.2790895127241231E-2</v>
      </c>
      <c r="F1671" s="25">
        <f t="shared" si="297"/>
        <v>0.23795997572138483</v>
      </c>
      <c r="G1671" s="25">
        <f t="shared" si="294"/>
        <v>0.16834986155791487</v>
      </c>
      <c r="H1671" s="25">
        <f t="shared" si="291"/>
        <v>0.14317186303826834</v>
      </c>
      <c r="I1671" s="25">
        <f t="shared" si="288"/>
        <v>0.10909045397862349</v>
      </c>
      <c r="K1671" s="29">
        <v>44844</v>
      </c>
      <c r="L1671" s="24">
        <v>23168.98</v>
      </c>
      <c r="M1671" s="25">
        <f t="shared" si="305"/>
        <v>-5.6882089759670417E-3</v>
      </c>
      <c r="O1671" t="b">
        <f t="shared" si="303"/>
        <v>1</v>
      </c>
      <c r="Q1671" s="25">
        <f t="shared" si="301"/>
        <v>-2.1819824536220001E-2</v>
      </c>
      <c r="R1671" s="25">
        <f t="shared" si="298"/>
        <v>0.25384898261334854</v>
      </c>
      <c r="S1671" s="25">
        <f t="shared" si="295"/>
        <v>0.18053677893417941</v>
      </c>
      <c r="T1671" s="25">
        <f t="shared" si="292"/>
        <v>0.15173516895498551</v>
      </c>
      <c r="U1671" s="25">
        <f t="shared" si="289"/>
        <v>0.12496164239106777</v>
      </c>
      <c r="X1671">
        <f t="shared" si="302"/>
        <v>0</v>
      </c>
      <c r="Y1671">
        <f t="shared" si="299"/>
        <v>0</v>
      </c>
      <c r="Z1671">
        <f t="shared" si="296"/>
        <v>0</v>
      </c>
      <c r="AA1671">
        <f t="shared" si="293"/>
        <v>0</v>
      </c>
      <c r="AB1671">
        <f t="shared" si="290"/>
        <v>0</v>
      </c>
    </row>
    <row r="1672" spans="1:28">
      <c r="A1672" s="26">
        <v>44845</v>
      </c>
      <c r="B1672" s="23">
        <v>1194.72</v>
      </c>
      <c r="C1672" s="25">
        <f t="shared" si="304"/>
        <v>-1.6059692642190048E-2</v>
      </c>
      <c r="E1672" s="25">
        <f t="shared" si="300"/>
        <v>-8.2797853474285366E-2</v>
      </c>
      <c r="F1672" s="25">
        <f t="shared" si="297"/>
        <v>0.22544512360652114</v>
      </c>
      <c r="G1672" s="25">
        <f t="shared" si="294"/>
        <v>0.15959943598026483</v>
      </c>
      <c r="H1672" s="25">
        <f t="shared" si="291"/>
        <v>0.14286241790798027</v>
      </c>
      <c r="I1672" s="25">
        <f t="shared" si="288"/>
        <v>0.10332390522398649</v>
      </c>
      <c r="K1672" s="28">
        <v>44845</v>
      </c>
      <c r="L1672" s="23">
        <v>22812.98</v>
      </c>
      <c r="M1672" s="25">
        <f t="shared" si="305"/>
        <v>-1.5605151102574061E-2</v>
      </c>
      <c r="O1672" t="b">
        <f t="shared" si="303"/>
        <v>1</v>
      </c>
      <c r="Q1672" s="25">
        <f t="shared" si="301"/>
        <v>-4.6059561428708262E-2</v>
      </c>
      <c r="R1672" s="25">
        <f t="shared" si="298"/>
        <v>0.2423533195481784</v>
      </c>
      <c r="S1672" s="25">
        <f t="shared" si="295"/>
        <v>0.17080562764737062</v>
      </c>
      <c r="T1672" s="25">
        <f t="shared" si="292"/>
        <v>0.15168630831553886</v>
      </c>
      <c r="U1672" s="25">
        <f t="shared" si="289"/>
        <v>0.11900880329138097</v>
      </c>
      <c r="X1672">
        <f t="shared" si="302"/>
        <v>0</v>
      </c>
      <c r="Y1672">
        <f t="shared" si="299"/>
        <v>0</v>
      </c>
      <c r="Z1672">
        <f t="shared" si="296"/>
        <v>0</v>
      </c>
      <c r="AA1672">
        <f t="shared" si="293"/>
        <v>0</v>
      </c>
      <c r="AB1672">
        <f t="shared" si="290"/>
        <v>0</v>
      </c>
    </row>
    <row r="1673" spans="1:28">
      <c r="A1673" s="27">
        <v>44846</v>
      </c>
      <c r="B1673" s="24">
        <v>1202.4000000000001</v>
      </c>
      <c r="C1673" s="25">
        <f t="shared" si="304"/>
        <v>6.4282844515870362E-3</v>
      </c>
      <c r="E1673" s="25">
        <f t="shared" si="300"/>
        <v>-8.1225643768625289E-2</v>
      </c>
      <c r="F1673" s="25">
        <f t="shared" si="297"/>
        <v>0.24258313246699625</v>
      </c>
      <c r="G1673" s="25">
        <f t="shared" si="294"/>
        <v>0.16286862059733398</v>
      </c>
      <c r="H1673" s="25">
        <f t="shared" si="291"/>
        <v>0.14837317401251315</v>
      </c>
      <c r="I1673" s="25">
        <f t="shared" si="288"/>
        <v>0.1039603017712023</v>
      </c>
      <c r="K1673" s="29">
        <v>44846</v>
      </c>
      <c r="L1673" s="24">
        <v>22980.400000000001</v>
      </c>
      <c r="M1673" s="25">
        <f t="shared" si="305"/>
        <v>7.2853388104646517E-3</v>
      </c>
      <c r="O1673" t="b">
        <f t="shared" si="303"/>
        <v>1</v>
      </c>
      <c r="Q1673" s="25">
        <f t="shared" si="301"/>
        <v>-4.751838924817009E-2</v>
      </c>
      <c r="R1673" s="25">
        <f t="shared" si="298"/>
        <v>0.2607540996845843</v>
      </c>
      <c r="S1673" s="25">
        <f t="shared" si="295"/>
        <v>0.17494288021582527</v>
      </c>
      <c r="T1673" s="25">
        <f t="shared" si="292"/>
        <v>0.15771133364119749</v>
      </c>
      <c r="U1673" s="25">
        <f t="shared" si="289"/>
        <v>0.11946096976874965</v>
      </c>
      <c r="X1673">
        <f t="shared" si="302"/>
        <v>0</v>
      </c>
      <c r="Y1673">
        <f t="shared" si="299"/>
        <v>0</v>
      </c>
      <c r="Z1673">
        <f t="shared" si="296"/>
        <v>0</v>
      </c>
      <c r="AA1673">
        <f t="shared" si="293"/>
        <v>0</v>
      </c>
      <c r="AB1673">
        <f t="shared" si="290"/>
        <v>0</v>
      </c>
    </row>
    <row r="1674" spans="1:28">
      <c r="A1674" s="26">
        <v>44847</v>
      </c>
      <c r="B1674" s="23">
        <v>1196.6099999999999</v>
      </c>
      <c r="C1674" s="25">
        <f t="shared" si="304"/>
        <v>-4.8153692614772044E-3</v>
      </c>
      <c r="E1674" s="25">
        <f t="shared" si="300"/>
        <v>-9.129500391090728E-2</v>
      </c>
      <c r="F1674" s="25">
        <f t="shared" si="297"/>
        <v>0.23352023408534706</v>
      </c>
      <c r="G1674" s="25">
        <f t="shared" si="294"/>
        <v>0.16039741043184441</v>
      </c>
      <c r="H1674" s="25">
        <f t="shared" si="291"/>
        <v>0.14889146865268299</v>
      </c>
      <c r="I1674" s="25">
        <f t="shared" si="288"/>
        <v>0.10164496522241517</v>
      </c>
      <c r="K1674" s="28">
        <v>44847</v>
      </c>
      <c r="L1674" s="23">
        <v>22825.98</v>
      </c>
      <c r="M1674" s="25">
        <f t="shared" si="305"/>
        <v>-6.7650983659848073E-3</v>
      </c>
      <c r="O1674" t="b">
        <f t="shared" si="303"/>
        <v>1</v>
      </c>
      <c r="Q1674" s="25">
        <f t="shared" si="301"/>
        <v>-6.0880319529723947E-2</v>
      </c>
      <c r="R1674" s="25">
        <f t="shared" si="298"/>
        <v>0.25152917694424759</v>
      </c>
      <c r="S1674" s="25">
        <f t="shared" si="295"/>
        <v>0.17166136933792076</v>
      </c>
      <c r="T1674" s="25">
        <f t="shared" si="292"/>
        <v>0.15790203537483283</v>
      </c>
      <c r="U1674" s="25">
        <f t="shared" si="289"/>
        <v>0.11675445010434315</v>
      </c>
      <c r="X1674">
        <f t="shared" si="302"/>
        <v>0</v>
      </c>
      <c r="Y1674">
        <f t="shared" si="299"/>
        <v>0</v>
      </c>
      <c r="Z1674">
        <f t="shared" si="296"/>
        <v>0</v>
      </c>
      <c r="AA1674">
        <f t="shared" si="293"/>
        <v>0</v>
      </c>
      <c r="AB1674">
        <f t="shared" si="290"/>
        <v>0</v>
      </c>
    </row>
    <row r="1675" spans="1:28">
      <c r="A1675" s="27">
        <v>44848</v>
      </c>
      <c r="B1675" s="24">
        <v>1206.82</v>
      </c>
      <c r="C1675" s="25">
        <f t="shared" si="304"/>
        <v>8.5324374691838085E-3</v>
      </c>
      <c r="E1675" s="25">
        <f t="shared" si="300"/>
        <v>-7.7524001712224067E-2</v>
      </c>
      <c r="F1675" s="25">
        <f t="shared" si="297"/>
        <v>0.2338315272583753</v>
      </c>
      <c r="G1675" s="25">
        <f t="shared" si="294"/>
        <v>0.16441361147613498</v>
      </c>
      <c r="H1675" s="25">
        <f t="shared" si="291"/>
        <v>0.154214670191684</v>
      </c>
      <c r="I1675" s="25">
        <f t="shared" si="288"/>
        <v>0.10322547264037585</v>
      </c>
      <c r="K1675" s="29">
        <v>44848</v>
      </c>
      <c r="L1675" s="24">
        <v>22957.38</v>
      </c>
      <c r="M1675" s="25">
        <f t="shared" si="305"/>
        <v>5.7236496499165606E-3</v>
      </c>
      <c r="O1675" t="b">
        <f t="shared" si="303"/>
        <v>1</v>
      </c>
      <c r="Q1675" s="25">
        <f t="shared" si="301"/>
        <v>-4.7782627432713887E-2</v>
      </c>
      <c r="R1675" s="25">
        <f t="shared" si="298"/>
        <v>0.24974583603921419</v>
      </c>
      <c r="S1675" s="25">
        <f t="shared" si="295"/>
        <v>0.17477102844985315</v>
      </c>
      <c r="T1675" s="25">
        <f t="shared" si="292"/>
        <v>0.16250439091503277</v>
      </c>
      <c r="U1675" s="25">
        <f t="shared" si="289"/>
        <v>0.11761216811032971</v>
      </c>
      <c r="X1675">
        <f t="shared" si="302"/>
        <v>0</v>
      </c>
      <c r="Y1675">
        <f t="shared" si="299"/>
        <v>0</v>
      </c>
      <c r="Z1675">
        <f t="shared" si="296"/>
        <v>0</v>
      </c>
      <c r="AA1675">
        <f t="shared" si="293"/>
        <v>0</v>
      </c>
      <c r="AB1675">
        <f t="shared" si="290"/>
        <v>0</v>
      </c>
    </row>
    <row r="1676" spans="1:28">
      <c r="A1676" s="26">
        <v>44851</v>
      </c>
      <c r="B1676" s="23">
        <v>1213.6300000000001</v>
      </c>
      <c r="C1676" s="25">
        <f t="shared" si="304"/>
        <v>5.6429293515190115E-3</v>
      </c>
      <c r="E1676" s="25">
        <f t="shared" si="300"/>
        <v>-6.3795484174554162E-2</v>
      </c>
      <c r="F1676" s="25">
        <f t="shared" si="297"/>
        <v>0.23318462294419806</v>
      </c>
      <c r="G1676" s="25">
        <f t="shared" si="294"/>
        <v>0.16506237438235671</v>
      </c>
      <c r="H1676" s="25">
        <f t="shared" si="291"/>
        <v>0.15192089601299918</v>
      </c>
      <c r="I1676" s="25">
        <f t="shared" si="288"/>
        <v>0.10538237489528446</v>
      </c>
      <c r="K1676" s="28">
        <v>44851</v>
      </c>
      <c r="L1676" s="23">
        <v>23100.15</v>
      </c>
      <c r="M1676" s="25">
        <f t="shared" si="305"/>
        <v>6.1804793475367225E-3</v>
      </c>
      <c r="O1676" t="b">
        <f t="shared" si="303"/>
        <v>1</v>
      </c>
      <c r="Q1676" s="25">
        <f t="shared" si="301"/>
        <v>-3.0220403022669928E-2</v>
      </c>
      <c r="R1676" s="25">
        <f t="shared" si="298"/>
        <v>0.25209814484730231</v>
      </c>
      <c r="S1676" s="25">
        <f t="shared" si="295"/>
        <v>0.17747352179320952</v>
      </c>
      <c r="T1676" s="25">
        <f t="shared" si="292"/>
        <v>0.16206303372280084</v>
      </c>
      <c r="U1676" s="25">
        <f t="shared" si="289"/>
        <v>0.11943887218449589</v>
      </c>
      <c r="X1676">
        <f t="shared" si="302"/>
        <v>0</v>
      </c>
      <c r="Y1676">
        <f t="shared" si="299"/>
        <v>0</v>
      </c>
      <c r="Z1676">
        <f t="shared" si="296"/>
        <v>0</v>
      </c>
      <c r="AA1676">
        <f t="shared" si="293"/>
        <v>0</v>
      </c>
      <c r="AB1676">
        <f t="shared" si="290"/>
        <v>0</v>
      </c>
    </row>
    <row r="1677" spans="1:28">
      <c r="A1677" s="27">
        <v>44852</v>
      </c>
      <c r="B1677" s="24">
        <v>1224.1600000000001</v>
      </c>
      <c r="C1677" s="25">
        <f t="shared" si="304"/>
        <v>8.6764499888763221E-3</v>
      </c>
      <c r="E1677" s="25">
        <f t="shared" si="300"/>
        <v>-5.0471987155123577E-2</v>
      </c>
      <c r="F1677" s="25">
        <f t="shared" si="297"/>
        <v>0.23556159729789039</v>
      </c>
      <c r="G1677" s="25">
        <f t="shared" si="294"/>
        <v>0.16252913328814356</v>
      </c>
      <c r="H1677" s="25">
        <f t="shared" si="291"/>
        <v>0.15716611866571295</v>
      </c>
      <c r="I1677" s="25">
        <f t="shared" si="288"/>
        <v>0.10771900856898187</v>
      </c>
      <c r="K1677" s="29">
        <v>44852</v>
      </c>
      <c r="L1677" s="24">
        <v>23333.17</v>
      </c>
      <c r="M1677" s="25">
        <f t="shared" si="305"/>
        <v>9.9866413350606382E-3</v>
      </c>
      <c r="O1677" t="b">
        <f t="shared" si="303"/>
        <v>1</v>
      </c>
      <c r="Q1677" s="25">
        <f t="shared" si="301"/>
        <v>-1.5410758034937522E-2</v>
      </c>
      <c r="R1677" s="25">
        <f t="shared" si="298"/>
        <v>0.25687494058373339</v>
      </c>
      <c r="S1677" s="25">
        <f t="shared" si="295"/>
        <v>0.1745160546991138</v>
      </c>
      <c r="T1677" s="25">
        <f t="shared" si="292"/>
        <v>0.16761328992914004</v>
      </c>
      <c r="U1677" s="25">
        <f t="shared" si="289"/>
        <v>0.12198212793162799</v>
      </c>
      <c r="X1677">
        <f t="shared" si="302"/>
        <v>0</v>
      </c>
      <c r="Y1677">
        <f t="shared" si="299"/>
        <v>0</v>
      </c>
      <c r="Z1677">
        <f t="shared" si="296"/>
        <v>0</v>
      </c>
      <c r="AA1677">
        <f t="shared" si="293"/>
        <v>0</v>
      </c>
      <c r="AB1677">
        <f t="shared" si="290"/>
        <v>0</v>
      </c>
    </row>
    <row r="1678" spans="1:28">
      <c r="A1678" s="26">
        <v>44853</v>
      </c>
      <c r="B1678" s="23">
        <v>1222.8499999999999</v>
      </c>
      <c r="C1678" s="25">
        <f t="shared" si="304"/>
        <v>-1.0701215527383452E-3</v>
      </c>
      <c r="E1678" s="25">
        <f t="shared" si="300"/>
        <v>-4.5736893855446215E-2</v>
      </c>
      <c r="F1678" s="25">
        <f t="shared" si="297"/>
        <v>0.23513138558583035</v>
      </c>
      <c r="G1678" s="25">
        <f t="shared" si="294"/>
        <v>0.16144886388190294</v>
      </c>
      <c r="H1678" s="25">
        <f t="shared" si="291"/>
        <v>0.15823299240857858</v>
      </c>
      <c r="I1678" s="25">
        <f t="shared" si="288"/>
        <v>0.10671992443143741</v>
      </c>
      <c r="K1678" s="28">
        <v>44853</v>
      </c>
      <c r="L1678" s="23">
        <v>23354.01</v>
      </c>
      <c r="M1678" s="25">
        <f t="shared" si="305"/>
        <v>8.9235210569834245E-4</v>
      </c>
      <c r="O1678" t="b">
        <f t="shared" si="303"/>
        <v>1</v>
      </c>
      <c r="Q1678" s="25">
        <f t="shared" si="301"/>
        <v>-8.9030631731724652E-3</v>
      </c>
      <c r="R1678" s="25">
        <f t="shared" si="298"/>
        <v>0.25814415386066569</v>
      </c>
      <c r="S1678" s="25">
        <f t="shared" si="295"/>
        <v>0.17285258515736257</v>
      </c>
      <c r="T1678" s="25">
        <f t="shared" si="292"/>
        <v>0.16981931922751037</v>
      </c>
      <c r="U1678" s="25">
        <f t="shared" si="289"/>
        <v>0.12166022357883177</v>
      </c>
      <c r="X1678">
        <f t="shared" si="302"/>
        <v>0</v>
      </c>
      <c r="Y1678">
        <f t="shared" si="299"/>
        <v>0</v>
      </c>
      <c r="Z1678">
        <f t="shared" si="296"/>
        <v>0</v>
      </c>
      <c r="AA1678">
        <f t="shared" si="293"/>
        <v>0</v>
      </c>
      <c r="AB1678">
        <f t="shared" si="290"/>
        <v>0</v>
      </c>
    </row>
    <row r="1679" spans="1:28">
      <c r="A1679" s="27">
        <v>44854</v>
      </c>
      <c r="B1679" s="24">
        <v>1225.42</v>
      </c>
      <c r="C1679" s="25">
        <f t="shared" si="304"/>
        <v>2.1016477899989073E-3</v>
      </c>
      <c r="E1679" s="25">
        <f t="shared" si="300"/>
        <v>-4.4566420808058615E-2</v>
      </c>
      <c r="F1679" s="25">
        <f t="shared" si="297"/>
        <v>0.23374572362553647</v>
      </c>
      <c r="G1679" s="25">
        <f t="shared" si="294"/>
        <v>0.16110768946993326</v>
      </c>
      <c r="H1679" s="25">
        <f t="shared" si="291"/>
        <v>0.15213455429659617</v>
      </c>
      <c r="I1679" s="25">
        <f t="shared" si="288"/>
        <v>0.10702844759242724</v>
      </c>
      <c r="K1679" s="29">
        <v>44854</v>
      </c>
      <c r="L1679" s="24">
        <v>23421.439999999999</v>
      </c>
      <c r="M1679" s="25">
        <f t="shared" si="305"/>
        <v>2.8789860913761194E-3</v>
      </c>
      <c r="O1679" t="b">
        <f t="shared" si="303"/>
        <v>1</v>
      </c>
      <c r="Q1679" s="25">
        <f t="shared" si="301"/>
        <v>-1.811290005003463E-3</v>
      </c>
      <c r="R1679" s="25">
        <f t="shared" si="298"/>
        <v>0.25730439136883199</v>
      </c>
      <c r="S1679" s="25">
        <f t="shared" si="295"/>
        <v>0.17226407530945331</v>
      </c>
      <c r="T1679" s="25">
        <f t="shared" si="292"/>
        <v>0.16404334723156166</v>
      </c>
      <c r="U1679" s="25">
        <f t="shared" si="289"/>
        <v>0.12051856845340803</v>
      </c>
      <c r="X1679">
        <f t="shared" si="302"/>
        <v>0</v>
      </c>
      <c r="Y1679">
        <f t="shared" si="299"/>
        <v>0</v>
      </c>
      <c r="Z1679">
        <f t="shared" si="296"/>
        <v>0</v>
      </c>
      <c r="AA1679">
        <f t="shared" si="293"/>
        <v>0</v>
      </c>
      <c r="AB1679">
        <f t="shared" si="290"/>
        <v>0</v>
      </c>
    </row>
    <row r="1680" spans="1:28">
      <c r="A1680" s="26">
        <v>44855</v>
      </c>
      <c r="B1680" s="23">
        <v>1226.05</v>
      </c>
      <c r="C1680" s="25">
        <f t="shared" si="304"/>
        <v>5.1410944818909576E-4</v>
      </c>
      <c r="E1680" s="25">
        <f t="shared" si="300"/>
        <v>-5.449904374113157E-2</v>
      </c>
      <c r="F1680" s="25">
        <f t="shared" si="297"/>
        <v>0.24236976769225405</v>
      </c>
      <c r="G1680" s="25">
        <f t="shared" si="294"/>
        <v>0.15871230247626267</v>
      </c>
      <c r="H1680" s="25">
        <f t="shared" si="291"/>
        <v>0.15138138064815498</v>
      </c>
      <c r="I1680" s="25">
        <f t="shared" si="288"/>
        <v>0.10644058231874864</v>
      </c>
      <c r="K1680" s="28">
        <v>44855</v>
      </c>
      <c r="L1680" s="23">
        <v>23373.43</v>
      </c>
      <c r="M1680" s="25">
        <f t="shared" si="305"/>
        <v>-2.0540417046192366E-3</v>
      </c>
      <c r="O1680" t="b">
        <f t="shared" si="303"/>
        <v>1</v>
      </c>
      <c r="Q1680" s="25">
        <f t="shared" si="301"/>
        <v>-1.5097930070837595E-2</v>
      </c>
      <c r="R1680" s="25">
        <f t="shared" si="298"/>
        <v>0.26461866052491456</v>
      </c>
      <c r="S1680" s="25">
        <f t="shared" si="295"/>
        <v>0.17088433255714786</v>
      </c>
      <c r="T1680" s="25">
        <f t="shared" si="292"/>
        <v>0.16376739310739086</v>
      </c>
      <c r="U1680" s="25">
        <f t="shared" si="289"/>
        <v>0.11903224633906251</v>
      </c>
      <c r="X1680">
        <f t="shared" si="302"/>
        <v>0</v>
      </c>
      <c r="Y1680">
        <f t="shared" si="299"/>
        <v>0</v>
      </c>
      <c r="Z1680">
        <f t="shared" si="296"/>
        <v>0</v>
      </c>
      <c r="AA1680">
        <f t="shared" si="293"/>
        <v>0</v>
      </c>
      <c r="AB1680">
        <f t="shared" si="290"/>
        <v>0</v>
      </c>
    </row>
    <row r="1681" spans="1:28">
      <c r="A1681" s="27">
        <v>44859</v>
      </c>
      <c r="B1681" s="24">
        <v>1234.81</v>
      </c>
      <c r="C1681" s="25">
        <f t="shared" si="304"/>
        <v>7.1448962114106203E-3</v>
      </c>
      <c r="E1681" s="25">
        <f t="shared" si="300"/>
        <v>-4.8660600784301677E-2</v>
      </c>
      <c r="F1681" s="25">
        <f t="shared" si="297"/>
        <v>0.23927972272860143</v>
      </c>
      <c r="G1681" s="25">
        <f t="shared" si="294"/>
        <v>0.15975107601467009</v>
      </c>
      <c r="H1681" s="25">
        <f t="shared" si="291"/>
        <v>0.149019319867566</v>
      </c>
      <c r="I1681" s="25">
        <f t="shared" si="288"/>
        <v>0.107981201232354</v>
      </c>
      <c r="K1681" s="29">
        <v>44859</v>
      </c>
      <c r="L1681" s="24">
        <v>23492.95</v>
      </c>
      <c r="M1681" s="25">
        <f t="shared" si="305"/>
        <v>5.0874836919161037E-3</v>
      </c>
      <c r="O1681" t="b">
        <f t="shared" si="303"/>
        <v>1</v>
      </c>
      <c r="Q1681" s="25">
        <f t="shared" si="301"/>
        <v>-9.0991991118863913E-3</v>
      </c>
      <c r="R1681" s="25">
        <f t="shared" si="298"/>
        <v>0.26127944255061863</v>
      </c>
      <c r="S1681" s="25">
        <f t="shared" si="295"/>
        <v>0.17172066887312432</v>
      </c>
      <c r="T1681" s="25">
        <f t="shared" si="292"/>
        <v>0.16011887277447467</v>
      </c>
      <c r="U1681" s="25">
        <f t="shared" si="289"/>
        <v>0.12023036306786739</v>
      </c>
      <c r="X1681">
        <f t="shared" si="302"/>
        <v>0</v>
      </c>
      <c r="Y1681">
        <f t="shared" si="299"/>
        <v>0</v>
      </c>
      <c r="Z1681">
        <f t="shared" si="296"/>
        <v>0</v>
      </c>
      <c r="AA1681">
        <f t="shared" si="293"/>
        <v>0</v>
      </c>
      <c r="AB1681">
        <f t="shared" si="290"/>
        <v>0</v>
      </c>
    </row>
    <row r="1682" spans="1:28">
      <c r="A1682" s="26">
        <v>44861</v>
      </c>
      <c r="B1682" s="23">
        <v>1245.48</v>
      </c>
      <c r="C1682" s="25">
        <f t="shared" si="304"/>
        <v>8.6410054988217411E-3</v>
      </c>
      <c r="E1682" s="25">
        <f t="shared" si="300"/>
        <v>-2.2217337373800827E-2</v>
      </c>
      <c r="F1682" s="25">
        <f t="shared" si="297"/>
        <v>0.25180510320354466</v>
      </c>
      <c r="G1682" s="25">
        <f t="shared" si="294"/>
        <v>0.1641958573354787</v>
      </c>
      <c r="H1682" s="25">
        <f t="shared" si="291"/>
        <v>0.15072674571823996</v>
      </c>
      <c r="I1682" s="25">
        <f t="shared" ref="I1682:I1745" si="306">((B1682/B451)^(1/5))-1</f>
        <v>0.10902097215396456</v>
      </c>
      <c r="K1682" s="28">
        <v>44861</v>
      </c>
      <c r="L1682" s="23">
        <v>23638.82</v>
      </c>
      <c r="M1682" s="25">
        <f t="shared" si="305"/>
        <v>6.1707817902923656E-3</v>
      </c>
      <c r="O1682" t="b">
        <f t="shared" si="303"/>
        <v>1</v>
      </c>
      <c r="Q1682" s="25">
        <f t="shared" si="301"/>
        <v>1.6298562493443525E-2</v>
      </c>
      <c r="R1682" s="25">
        <f t="shared" si="298"/>
        <v>0.27265721014312794</v>
      </c>
      <c r="S1682" s="25">
        <f t="shared" si="295"/>
        <v>0.1756788244889429</v>
      </c>
      <c r="T1682" s="25">
        <f t="shared" si="292"/>
        <v>0.161250388020729</v>
      </c>
      <c r="U1682" s="25">
        <f t="shared" ref="U1682:U1745" si="307">((L1682/L451)^(1/5))-1</f>
        <v>0.12012982470035505</v>
      </c>
      <c r="X1682">
        <f t="shared" si="302"/>
        <v>0</v>
      </c>
      <c r="Y1682">
        <f t="shared" si="299"/>
        <v>0</v>
      </c>
      <c r="Z1682">
        <f t="shared" si="296"/>
        <v>0</v>
      </c>
      <c r="AA1682">
        <f t="shared" si="293"/>
        <v>0</v>
      </c>
      <c r="AB1682">
        <f t="shared" ref="AB1682:AB1745" si="308">IF(I1682&gt;U1682,1,0)</f>
        <v>0</v>
      </c>
    </row>
    <row r="1683" spans="1:28">
      <c r="A1683" s="27">
        <v>44862</v>
      </c>
      <c r="B1683" s="24">
        <v>1239.76</v>
      </c>
      <c r="C1683" s="25">
        <f t="shared" si="304"/>
        <v>-4.5926068664290292E-3</v>
      </c>
      <c r="E1683" s="25">
        <f t="shared" si="300"/>
        <v>-2.3634201469557525E-2</v>
      </c>
      <c r="F1683" s="25">
        <f t="shared" si="297"/>
        <v>0.25163089543415995</v>
      </c>
      <c r="G1683" s="25">
        <f t="shared" si="294"/>
        <v>0.16144545305132141</v>
      </c>
      <c r="H1683" s="25">
        <f t="shared" si="291"/>
        <v>0.14619748171911007</v>
      </c>
      <c r="I1683" s="25">
        <f t="shared" si="306"/>
        <v>0.10788704424632289</v>
      </c>
      <c r="K1683" s="29">
        <v>44862</v>
      </c>
      <c r="L1683" s="24">
        <v>23634.83</v>
      </c>
      <c r="M1683" s="25">
        <f t="shared" si="305"/>
        <v>-1.6881864604052419E-4</v>
      </c>
      <c r="O1683" t="b">
        <f t="shared" si="303"/>
        <v>1</v>
      </c>
      <c r="Q1683" s="25">
        <f t="shared" si="301"/>
        <v>2.3109852097119798E-2</v>
      </c>
      <c r="R1683" s="25">
        <f t="shared" si="298"/>
        <v>0.27498197354767662</v>
      </c>
      <c r="S1683" s="25">
        <f t="shared" si="295"/>
        <v>0.1745070197329921</v>
      </c>
      <c r="T1683" s="25">
        <f t="shared" si="292"/>
        <v>0.15703921587367686</v>
      </c>
      <c r="U1683" s="25">
        <f t="shared" si="307"/>
        <v>0.12027223918494445</v>
      </c>
      <c r="X1683">
        <f t="shared" si="302"/>
        <v>0</v>
      </c>
      <c r="Y1683">
        <f t="shared" si="299"/>
        <v>0</v>
      </c>
      <c r="Z1683">
        <f t="shared" si="296"/>
        <v>0</v>
      </c>
      <c r="AA1683">
        <f t="shared" si="293"/>
        <v>0</v>
      </c>
      <c r="AB1683">
        <f t="shared" si="308"/>
        <v>0</v>
      </c>
    </row>
    <row r="1684" spans="1:28">
      <c r="A1684" s="26">
        <v>44865</v>
      </c>
      <c r="B1684" s="23">
        <v>1251.6099999999999</v>
      </c>
      <c r="C1684" s="25">
        <f t="shared" si="304"/>
        <v>9.5583016067625256E-3</v>
      </c>
      <c r="E1684" s="25">
        <f t="shared" si="300"/>
        <v>-3.0030379119005524E-2</v>
      </c>
      <c r="F1684" s="25">
        <f t="shared" si="297"/>
        <v>0.25989300106322166</v>
      </c>
      <c r="G1684" s="25">
        <f t="shared" si="294"/>
        <v>0.16320680949215038</v>
      </c>
      <c r="H1684" s="25">
        <f t="shared" si="291"/>
        <v>0.14911066375443438</v>
      </c>
      <c r="I1684" s="25">
        <f t="shared" si="306"/>
        <v>0.10810870604913969</v>
      </c>
      <c r="K1684" s="28">
        <v>44865</v>
      </c>
      <c r="L1684" s="23">
        <v>23919.759999999998</v>
      </c>
      <c r="M1684" s="25">
        <f t="shared" si="305"/>
        <v>1.1911908815138475E-2</v>
      </c>
      <c r="O1684" t="b">
        <f t="shared" si="303"/>
        <v>1</v>
      </c>
      <c r="Q1684" s="25">
        <f t="shared" si="301"/>
        <v>2.0817720754046976E-2</v>
      </c>
      <c r="R1684" s="25">
        <f t="shared" si="298"/>
        <v>0.28342877496976659</v>
      </c>
      <c r="S1684" s="25">
        <f t="shared" si="295"/>
        <v>0.17744373312302919</v>
      </c>
      <c r="T1684" s="25">
        <f t="shared" si="292"/>
        <v>0.16118382087855787</v>
      </c>
      <c r="U1684" s="25">
        <f t="shared" si="307"/>
        <v>0.12093901157912934</v>
      </c>
      <c r="X1684">
        <f t="shared" si="302"/>
        <v>0</v>
      </c>
      <c r="Y1684">
        <f t="shared" si="299"/>
        <v>0</v>
      </c>
      <c r="Z1684">
        <f t="shared" si="296"/>
        <v>0</v>
      </c>
      <c r="AA1684">
        <f t="shared" si="293"/>
        <v>0</v>
      </c>
      <c r="AB1684">
        <f t="shared" si="308"/>
        <v>0</v>
      </c>
    </row>
    <row r="1685" spans="1:28">
      <c r="A1685" s="27">
        <v>44866</v>
      </c>
      <c r="B1685" s="24">
        <v>1260.46</v>
      </c>
      <c r="C1685" s="25">
        <f t="shared" si="304"/>
        <v>7.070892690215113E-3</v>
      </c>
      <c r="E1685" s="25">
        <f t="shared" si="300"/>
        <v>-2.1549114281722015E-2</v>
      </c>
      <c r="F1685" s="25">
        <f t="shared" si="297"/>
        <v>0.25890680797041221</v>
      </c>
      <c r="G1685" s="25">
        <f t="shared" si="294"/>
        <v>0.1685733656041275</v>
      </c>
      <c r="H1685" s="25">
        <f t="shared" si="291"/>
        <v>0.15185937762654689</v>
      </c>
      <c r="I1685" s="25">
        <f t="shared" si="306"/>
        <v>0.11014003386808979</v>
      </c>
      <c r="K1685" s="29">
        <v>44866</v>
      </c>
      <c r="L1685" s="24">
        <v>24098.84</v>
      </c>
      <c r="M1685" s="25">
        <f t="shared" si="305"/>
        <v>7.4310630719155672E-3</v>
      </c>
      <c r="O1685" t="b">
        <f t="shared" si="303"/>
        <v>1</v>
      </c>
      <c r="Q1685" s="25">
        <f t="shared" si="301"/>
        <v>2.75424478603703E-2</v>
      </c>
      <c r="R1685" s="25">
        <f t="shared" si="298"/>
        <v>0.28726269918113645</v>
      </c>
      <c r="S1685" s="25">
        <f t="shared" si="295"/>
        <v>0.1836575524217734</v>
      </c>
      <c r="T1685" s="25">
        <f t="shared" si="292"/>
        <v>0.16359970074884433</v>
      </c>
      <c r="U1685" s="25">
        <f t="shared" si="307"/>
        <v>0.1225370321568704</v>
      </c>
      <c r="X1685">
        <f t="shared" si="302"/>
        <v>0</v>
      </c>
      <c r="Y1685">
        <f t="shared" si="299"/>
        <v>0</v>
      </c>
      <c r="Z1685">
        <f t="shared" si="296"/>
        <v>0</v>
      </c>
      <c r="AA1685">
        <f t="shared" si="293"/>
        <v>0</v>
      </c>
      <c r="AB1685">
        <f t="shared" si="308"/>
        <v>0</v>
      </c>
    </row>
    <row r="1686" spans="1:28">
      <c r="A1686" s="26">
        <v>44867</v>
      </c>
      <c r="B1686" s="23">
        <v>1256.8399999999999</v>
      </c>
      <c r="C1686" s="25">
        <f t="shared" si="304"/>
        <v>-2.8719673769894466E-3</v>
      </c>
      <c r="E1686" s="25">
        <f t="shared" si="300"/>
        <v>-1.689559150214337E-2</v>
      </c>
      <c r="F1686" s="25">
        <f t="shared" si="297"/>
        <v>0.25002144570401685</v>
      </c>
      <c r="G1686" s="25">
        <f t="shared" si="294"/>
        <v>0.16586168766051634</v>
      </c>
      <c r="H1686" s="25">
        <f t="shared" si="291"/>
        <v>0.14843793657744597</v>
      </c>
      <c r="I1686" s="25">
        <f t="shared" si="306"/>
        <v>0.10905692299121506</v>
      </c>
      <c r="K1686" s="28">
        <v>44867</v>
      </c>
      <c r="L1686" s="23">
        <v>24037.05</v>
      </c>
      <c r="M1686" s="25">
        <f t="shared" si="305"/>
        <v>-2.5706149465096954E-3</v>
      </c>
      <c r="O1686" t="b">
        <f t="shared" si="303"/>
        <v>1</v>
      </c>
      <c r="Q1686" s="25">
        <f t="shared" si="301"/>
        <v>2.7035191381416412E-2</v>
      </c>
      <c r="R1686" s="25">
        <f t="shared" si="298"/>
        <v>0.27893086937423894</v>
      </c>
      <c r="S1686" s="25">
        <f t="shared" si="295"/>
        <v>0.18213439726385361</v>
      </c>
      <c r="T1686" s="25">
        <f t="shared" si="292"/>
        <v>0.16036638091885713</v>
      </c>
      <c r="U1686" s="25">
        <f t="shared" si="307"/>
        <v>0.12137155865900673</v>
      </c>
      <c r="X1686">
        <f t="shared" si="302"/>
        <v>0</v>
      </c>
      <c r="Y1686">
        <f t="shared" si="299"/>
        <v>0</v>
      </c>
      <c r="Z1686">
        <f t="shared" si="296"/>
        <v>0</v>
      </c>
      <c r="AA1686">
        <f t="shared" si="293"/>
        <v>0</v>
      </c>
      <c r="AB1686">
        <f t="shared" si="308"/>
        <v>0</v>
      </c>
    </row>
    <row r="1687" spans="1:28">
      <c r="A1687" s="27">
        <v>44868</v>
      </c>
      <c r="B1687" s="24">
        <v>1257.82</v>
      </c>
      <c r="C1687" s="25">
        <f t="shared" si="304"/>
        <v>7.7973329938577562E-4</v>
      </c>
      <c r="E1687" s="25">
        <f t="shared" si="300"/>
        <v>-3.2140905978039203E-2</v>
      </c>
      <c r="F1687" s="25">
        <f t="shared" si="297"/>
        <v>0.24653990646106494</v>
      </c>
      <c r="G1687" s="25">
        <f t="shared" si="294"/>
        <v>0.17122207704639014</v>
      </c>
      <c r="H1687" s="25">
        <f t="shared" si="291"/>
        <v>0.15106692584357595</v>
      </c>
      <c r="I1687" s="25">
        <f t="shared" si="306"/>
        <v>0.10967461201459483</v>
      </c>
      <c r="K1687" s="29">
        <v>44868</v>
      </c>
      <c r="L1687" s="24">
        <v>24017.67</v>
      </c>
      <c r="M1687" s="25">
        <f t="shared" si="305"/>
        <v>-8.0690591551974109E-4</v>
      </c>
      <c r="O1687" t="b">
        <f t="shared" si="303"/>
        <v>1</v>
      </c>
      <c r="Q1687" s="25">
        <f t="shared" si="301"/>
        <v>1.0484477965977401E-2</v>
      </c>
      <c r="R1687" s="25">
        <f t="shared" si="298"/>
        <v>0.27374114865475763</v>
      </c>
      <c r="S1687" s="25">
        <f t="shared" si="295"/>
        <v>0.1843362401024613</v>
      </c>
      <c r="T1687" s="25">
        <f t="shared" si="292"/>
        <v>0.16296581849846503</v>
      </c>
      <c r="U1687" s="25">
        <f t="shared" si="307"/>
        <v>0.12088457946095144</v>
      </c>
      <c r="X1687">
        <f t="shared" si="302"/>
        <v>0</v>
      </c>
      <c r="Y1687">
        <f t="shared" si="299"/>
        <v>0</v>
      </c>
      <c r="Z1687">
        <f t="shared" si="296"/>
        <v>0</v>
      </c>
      <c r="AA1687">
        <f t="shared" si="293"/>
        <v>0</v>
      </c>
      <c r="AB1687">
        <f t="shared" si="308"/>
        <v>0</v>
      </c>
    </row>
    <row r="1688" spans="1:28">
      <c r="A1688" s="26">
        <v>44869</v>
      </c>
      <c r="B1688" s="23">
        <v>1259.17</v>
      </c>
      <c r="C1688" s="25">
        <f t="shared" si="304"/>
        <v>1.0732855257510109E-3</v>
      </c>
      <c r="E1688" s="25">
        <f t="shared" si="300"/>
        <v>-3.299209756322341E-2</v>
      </c>
      <c r="F1688" s="25">
        <f t="shared" si="297"/>
        <v>0.23614107411289242</v>
      </c>
      <c r="G1688" s="25">
        <f t="shared" si="294"/>
        <v>0.16990014621308491</v>
      </c>
      <c r="H1688" s="25">
        <f t="shared" ref="H1688:H1751" si="309">((B1688/B707)^(1/4))-1</f>
        <v>0.14947129426855899</v>
      </c>
      <c r="I1688" s="25">
        <f t="shared" si="306"/>
        <v>0.1118319935144052</v>
      </c>
      <c r="K1688" s="28">
        <v>44869</v>
      </c>
      <c r="L1688" s="23">
        <v>24089.43</v>
      </c>
      <c r="M1688" s="25">
        <f t="shared" si="305"/>
        <v>2.9788998743433132E-3</v>
      </c>
      <c r="O1688" t="b">
        <f t="shared" si="303"/>
        <v>1</v>
      </c>
      <c r="Q1688" s="25">
        <f t="shared" si="301"/>
        <v>1.2004871517711457E-2</v>
      </c>
      <c r="R1688" s="25">
        <f t="shared" si="298"/>
        <v>0.26460174222944954</v>
      </c>
      <c r="S1688" s="25">
        <f t="shared" si="295"/>
        <v>0.18483424233622214</v>
      </c>
      <c r="T1688" s="25">
        <f t="shared" ref="T1688:T1751" si="310">((L1688/L707)^(1/4))-1</f>
        <v>0.16171957530836334</v>
      </c>
      <c r="U1688" s="25">
        <f t="shared" si="307"/>
        <v>0.12407140090395874</v>
      </c>
      <c r="X1688">
        <f t="shared" si="302"/>
        <v>0</v>
      </c>
      <c r="Y1688">
        <f t="shared" si="299"/>
        <v>0</v>
      </c>
      <c r="Z1688">
        <f t="shared" si="296"/>
        <v>0</v>
      </c>
      <c r="AA1688">
        <f t="shared" ref="AA1688:AA1751" si="311">IF(H1688&gt;T1688,1,0)</f>
        <v>0</v>
      </c>
      <c r="AB1688">
        <f t="shared" si="308"/>
        <v>0</v>
      </c>
    </row>
    <row r="1689" spans="1:28">
      <c r="A1689" s="27">
        <v>44872</v>
      </c>
      <c r="B1689" s="24">
        <v>1263.81</v>
      </c>
      <c r="C1689" s="25">
        <f t="shared" si="304"/>
        <v>3.6849670814900867E-3</v>
      </c>
      <c r="E1689" s="25">
        <f t="shared" si="300"/>
        <v>-2.719491355820014E-2</v>
      </c>
      <c r="F1689" s="25">
        <f t="shared" si="297"/>
        <v>0.23446796480423582</v>
      </c>
      <c r="G1689" s="25">
        <f t="shared" si="294"/>
        <v>0.16960277649819577</v>
      </c>
      <c r="H1689" s="25">
        <f t="shared" si="309"/>
        <v>0.14933153444907288</v>
      </c>
      <c r="I1689" s="25">
        <f t="shared" si="306"/>
        <v>0.11385213122057625</v>
      </c>
      <c r="K1689" s="29">
        <v>44872</v>
      </c>
      <c r="L1689" s="24">
        <v>24220.28</v>
      </c>
      <c r="M1689" s="25">
        <f t="shared" si="305"/>
        <v>5.4024974112602559E-3</v>
      </c>
      <c r="O1689" t="b">
        <f t="shared" si="303"/>
        <v>1</v>
      </c>
      <c r="Q1689" s="25">
        <f t="shared" si="301"/>
        <v>1.885662219701989E-2</v>
      </c>
      <c r="R1689" s="25">
        <f t="shared" si="298"/>
        <v>0.26181423391417269</v>
      </c>
      <c r="S1689" s="25">
        <f t="shared" si="295"/>
        <v>0.1862817342950347</v>
      </c>
      <c r="T1689" s="25">
        <f t="shared" si="310"/>
        <v>0.16336057822736372</v>
      </c>
      <c r="U1689" s="25">
        <f t="shared" si="307"/>
        <v>0.12656714768377397</v>
      </c>
      <c r="X1689">
        <f t="shared" si="302"/>
        <v>0</v>
      </c>
      <c r="Y1689">
        <f t="shared" si="299"/>
        <v>0</v>
      </c>
      <c r="Z1689">
        <f t="shared" si="296"/>
        <v>0</v>
      </c>
      <c r="AA1689">
        <f t="shared" si="311"/>
        <v>0</v>
      </c>
      <c r="AB1689">
        <f t="shared" si="308"/>
        <v>0</v>
      </c>
    </row>
    <row r="1690" spans="1:28">
      <c r="A1690" s="26">
        <v>44874</v>
      </c>
      <c r="B1690" s="23">
        <v>1257.3499999999999</v>
      </c>
      <c r="C1690" s="25">
        <f t="shared" si="304"/>
        <v>-5.1115278404190792E-3</v>
      </c>
      <c r="E1690" s="25">
        <f t="shared" si="300"/>
        <v>-2.2415214044690601E-2</v>
      </c>
      <c r="F1690" s="25">
        <f t="shared" si="297"/>
        <v>0.22088639000734478</v>
      </c>
      <c r="G1690" s="25">
        <f t="shared" si="294"/>
        <v>0.16659329053097349</v>
      </c>
      <c r="H1690" s="25">
        <f t="shared" si="309"/>
        <v>0.14584030714955176</v>
      </c>
      <c r="I1690" s="25">
        <f t="shared" si="306"/>
        <v>0.11210526317016356</v>
      </c>
      <c r="K1690" s="28">
        <v>44874</v>
      </c>
      <c r="L1690" s="23">
        <v>24148.28</v>
      </c>
      <c r="M1690" s="25">
        <f t="shared" si="305"/>
        <v>-2.9815788122383871E-3</v>
      </c>
      <c r="O1690" t="b">
        <f t="shared" si="303"/>
        <v>1</v>
      </c>
      <c r="Q1690" s="25">
        <f t="shared" si="301"/>
        <v>2.2870298008967227E-2</v>
      </c>
      <c r="R1690" s="25">
        <f t="shared" si="298"/>
        <v>0.25105517515542908</v>
      </c>
      <c r="S1690" s="25">
        <f t="shared" si="295"/>
        <v>0.18503292877698652</v>
      </c>
      <c r="T1690" s="25">
        <f t="shared" si="310"/>
        <v>0.16138160173287486</v>
      </c>
      <c r="U1690" s="25">
        <f t="shared" si="307"/>
        <v>0.12516276614015553</v>
      </c>
      <c r="X1690">
        <f t="shared" si="302"/>
        <v>0</v>
      </c>
      <c r="Y1690">
        <f t="shared" si="299"/>
        <v>0</v>
      </c>
      <c r="Z1690">
        <f t="shared" si="296"/>
        <v>0</v>
      </c>
      <c r="AA1690">
        <f t="shared" si="311"/>
        <v>0</v>
      </c>
      <c r="AB1690">
        <f t="shared" si="308"/>
        <v>0</v>
      </c>
    </row>
    <row r="1691" spans="1:28">
      <c r="A1691" s="27">
        <v>44875</v>
      </c>
      <c r="B1691" s="24">
        <v>1248.4000000000001</v>
      </c>
      <c r="C1691" s="25">
        <f t="shared" si="304"/>
        <v>-7.1181453056029095E-3</v>
      </c>
      <c r="E1691" s="25">
        <f t="shared" si="300"/>
        <v>-3.7715924244409504E-2</v>
      </c>
      <c r="F1691" s="25">
        <f t="shared" si="297"/>
        <v>0.21499320777483533</v>
      </c>
      <c r="G1691" s="25">
        <f t="shared" si="294"/>
        <v>0.16205081778396746</v>
      </c>
      <c r="H1691" s="25">
        <f t="shared" si="309"/>
        <v>0.14289586148593436</v>
      </c>
      <c r="I1691" s="25">
        <f t="shared" si="306"/>
        <v>0.11042438241575447</v>
      </c>
      <c r="K1691" s="29">
        <v>44875</v>
      </c>
      <c r="L1691" s="24">
        <v>23950.94</v>
      </c>
      <c r="M1691" s="25">
        <f t="shared" si="305"/>
        <v>-8.2393425894766621E-3</v>
      </c>
      <c r="O1691" t="b">
        <f t="shared" si="303"/>
        <v>1</v>
      </c>
      <c r="Q1691" s="25">
        <f t="shared" si="301"/>
        <v>3.5745966060816148E-3</v>
      </c>
      <c r="R1691" s="25">
        <f t="shared" si="298"/>
        <v>0.24029440703232741</v>
      </c>
      <c r="S1691" s="25">
        <f t="shared" si="295"/>
        <v>0.18042478319671029</v>
      </c>
      <c r="T1691" s="25">
        <f t="shared" si="310"/>
        <v>0.1577571810286913</v>
      </c>
      <c r="U1691" s="25">
        <f t="shared" si="307"/>
        <v>0.12310748711165953</v>
      </c>
      <c r="X1691">
        <f t="shared" si="302"/>
        <v>0</v>
      </c>
      <c r="Y1691">
        <f t="shared" si="299"/>
        <v>0</v>
      </c>
      <c r="Z1691">
        <f t="shared" si="296"/>
        <v>0</v>
      </c>
      <c r="AA1691">
        <f t="shared" si="311"/>
        <v>0</v>
      </c>
      <c r="AB1691">
        <f t="shared" si="308"/>
        <v>0</v>
      </c>
    </row>
    <row r="1692" spans="1:28">
      <c r="A1692" s="26">
        <v>44876</v>
      </c>
      <c r="B1692" s="23">
        <v>1265.1199999999999</v>
      </c>
      <c r="C1692" s="25">
        <f t="shared" si="304"/>
        <v>1.3393143223325696E-2</v>
      </c>
      <c r="E1692" s="25">
        <f t="shared" si="300"/>
        <v>-2.5158541189887362E-2</v>
      </c>
      <c r="F1692" s="25">
        <f t="shared" si="297"/>
        <v>0.2159984202949714</v>
      </c>
      <c r="G1692" s="25">
        <f t="shared" si="294"/>
        <v>0.16420890701116697</v>
      </c>
      <c r="H1692" s="25">
        <f t="shared" si="309"/>
        <v>0.14495106839792182</v>
      </c>
      <c r="I1692" s="25">
        <f t="shared" si="306"/>
        <v>0.11508922458583459</v>
      </c>
      <c r="K1692" s="28">
        <v>44876</v>
      </c>
      <c r="L1692" s="23">
        <v>24275.37</v>
      </c>
      <c r="M1692" s="25">
        <f t="shared" si="305"/>
        <v>1.3364574875686768E-2</v>
      </c>
      <c r="O1692" t="b">
        <f t="shared" si="303"/>
        <v>1</v>
      </c>
      <c r="Q1692" s="25">
        <f t="shared" si="301"/>
        <v>1.6278205215154662E-2</v>
      </c>
      <c r="R1692" s="25">
        <f t="shared" si="298"/>
        <v>0.24336903991547265</v>
      </c>
      <c r="S1692" s="25">
        <f t="shared" si="295"/>
        <v>0.18399193075876585</v>
      </c>
      <c r="T1692" s="25">
        <f t="shared" si="310"/>
        <v>0.15974275738404509</v>
      </c>
      <c r="U1692" s="25">
        <f t="shared" si="307"/>
        <v>0.12792277956742892</v>
      </c>
      <c r="X1692">
        <f t="shared" si="302"/>
        <v>0</v>
      </c>
      <c r="Y1692">
        <f t="shared" si="299"/>
        <v>0</v>
      </c>
      <c r="Z1692">
        <f t="shared" si="296"/>
        <v>0</v>
      </c>
      <c r="AA1692">
        <f t="shared" si="311"/>
        <v>0</v>
      </c>
      <c r="AB1692">
        <f t="shared" si="308"/>
        <v>0</v>
      </c>
    </row>
    <row r="1693" spans="1:28">
      <c r="A1693" s="27">
        <v>44879</v>
      </c>
      <c r="B1693" s="24">
        <v>1266.1500000000001</v>
      </c>
      <c r="C1693" s="25">
        <f t="shared" si="304"/>
        <v>8.1415201720010761E-4</v>
      </c>
      <c r="E1693" s="25">
        <f t="shared" si="300"/>
        <v>-1.7299990686411415E-2</v>
      </c>
      <c r="F1693" s="25">
        <f t="shared" si="297"/>
        <v>0.21832448592315901</v>
      </c>
      <c r="G1693" s="25">
        <f t="shared" si="294"/>
        <v>0.16546069932864849</v>
      </c>
      <c r="H1693" s="25">
        <f t="shared" si="309"/>
        <v>0.14901141068479062</v>
      </c>
      <c r="I1693" s="25">
        <f t="shared" si="306"/>
        <v>0.11587051769010026</v>
      </c>
      <c r="K1693" s="29">
        <v>44879</v>
      </c>
      <c r="L1693" s="24">
        <v>24277.119999999999</v>
      </c>
      <c r="M1693" s="25">
        <f t="shared" si="305"/>
        <v>7.2084332902749593E-5</v>
      </c>
      <c r="O1693" t="b">
        <f t="shared" si="303"/>
        <v>1</v>
      </c>
      <c r="Q1693" s="25">
        <f t="shared" si="301"/>
        <v>2.075043307152824E-2</v>
      </c>
      <c r="R1693" s="25">
        <f t="shared" si="298"/>
        <v>0.24422274067076954</v>
      </c>
      <c r="S1693" s="25">
        <f t="shared" si="295"/>
        <v>0.18532201353563016</v>
      </c>
      <c r="T1693" s="25">
        <f t="shared" si="310"/>
        <v>0.162738664724698</v>
      </c>
      <c r="U1693" s="25">
        <f t="shared" si="307"/>
        <v>0.12870792539038933</v>
      </c>
      <c r="X1693">
        <f t="shared" si="302"/>
        <v>0</v>
      </c>
      <c r="Y1693">
        <f t="shared" si="299"/>
        <v>0</v>
      </c>
      <c r="Z1693">
        <f t="shared" si="296"/>
        <v>0</v>
      </c>
      <c r="AA1693">
        <f t="shared" si="311"/>
        <v>0</v>
      </c>
      <c r="AB1693">
        <f t="shared" si="308"/>
        <v>0</v>
      </c>
    </row>
    <row r="1694" spans="1:28">
      <c r="A1694" s="26">
        <v>44880</v>
      </c>
      <c r="B1694" s="23">
        <v>1271.8599999999999</v>
      </c>
      <c r="C1694" s="25">
        <f t="shared" si="304"/>
        <v>4.5097342337004371E-3</v>
      </c>
      <c r="E1694" s="25">
        <f t="shared" si="300"/>
        <v>-8.0487919012932618E-3</v>
      </c>
      <c r="F1694" s="25">
        <f t="shared" si="297"/>
        <v>0.21647101921391121</v>
      </c>
      <c r="G1694" s="25">
        <f t="shared" si="294"/>
        <v>0.16886866734304373</v>
      </c>
      <c r="H1694" s="25">
        <f t="shared" si="309"/>
        <v>0.14949453120520273</v>
      </c>
      <c r="I1694" s="25">
        <f t="shared" si="306"/>
        <v>0.11887284509265439</v>
      </c>
      <c r="K1694" s="28">
        <v>44880</v>
      </c>
      <c r="L1694" s="23">
        <v>24345.02</v>
      </c>
      <c r="M1694" s="25">
        <f t="shared" si="305"/>
        <v>2.7890714404835756E-3</v>
      </c>
      <c r="O1694" t="b">
        <f t="shared" si="303"/>
        <v>1</v>
      </c>
      <c r="Q1694" s="25">
        <f t="shared" si="301"/>
        <v>2.8203456146071115E-2</v>
      </c>
      <c r="R1694" s="25">
        <f t="shared" si="298"/>
        <v>0.24327835682563026</v>
      </c>
      <c r="S1694" s="25">
        <f t="shared" si="295"/>
        <v>0.18777361052213437</v>
      </c>
      <c r="T1694" s="25">
        <f t="shared" si="310"/>
        <v>0.1641958117017408</v>
      </c>
      <c r="U1694" s="25">
        <f t="shared" si="307"/>
        <v>0.13128977468058678</v>
      </c>
      <c r="X1694">
        <f t="shared" si="302"/>
        <v>0</v>
      </c>
      <c r="Y1694">
        <f t="shared" si="299"/>
        <v>0</v>
      </c>
      <c r="Z1694">
        <f t="shared" si="296"/>
        <v>0</v>
      </c>
      <c r="AA1694">
        <f t="shared" si="311"/>
        <v>0</v>
      </c>
      <c r="AB1694">
        <f t="shared" si="308"/>
        <v>0</v>
      </c>
    </row>
    <row r="1695" spans="1:28">
      <c r="A1695" s="27">
        <v>44881</v>
      </c>
      <c r="B1695" s="24">
        <v>1267.0899999999999</v>
      </c>
      <c r="C1695" s="25">
        <f t="shared" si="304"/>
        <v>-3.7504127812809447E-3</v>
      </c>
      <c r="E1695" s="25">
        <f t="shared" si="300"/>
        <v>1.5175826173556839E-3</v>
      </c>
      <c r="F1695" s="25">
        <f t="shared" si="297"/>
        <v>0.20544660868644482</v>
      </c>
      <c r="G1695" s="25">
        <f t="shared" si="294"/>
        <v>0.16239189827955336</v>
      </c>
      <c r="H1695" s="25">
        <f t="shared" si="309"/>
        <v>0.15068471178336718</v>
      </c>
      <c r="I1695" s="25">
        <f t="shared" si="306"/>
        <v>0.1155275100258939</v>
      </c>
      <c r="K1695" s="29">
        <v>44881</v>
      </c>
      <c r="L1695" s="24">
        <v>24297.65</v>
      </c>
      <c r="M1695" s="25">
        <f t="shared" si="305"/>
        <v>-1.9495712548332443E-3</v>
      </c>
      <c r="O1695" t="b">
        <f t="shared" si="303"/>
        <v>1</v>
      </c>
      <c r="Q1695" s="25">
        <f t="shared" si="301"/>
        <v>3.6422911683108961E-2</v>
      </c>
      <c r="R1695" s="25">
        <f t="shared" si="298"/>
        <v>0.2339646065816845</v>
      </c>
      <c r="S1695" s="25">
        <f t="shared" si="295"/>
        <v>0.18202649458099263</v>
      </c>
      <c r="T1695" s="25">
        <f t="shared" si="310"/>
        <v>0.16563299881610072</v>
      </c>
      <c r="U1695" s="25">
        <f t="shared" si="307"/>
        <v>0.1285561150948682</v>
      </c>
      <c r="X1695">
        <f t="shared" si="302"/>
        <v>0</v>
      </c>
      <c r="Y1695">
        <f t="shared" si="299"/>
        <v>0</v>
      </c>
      <c r="Z1695">
        <f t="shared" si="296"/>
        <v>0</v>
      </c>
      <c r="AA1695">
        <f t="shared" si="311"/>
        <v>0</v>
      </c>
      <c r="AB1695">
        <f t="shared" si="308"/>
        <v>0</v>
      </c>
    </row>
    <row r="1696" spans="1:28">
      <c r="A1696" s="26">
        <v>44882</v>
      </c>
      <c r="B1696" s="23">
        <v>1261.05</v>
      </c>
      <c r="C1696" s="25">
        <f t="shared" si="304"/>
        <v>-4.7668279285606897E-3</v>
      </c>
      <c r="E1696" s="25">
        <f t="shared" si="300"/>
        <v>1.7952712683946714E-2</v>
      </c>
      <c r="F1696" s="25">
        <f t="shared" si="297"/>
        <v>0.20061653286254888</v>
      </c>
      <c r="G1696" s="25">
        <f t="shared" si="294"/>
        <v>0.1618443480150209</v>
      </c>
      <c r="H1696" s="25">
        <f t="shared" si="309"/>
        <v>0.14744214442908743</v>
      </c>
      <c r="I1696" s="25">
        <f t="shared" si="306"/>
        <v>0.11290962079472844</v>
      </c>
      <c r="K1696" s="28">
        <v>44882</v>
      </c>
      <c r="L1696" s="23">
        <v>24195.57</v>
      </c>
      <c r="M1696" s="25">
        <f t="shared" si="305"/>
        <v>-4.2189541308595641E-3</v>
      </c>
      <c r="O1696" t="b">
        <f t="shared" si="303"/>
        <v>1</v>
      </c>
      <c r="Q1696" s="25">
        <f t="shared" si="301"/>
        <v>5.4327871466973487E-2</v>
      </c>
      <c r="R1696" s="25">
        <f t="shared" si="298"/>
        <v>0.22759410476266018</v>
      </c>
      <c r="S1696" s="25">
        <f t="shared" si="295"/>
        <v>0.18194689864619673</v>
      </c>
      <c r="T1696" s="25">
        <f t="shared" si="310"/>
        <v>0.16231663153116571</v>
      </c>
      <c r="U1696" s="25">
        <f t="shared" si="307"/>
        <v>0.12582094156183787</v>
      </c>
      <c r="X1696">
        <f t="shared" si="302"/>
        <v>0</v>
      </c>
      <c r="Y1696">
        <f t="shared" si="299"/>
        <v>0</v>
      </c>
      <c r="Z1696">
        <f t="shared" si="296"/>
        <v>0</v>
      </c>
      <c r="AA1696">
        <f t="shared" si="311"/>
        <v>0</v>
      </c>
      <c r="AB1696">
        <f t="shared" si="308"/>
        <v>0</v>
      </c>
    </row>
    <row r="1697" spans="1:28">
      <c r="A1697" s="27">
        <v>44883</v>
      </c>
      <c r="B1697" s="24">
        <v>1258.69</v>
      </c>
      <c r="C1697" s="25">
        <f t="shared" si="304"/>
        <v>-1.8714563260773958E-3</v>
      </c>
      <c r="E1697" s="25">
        <f t="shared" si="300"/>
        <v>5.3675407557689514E-3</v>
      </c>
      <c r="F1697" s="25">
        <f t="shared" si="297"/>
        <v>0.20551568245251328</v>
      </c>
      <c r="G1697" s="25">
        <f t="shared" si="294"/>
        <v>0.1594153111610852</v>
      </c>
      <c r="H1697" s="25">
        <f t="shared" si="309"/>
        <v>0.14512635081380543</v>
      </c>
      <c r="I1697" s="25">
        <f t="shared" si="306"/>
        <v>0.1117352134016445</v>
      </c>
      <c r="K1697" s="29">
        <v>44883</v>
      </c>
      <c r="L1697" s="24">
        <v>24124.3</v>
      </c>
      <c r="M1697" s="25">
        <f t="shared" si="305"/>
        <v>-2.9542826113089474E-3</v>
      </c>
      <c r="O1697" t="b">
        <f t="shared" si="303"/>
        <v>1</v>
      </c>
      <c r="Q1697" s="25">
        <f t="shared" si="301"/>
        <v>4.2072438770798248E-2</v>
      </c>
      <c r="R1697" s="25">
        <f t="shared" si="298"/>
        <v>0.23223855977184238</v>
      </c>
      <c r="S1697" s="25">
        <f t="shared" si="295"/>
        <v>0.17865276332920876</v>
      </c>
      <c r="T1697" s="25">
        <f t="shared" si="310"/>
        <v>0.16013490318180712</v>
      </c>
      <c r="U1697" s="25">
        <f t="shared" si="307"/>
        <v>0.12454428849846599</v>
      </c>
      <c r="X1697">
        <f t="shared" si="302"/>
        <v>0</v>
      </c>
      <c r="Y1697">
        <f t="shared" si="299"/>
        <v>0</v>
      </c>
      <c r="Z1697">
        <f t="shared" si="296"/>
        <v>0</v>
      </c>
      <c r="AA1697">
        <f t="shared" si="311"/>
        <v>0</v>
      </c>
      <c r="AB1697">
        <f t="shared" si="308"/>
        <v>0</v>
      </c>
    </row>
    <row r="1698" spans="1:28">
      <c r="A1698" s="26">
        <v>44886</v>
      </c>
      <c r="B1698" s="23">
        <v>1254.53</v>
      </c>
      <c r="C1698" s="25">
        <f t="shared" si="304"/>
        <v>-3.3050234767894255E-3</v>
      </c>
      <c r="E1698" s="25">
        <f t="shared" si="300"/>
        <v>2.613365727346828E-3</v>
      </c>
      <c r="F1698" s="25">
        <f t="shared" si="297"/>
        <v>0.19744030351872266</v>
      </c>
      <c r="G1698" s="25">
        <f t="shared" si="294"/>
        <v>0.15574688963692451</v>
      </c>
      <c r="H1698" s="25">
        <f t="shared" si="309"/>
        <v>0.14478943370742026</v>
      </c>
      <c r="I1698" s="25">
        <f t="shared" si="306"/>
        <v>0.11032904053762227</v>
      </c>
      <c r="K1698" s="28">
        <v>44886</v>
      </c>
      <c r="L1698" s="23">
        <v>23973.98</v>
      </c>
      <c r="M1698" s="25">
        <f t="shared" si="305"/>
        <v>-6.2701312005766134E-3</v>
      </c>
      <c r="O1698" t="b">
        <f t="shared" si="303"/>
        <v>1</v>
      </c>
      <c r="Q1698" s="25">
        <f t="shared" si="301"/>
        <v>3.9735412401112447E-2</v>
      </c>
      <c r="R1698" s="25">
        <f t="shared" si="298"/>
        <v>0.22355208786719749</v>
      </c>
      <c r="S1698" s="25">
        <f t="shared" si="295"/>
        <v>0.17405696257115788</v>
      </c>
      <c r="T1698" s="25">
        <f t="shared" si="310"/>
        <v>0.15802182992433211</v>
      </c>
      <c r="U1698" s="25">
        <f t="shared" si="307"/>
        <v>0.12256254002242573</v>
      </c>
      <c r="X1698">
        <f t="shared" si="302"/>
        <v>0</v>
      </c>
      <c r="Y1698">
        <f t="shared" si="299"/>
        <v>0</v>
      </c>
      <c r="Z1698">
        <f t="shared" si="296"/>
        <v>0</v>
      </c>
      <c r="AA1698">
        <f t="shared" si="311"/>
        <v>0</v>
      </c>
      <c r="AB1698">
        <f t="shared" si="308"/>
        <v>0</v>
      </c>
    </row>
    <row r="1699" spans="1:28">
      <c r="A1699" s="27">
        <v>44887</v>
      </c>
      <c r="B1699" s="24">
        <v>1259.22</v>
      </c>
      <c r="C1699" s="25">
        <f t="shared" si="304"/>
        <v>3.738451850493854E-3</v>
      </c>
      <c r="E1699" s="25">
        <f t="shared" si="300"/>
        <v>2.8591225122049924E-3</v>
      </c>
      <c r="F1699" s="25">
        <f t="shared" si="297"/>
        <v>0.19546190513097406</v>
      </c>
      <c r="G1699" s="25">
        <f t="shared" si="294"/>
        <v>0.15947274710448944</v>
      </c>
      <c r="H1699" s="25">
        <f t="shared" si="309"/>
        <v>0.14298942447702623</v>
      </c>
      <c r="I1699" s="25">
        <f t="shared" si="306"/>
        <v>0.11148411518947743</v>
      </c>
      <c r="K1699" s="29">
        <v>44887</v>
      </c>
      <c r="L1699" s="24">
        <v>24060.5</v>
      </c>
      <c r="M1699" s="25">
        <f t="shared" si="305"/>
        <v>3.5959352465659666E-3</v>
      </c>
      <c r="O1699" t="b">
        <f t="shared" si="303"/>
        <v>1</v>
      </c>
      <c r="Q1699" s="25">
        <f t="shared" si="301"/>
        <v>3.631462133738661E-2</v>
      </c>
      <c r="R1699" s="25">
        <f t="shared" si="298"/>
        <v>0.22135639344648972</v>
      </c>
      <c r="S1699" s="25">
        <f t="shared" si="295"/>
        <v>0.17770420995297331</v>
      </c>
      <c r="T1699" s="25">
        <f t="shared" si="310"/>
        <v>0.15622853830394479</v>
      </c>
      <c r="U1699" s="25">
        <f t="shared" si="307"/>
        <v>0.12312003237635927</v>
      </c>
      <c r="X1699">
        <f t="shared" si="302"/>
        <v>0</v>
      </c>
      <c r="Y1699">
        <f t="shared" si="299"/>
        <v>0</v>
      </c>
      <c r="Z1699">
        <f t="shared" si="296"/>
        <v>0</v>
      </c>
      <c r="AA1699">
        <f t="shared" si="311"/>
        <v>0</v>
      </c>
      <c r="AB1699">
        <f t="shared" si="308"/>
        <v>0</v>
      </c>
    </row>
    <row r="1700" spans="1:28">
      <c r="A1700" s="26">
        <v>44888</v>
      </c>
      <c r="B1700" s="23">
        <v>1263.82</v>
      </c>
      <c r="C1700" s="25">
        <f t="shared" si="304"/>
        <v>3.6530550658343333E-3</v>
      </c>
      <c r="E1700" s="25">
        <f t="shared" si="300"/>
        <v>3.6130354580856672E-2</v>
      </c>
      <c r="F1700" s="25">
        <f t="shared" si="297"/>
        <v>0.1903369704555633</v>
      </c>
      <c r="G1700" s="25">
        <f t="shared" ref="G1700:G1763" si="312">((B1700/B963)^(1/3))-1</f>
        <v>0.16260767262356635</v>
      </c>
      <c r="H1700" s="25">
        <f t="shared" si="309"/>
        <v>0.14321149258700072</v>
      </c>
      <c r="I1700" s="25">
        <f t="shared" si="306"/>
        <v>0.11233695433118762</v>
      </c>
      <c r="K1700" s="28">
        <v>44888</v>
      </c>
      <c r="L1700" s="23">
        <v>24105.439999999999</v>
      </c>
      <c r="M1700" s="25">
        <f t="shared" si="305"/>
        <v>1.8643094670745977E-3</v>
      </c>
      <c r="O1700" t="b">
        <f t="shared" si="303"/>
        <v>1</v>
      </c>
      <c r="Q1700" s="25">
        <f t="shared" si="301"/>
        <v>6.9550340049126191E-2</v>
      </c>
      <c r="R1700" s="25">
        <f t="shared" si="298"/>
        <v>0.21691752338227177</v>
      </c>
      <c r="S1700" s="25">
        <f t="shared" ref="S1700:S1763" si="313">((L1700/L963)^(1/3))-1</f>
        <v>0.17906328378311187</v>
      </c>
      <c r="T1700" s="25">
        <f t="shared" si="310"/>
        <v>0.15590120487235293</v>
      </c>
      <c r="U1700" s="25">
        <f t="shared" si="307"/>
        <v>0.12325409618019711</v>
      </c>
      <c r="X1700">
        <f t="shared" si="302"/>
        <v>0</v>
      </c>
      <c r="Y1700">
        <f t="shared" si="299"/>
        <v>0</v>
      </c>
      <c r="Z1700">
        <f t="shared" ref="Z1700:Z1763" si="314">IF(G1700&gt;S1700,1,0)</f>
        <v>0</v>
      </c>
      <c r="AA1700">
        <f t="shared" si="311"/>
        <v>0</v>
      </c>
      <c r="AB1700">
        <f t="shared" si="308"/>
        <v>0</v>
      </c>
    </row>
    <row r="1701" spans="1:28">
      <c r="A1701" s="27">
        <v>44889</v>
      </c>
      <c r="B1701" s="24">
        <v>1277.5899999999999</v>
      </c>
      <c r="C1701" s="25">
        <f t="shared" si="304"/>
        <v>1.0895538921681871E-2</v>
      </c>
      <c r="E1701" s="25">
        <f t="shared" si="300"/>
        <v>4.9863999802779002E-2</v>
      </c>
      <c r="F1701" s="25">
        <f t="shared" si="297"/>
        <v>0.20739541678034112</v>
      </c>
      <c r="G1701" s="25">
        <f t="shared" si="312"/>
        <v>0.16923808496773729</v>
      </c>
      <c r="H1701" s="25">
        <f t="shared" si="309"/>
        <v>0.14500742636434039</v>
      </c>
      <c r="I1701" s="25">
        <f t="shared" si="306"/>
        <v>0.11415950792170793</v>
      </c>
      <c r="K1701" s="29">
        <v>44889</v>
      </c>
      <c r="L1701" s="24">
        <v>24326.89</v>
      </c>
      <c r="M1701" s="25">
        <f t="shared" si="305"/>
        <v>9.1030953812838693E-3</v>
      </c>
      <c r="O1701" t="b">
        <f t="shared" si="303"/>
        <v>1</v>
      </c>
      <c r="Q1701" s="25">
        <f t="shared" si="301"/>
        <v>8.3115836527887232E-2</v>
      </c>
      <c r="R1701" s="25">
        <f t="shared" si="298"/>
        <v>0.23162995110124163</v>
      </c>
      <c r="S1701" s="25">
        <f t="shared" si="313"/>
        <v>0.18487592972211209</v>
      </c>
      <c r="T1701" s="25">
        <f t="shared" si="310"/>
        <v>0.15798211851334298</v>
      </c>
      <c r="U1701" s="25">
        <f t="shared" si="307"/>
        <v>0.12436814680321051</v>
      </c>
      <c r="X1701">
        <f t="shared" si="302"/>
        <v>0</v>
      </c>
      <c r="Y1701">
        <f t="shared" si="299"/>
        <v>0</v>
      </c>
      <c r="Z1701">
        <f t="shared" si="314"/>
        <v>0</v>
      </c>
      <c r="AA1701">
        <f t="shared" si="311"/>
        <v>0</v>
      </c>
      <c r="AB1701">
        <f t="shared" si="308"/>
        <v>0</v>
      </c>
    </row>
    <row r="1702" spans="1:28">
      <c r="A1702" s="26">
        <v>44890</v>
      </c>
      <c r="B1702" s="23">
        <v>1280.32</v>
      </c>
      <c r="C1702" s="25">
        <f t="shared" si="304"/>
        <v>2.1368357610814254E-3</v>
      </c>
      <c r="E1702" s="25">
        <f t="shared" si="300"/>
        <v>5.0743132893991794E-2</v>
      </c>
      <c r="F1702" s="25">
        <f t="shared" si="297"/>
        <v>0.20144073094967618</v>
      </c>
      <c r="G1702" s="25">
        <f t="shared" si="312"/>
        <v>0.16685274078019252</v>
      </c>
      <c r="H1702" s="25">
        <f t="shared" si="309"/>
        <v>0.14581906419632507</v>
      </c>
      <c r="I1702" s="25">
        <f t="shared" si="306"/>
        <v>0.11412667304638369</v>
      </c>
      <c r="K1702" s="28">
        <v>44890</v>
      </c>
      <c r="L1702" s="23">
        <v>24398.91</v>
      </c>
      <c r="M1702" s="25">
        <f t="shared" si="305"/>
        <v>2.9517712061727527E-3</v>
      </c>
      <c r="O1702" t="b">
        <f t="shared" si="303"/>
        <v>1</v>
      </c>
      <c r="Q1702" s="25">
        <f t="shared" si="301"/>
        <v>8.6920554140416773E-2</v>
      </c>
      <c r="R1702" s="25">
        <f t="shared" si="298"/>
        <v>0.22771245933147211</v>
      </c>
      <c r="S1702" s="25">
        <f t="shared" si="313"/>
        <v>0.18446864985407885</v>
      </c>
      <c r="T1702" s="25">
        <f t="shared" si="310"/>
        <v>0.15916972377700978</v>
      </c>
      <c r="U1702" s="25">
        <f t="shared" si="307"/>
        <v>0.12451110432848345</v>
      </c>
      <c r="X1702">
        <f t="shared" si="302"/>
        <v>0</v>
      </c>
      <c r="Y1702">
        <f t="shared" si="299"/>
        <v>0</v>
      </c>
      <c r="Z1702">
        <f t="shared" si="314"/>
        <v>0</v>
      </c>
      <c r="AA1702">
        <f t="shared" si="311"/>
        <v>0</v>
      </c>
      <c r="AB1702">
        <f t="shared" si="308"/>
        <v>0</v>
      </c>
    </row>
    <row r="1703" spans="1:28">
      <c r="A1703" s="27">
        <v>44893</v>
      </c>
      <c r="B1703" s="24">
        <v>1281.99</v>
      </c>
      <c r="C1703" s="25">
        <f t="shared" si="304"/>
        <v>1.304361409647645E-3</v>
      </c>
      <c r="E1703" s="25">
        <f t="shared" si="300"/>
        <v>4.9048729593715423E-2</v>
      </c>
      <c r="F1703" s="25">
        <f t="shared" si="297"/>
        <v>0.19943484127266209</v>
      </c>
      <c r="G1703" s="25">
        <f t="shared" si="312"/>
        <v>0.16845314078383278</v>
      </c>
      <c r="H1703" s="25">
        <f t="shared" si="309"/>
        <v>0.15005175839943585</v>
      </c>
      <c r="I1703" s="25">
        <f t="shared" si="306"/>
        <v>0.11465040431518125</v>
      </c>
      <c r="K1703" s="29">
        <v>44893</v>
      </c>
      <c r="L1703" s="24">
        <v>24487.63</v>
      </c>
      <c r="M1703" s="25">
        <f t="shared" si="305"/>
        <v>3.6230537622465369E-3</v>
      </c>
      <c r="O1703" t="b">
        <f t="shared" si="303"/>
        <v>1</v>
      </c>
      <c r="Q1703" s="25">
        <f t="shared" si="301"/>
        <v>8.0811379939982553E-2</v>
      </c>
      <c r="R1703" s="25">
        <f t="shared" si="298"/>
        <v>0.22735899018464156</v>
      </c>
      <c r="S1703" s="25">
        <f t="shared" si="313"/>
        <v>0.18689312393979329</v>
      </c>
      <c r="T1703" s="25">
        <f t="shared" si="310"/>
        <v>0.16300680798357847</v>
      </c>
      <c r="U1703" s="25">
        <f t="shared" si="307"/>
        <v>0.12564827417189739</v>
      </c>
      <c r="X1703">
        <f t="shared" si="302"/>
        <v>0</v>
      </c>
      <c r="Y1703">
        <f t="shared" si="299"/>
        <v>0</v>
      </c>
      <c r="Z1703">
        <f t="shared" si="314"/>
        <v>0</v>
      </c>
      <c r="AA1703">
        <f t="shared" si="311"/>
        <v>0</v>
      </c>
      <c r="AB1703">
        <f t="shared" si="308"/>
        <v>0</v>
      </c>
    </row>
    <row r="1704" spans="1:28">
      <c r="A1704" s="26">
        <v>44894</v>
      </c>
      <c r="B1704" s="23">
        <v>1284.52</v>
      </c>
      <c r="C1704" s="25">
        <f t="shared" si="304"/>
        <v>1.9734943330290975E-3</v>
      </c>
      <c r="E1704" s="25">
        <f t="shared" si="300"/>
        <v>3.8306402722430022E-2</v>
      </c>
      <c r="F1704" s="25">
        <f t="shared" si="297"/>
        <v>0.19385121532599703</v>
      </c>
      <c r="G1704" s="25">
        <f t="shared" si="312"/>
        <v>0.17242508378433641</v>
      </c>
      <c r="H1704" s="25">
        <f t="shared" si="309"/>
        <v>0.15528558671970849</v>
      </c>
      <c r="I1704" s="25">
        <f t="shared" si="306"/>
        <v>0.11560857037611494</v>
      </c>
      <c r="K1704" s="28">
        <v>44894</v>
      </c>
      <c r="L1704" s="23">
        <v>24531.13</v>
      </c>
      <c r="M1704" s="25">
        <f t="shared" si="305"/>
        <v>1.773257081919993E-3</v>
      </c>
      <c r="O1704" t="b">
        <f t="shared" si="303"/>
        <v>1</v>
      </c>
      <c r="Q1704" s="25">
        <f t="shared" si="301"/>
        <v>6.9047806853357319E-2</v>
      </c>
      <c r="R1704" s="25">
        <f t="shared" si="298"/>
        <v>0.22184562751958725</v>
      </c>
      <c r="S1704" s="25">
        <f t="shared" si="313"/>
        <v>0.19119509405355517</v>
      </c>
      <c r="T1704" s="25">
        <f t="shared" si="310"/>
        <v>0.16828226771583488</v>
      </c>
      <c r="U1704" s="25">
        <f t="shared" si="307"/>
        <v>0.12628141437866547</v>
      </c>
      <c r="X1704">
        <f t="shared" si="302"/>
        <v>0</v>
      </c>
      <c r="Y1704">
        <f t="shared" si="299"/>
        <v>0</v>
      </c>
      <c r="Z1704">
        <f t="shared" si="314"/>
        <v>0</v>
      </c>
      <c r="AA1704">
        <f t="shared" si="311"/>
        <v>0</v>
      </c>
      <c r="AB1704">
        <f t="shared" si="308"/>
        <v>0</v>
      </c>
    </row>
    <row r="1705" spans="1:28">
      <c r="A1705" s="27">
        <v>44895</v>
      </c>
      <c r="B1705" s="24">
        <v>1293.3</v>
      </c>
      <c r="C1705" s="25">
        <f t="shared" si="304"/>
        <v>6.8352380655808962E-3</v>
      </c>
      <c r="E1705" s="25">
        <f t="shared" si="300"/>
        <v>5.2575893220476955E-2</v>
      </c>
      <c r="F1705" s="25">
        <f t="shared" si="297"/>
        <v>0.19680280225823377</v>
      </c>
      <c r="G1705" s="25">
        <f t="shared" si="312"/>
        <v>0.17528692776501753</v>
      </c>
      <c r="H1705" s="25">
        <f t="shared" si="309"/>
        <v>0.15631375205012166</v>
      </c>
      <c r="I1705" s="25">
        <f t="shared" si="306"/>
        <v>0.11875668945231066</v>
      </c>
      <c r="K1705" s="29">
        <v>44895</v>
      </c>
      <c r="L1705" s="24">
        <v>24738.49</v>
      </c>
      <c r="M1705" s="25">
        <f t="shared" si="305"/>
        <v>8.3820799086767456E-3</v>
      </c>
      <c r="O1705" t="b">
        <f t="shared" si="303"/>
        <v>1</v>
      </c>
      <c r="Q1705" s="25">
        <f t="shared" si="301"/>
        <v>8.6619966389153369E-2</v>
      </c>
      <c r="R1705" s="25">
        <f t="shared" si="298"/>
        <v>0.22569751906004232</v>
      </c>
      <c r="S1705" s="25">
        <f t="shared" si="313"/>
        <v>0.1944589276110904</v>
      </c>
      <c r="T1705" s="25">
        <f t="shared" si="310"/>
        <v>0.16885966321840096</v>
      </c>
      <c r="U1705" s="25">
        <f t="shared" si="307"/>
        <v>0.13039328273758244</v>
      </c>
      <c r="X1705">
        <f t="shared" si="302"/>
        <v>0</v>
      </c>
      <c r="Y1705">
        <f t="shared" si="299"/>
        <v>0</v>
      </c>
      <c r="Z1705">
        <f t="shared" si="314"/>
        <v>0</v>
      </c>
      <c r="AA1705">
        <f t="shared" si="311"/>
        <v>0</v>
      </c>
      <c r="AB1705">
        <f t="shared" si="308"/>
        <v>0</v>
      </c>
    </row>
    <row r="1706" spans="1:28">
      <c r="A1706" s="26">
        <v>44896</v>
      </c>
      <c r="B1706" s="23">
        <v>1299.76</v>
      </c>
      <c r="C1706" s="25">
        <f t="shared" si="304"/>
        <v>4.9949740972705763E-3</v>
      </c>
      <c r="E1706" s="25">
        <f t="shared" si="300"/>
        <v>7.6102795072195084E-2</v>
      </c>
      <c r="F1706" s="25">
        <f t="shared" si="297"/>
        <v>0.19831585588280731</v>
      </c>
      <c r="G1706" s="25">
        <f t="shared" si="312"/>
        <v>0.17964920674088236</v>
      </c>
      <c r="H1706" s="25">
        <f t="shared" si="309"/>
        <v>0.16188042766646382</v>
      </c>
      <c r="I1706" s="25">
        <f t="shared" si="306"/>
        <v>0.12224540638849346</v>
      </c>
      <c r="K1706" s="28">
        <v>44896</v>
      </c>
      <c r="L1706" s="23">
        <v>24828.21</v>
      </c>
      <c r="M1706" s="25">
        <f t="shared" si="305"/>
        <v>3.6136314297324505E-3</v>
      </c>
      <c r="O1706" t="b">
        <f t="shared" si="303"/>
        <v>1</v>
      </c>
      <c r="Q1706" s="25">
        <f t="shared" si="301"/>
        <v>0.10831267652033461</v>
      </c>
      <c r="R1706" s="25">
        <f t="shared" si="298"/>
        <v>0.22591972100389124</v>
      </c>
      <c r="S1706" s="25">
        <f t="shared" si="313"/>
        <v>0.19903961026881944</v>
      </c>
      <c r="T1706" s="25">
        <f t="shared" si="310"/>
        <v>0.17558157156886711</v>
      </c>
      <c r="U1706" s="25">
        <f t="shared" si="307"/>
        <v>0.13355207500863431</v>
      </c>
      <c r="X1706">
        <f t="shared" si="302"/>
        <v>0</v>
      </c>
      <c r="Y1706">
        <f t="shared" si="299"/>
        <v>0</v>
      </c>
      <c r="Z1706">
        <f t="shared" si="314"/>
        <v>0</v>
      </c>
      <c r="AA1706">
        <f t="shared" si="311"/>
        <v>0</v>
      </c>
      <c r="AB1706">
        <f t="shared" si="308"/>
        <v>0</v>
      </c>
    </row>
    <row r="1707" spans="1:28">
      <c r="A1707" s="27">
        <v>44897</v>
      </c>
      <c r="B1707" s="24">
        <v>1302.6199999999999</v>
      </c>
      <c r="C1707" s="25">
        <f t="shared" si="304"/>
        <v>2.2004062288421707E-3</v>
      </c>
      <c r="E1707" s="25">
        <f t="shared" si="300"/>
        <v>6.3780093424362194E-2</v>
      </c>
      <c r="F1707" s="25">
        <f t="shared" si="297"/>
        <v>0.19356997860650171</v>
      </c>
      <c r="G1707" s="25">
        <f t="shared" si="312"/>
        <v>0.17996266782975501</v>
      </c>
      <c r="H1707" s="25">
        <f t="shared" si="309"/>
        <v>0.16078148518341928</v>
      </c>
      <c r="I1707" s="25">
        <f t="shared" si="306"/>
        <v>0.12281574923936778</v>
      </c>
      <c r="K1707" s="29">
        <v>44897</v>
      </c>
      <c r="L1707" s="24">
        <v>24765.439999999999</v>
      </c>
      <c r="M1707" s="25">
        <f t="shared" si="305"/>
        <v>-2.5345804475915001E-3</v>
      </c>
      <c r="O1707" t="b">
        <f t="shared" si="303"/>
        <v>1</v>
      </c>
      <c r="Q1707" s="25">
        <f t="shared" si="301"/>
        <v>8.9402913116767291E-2</v>
      </c>
      <c r="R1707" s="25">
        <f t="shared" si="298"/>
        <v>0.21960454833605159</v>
      </c>
      <c r="S1707" s="25">
        <f t="shared" si="313"/>
        <v>0.19633317113744519</v>
      </c>
      <c r="T1707" s="25">
        <f t="shared" si="310"/>
        <v>0.17231957260862218</v>
      </c>
      <c r="U1707" s="25">
        <f t="shared" si="307"/>
        <v>0.13300497970585101</v>
      </c>
      <c r="X1707">
        <f t="shared" si="302"/>
        <v>0</v>
      </c>
      <c r="Y1707">
        <f t="shared" si="299"/>
        <v>0</v>
      </c>
      <c r="Z1707">
        <f t="shared" si="314"/>
        <v>0</v>
      </c>
      <c r="AA1707">
        <f t="shared" si="311"/>
        <v>0</v>
      </c>
      <c r="AB1707">
        <f t="shared" si="308"/>
        <v>0</v>
      </c>
    </row>
    <row r="1708" spans="1:28">
      <c r="A1708" s="26">
        <v>44900</v>
      </c>
      <c r="B1708" s="23">
        <v>1302.3499999999999</v>
      </c>
      <c r="C1708" s="25">
        <f t="shared" si="304"/>
        <v>-2.0727456971333301E-4</v>
      </c>
      <c r="E1708" s="25">
        <f t="shared" si="300"/>
        <v>4.5510010757349395E-2</v>
      </c>
      <c r="F1708" s="25">
        <f t="shared" si="297"/>
        <v>0.18909124369945052</v>
      </c>
      <c r="G1708" s="25">
        <f t="shared" si="312"/>
        <v>0.17754914474978722</v>
      </c>
      <c r="H1708" s="25">
        <f t="shared" si="309"/>
        <v>0.15540376823116397</v>
      </c>
      <c r="I1708" s="25">
        <f t="shared" si="306"/>
        <v>0.12261236761681005</v>
      </c>
      <c r="K1708" s="28">
        <v>44900</v>
      </c>
      <c r="L1708" s="23">
        <v>24771.15</v>
      </c>
      <c r="M1708" s="25">
        <f t="shared" si="305"/>
        <v>2.3051008935809459E-4</v>
      </c>
      <c r="O1708" t="b">
        <f t="shared" si="303"/>
        <v>1</v>
      </c>
      <c r="Q1708" s="25">
        <f t="shared" si="301"/>
        <v>7.2394758021049554E-2</v>
      </c>
      <c r="R1708" s="25">
        <f t="shared" si="298"/>
        <v>0.21470085146190332</v>
      </c>
      <c r="S1708" s="25">
        <f t="shared" si="313"/>
        <v>0.19416310030495221</v>
      </c>
      <c r="T1708" s="25">
        <f t="shared" si="310"/>
        <v>0.16661191681044341</v>
      </c>
      <c r="U1708" s="25">
        <f t="shared" si="307"/>
        <v>0.13312625356863861</v>
      </c>
      <c r="X1708">
        <f t="shared" si="302"/>
        <v>0</v>
      </c>
      <c r="Y1708">
        <f t="shared" si="299"/>
        <v>0</v>
      </c>
      <c r="Z1708">
        <f t="shared" si="314"/>
        <v>0</v>
      </c>
      <c r="AA1708">
        <f t="shared" si="311"/>
        <v>0</v>
      </c>
      <c r="AB1708">
        <f t="shared" si="308"/>
        <v>0</v>
      </c>
    </row>
    <row r="1709" spans="1:28">
      <c r="A1709" s="27">
        <v>44901</v>
      </c>
      <c r="B1709" s="24">
        <v>1291.99</v>
      </c>
      <c r="C1709" s="25">
        <f t="shared" si="304"/>
        <v>-7.954850846546551E-3</v>
      </c>
      <c r="E1709" s="25">
        <f t="shared" si="300"/>
        <v>3.4510645453162292E-2</v>
      </c>
      <c r="F1709" s="25">
        <f t="shared" si="297"/>
        <v>0.18426228085947294</v>
      </c>
      <c r="G1709" s="25">
        <f t="shared" si="312"/>
        <v>0.17153199469082736</v>
      </c>
      <c r="H1709" s="25">
        <f t="shared" si="309"/>
        <v>0.15166769799132562</v>
      </c>
      <c r="I1709" s="25">
        <f t="shared" si="306"/>
        <v>0.12264631100199908</v>
      </c>
      <c r="K1709" s="29">
        <v>44901</v>
      </c>
      <c r="L1709" s="24">
        <v>24702.36</v>
      </c>
      <c r="M1709" s="25">
        <f t="shared" si="305"/>
        <v>-2.7847541692373064E-3</v>
      </c>
      <c r="O1709" t="b">
        <f t="shared" si="303"/>
        <v>1</v>
      </c>
      <c r="Q1709" s="25">
        <f t="shared" si="301"/>
        <v>6.5645700185283706E-2</v>
      </c>
      <c r="R1709" s="25">
        <f t="shared" si="298"/>
        <v>0.21200529333294349</v>
      </c>
      <c r="S1709" s="25">
        <f t="shared" si="313"/>
        <v>0.18928623091700891</v>
      </c>
      <c r="T1709" s="25">
        <f t="shared" si="310"/>
        <v>0.16400901336683105</v>
      </c>
      <c r="U1709" s="25">
        <f t="shared" si="307"/>
        <v>0.13420587214685353</v>
      </c>
      <c r="X1709">
        <f t="shared" si="302"/>
        <v>0</v>
      </c>
      <c r="Y1709">
        <f t="shared" si="299"/>
        <v>0</v>
      </c>
      <c r="Z1709">
        <f t="shared" si="314"/>
        <v>0</v>
      </c>
      <c r="AA1709">
        <f t="shared" si="311"/>
        <v>0</v>
      </c>
      <c r="AB1709">
        <f t="shared" si="308"/>
        <v>0</v>
      </c>
    </row>
    <row r="1710" spans="1:28">
      <c r="A1710" s="26">
        <v>44902</v>
      </c>
      <c r="B1710" s="23">
        <v>1283.93</v>
      </c>
      <c r="C1710" s="25">
        <f t="shared" si="304"/>
        <v>-6.2384383780059796E-3</v>
      </c>
      <c r="E1710" s="25">
        <f t="shared" si="300"/>
        <v>2.9053924083098259E-2</v>
      </c>
      <c r="F1710" s="25">
        <f t="shared" si="297"/>
        <v>0.17638145685824358</v>
      </c>
      <c r="G1710" s="25">
        <f t="shared" si="312"/>
        <v>0.17025702676930599</v>
      </c>
      <c r="H1710" s="25">
        <f t="shared" si="309"/>
        <v>0.14947624657069802</v>
      </c>
      <c r="I1710" s="25">
        <f t="shared" si="306"/>
        <v>0.11824842542689495</v>
      </c>
      <c r="K1710" s="28">
        <v>44902</v>
      </c>
      <c r="L1710" s="23">
        <v>24608</v>
      </c>
      <c r="M1710" s="25">
        <f t="shared" si="305"/>
        <v>-3.8345253576073058E-3</v>
      </c>
      <c r="O1710" t="b">
        <f t="shared" si="303"/>
        <v>1</v>
      </c>
      <c r="Q1710" s="25">
        <f t="shared" si="301"/>
        <v>5.9586680244486878E-2</v>
      </c>
      <c r="R1710" s="25">
        <f t="shared" si="298"/>
        <v>0.20467116506292782</v>
      </c>
      <c r="S1710" s="25">
        <f t="shared" si="313"/>
        <v>0.1890103428767016</v>
      </c>
      <c r="T1710" s="25">
        <f t="shared" si="310"/>
        <v>0.16244793834274684</v>
      </c>
      <c r="U1710" s="25">
        <f t="shared" si="307"/>
        <v>0.130471948849334</v>
      </c>
      <c r="X1710">
        <f t="shared" si="302"/>
        <v>0</v>
      </c>
      <c r="Y1710">
        <f t="shared" si="299"/>
        <v>0</v>
      </c>
      <c r="Z1710">
        <f t="shared" si="314"/>
        <v>0</v>
      </c>
      <c r="AA1710">
        <f t="shared" si="311"/>
        <v>0</v>
      </c>
      <c r="AB1710">
        <f t="shared" si="308"/>
        <v>0</v>
      </c>
    </row>
    <row r="1711" spans="1:28">
      <c r="A1711" s="27">
        <v>44903</v>
      </c>
      <c r="B1711" s="24">
        <v>1288.92</v>
      </c>
      <c r="C1711" s="25">
        <f t="shared" si="304"/>
        <v>3.8865047159891961E-3</v>
      </c>
      <c r="E1711" s="25">
        <f t="shared" si="300"/>
        <v>3.7385208495979816E-2</v>
      </c>
      <c r="F1711" s="25">
        <f t="shared" ref="F1711:F1774" si="315">((B1711/B1219)^(1/2))-1</f>
        <v>0.18284801423968622</v>
      </c>
      <c r="G1711" s="25">
        <f t="shared" si="312"/>
        <v>0.16851296781114744</v>
      </c>
      <c r="H1711" s="25">
        <f t="shared" si="309"/>
        <v>0.14806309774087545</v>
      </c>
      <c r="I1711" s="25">
        <f t="shared" si="306"/>
        <v>0.116540090877846</v>
      </c>
      <c r="K1711" s="29">
        <v>44903</v>
      </c>
      <c r="L1711" s="24">
        <v>24684.18</v>
      </c>
      <c r="M1711" s="25">
        <f t="shared" si="305"/>
        <v>3.0861871854767015E-3</v>
      </c>
      <c r="O1711" t="b">
        <f t="shared" si="303"/>
        <v>1</v>
      </c>
      <c r="Q1711" s="25">
        <f t="shared" si="301"/>
        <v>6.926753282307696E-2</v>
      </c>
      <c r="R1711" s="25">
        <f t="shared" ref="R1711:R1774" si="316">((L1711/L1219)^(1/2))-1</f>
        <v>0.20869187476177387</v>
      </c>
      <c r="S1711" s="25">
        <f t="shared" si="313"/>
        <v>0.18706667234364716</v>
      </c>
      <c r="T1711" s="25">
        <f t="shared" si="310"/>
        <v>0.16135029544515045</v>
      </c>
      <c r="U1711" s="25">
        <f t="shared" si="307"/>
        <v>0.12900844039330139</v>
      </c>
      <c r="X1711">
        <f t="shared" si="302"/>
        <v>0</v>
      </c>
      <c r="Y1711">
        <f t="shared" ref="Y1711:Y1774" si="317">IF(F1711&gt;R1711,1,0)</f>
        <v>0</v>
      </c>
      <c r="Z1711">
        <f t="shared" si="314"/>
        <v>0</v>
      </c>
      <c r="AA1711">
        <f t="shared" si="311"/>
        <v>0</v>
      </c>
      <c r="AB1711">
        <f t="shared" si="308"/>
        <v>0</v>
      </c>
    </row>
    <row r="1712" spans="1:28">
      <c r="A1712" s="26">
        <v>44904</v>
      </c>
      <c r="B1712" s="23">
        <v>1279.8399999999999</v>
      </c>
      <c r="C1712" s="25">
        <f t="shared" si="304"/>
        <v>-7.044657542749088E-3</v>
      </c>
      <c r="E1712" s="25">
        <f t="shared" si="300"/>
        <v>3.2720347941159744E-2</v>
      </c>
      <c r="F1712" s="25">
        <f t="shared" si="315"/>
        <v>0.17779881920905338</v>
      </c>
      <c r="G1712" s="25">
        <f t="shared" si="312"/>
        <v>0.1642034380699644</v>
      </c>
      <c r="H1712" s="25">
        <f t="shared" si="309"/>
        <v>0.14524552815400815</v>
      </c>
      <c r="I1712" s="25">
        <f t="shared" si="306"/>
        <v>0.1138490455233081</v>
      </c>
      <c r="K1712" s="28">
        <v>44904</v>
      </c>
      <c r="L1712" s="23">
        <v>24531.62</v>
      </c>
      <c r="M1712" s="25">
        <f t="shared" si="305"/>
        <v>-6.2189125707964379E-3</v>
      </c>
      <c r="O1712" t="b">
        <f t="shared" si="303"/>
        <v>1</v>
      </c>
      <c r="Q1712" s="25">
        <f t="shared" si="301"/>
        <v>6.4142333193799361E-2</v>
      </c>
      <c r="R1712" s="25">
        <f t="shared" si="316"/>
        <v>0.20332717236058007</v>
      </c>
      <c r="S1712" s="25">
        <f t="shared" si="313"/>
        <v>0.18328515195904704</v>
      </c>
      <c r="T1712" s="25">
        <f t="shared" si="310"/>
        <v>0.1588115796655547</v>
      </c>
      <c r="U1712" s="25">
        <f t="shared" si="307"/>
        <v>0.12659803709329243</v>
      </c>
      <c r="X1712">
        <f t="shared" si="302"/>
        <v>0</v>
      </c>
      <c r="Y1712">
        <f t="shared" si="317"/>
        <v>0</v>
      </c>
      <c r="Z1712">
        <f t="shared" si="314"/>
        <v>0</v>
      </c>
      <c r="AA1712">
        <f t="shared" si="311"/>
        <v>0</v>
      </c>
      <c r="AB1712">
        <f t="shared" si="308"/>
        <v>0</v>
      </c>
    </row>
    <row r="1713" spans="1:28">
      <c r="A1713" s="27">
        <v>44907</v>
      </c>
      <c r="B1713" s="24">
        <v>1279.1500000000001</v>
      </c>
      <c r="C1713" s="25">
        <f t="shared" si="304"/>
        <v>-5.3912989123626953E-4</v>
      </c>
      <c r="E1713" s="25">
        <f t="shared" si="300"/>
        <v>3.9376284848337217E-2</v>
      </c>
      <c r="F1713" s="25">
        <f t="shared" si="315"/>
        <v>0.17429720353505385</v>
      </c>
      <c r="G1713" s="25">
        <f t="shared" si="312"/>
        <v>0.16385548835531782</v>
      </c>
      <c r="H1713" s="25">
        <f t="shared" si="309"/>
        <v>0.14330884177037495</v>
      </c>
      <c r="I1713" s="25">
        <f t="shared" si="306"/>
        <v>0.11546468703155832</v>
      </c>
      <c r="K1713" s="29">
        <v>44907</v>
      </c>
      <c r="L1713" s="24">
        <v>24555.31</v>
      </c>
      <c r="M1713" s="25">
        <f t="shared" si="305"/>
        <v>9.6476077882960253E-4</v>
      </c>
      <c r="O1713" t="b">
        <f t="shared" si="303"/>
        <v>1</v>
      </c>
      <c r="Q1713" s="25">
        <f t="shared" si="301"/>
        <v>7.1591722380295764E-2</v>
      </c>
      <c r="R1713" s="25">
        <f t="shared" si="316"/>
        <v>0.20155289797449183</v>
      </c>
      <c r="S1713" s="25">
        <f t="shared" si="313"/>
        <v>0.18254593947099429</v>
      </c>
      <c r="T1713" s="25">
        <f t="shared" si="310"/>
        <v>0.15690870459165374</v>
      </c>
      <c r="U1713" s="25">
        <f t="shared" si="307"/>
        <v>0.12866543283203846</v>
      </c>
      <c r="X1713">
        <f t="shared" si="302"/>
        <v>0</v>
      </c>
      <c r="Y1713">
        <f t="shared" si="317"/>
        <v>0</v>
      </c>
      <c r="Z1713">
        <f t="shared" si="314"/>
        <v>0</v>
      </c>
      <c r="AA1713">
        <f t="shared" si="311"/>
        <v>0</v>
      </c>
      <c r="AB1713">
        <f t="shared" si="308"/>
        <v>0</v>
      </c>
    </row>
    <row r="1714" spans="1:28">
      <c r="A1714" s="26">
        <v>44908</v>
      </c>
      <c r="B1714" s="23">
        <v>1284.93</v>
      </c>
      <c r="C1714" s="25">
        <f t="shared" si="304"/>
        <v>4.5186256498455793E-3</v>
      </c>
      <c r="E1714" s="25">
        <f t="shared" si="300"/>
        <v>4.5466010333184315E-2</v>
      </c>
      <c r="F1714" s="25">
        <f t="shared" si="315"/>
        <v>0.17716307245665242</v>
      </c>
      <c r="G1714" s="25">
        <f t="shared" si="312"/>
        <v>0.16434441548835377</v>
      </c>
      <c r="H1714" s="25">
        <f t="shared" si="309"/>
        <v>0.14496926973726487</v>
      </c>
      <c r="I1714" s="25">
        <f t="shared" si="306"/>
        <v>0.11811513058605283</v>
      </c>
      <c r="K1714" s="28">
        <v>44908</v>
      </c>
      <c r="L1714" s="23">
        <v>24673.99</v>
      </c>
      <c r="M1714" s="25">
        <f t="shared" si="305"/>
        <v>4.8099233241158112E-3</v>
      </c>
      <c r="O1714" t="b">
        <f t="shared" si="303"/>
        <v>1</v>
      </c>
      <c r="Q1714" s="25">
        <f t="shared" si="301"/>
        <v>7.797190561341627E-2</v>
      </c>
      <c r="R1714" s="25">
        <f t="shared" si="316"/>
        <v>0.20398876983159342</v>
      </c>
      <c r="S1714" s="25">
        <f t="shared" si="313"/>
        <v>0.18392707373514194</v>
      </c>
      <c r="T1714" s="25">
        <f t="shared" si="310"/>
        <v>0.15869162259116831</v>
      </c>
      <c r="U1714" s="25">
        <f t="shared" si="307"/>
        <v>0.13110917659439303</v>
      </c>
      <c r="X1714">
        <f t="shared" si="302"/>
        <v>0</v>
      </c>
      <c r="Y1714">
        <f t="shared" si="317"/>
        <v>0</v>
      </c>
      <c r="Z1714">
        <f t="shared" si="314"/>
        <v>0</v>
      </c>
      <c r="AA1714">
        <f t="shared" si="311"/>
        <v>0</v>
      </c>
      <c r="AB1714">
        <f t="shared" si="308"/>
        <v>0</v>
      </c>
    </row>
    <row r="1715" spans="1:28">
      <c r="A1715" s="27">
        <v>44909</v>
      </c>
      <c r="B1715" s="24">
        <v>1289.44</v>
      </c>
      <c r="C1715" s="25">
        <f t="shared" si="304"/>
        <v>3.509918828263011E-3</v>
      </c>
      <c r="E1715" s="25">
        <f t="shared" si="300"/>
        <v>6.5582440830358468E-2</v>
      </c>
      <c r="F1715" s="25">
        <f t="shared" si="315"/>
        <v>0.17596603682859424</v>
      </c>
      <c r="G1715" s="25">
        <f t="shared" si="312"/>
        <v>0.16563348330190064</v>
      </c>
      <c r="H1715" s="25">
        <f t="shared" si="309"/>
        <v>0.15063320441851347</v>
      </c>
      <c r="I1715" s="25">
        <f t="shared" si="306"/>
        <v>0.11807595881815747</v>
      </c>
      <c r="K1715" s="29">
        <v>44909</v>
      </c>
      <c r="L1715" s="24">
        <v>24765.99</v>
      </c>
      <c r="M1715" s="25">
        <f t="shared" si="305"/>
        <v>3.7147717494838686E-3</v>
      </c>
      <c r="O1715" t="b">
        <f t="shared" si="303"/>
        <v>1</v>
      </c>
      <c r="Q1715" s="25">
        <f t="shared" si="301"/>
        <v>0.10123485445738845</v>
      </c>
      <c r="R1715" s="25">
        <f t="shared" si="316"/>
        <v>0.20109603629227824</v>
      </c>
      <c r="S1715" s="25">
        <f t="shared" si="313"/>
        <v>0.18570169650911161</v>
      </c>
      <c r="T1715" s="25">
        <f t="shared" si="310"/>
        <v>0.16452103310155697</v>
      </c>
      <c r="U1715" s="25">
        <f t="shared" si="307"/>
        <v>0.13116025116539798</v>
      </c>
      <c r="X1715">
        <f t="shared" si="302"/>
        <v>0</v>
      </c>
      <c r="Y1715">
        <f t="shared" si="317"/>
        <v>0</v>
      </c>
      <c r="Z1715">
        <f t="shared" si="314"/>
        <v>0</v>
      </c>
      <c r="AA1715">
        <f t="shared" si="311"/>
        <v>0</v>
      </c>
      <c r="AB1715">
        <f t="shared" si="308"/>
        <v>0</v>
      </c>
    </row>
    <row r="1716" spans="1:28">
      <c r="A1716" s="26">
        <v>44910</v>
      </c>
      <c r="B1716" s="23">
        <v>1275.45</v>
      </c>
      <c r="C1716" s="25">
        <f t="shared" si="304"/>
        <v>-1.0849671175083763E-2</v>
      </c>
      <c r="E1716" s="25">
        <f t="shared" si="300"/>
        <v>7.9965453298447953E-2</v>
      </c>
      <c r="F1716" s="25">
        <f t="shared" si="315"/>
        <v>0.16914297468375716</v>
      </c>
      <c r="G1716" s="25">
        <f t="shared" si="312"/>
        <v>0.16212621890283319</v>
      </c>
      <c r="H1716" s="25">
        <f t="shared" si="309"/>
        <v>0.14999711300091456</v>
      </c>
      <c r="I1716" s="25">
        <f t="shared" si="306"/>
        <v>0.11361246675531933</v>
      </c>
      <c r="K1716" s="28">
        <v>44910</v>
      </c>
      <c r="L1716" s="23">
        <v>24486.799999999999</v>
      </c>
      <c r="M1716" s="25">
        <f t="shared" si="305"/>
        <v>-1.1401653135567014E-2</v>
      </c>
      <c r="O1716" t="b">
        <f t="shared" si="303"/>
        <v>1</v>
      </c>
      <c r="Q1716" s="25">
        <f t="shared" si="301"/>
        <v>0.11717600855533772</v>
      </c>
      <c r="R1716" s="25">
        <f t="shared" si="316"/>
        <v>0.19282322518801132</v>
      </c>
      <c r="S1716" s="25">
        <f t="shared" si="313"/>
        <v>0.18239614128862391</v>
      </c>
      <c r="T1716" s="25">
        <f t="shared" si="310"/>
        <v>0.16379966262534373</v>
      </c>
      <c r="U1716" s="25">
        <f t="shared" si="307"/>
        <v>0.12655602476544536</v>
      </c>
      <c r="X1716">
        <f t="shared" si="302"/>
        <v>0</v>
      </c>
      <c r="Y1716">
        <f t="shared" si="317"/>
        <v>0</v>
      </c>
      <c r="Z1716">
        <f t="shared" si="314"/>
        <v>0</v>
      </c>
      <c r="AA1716">
        <f t="shared" si="311"/>
        <v>0</v>
      </c>
      <c r="AB1716">
        <f t="shared" si="308"/>
        <v>0</v>
      </c>
    </row>
    <row r="1717" spans="1:28">
      <c r="A1717" s="27">
        <v>44911</v>
      </c>
      <c r="B1717" s="24">
        <v>1260.3</v>
      </c>
      <c r="C1717" s="25">
        <f t="shared" si="304"/>
        <v>-1.1878160649182712E-2</v>
      </c>
      <c r="E1717" s="25">
        <f t="shared" si="300"/>
        <v>5.2337135318381467E-2</v>
      </c>
      <c r="F1717" s="25">
        <f t="shared" si="315"/>
        <v>0.1604202102576775</v>
      </c>
      <c r="G1717" s="25">
        <f t="shared" si="312"/>
        <v>0.15934985226730647</v>
      </c>
      <c r="H1717" s="25">
        <f t="shared" si="309"/>
        <v>0.14535938222703426</v>
      </c>
      <c r="I1717" s="25">
        <f t="shared" si="306"/>
        <v>0.10955136858081738</v>
      </c>
      <c r="K1717" s="29">
        <v>44911</v>
      </c>
      <c r="L1717" s="24">
        <v>24258</v>
      </c>
      <c r="M1717" s="25">
        <f t="shared" si="305"/>
        <v>-9.4319399785637425E-3</v>
      </c>
      <c r="O1717" t="b">
        <f t="shared" si="303"/>
        <v>1</v>
      </c>
      <c r="Q1717" s="25">
        <f t="shared" si="301"/>
        <v>9.4439509185071602E-2</v>
      </c>
      <c r="R1717" s="25">
        <f t="shared" si="316"/>
        <v>0.18678717071791451</v>
      </c>
      <c r="S1717" s="25">
        <f t="shared" si="313"/>
        <v>0.18074629933090014</v>
      </c>
      <c r="T1717" s="25">
        <f t="shared" si="310"/>
        <v>0.1598104045656743</v>
      </c>
      <c r="U1717" s="25">
        <f t="shared" si="307"/>
        <v>0.12312514261101737</v>
      </c>
      <c r="X1717">
        <f t="shared" si="302"/>
        <v>0</v>
      </c>
      <c r="Y1717">
        <f t="shared" si="317"/>
        <v>0</v>
      </c>
      <c r="Z1717">
        <f t="shared" si="314"/>
        <v>0</v>
      </c>
      <c r="AA1717">
        <f t="shared" si="311"/>
        <v>0</v>
      </c>
      <c r="AB1717">
        <f t="shared" si="308"/>
        <v>0</v>
      </c>
    </row>
    <row r="1718" spans="1:28">
      <c r="A1718" s="26">
        <v>44914</v>
      </c>
      <c r="B1718" s="23">
        <v>1267.81</v>
      </c>
      <c r="C1718" s="25">
        <f t="shared" si="304"/>
        <v>5.9588986749186633E-3</v>
      </c>
      <c r="E1718" s="25">
        <f t="shared" si="300"/>
        <v>4.2975723323214643E-2</v>
      </c>
      <c r="F1718" s="25">
        <f t="shared" si="315"/>
        <v>0.1852257413928784</v>
      </c>
      <c r="G1718" s="25">
        <f t="shared" si="312"/>
        <v>0.15798011310641535</v>
      </c>
      <c r="H1718" s="25">
        <f t="shared" si="309"/>
        <v>0.14649476396603478</v>
      </c>
      <c r="I1718" s="25">
        <f t="shared" si="306"/>
        <v>0.10852572097012758</v>
      </c>
      <c r="K1718" s="28">
        <v>44914</v>
      </c>
      <c r="L1718" s="23">
        <v>24442.38</v>
      </c>
      <c r="M1718" s="25">
        <f t="shared" si="305"/>
        <v>7.5434552609034396E-3</v>
      </c>
      <c r="O1718" t="b">
        <f t="shared" si="303"/>
        <v>1</v>
      </c>
      <c r="Q1718" s="25">
        <f t="shared" si="301"/>
        <v>8.9090417338556049E-2</v>
      </c>
      <c r="R1718" s="25">
        <f t="shared" si="316"/>
        <v>0.21232873277875997</v>
      </c>
      <c r="S1718" s="25">
        <f t="shared" si="313"/>
        <v>0.18007634432410091</v>
      </c>
      <c r="T1718" s="25">
        <f t="shared" si="310"/>
        <v>0.16081926240688649</v>
      </c>
      <c r="U1718" s="25">
        <f t="shared" si="307"/>
        <v>0.12266642741144018</v>
      </c>
      <c r="X1718">
        <f t="shared" si="302"/>
        <v>0</v>
      </c>
      <c r="Y1718">
        <f t="shared" si="317"/>
        <v>0</v>
      </c>
      <c r="Z1718">
        <f t="shared" si="314"/>
        <v>0</v>
      </c>
      <c r="AA1718">
        <f t="shared" si="311"/>
        <v>0</v>
      </c>
      <c r="AB1718">
        <f t="shared" si="308"/>
        <v>0</v>
      </c>
    </row>
    <row r="1719" spans="1:28">
      <c r="A1719" s="27">
        <v>44915</v>
      </c>
      <c r="B1719" s="24">
        <v>1264.98</v>
      </c>
      <c r="C1719" s="25">
        <f t="shared" si="304"/>
        <v>-2.2321956760081776E-3</v>
      </c>
      <c r="E1719" s="25">
        <f t="shared" si="300"/>
        <v>3.2653594344397519E-2</v>
      </c>
      <c r="F1719" s="25">
        <f t="shared" si="315"/>
        <v>0.17687502226300156</v>
      </c>
      <c r="G1719" s="25">
        <f t="shared" si="312"/>
        <v>0.15682040250478413</v>
      </c>
      <c r="H1719" s="25">
        <f t="shared" si="309"/>
        <v>0.14307612666403524</v>
      </c>
      <c r="I1719" s="25">
        <f t="shared" si="306"/>
        <v>0.1079163151960183</v>
      </c>
      <c r="K1719" s="29">
        <v>44915</v>
      </c>
      <c r="L1719" s="24">
        <v>24397.439999999999</v>
      </c>
      <c r="M1719" s="25">
        <f t="shared" si="305"/>
        <v>-1.8419965373417183E-3</v>
      </c>
      <c r="O1719" t="b">
        <f t="shared" si="303"/>
        <v>1</v>
      </c>
      <c r="Q1719" s="25">
        <f t="shared" si="301"/>
        <v>7.8856310003860397E-2</v>
      </c>
      <c r="R1719" s="25">
        <f t="shared" si="316"/>
        <v>0.20510275838914516</v>
      </c>
      <c r="S1719" s="25">
        <f t="shared" si="313"/>
        <v>0.17871795620161346</v>
      </c>
      <c r="T1719" s="25">
        <f t="shared" si="310"/>
        <v>0.15788455940199375</v>
      </c>
      <c r="U1719" s="25">
        <f t="shared" si="307"/>
        <v>0.12218059515813651</v>
      </c>
      <c r="X1719">
        <f t="shared" si="302"/>
        <v>0</v>
      </c>
      <c r="Y1719">
        <f t="shared" si="317"/>
        <v>0</v>
      </c>
      <c r="Z1719">
        <f t="shared" si="314"/>
        <v>0</v>
      </c>
      <c r="AA1719">
        <f t="shared" si="311"/>
        <v>0</v>
      </c>
      <c r="AB1719">
        <f t="shared" si="308"/>
        <v>0</v>
      </c>
    </row>
    <row r="1720" spans="1:28">
      <c r="A1720" s="26">
        <v>44916</v>
      </c>
      <c r="B1720" s="23">
        <v>1255.82</v>
      </c>
      <c r="C1720" s="25">
        <f t="shared" si="304"/>
        <v>-7.2412212050784056E-3</v>
      </c>
      <c r="E1720" s="25">
        <f t="shared" ref="E1720:E1783" si="318">(B1720/B1475)-1</f>
        <v>2.9343781249487666E-2</v>
      </c>
      <c r="F1720" s="25">
        <f t="shared" si="315"/>
        <v>0.16273716418167483</v>
      </c>
      <c r="G1720" s="25">
        <f t="shared" si="312"/>
        <v>0.15564063844427611</v>
      </c>
      <c r="H1720" s="25">
        <f t="shared" si="309"/>
        <v>0.14024400554714478</v>
      </c>
      <c r="I1720" s="25">
        <f t="shared" si="306"/>
        <v>0.10562513791841011</v>
      </c>
      <c r="K1720" s="28">
        <v>44916</v>
      </c>
      <c r="L1720" s="23">
        <v>24089.23</v>
      </c>
      <c r="M1720" s="25">
        <f t="shared" si="305"/>
        <v>-1.2794514395022138E-2</v>
      </c>
      <c r="O1720" t="b">
        <f t="shared" si="303"/>
        <v>1</v>
      </c>
      <c r="Q1720" s="25">
        <f t="shared" ref="Q1720:Q1783" si="319">(L1720/L1475)-1</f>
        <v>7.1521569231001836E-2</v>
      </c>
      <c r="R1720" s="25">
        <f t="shared" si="316"/>
        <v>0.1894465794489637</v>
      </c>
      <c r="S1720" s="25">
        <f t="shared" si="313"/>
        <v>0.17579562650221048</v>
      </c>
      <c r="T1720" s="25">
        <f t="shared" si="310"/>
        <v>0.15366030092393834</v>
      </c>
      <c r="U1720" s="25">
        <f t="shared" si="307"/>
        <v>0.11875112815522226</v>
      </c>
      <c r="X1720">
        <f t="shared" ref="X1720:X1783" si="320">IF(E1720&gt;Q1720,1,0)</f>
        <v>0</v>
      </c>
      <c r="Y1720">
        <f t="shared" si="317"/>
        <v>0</v>
      </c>
      <c r="Z1720">
        <f t="shared" si="314"/>
        <v>0</v>
      </c>
      <c r="AA1720">
        <f t="shared" si="311"/>
        <v>0</v>
      </c>
      <c r="AB1720">
        <f t="shared" si="308"/>
        <v>0</v>
      </c>
    </row>
    <row r="1721" spans="1:28">
      <c r="A1721" s="27">
        <v>44917</v>
      </c>
      <c r="B1721" s="24">
        <v>1250.21</v>
      </c>
      <c r="C1721" s="25">
        <f t="shared" si="304"/>
        <v>-4.467200713477967E-3</v>
      </c>
      <c r="E1721" s="25">
        <f t="shared" si="318"/>
        <v>2.0088284010150392E-2</v>
      </c>
      <c r="F1721" s="25">
        <f t="shared" si="315"/>
        <v>0.15530289214608217</v>
      </c>
      <c r="G1721" s="25">
        <f t="shared" si="312"/>
        <v>0.15402125827525981</v>
      </c>
      <c r="H1721" s="25">
        <f t="shared" si="309"/>
        <v>0.13868116369894135</v>
      </c>
      <c r="I1721" s="25">
        <f t="shared" si="306"/>
        <v>0.10414792297858821</v>
      </c>
      <c r="K1721" s="29">
        <v>44917</v>
      </c>
      <c r="L1721" s="24">
        <v>23940.18</v>
      </c>
      <c r="M1721" s="25">
        <f t="shared" si="305"/>
        <v>-6.2259348091785139E-3</v>
      </c>
      <c r="O1721" t="b">
        <f t="shared" si="303"/>
        <v>1</v>
      </c>
      <c r="Q1721" s="25">
        <f t="shared" si="319"/>
        <v>6.0350967330451422E-2</v>
      </c>
      <c r="R1721" s="25">
        <f t="shared" si="316"/>
        <v>0.18053034171215043</v>
      </c>
      <c r="S1721" s="25">
        <f t="shared" si="313"/>
        <v>0.17273282048692939</v>
      </c>
      <c r="T1721" s="25">
        <f t="shared" si="310"/>
        <v>0.15099807891145178</v>
      </c>
      <c r="U1721" s="25">
        <f t="shared" si="307"/>
        <v>0.11632434134725966</v>
      </c>
      <c r="X1721">
        <f t="shared" si="320"/>
        <v>0</v>
      </c>
      <c r="Y1721">
        <f t="shared" si="317"/>
        <v>0</v>
      </c>
      <c r="Z1721">
        <f t="shared" si="314"/>
        <v>0</v>
      </c>
      <c r="AA1721">
        <f t="shared" si="311"/>
        <v>0</v>
      </c>
      <c r="AB1721">
        <f t="shared" si="308"/>
        <v>0</v>
      </c>
    </row>
    <row r="1722" spans="1:28">
      <c r="A1722" s="26">
        <v>44918</v>
      </c>
      <c r="B1722" s="23">
        <v>1223.6099999999999</v>
      </c>
      <c r="C1722" s="25">
        <f t="shared" si="304"/>
        <v>-2.1276425560505942E-2</v>
      </c>
      <c r="E1722" s="25">
        <f t="shared" si="318"/>
        <v>-1.1399993536502673E-2</v>
      </c>
      <c r="F1722" s="25">
        <f t="shared" si="315"/>
        <v>0.13763311606798423</v>
      </c>
      <c r="G1722" s="25">
        <f t="shared" si="312"/>
        <v>0.14230608563611047</v>
      </c>
      <c r="H1722" s="25">
        <f t="shared" si="309"/>
        <v>0.13589305037644106</v>
      </c>
      <c r="I1722" s="25">
        <f t="shared" si="306"/>
        <v>9.876355925446445E-2</v>
      </c>
      <c r="K1722" s="28">
        <v>44918</v>
      </c>
      <c r="L1722" s="23">
        <v>23342.13</v>
      </c>
      <c r="M1722" s="25">
        <f t="shared" si="305"/>
        <v>-2.5621055147923486E-2</v>
      </c>
      <c r="O1722" t="b">
        <f t="shared" si="303"/>
        <v>1</v>
      </c>
      <c r="Q1722" s="25">
        <f t="shared" si="319"/>
        <v>2.4107322269537601E-2</v>
      </c>
      <c r="R1722" s="25">
        <f t="shared" si="316"/>
        <v>0.1601014908368914</v>
      </c>
      <c r="S1722" s="25">
        <f t="shared" si="313"/>
        <v>0.15932269651395181</v>
      </c>
      <c r="T1722" s="25">
        <f t="shared" si="310"/>
        <v>0.14669855707000456</v>
      </c>
      <c r="U1722" s="25">
        <f t="shared" si="307"/>
        <v>0.10977814056582269</v>
      </c>
      <c r="X1722">
        <f t="shared" si="320"/>
        <v>0</v>
      </c>
      <c r="Y1722">
        <f t="shared" si="317"/>
        <v>0</v>
      </c>
      <c r="Z1722">
        <f t="shared" si="314"/>
        <v>0</v>
      </c>
      <c r="AA1722">
        <f t="shared" si="311"/>
        <v>0</v>
      </c>
      <c r="AB1722">
        <f t="shared" si="308"/>
        <v>0</v>
      </c>
    </row>
    <row r="1723" spans="1:28">
      <c r="A1723" s="27">
        <v>44921</v>
      </c>
      <c r="B1723" s="24">
        <v>1239.3</v>
      </c>
      <c r="C1723" s="25">
        <f t="shared" si="304"/>
        <v>1.2822713119376317E-2</v>
      </c>
      <c r="E1723" s="25">
        <f t="shared" si="318"/>
        <v>5.5707607721555696E-4</v>
      </c>
      <c r="F1723" s="25">
        <f t="shared" si="315"/>
        <v>0.14385157020397266</v>
      </c>
      <c r="G1723" s="25">
        <f t="shared" si="312"/>
        <v>0.14880284143303157</v>
      </c>
      <c r="H1723" s="25">
        <f t="shared" si="309"/>
        <v>0.14225026529592233</v>
      </c>
      <c r="I1723" s="25">
        <f t="shared" si="306"/>
        <v>0.10199140628627301</v>
      </c>
      <c r="K1723" s="29">
        <v>44921</v>
      </c>
      <c r="L1723" s="24">
        <v>23733.97</v>
      </c>
      <c r="M1723" s="25">
        <f t="shared" si="305"/>
        <v>1.650966947375429E-2</v>
      </c>
      <c r="O1723" t="b">
        <f t="shared" si="303"/>
        <v>1</v>
      </c>
      <c r="Q1723" s="25">
        <f t="shared" si="319"/>
        <v>4.1610034297601572E-2</v>
      </c>
      <c r="R1723" s="25">
        <f t="shared" si="316"/>
        <v>0.16814954848058861</v>
      </c>
      <c r="S1723" s="25">
        <f t="shared" si="313"/>
        <v>0.16727051023476158</v>
      </c>
      <c r="T1723" s="25">
        <f t="shared" si="310"/>
        <v>0.1542997387505971</v>
      </c>
      <c r="U1723" s="25">
        <f t="shared" si="307"/>
        <v>0.11423583121806224</v>
      </c>
      <c r="X1723">
        <f t="shared" si="320"/>
        <v>0</v>
      </c>
      <c r="Y1723">
        <f t="shared" si="317"/>
        <v>0</v>
      </c>
      <c r="Z1723">
        <f t="shared" si="314"/>
        <v>0</v>
      </c>
      <c r="AA1723">
        <f t="shared" si="311"/>
        <v>0</v>
      </c>
      <c r="AB1723">
        <f t="shared" si="308"/>
        <v>0</v>
      </c>
    </row>
    <row r="1724" spans="1:28">
      <c r="A1724" s="26">
        <v>44922</v>
      </c>
      <c r="B1724" s="23">
        <v>1247.47</v>
      </c>
      <c r="C1724" s="25">
        <f t="shared" si="304"/>
        <v>6.5924312111676538E-3</v>
      </c>
      <c r="E1724" s="25">
        <f t="shared" si="318"/>
        <v>6.6492902850963098E-3</v>
      </c>
      <c r="F1724" s="25">
        <f t="shared" si="315"/>
        <v>0.14574840306381831</v>
      </c>
      <c r="G1724" s="25">
        <f t="shared" si="312"/>
        <v>0.15870685467372825</v>
      </c>
      <c r="H1724" s="25">
        <f t="shared" si="309"/>
        <v>0.14299550526394689</v>
      </c>
      <c r="I1724" s="25">
        <f t="shared" si="306"/>
        <v>0.10328145113863751</v>
      </c>
      <c r="K1724" s="28">
        <v>44922</v>
      </c>
      <c r="L1724" s="23">
        <v>23919.81</v>
      </c>
      <c r="M1724" s="25">
        <f t="shared" si="305"/>
        <v>7.7692924818382808E-3</v>
      </c>
      <c r="O1724" t="b">
        <f t="shared" si="303"/>
        <v>1</v>
      </c>
      <c r="Q1724" s="25">
        <f t="shared" si="319"/>
        <v>5.12085918527172E-2</v>
      </c>
      <c r="R1724" s="25">
        <f t="shared" si="316"/>
        <v>0.17053922529016829</v>
      </c>
      <c r="S1724" s="25">
        <f t="shared" si="313"/>
        <v>0.1780322550726523</v>
      </c>
      <c r="T1724" s="25">
        <f t="shared" si="310"/>
        <v>0.15526900447796366</v>
      </c>
      <c r="U1724" s="25">
        <f t="shared" si="307"/>
        <v>0.11603120409571765</v>
      </c>
      <c r="X1724">
        <f t="shared" si="320"/>
        <v>0</v>
      </c>
      <c r="Y1724">
        <f t="shared" si="317"/>
        <v>0</v>
      </c>
      <c r="Z1724">
        <f t="shared" si="314"/>
        <v>0</v>
      </c>
      <c r="AA1724">
        <f t="shared" si="311"/>
        <v>0</v>
      </c>
      <c r="AB1724">
        <f t="shared" si="308"/>
        <v>0</v>
      </c>
    </row>
    <row r="1725" spans="1:28">
      <c r="A1725" s="27">
        <v>44923</v>
      </c>
      <c r="B1725" s="24">
        <v>1246.1600000000001</v>
      </c>
      <c r="C1725" s="25">
        <f t="shared" si="304"/>
        <v>-1.0501254539186879E-3</v>
      </c>
      <c r="E1725" s="25">
        <f t="shared" si="318"/>
        <v>-4.6406862784251768E-3</v>
      </c>
      <c r="F1725" s="25">
        <f t="shared" si="315"/>
        <v>0.1435412791947257</v>
      </c>
      <c r="G1725" s="25">
        <f t="shared" si="312"/>
        <v>0.15631456541137467</v>
      </c>
      <c r="H1725" s="25">
        <f t="shared" si="309"/>
        <v>0.14227747958553594</v>
      </c>
      <c r="I1725" s="25">
        <f t="shared" si="306"/>
        <v>0.10219592922404153</v>
      </c>
      <c r="K1725" s="29">
        <v>44923</v>
      </c>
      <c r="L1725" s="24">
        <v>23942.23</v>
      </c>
      <c r="M1725" s="25">
        <f t="shared" si="305"/>
        <v>9.3642070934905626E-4</v>
      </c>
      <c r="O1725" t="b">
        <f t="shared" si="303"/>
        <v>1</v>
      </c>
      <c r="Q1725" s="25">
        <f t="shared" si="319"/>
        <v>4.1379451330266548E-2</v>
      </c>
      <c r="R1725" s="25">
        <f t="shared" si="316"/>
        <v>0.17064719139634921</v>
      </c>
      <c r="S1725" s="25">
        <f t="shared" si="313"/>
        <v>0.17607218086998899</v>
      </c>
      <c r="T1725" s="25">
        <f t="shared" si="310"/>
        <v>0.15470363306930279</v>
      </c>
      <c r="U1725" s="25">
        <f t="shared" si="307"/>
        <v>0.11494856680961774</v>
      </c>
      <c r="X1725">
        <f t="shared" si="320"/>
        <v>0</v>
      </c>
      <c r="Y1725">
        <f t="shared" si="317"/>
        <v>0</v>
      </c>
      <c r="Z1725">
        <f t="shared" si="314"/>
        <v>0</v>
      </c>
      <c r="AA1725">
        <f t="shared" si="311"/>
        <v>0</v>
      </c>
      <c r="AB1725">
        <f t="shared" si="308"/>
        <v>0</v>
      </c>
    </row>
    <row r="1726" spans="1:28">
      <c r="A1726" s="26">
        <v>44924</v>
      </c>
      <c r="B1726" s="23">
        <v>1251.17</v>
      </c>
      <c r="C1726" s="25">
        <f t="shared" si="304"/>
        <v>4.0203505167875639E-3</v>
      </c>
      <c r="E1726" s="25">
        <f t="shared" si="318"/>
        <v>-1.2720056182878303E-2</v>
      </c>
      <c r="F1726" s="25">
        <f t="shared" si="315"/>
        <v>0.14364359755490574</v>
      </c>
      <c r="G1726" s="25">
        <f t="shared" si="312"/>
        <v>0.1578189976901645</v>
      </c>
      <c r="H1726" s="25">
        <f t="shared" si="309"/>
        <v>0.14229020044149188</v>
      </c>
      <c r="I1726" s="25">
        <f t="shared" si="306"/>
        <v>0.10459306923597</v>
      </c>
      <c r="K1726" s="28">
        <v>44924</v>
      </c>
      <c r="L1726" s="23">
        <v>24023.53</v>
      </c>
      <c r="M1726" s="25">
        <f t="shared" si="305"/>
        <v>3.3841820914744533E-3</v>
      </c>
      <c r="O1726" t="b">
        <f t="shared" si="303"/>
        <v>1</v>
      </c>
      <c r="Q1726" s="25">
        <f t="shared" si="319"/>
        <v>3.0593666855709634E-2</v>
      </c>
      <c r="R1726" s="25">
        <f t="shared" si="316"/>
        <v>0.16976520447879517</v>
      </c>
      <c r="S1726" s="25">
        <f t="shared" si="313"/>
        <v>0.17793083701663948</v>
      </c>
      <c r="T1726" s="25">
        <f t="shared" si="310"/>
        <v>0.15512701828592879</v>
      </c>
      <c r="U1726" s="25">
        <f t="shared" si="307"/>
        <v>0.11702956735340275</v>
      </c>
      <c r="X1726">
        <f t="shared" si="320"/>
        <v>0</v>
      </c>
      <c r="Y1726">
        <f t="shared" si="317"/>
        <v>0</v>
      </c>
      <c r="Z1726">
        <f t="shared" si="314"/>
        <v>0</v>
      </c>
      <c r="AA1726">
        <f t="shared" si="311"/>
        <v>0</v>
      </c>
      <c r="AB1726">
        <f t="shared" si="308"/>
        <v>0</v>
      </c>
    </row>
    <row r="1727" spans="1:28">
      <c r="A1727" s="27">
        <v>44925</v>
      </c>
      <c r="B1727" s="24">
        <v>1248.56</v>
      </c>
      <c r="C1727" s="25">
        <f t="shared" si="304"/>
        <v>-2.0860474595779366E-3</v>
      </c>
      <c r="E1727" s="25">
        <f t="shared" si="318"/>
        <v>-1.8898169902798134E-2</v>
      </c>
      <c r="F1727" s="25">
        <f t="shared" si="315"/>
        <v>0.13443221251136994</v>
      </c>
      <c r="G1727" s="25">
        <f t="shared" si="312"/>
        <v>0.15086910386427088</v>
      </c>
      <c r="H1727" s="25">
        <f t="shared" si="309"/>
        <v>0.14101145337705123</v>
      </c>
      <c r="I1727" s="25">
        <f t="shared" si="306"/>
        <v>0.10461134536969974</v>
      </c>
      <c r="K1727" s="29">
        <v>44925</v>
      </c>
      <c r="L1727" s="24">
        <v>23967.119999999999</v>
      </c>
      <c r="M1727" s="25">
        <f t="shared" si="305"/>
        <v>-2.3536411550490778E-3</v>
      </c>
      <c r="O1727" t="b">
        <f t="shared" si="303"/>
        <v>1</v>
      </c>
      <c r="Q1727" s="25">
        <f t="shared" si="319"/>
        <v>2.0512770290610716E-2</v>
      </c>
      <c r="R1727" s="25">
        <f t="shared" si="316"/>
        <v>0.16253272051692735</v>
      </c>
      <c r="S1727" s="25">
        <f t="shared" si="313"/>
        <v>0.1709897851011295</v>
      </c>
      <c r="T1727" s="25">
        <f t="shared" si="310"/>
        <v>0.15353638048692009</v>
      </c>
      <c r="U1727" s="25">
        <f t="shared" si="307"/>
        <v>0.11689917500422387</v>
      </c>
      <c r="X1727">
        <f t="shared" si="320"/>
        <v>0</v>
      </c>
      <c r="Y1727">
        <f t="shared" si="317"/>
        <v>0</v>
      </c>
      <c r="Z1727">
        <f t="shared" si="314"/>
        <v>0</v>
      </c>
      <c r="AA1727">
        <f t="shared" si="311"/>
        <v>0</v>
      </c>
      <c r="AB1727">
        <f t="shared" si="308"/>
        <v>0</v>
      </c>
    </row>
    <row r="1728" spans="1:28">
      <c r="A1728" s="26">
        <v>44928</v>
      </c>
      <c r="B1728" s="23">
        <v>1256.3399999999999</v>
      </c>
      <c r="C1728" s="25">
        <f t="shared" si="304"/>
        <v>6.2311783174216484E-3</v>
      </c>
      <c r="E1728" s="25">
        <f t="shared" si="318"/>
        <v>-1.6740625953840071E-2</v>
      </c>
      <c r="F1728" s="25">
        <f t="shared" si="315"/>
        <v>0.13361695702541732</v>
      </c>
      <c r="G1728" s="25">
        <f t="shared" si="312"/>
        <v>0.15178465869831248</v>
      </c>
      <c r="H1728" s="25">
        <f t="shared" si="309"/>
        <v>0.14311079631762058</v>
      </c>
      <c r="I1728" s="25">
        <f t="shared" si="306"/>
        <v>0.10529822321253435</v>
      </c>
      <c r="K1728" s="28">
        <v>44928</v>
      </c>
      <c r="L1728" s="23">
        <v>24083.14</v>
      </c>
      <c r="M1728" s="25">
        <f t="shared" si="305"/>
        <v>4.8174781195475525E-3</v>
      </c>
      <c r="O1728" t="b">
        <f t="shared" si="303"/>
        <v>1</v>
      </c>
      <c r="Q1728" s="25">
        <f t="shared" si="319"/>
        <v>2.027921841889202E-2</v>
      </c>
      <c r="R1728" s="25">
        <f t="shared" si="316"/>
        <v>0.1616118841510894</v>
      </c>
      <c r="S1728" s="25">
        <f t="shared" si="313"/>
        <v>0.17153930620827929</v>
      </c>
      <c r="T1728" s="25">
        <f t="shared" si="310"/>
        <v>0.15518554589967737</v>
      </c>
      <c r="U1728" s="25">
        <f t="shared" si="307"/>
        <v>0.11746899671976063</v>
      </c>
      <c r="X1728">
        <f t="shared" si="320"/>
        <v>0</v>
      </c>
      <c r="Y1728">
        <f t="shared" si="317"/>
        <v>0</v>
      </c>
      <c r="Z1728">
        <f t="shared" si="314"/>
        <v>0</v>
      </c>
      <c r="AA1728">
        <f t="shared" si="311"/>
        <v>0</v>
      </c>
      <c r="AB1728">
        <f t="shared" si="308"/>
        <v>0</v>
      </c>
    </row>
    <row r="1729" spans="1:28">
      <c r="A1729" s="27">
        <v>44929</v>
      </c>
      <c r="B1729" s="24">
        <v>1261.3499999999999</v>
      </c>
      <c r="C1729" s="25">
        <f t="shared" si="304"/>
        <v>3.9877740102201567E-3</v>
      </c>
      <c r="E1729" s="25">
        <f t="shared" si="318"/>
        <v>-7.3659607620937262E-3</v>
      </c>
      <c r="F1729" s="25">
        <f t="shared" si="315"/>
        <v>0.13470913441714072</v>
      </c>
      <c r="G1729" s="25">
        <f t="shared" si="312"/>
        <v>0.15050799550836924</v>
      </c>
      <c r="H1729" s="25">
        <f t="shared" si="309"/>
        <v>0.14435759791302871</v>
      </c>
      <c r="I1729" s="25">
        <f t="shared" si="306"/>
        <v>0.10451838869657437</v>
      </c>
      <c r="K1729" s="29">
        <v>44929</v>
      </c>
      <c r="L1729" s="24">
        <v>24136.79</v>
      </c>
      <c r="M1729" s="25">
        <f t="shared" si="305"/>
        <v>2.2227479296129042E-3</v>
      </c>
      <c r="O1729" t="b">
        <f t="shared" si="303"/>
        <v>1</v>
      </c>
      <c r="Q1729" s="25">
        <f t="shared" si="319"/>
        <v>2.9660205336601742E-2</v>
      </c>
      <c r="R1729" s="25">
        <f t="shared" si="316"/>
        <v>0.16434568722390419</v>
      </c>
      <c r="S1729" s="25">
        <f t="shared" si="313"/>
        <v>0.16989368376381409</v>
      </c>
      <c r="T1729" s="25">
        <f t="shared" si="310"/>
        <v>0.15650044885294112</v>
      </c>
      <c r="U1729" s="25">
        <f t="shared" si="307"/>
        <v>0.11640021608452544</v>
      </c>
      <c r="X1729">
        <f t="shared" si="320"/>
        <v>0</v>
      </c>
      <c r="Y1729">
        <f t="shared" si="317"/>
        <v>0</v>
      </c>
      <c r="Z1729">
        <f t="shared" si="314"/>
        <v>0</v>
      </c>
      <c r="AA1729">
        <f t="shared" si="311"/>
        <v>0</v>
      </c>
      <c r="AB1729">
        <f t="shared" si="308"/>
        <v>0</v>
      </c>
    </row>
    <row r="1730" spans="1:28">
      <c r="A1730" s="26">
        <v>44930</v>
      </c>
      <c r="B1730" s="23">
        <v>1248.48</v>
      </c>
      <c r="C1730" s="25">
        <f t="shared" si="304"/>
        <v>-1.0203353549768019E-2</v>
      </c>
      <c r="E1730" s="25">
        <f t="shared" si="318"/>
        <v>-1.980827660927531E-2</v>
      </c>
      <c r="F1730" s="25">
        <f t="shared" si="315"/>
        <v>0.12636722602269357</v>
      </c>
      <c r="G1730" s="25">
        <f t="shared" si="312"/>
        <v>0.14512254807127789</v>
      </c>
      <c r="H1730" s="25">
        <f t="shared" si="309"/>
        <v>0.14222402024414338</v>
      </c>
      <c r="I1730" s="25">
        <f t="shared" si="306"/>
        <v>0.10027203558091813</v>
      </c>
      <c r="K1730" s="28">
        <v>44930</v>
      </c>
      <c r="L1730" s="23">
        <v>23881.119999999999</v>
      </c>
      <c r="M1730" s="25">
        <f t="shared" si="305"/>
        <v>-1.0705946789765384E-2</v>
      </c>
      <c r="O1730" t="b">
        <f t="shared" si="303"/>
        <v>1</v>
      </c>
      <c r="Q1730" s="25">
        <f t="shared" si="319"/>
        <v>1.4873488863475615E-2</v>
      </c>
      <c r="R1730" s="25">
        <f t="shared" si="316"/>
        <v>0.15677493697378497</v>
      </c>
      <c r="S1730" s="25">
        <f t="shared" si="313"/>
        <v>0.16446071648401617</v>
      </c>
      <c r="T1730" s="25">
        <f t="shared" si="310"/>
        <v>0.15491144948762292</v>
      </c>
      <c r="U1730" s="25">
        <f t="shared" si="307"/>
        <v>0.11244487167606088</v>
      </c>
      <c r="X1730">
        <f t="shared" si="320"/>
        <v>0</v>
      </c>
      <c r="Y1730">
        <f t="shared" si="317"/>
        <v>0</v>
      </c>
      <c r="Z1730">
        <f t="shared" si="314"/>
        <v>0</v>
      </c>
      <c r="AA1730">
        <f t="shared" si="311"/>
        <v>0</v>
      </c>
      <c r="AB1730">
        <f t="shared" si="308"/>
        <v>0</v>
      </c>
    </row>
    <row r="1731" spans="1:28">
      <c r="A1731" s="27">
        <v>44931</v>
      </c>
      <c r="B1731" s="24">
        <v>1242.6600000000001</v>
      </c>
      <c r="C1731" s="25">
        <f t="shared" si="304"/>
        <v>-4.6616685890041778E-3</v>
      </c>
      <c r="E1731" s="25">
        <f t="shared" si="318"/>
        <v>-3.3220265139727201E-2</v>
      </c>
      <c r="F1731" s="25">
        <f t="shared" si="315"/>
        <v>0.11807222839896503</v>
      </c>
      <c r="G1731" s="25">
        <f t="shared" si="312"/>
        <v>0.14325330244600187</v>
      </c>
      <c r="H1731" s="25">
        <f t="shared" si="309"/>
        <v>0.13785812531256569</v>
      </c>
      <c r="I1731" s="25">
        <f t="shared" si="306"/>
        <v>9.8368983788660547E-2</v>
      </c>
      <c r="K1731" s="29">
        <v>44931</v>
      </c>
      <c r="L1731" s="24">
        <v>23870.5</v>
      </c>
      <c r="M1731" s="25">
        <f t="shared" si="305"/>
        <v>-4.4490060953892804E-4</v>
      </c>
      <c r="O1731" t="b">
        <f t="shared" ref="O1731:O1794" si="321">K1731=A1731</f>
        <v>1</v>
      </c>
      <c r="Q1731" s="25">
        <f t="shared" si="319"/>
        <v>4.8008014665490428E-3</v>
      </c>
      <c r="R1731" s="25">
        <f t="shared" si="316"/>
        <v>0.14875601982600717</v>
      </c>
      <c r="S1731" s="25">
        <f t="shared" si="313"/>
        <v>0.16385628163467025</v>
      </c>
      <c r="T1731" s="25">
        <f t="shared" si="310"/>
        <v>0.15143746583593787</v>
      </c>
      <c r="U1731" s="25">
        <f t="shared" si="307"/>
        <v>0.11082269013269919</v>
      </c>
      <c r="X1731">
        <f t="shared" si="320"/>
        <v>0</v>
      </c>
      <c r="Y1731">
        <f t="shared" si="317"/>
        <v>0</v>
      </c>
      <c r="Z1731">
        <f t="shared" si="314"/>
        <v>0</v>
      </c>
      <c r="AA1731">
        <f t="shared" si="311"/>
        <v>0</v>
      </c>
      <c r="AB1731">
        <f t="shared" si="308"/>
        <v>0</v>
      </c>
    </row>
    <row r="1732" spans="1:28">
      <c r="A1732" s="26">
        <v>44932</v>
      </c>
      <c r="B1732" s="23">
        <v>1232.83</v>
      </c>
      <c r="C1732" s="25">
        <f t="shared" ref="C1732:C1795" si="322">(B1732-B1731)/B1731</f>
        <v>-7.9104501633593689E-3</v>
      </c>
      <c r="E1732" s="25">
        <f t="shared" si="318"/>
        <v>-4.222408676331213E-2</v>
      </c>
      <c r="F1732" s="25">
        <f t="shared" si="315"/>
        <v>0.10913709794174409</v>
      </c>
      <c r="G1732" s="25">
        <f t="shared" si="312"/>
        <v>0.1393045011496552</v>
      </c>
      <c r="H1732" s="25">
        <f t="shared" si="309"/>
        <v>0.13553990957306672</v>
      </c>
      <c r="I1732" s="25">
        <f t="shared" si="306"/>
        <v>9.6908106740847044E-2</v>
      </c>
      <c r="K1732" s="28">
        <v>44932</v>
      </c>
      <c r="L1732" s="23">
        <v>23693.33</v>
      </c>
      <c r="M1732" s="25">
        <f t="shared" ref="M1732:M1795" si="323">(L1732-L1731)/L1732</f>
        <v>-7.4776318904940017E-3</v>
      </c>
      <c r="O1732" t="b">
        <f t="shared" si="321"/>
        <v>1</v>
      </c>
      <c r="Q1732" s="25">
        <f t="shared" si="319"/>
        <v>-4.904639247781617E-3</v>
      </c>
      <c r="R1732" s="25">
        <f t="shared" si="316"/>
        <v>0.14062293625784661</v>
      </c>
      <c r="S1732" s="25">
        <f t="shared" si="313"/>
        <v>0.16008926380671284</v>
      </c>
      <c r="T1732" s="25">
        <f t="shared" si="310"/>
        <v>0.14924355534876699</v>
      </c>
      <c r="U1732" s="25">
        <f t="shared" si="307"/>
        <v>0.10913410534275747</v>
      </c>
      <c r="X1732">
        <f t="shared" si="320"/>
        <v>0</v>
      </c>
      <c r="Y1732">
        <f t="shared" si="317"/>
        <v>0</v>
      </c>
      <c r="Z1732">
        <f t="shared" si="314"/>
        <v>0</v>
      </c>
      <c r="AA1732">
        <f t="shared" si="311"/>
        <v>0</v>
      </c>
      <c r="AB1732">
        <f t="shared" si="308"/>
        <v>0</v>
      </c>
    </row>
    <row r="1733" spans="1:28">
      <c r="A1733" s="27">
        <v>44935</v>
      </c>
      <c r="B1733" s="24">
        <v>1246.04</v>
      </c>
      <c r="C1733" s="25">
        <f t="shared" si="322"/>
        <v>1.0715183764184873E-2</v>
      </c>
      <c r="E1733" s="25">
        <f t="shared" si="318"/>
        <v>-4.1706722449952771E-2</v>
      </c>
      <c r="F1733" s="25">
        <f t="shared" si="315"/>
        <v>0.11291123382385759</v>
      </c>
      <c r="G1733" s="25">
        <f t="shared" si="312"/>
        <v>0.14200930953783963</v>
      </c>
      <c r="H1733" s="25">
        <f t="shared" si="309"/>
        <v>0.13921934097753108</v>
      </c>
      <c r="I1733" s="25">
        <f t="shared" si="306"/>
        <v>0.1000064848390958</v>
      </c>
      <c r="K1733" s="29">
        <v>44935</v>
      </c>
      <c r="L1733" s="24">
        <v>23969.66</v>
      </c>
      <c r="M1733" s="25">
        <f t="shared" si="323"/>
        <v>1.152832372257254E-2</v>
      </c>
      <c r="O1733" t="b">
        <f t="shared" si="321"/>
        <v>1</v>
      </c>
      <c r="Q1733" s="25">
        <f t="shared" si="319"/>
        <v>-2.1244185741541299E-3</v>
      </c>
      <c r="R1733" s="25">
        <f t="shared" si="316"/>
        <v>0.14478446676427459</v>
      </c>
      <c r="S1733" s="25">
        <f t="shared" si="313"/>
        <v>0.16424996101398737</v>
      </c>
      <c r="T1733" s="25">
        <f t="shared" si="310"/>
        <v>0.15247230920832067</v>
      </c>
      <c r="U1733" s="25">
        <f t="shared" si="307"/>
        <v>0.11194439446191784</v>
      </c>
      <c r="X1733">
        <f t="shared" si="320"/>
        <v>0</v>
      </c>
      <c r="Y1733">
        <f t="shared" si="317"/>
        <v>0</v>
      </c>
      <c r="Z1733">
        <f t="shared" si="314"/>
        <v>0</v>
      </c>
      <c r="AA1733">
        <f t="shared" si="311"/>
        <v>0</v>
      </c>
      <c r="AB1733">
        <f t="shared" si="308"/>
        <v>0</v>
      </c>
    </row>
    <row r="1734" spans="1:28">
      <c r="A1734" s="26">
        <v>44936</v>
      </c>
      <c r="B1734" s="23">
        <v>1237.0899999999999</v>
      </c>
      <c r="C1734" s="25">
        <f t="shared" si="322"/>
        <v>-7.1827549677378304E-3</v>
      </c>
      <c r="E1734" s="25">
        <f t="shared" si="318"/>
        <v>-5.2459443312550702E-2</v>
      </c>
      <c r="F1734" s="25">
        <f t="shared" si="315"/>
        <v>0.10894572755616672</v>
      </c>
      <c r="G1734" s="25">
        <f t="shared" si="312"/>
        <v>0.14160209018448033</v>
      </c>
      <c r="H1734" s="25">
        <f t="shared" si="309"/>
        <v>0.13860607019787197</v>
      </c>
      <c r="I1734" s="25">
        <f t="shared" si="306"/>
        <v>9.8163496467831068E-2</v>
      </c>
      <c r="K1734" s="28">
        <v>44936</v>
      </c>
      <c r="L1734" s="23">
        <v>23775.95</v>
      </c>
      <c r="M1734" s="25">
        <f t="shared" si="323"/>
        <v>-8.1473085197436533E-3</v>
      </c>
      <c r="O1734" t="b">
        <f t="shared" si="321"/>
        <v>1</v>
      </c>
      <c r="Q1734" s="25">
        <f t="shared" si="319"/>
        <v>-1.3536108736961761E-2</v>
      </c>
      <c r="R1734" s="25">
        <f t="shared" si="316"/>
        <v>0.1409643114037733</v>
      </c>
      <c r="S1734" s="25">
        <f t="shared" si="313"/>
        <v>0.16468309046921692</v>
      </c>
      <c r="T1734" s="25">
        <f t="shared" si="310"/>
        <v>0.15080775823599435</v>
      </c>
      <c r="U1734" s="25">
        <f t="shared" si="307"/>
        <v>0.10968699352330025</v>
      </c>
      <c r="X1734">
        <f t="shared" si="320"/>
        <v>0</v>
      </c>
      <c r="Y1734">
        <f t="shared" si="317"/>
        <v>0</v>
      </c>
      <c r="Z1734">
        <f t="shared" si="314"/>
        <v>0</v>
      </c>
      <c r="AA1734">
        <f t="shared" si="311"/>
        <v>0</v>
      </c>
      <c r="AB1734">
        <f t="shared" si="308"/>
        <v>0</v>
      </c>
    </row>
    <row r="1735" spans="1:28">
      <c r="A1735" s="27">
        <v>44937</v>
      </c>
      <c r="B1735" s="24">
        <v>1235.43</v>
      </c>
      <c r="C1735" s="25">
        <f t="shared" si="322"/>
        <v>-1.3418587168272757E-3</v>
      </c>
      <c r="E1735" s="25">
        <f t="shared" si="318"/>
        <v>-5.5012047271197351E-2</v>
      </c>
      <c r="F1735" s="25">
        <f t="shared" si="315"/>
        <v>0.10897892412058319</v>
      </c>
      <c r="G1735" s="25">
        <f t="shared" si="312"/>
        <v>0.14219582433962596</v>
      </c>
      <c r="H1735" s="25">
        <f t="shared" si="309"/>
        <v>0.1383399248908308</v>
      </c>
      <c r="I1735" s="25">
        <f t="shared" si="306"/>
        <v>9.7591027725133062E-2</v>
      </c>
      <c r="K1735" s="29">
        <v>44937</v>
      </c>
      <c r="L1735" s="24">
        <v>23738.93</v>
      </c>
      <c r="M1735" s="25">
        <f t="shared" si="323"/>
        <v>-1.5594637163511766E-3</v>
      </c>
      <c r="O1735" t="b">
        <f t="shared" si="321"/>
        <v>1</v>
      </c>
      <c r="Q1735" s="25">
        <f t="shared" si="319"/>
        <v>-1.5656902405488005E-2</v>
      </c>
      <c r="R1735" s="25">
        <f t="shared" si="316"/>
        <v>0.13869307225679561</v>
      </c>
      <c r="S1735" s="25">
        <f t="shared" si="313"/>
        <v>0.16555816751691665</v>
      </c>
      <c r="T1735" s="25">
        <f t="shared" si="310"/>
        <v>0.1498822637328876</v>
      </c>
      <c r="U1735" s="25">
        <f t="shared" si="307"/>
        <v>0.10899875263744785</v>
      </c>
      <c r="X1735">
        <f t="shared" si="320"/>
        <v>0</v>
      </c>
      <c r="Y1735">
        <f t="shared" si="317"/>
        <v>0</v>
      </c>
      <c r="Z1735">
        <f t="shared" si="314"/>
        <v>0</v>
      </c>
      <c r="AA1735">
        <f t="shared" si="311"/>
        <v>0</v>
      </c>
      <c r="AB1735">
        <f t="shared" si="308"/>
        <v>0</v>
      </c>
    </row>
    <row r="1736" spans="1:28">
      <c r="A1736" s="26">
        <v>44938</v>
      </c>
      <c r="B1736" s="23">
        <v>1234.68</v>
      </c>
      <c r="C1736" s="25">
        <f t="shared" si="322"/>
        <v>-6.0707607877419194E-4</v>
      </c>
      <c r="E1736" s="25">
        <f t="shared" si="318"/>
        <v>-5.4623972067809001E-2</v>
      </c>
      <c r="F1736" s="25">
        <f t="shared" si="315"/>
        <v>0.11387155896466372</v>
      </c>
      <c r="G1736" s="25">
        <f t="shared" si="312"/>
        <v>0.14289820097138084</v>
      </c>
      <c r="H1736" s="25">
        <f t="shared" si="309"/>
        <v>0.1388371608713852</v>
      </c>
      <c r="I1736" s="25">
        <f t="shared" si="306"/>
        <v>9.7030883905028231E-2</v>
      </c>
      <c r="K1736" s="28">
        <v>44938</v>
      </c>
      <c r="L1736" s="23">
        <v>23705.17</v>
      </c>
      <c r="M1736" s="25">
        <f t="shared" si="323"/>
        <v>-1.424161902234915E-3</v>
      </c>
      <c r="O1736" t="b">
        <f t="shared" si="321"/>
        <v>1</v>
      </c>
      <c r="Q1736" s="25">
        <f t="shared" si="319"/>
        <v>-2.0238612861254834E-2</v>
      </c>
      <c r="R1736" s="25">
        <f t="shared" si="316"/>
        <v>0.14445870292120588</v>
      </c>
      <c r="S1736" s="25">
        <f t="shared" si="313"/>
        <v>0.16658662541948877</v>
      </c>
      <c r="T1736" s="25">
        <f t="shared" si="310"/>
        <v>0.15023255859639484</v>
      </c>
      <c r="U1736" s="25">
        <f t="shared" si="307"/>
        <v>0.10789060211559054</v>
      </c>
      <c r="X1736">
        <f t="shared" si="320"/>
        <v>0</v>
      </c>
      <c r="Y1736">
        <f t="shared" si="317"/>
        <v>0</v>
      </c>
      <c r="Z1736">
        <f t="shared" si="314"/>
        <v>0</v>
      </c>
      <c r="AA1736">
        <f t="shared" si="311"/>
        <v>0</v>
      </c>
      <c r="AB1736">
        <f t="shared" si="308"/>
        <v>0</v>
      </c>
    </row>
    <row r="1737" spans="1:28">
      <c r="A1737" s="27">
        <v>44939</v>
      </c>
      <c r="B1737" s="24">
        <v>1240.6099999999999</v>
      </c>
      <c r="C1737" s="25">
        <f t="shared" si="322"/>
        <v>4.8028638999577508E-3</v>
      </c>
      <c r="E1737" s="25">
        <f t="shared" si="318"/>
        <v>-3.6913116383058164E-2</v>
      </c>
      <c r="F1737" s="25">
        <f t="shared" si="315"/>
        <v>0.12580140045458177</v>
      </c>
      <c r="G1737" s="25">
        <f t="shared" si="312"/>
        <v>0.14160022414199624</v>
      </c>
      <c r="H1737" s="25">
        <f t="shared" si="309"/>
        <v>0.1416943429111055</v>
      </c>
      <c r="I1737" s="25">
        <f t="shared" si="306"/>
        <v>0.10006318527686564</v>
      </c>
      <c r="K1737" s="29">
        <v>44939</v>
      </c>
      <c r="L1737" s="24">
        <v>23808.34</v>
      </c>
      <c r="M1737" s="25">
        <f t="shared" si="323"/>
        <v>4.3333554544332737E-3</v>
      </c>
      <c r="O1737" t="b">
        <f t="shared" si="321"/>
        <v>1</v>
      </c>
      <c r="Q1737" s="25">
        <f t="shared" si="319"/>
        <v>-2.821278538430283E-3</v>
      </c>
      <c r="R1737" s="25">
        <f t="shared" si="316"/>
        <v>0.15447120250525215</v>
      </c>
      <c r="S1737" s="25">
        <f t="shared" si="313"/>
        <v>0.16535061829071562</v>
      </c>
      <c r="T1737" s="25">
        <f t="shared" si="310"/>
        <v>0.15345307719285395</v>
      </c>
      <c r="U1737" s="25">
        <f t="shared" si="307"/>
        <v>0.11085926859991968</v>
      </c>
      <c r="X1737">
        <f t="shared" si="320"/>
        <v>0</v>
      </c>
      <c r="Y1737">
        <f t="shared" si="317"/>
        <v>0</v>
      </c>
      <c r="Z1737">
        <f t="shared" si="314"/>
        <v>0</v>
      </c>
      <c r="AA1737">
        <f t="shared" si="311"/>
        <v>0</v>
      </c>
      <c r="AB1737">
        <f t="shared" si="308"/>
        <v>0</v>
      </c>
    </row>
    <row r="1738" spans="1:28">
      <c r="A1738" s="26">
        <v>44942</v>
      </c>
      <c r="B1738" s="23">
        <v>1236.23</v>
      </c>
      <c r="C1738" s="25">
        <f t="shared" si="322"/>
        <v>-3.530521275823895E-3</v>
      </c>
      <c r="E1738" s="25">
        <f t="shared" si="318"/>
        <v>-3.0461072725418981E-2</v>
      </c>
      <c r="F1738" s="25">
        <f t="shared" si="315"/>
        <v>0.11521507568579414</v>
      </c>
      <c r="G1738" s="25">
        <f t="shared" si="312"/>
        <v>0.13717236821539402</v>
      </c>
      <c r="H1738" s="25">
        <f t="shared" si="309"/>
        <v>0.14081422792065101</v>
      </c>
      <c r="I1738" s="25">
        <f t="shared" si="306"/>
        <v>9.7883234157326582E-2</v>
      </c>
      <c r="K1738" s="28">
        <v>44942</v>
      </c>
      <c r="L1738" s="23">
        <v>23745.24</v>
      </c>
      <c r="M1738" s="25">
        <f t="shared" si="323"/>
        <v>-2.6573746990975261E-3</v>
      </c>
      <c r="O1738" t="b">
        <f t="shared" si="321"/>
        <v>1</v>
      </c>
      <c r="Q1738" s="25">
        <f t="shared" si="319"/>
        <v>9.4212804595072974E-4</v>
      </c>
      <c r="R1738" s="25">
        <f t="shared" si="316"/>
        <v>0.14300393800617606</v>
      </c>
      <c r="S1738" s="25">
        <f t="shared" si="313"/>
        <v>0.16189675083528421</v>
      </c>
      <c r="T1738" s="25">
        <f t="shared" si="310"/>
        <v>0.15251115485318278</v>
      </c>
      <c r="U1738" s="25">
        <f t="shared" si="307"/>
        <v>0.10856822706581593</v>
      </c>
      <c r="X1738">
        <f t="shared" si="320"/>
        <v>0</v>
      </c>
      <c r="Y1738">
        <f t="shared" si="317"/>
        <v>0</v>
      </c>
      <c r="Z1738">
        <f t="shared" si="314"/>
        <v>0</v>
      </c>
      <c r="AA1738">
        <f t="shared" si="311"/>
        <v>0</v>
      </c>
      <c r="AB1738">
        <f t="shared" si="308"/>
        <v>0</v>
      </c>
    </row>
    <row r="1739" spans="1:28">
      <c r="A1739" s="27">
        <v>44943</v>
      </c>
      <c r="B1739" s="24">
        <v>1241.01</v>
      </c>
      <c r="C1739" s="25">
        <f t="shared" si="322"/>
        <v>3.8665944039539346E-3</v>
      </c>
      <c r="E1739" s="25">
        <f t="shared" si="318"/>
        <v>-2.132408028074595E-2</v>
      </c>
      <c r="F1739" s="25">
        <f t="shared" si="315"/>
        <v>0.11380581663816791</v>
      </c>
      <c r="G1739" s="25">
        <f t="shared" si="312"/>
        <v>0.14036151825463294</v>
      </c>
      <c r="H1739" s="25">
        <f t="shared" si="309"/>
        <v>0.14514547614212203</v>
      </c>
      <c r="I1739" s="25">
        <f t="shared" si="306"/>
        <v>9.9697494004630238E-2</v>
      </c>
      <c r="K1739" s="29">
        <v>44943</v>
      </c>
      <c r="L1739" s="24">
        <v>23885.99</v>
      </c>
      <c r="M1739" s="25">
        <f t="shared" si="323"/>
        <v>5.8925755223040782E-3</v>
      </c>
      <c r="O1739" t="b">
        <f t="shared" si="321"/>
        <v>1</v>
      </c>
      <c r="Q1739" s="25">
        <f t="shared" si="319"/>
        <v>1.4075902462550749E-2</v>
      </c>
      <c r="R1739" s="25">
        <f t="shared" si="316"/>
        <v>0.14179564883278606</v>
      </c>
      <c r="S1739" s="25">
        <f t="shared" si="313"/>
        <v>0.16744269450647287</v>
      </c>
      <c r="T1739" s="25">
        <f t="shared" si="310"/>
        <v>0.15670453963817721</v>
      </c>
      <c r="U1739" s="25">
        <f t="shared" si="307"/>
        <v>0.11077563806166313</v>
      </c>
      <c r="X1739">
        <f t="shared" si="320"/>
        <v>0</v>
      </c>
      <c r="Y1739">
        <f t="shared" si="317"/>
        <v>0</v>
      </c>
      <c r="Z1739">
        <f t="shared" si="314"/>
        <v>0</v>
      </c>
      <c r="AA1739">
        <f t="shared" si="311"/>
        <v>0</v>
      </c>
      <c r="AB1739">
        <f t="shared" si="308"/>
        <v>0</v>
      </c>
    </row>
    <row r="1740" spans="1:28">
      <c r="A1740" s="26">
        <v>44944</v>
      </c>
      <c r="B1740" s="23">
        <v>1247.03</v>
      </c>
      <c r="C1740" s="25">
        <f t="shared" si="322"/>
        <v>4.8508875835005212E-3</v>
      </c>
      <c r="E1740" s="25">
        <f t="shared" si="318"/>
        <v>-2.0726300795441688E-3</v>
      </c>
      <c r="F1740" s="25">
        <f t="shared" si="315"/>
        <v>0.12110836689740512</v>
      </c>
      <c r="G1740" s="25">
        <f t="shared" si="312"/>
        <v>0.14339695851084899</v>
      </c>
      <c r="H1740" s="25">
        <f t="shared" si="309"/>
        <v>0.1505989498179694</v>
      </c>
      <c r="I1740" s="25">
        <f t="shared" si="306"/>
        <v>9.9151727375619503E-2</v>
      </c>
      <c r="K1740" s="28">
        <v>44944</v>
      </c>
      <c r="L1740" s="23">
        <v>23994.91</v>
      </c>
      <c r="M1740" s="25">
        <f t="shared" si="323"/>
        <v>4.539296042368913E-3</v>
      </c>
      <c r="O1740" t="b">
        <f t="shared" si="321"/>
        <v>1</v>
      </c>
      <c r="Q1740" s="25">
        <f t="shared" si="319"/>
        <v>3.0786678551867119E-2</v>
      </c>
      <c r="R1740" s="25">
        <f t="shared" si="316"/>
        <v>0.14733733199700194</v>
      </c>
      <c r="S1740" s="25">
        <f t="shared" si="313"/>
        <v>0.17088159795292057</v>
      </c>
      <c r="T1740" s="25">
        <f t="shared" si="310"/>
        <v>0.16183679724678135</v>
      </c>
      <c r="U1740" s="25">
        <f t="shared" si="307"/>
        <v>0.11003541170696862</v>
      </c>
      <c r="X1740">
        <f t="shared" si="320"/>
        <v>0</v>
      </c>
      <c r="Y1740">
        <f t="shared" si="317"/>
        <v>0</v>
      </c>
      <c r="Z1740">
        <f t="shared" si="314"/>
        <v>0</v>
      </c>
      <c r="AA1740">
        <f t="shared" si="311"/>
        <v>0</v>
      </c>
      <c r="AB1740">
        <f t="shared" si="308"/>
        <v>0</v>
      </c>
    </row>
    <row r="1741" spans="1:28">
      <c r="A1741" s="27">
        <v>44945</v>
      </c>
      <c r="B1741" s="24">
        <v>1244.18</v>
      </c>
      <c r="C1741" s="25">
        <f t="shared" si="322"/>
        <v>-2.2854301821126268E-3</v>
      </c>
      <c r="E1741" s="25">
        <f t="shared" si="318"/>
        <v>2.5806345227887384E-2</v>
      </c>
      <c r="F1741" s="25">
        <f t="shared" si="315"/>
        <v>0.12739125556315578</v>
      </c>
      <c r="G1741" s="25">
        <f t="shared" si="312"/>
        <v>0.14066416016593219</v>
      </c>
      <c r="H1741" s="25">
        <f t="shared" si="309"/>
        <v>0.14903768808492601</v>
      </c>
      <c r="I1741" s="25">
        <f t="shared" si="306"/>
        <v>9.8287382931482092E-2</v>
      </c>
      <c r="K1741" s="29">
        <v>44945</v>
      </c>
      <c r="L1741" s="24">
        <v>23924.61</v>
      </c>
      <c r="M1741" s="25">
        <f t="shared" si="323"/>
        <v>-2.9383969059474436E-3</v>
      </c>
      <c r="O1741" t="b">
        <f t="shared" si="321"/>
        <v>1</v>
      </c>
      <c r="Q1741" s="25">
        <f t="shared" si="319"/>
        <v>6.0480040708913219E-2</v>
      </c>
      <c r="R1741" s="25">
        <f t="shared" si="316"/>
        <v>0.15342133495125898</v>
      </c>
      <c r="S1741" s="25">
        <f t="shared" si="313"/>
        <v>0.16769363816489391</v>
      </c>
      <c r="T1741" s="25">
        <f t="shared" si="310"/>
        <v>0.16100934342145434</v>
      </c>
      <c r="U1741" s="25">
        <f t="shared" si="307"/>
        <v>0.10791195821357191</v>
      </c>
      <c r="X1741">
        <f t="shared" si="320"/>
        <v>0</v>
      </c>
      <c r="Y1741">
        <f t="shared" si="317"/>
        <v>0</v>
      </c>
      <c r="Z1741">
        <f t="shared" si="314"/>
        <v>0</v>
      </c>
      <c r="AA1741">
        <f t="shared" si="311"/>
        <v>0</v>
      </c>
      <c r="AB1741">
        <f t="shared" si="308"/>
        <v>0</v>
      </c>
    </row>
    <row r="1742" spans="1:28">
      <c r="A1742" s="26">
        <v>44946</v>
      </c>
      <c r="B1742" s="23">
        <v>1236.71</v>
      </c>
      <c r="C1742" s="25">
        <f t="shared" si="322"/>
        <v>-6.003954411741088E-3</v>
      </c>
      <c r="E1742" s="25">
        <f t="shared" si="318"/>
        <v>1.0144655269584968E-2</v>
      </c>
      <c r="F1742" s="25">
        <f t="shared" si="315"/>
        <v>0.12743342682839875</v>
      </c>
      <c r="G1742" s="25">
        <f t="shared" si="312"/>
        <v>0.1409365888113765</v>
      </c>
      <c r="H1742" s="25">
        <f t="shared" si="309"/>
        <v>0.14500599236013678</v>
      </c>
      <c r="I1742" s="25">
        <f t="shared" si="306"/>
        <v>9.4897554371798254E-2</v>
      </c>
      <c r="K1742" s="28">
        <v>44946</v>
      </c>
      <c r="L1742" s="23">
        <v>23813.19</v>
      </c>
      <c r="M1742" s="25">
        <f t="shared" si="323"/>
        <v>-4.6789195399693151E-3</v>
      </c>
      <c r="O1742" t="b">
        <f t="shared" si="321"/>
        <v>1</v>
      </c>
      <c r="Q1742" s="25">
        <f t="shared" si="319"/>
        <v>4.6987664699302822E-2</v>
      </c>
      <c r="R1742" s="25">
        <f t="shared" si="316"/>
        <v>0.15614768932196488</v>
      </c>
      <c r="S1742" s="25">
        <f t="shared" si="313"/>
        <v>0.16939744542328272</v>
      </c>
      <c r="T1742" s="25">
        <f t="shared" si="310"/>
        <v>0.15935335088357871</v>
      </c>
      <c r="U1742" s="25">
        <f t="shared" si="307"/>
        <v>0.10485562869430187</v>
      </c>
      <c r="X1742">
        <f t="shared" si="320"/>
        <v>0</v>
      </c>
      <c r="Y1742">
        <f t="shared" si="317"/>
        <v>0</v>
      </c>
      <c r="Z1742">
        <f t="shared" si="314"/>
        <v>0</v>
      </c>
      <c r="AA1742">
        <f t="shared" si="311"/>
        <v>0</v>
      </c>
      <c r="AB1742">
        <f t="shared" si="308"/>
        <v>0</v>
      </c>
    </row>
    <row r="1743" spans="1:28">
      <c r="A1743" s="27">
        <v>44949</v>
      </c>
      <c r="B1743" s="24">
        <v>1241.81</v>
      </c>
      <c r="C1743" s="25">
        <f t="shared" si="322"/>
        <v>4.1238447170314054E-3</v>
      </c>
      <c r="E1743" s="25">
        <f t="shared" si="318"/>
        <v>2.7843763708749414E-2</v>
      </c>
      <c r="F1743" s="25">
        <f t="shared" si="315"/>
        <v>0.14055665099340331</v>
      </c>
      <c r="G1743" s="25">
        <f t="shared" si="312"/>
        <v>0.1438551765358953</v>
      </c>
      <c r="H1743" s="25">
        <f t="shared" si="309"/>
        <v>0.14402042779138458</v>
      </c>
      <c r="I1743" s="25">
        <f t="shared" si="306"/>
        <v>9.6766461022664174E-2</v>
      </c>
      <c r="K1743" s="29">
        <v>44949</v>
      </c>
      <c r="L1743" s="24">
        <v>23899.01</v>
      </c>
      <c r="M1743" s="25">
        <f t="shared" si="323"/>
        <v>3.5909437252840061E-3</v>
      </c>
      <c r="O1743" t="b">
        <f t="shared" si="321"/>
        <v>1</v>
      </c>
      <c r="Q1743" s="25">
        <f t="shared" si="319"/>
        <v>6.1667678032164108E-2</v>
      </c>
      <c r="R1743" s="25">
        <f t="shared" si="316"/>
        <v>0.16804872111675939</v>
      </c>
      <c r="S1743" s="25">
        <f t="shared" si="313"/>
        <v>0.17308109994978582</v>
      </c>
      <c r="T1743" s="25">
        <f t="shared" si="310"/>
        <v>0.15654155981646656</v>
      </c>
      <c r="U1743" s="25">
        <f t="shared" si="307"/>
        <v>0.10617244618651678</v>
      </c>
      <c r="X1743">
        <f t="shared" si="320"/>
        <v>0</v>
      </c>
      <c r="Y1743">
        <f t="shared" si="317"/>
        <v>0</v>
      </c>
      <c r="Z1743">
        <f t="shared" si="314"/>
        <v>0</v>
      </c>
      <c r="AA1743">
        <f t="shared" si="311"/>
        <v>0</v>
      </c>
      <c r="AB1743">
        <f t="shared" si="308"/>
        <v>0</v>
      </c>
    </row>
    <row r="1744" spans="1:28">
      <c r="A1744" s="26">
        <v>44950</v>
      </c>
      <c r="B1744" s="23">
        <v>1238.33</v>
      </c>
      <c r="C1744" s="25">
        <f t="shared" si="322"/>
        <v>-2.8023610697288782E-3</v>
      </c>
      <c r="E1744" s="25">
        <f t="shared" si="318"/>
        <v>1.9940368332619585E-2</v>
      </c>
      <c r="F1744" s="25">
        <f t="shared" si="315"/>
        <v>0.14325297197643705</v>
      </c>
      <c r="G1744" s="25">
        <f t="shared" si="312"/>
        <v>0.14996331600352408</v>
      </c>
      <c r="H1744" s="25">
        <f t="shared" si="309"/>
        <v>0.14326146391295103</v>
      </c>
      <c r="I1744" s="25">
        <f t="shared" si="306"/>
        <v>9.7280817411197207E-2</v>
      </c>
      <c r="K1744" s="28">
        <v>44950</v>
      </c>
      <c r="L1744" s="23">
        <v>23876.66</v>
      </c>
      <c r="M1744" s="25">
        <f t="shared" si="323"/>
        <v>-9.3606057128587273E-4</v>
      </c>
      <c r="O1744" t="b">
        <f t="shared" si="321"/>
        <v>1</v>
      </c>
      <c r="Q1744" s="25">
        <f t="shared" si="319"/>
        <v>5.7538964556415939E-2</v>
      </c>
      <c r="R1744" s="25">
        <f t="shared" si="316"/>
        <v>0.17277426905999071</v>
      </c>
      <c r="S1744" s="25">
        <f t="shared" si="313"/>
        <v>0.18119041479920228</v>
      </c>
      <c r="T1744" s="25">
        <f t="shared" si="310"/>
        <v>0.15459247670157517</v>
      </c>
      <c r="U1744" s="25">
        <f t="shared" si="307"/>
        <v>0.10695128818553745</v>
      </c>
      <c r="X1744">
        <f t="shared" si="320"/>
        <v>0</v>
      </c>
      <c r="Y1744">
        <f t="shared" si="317"/>
        <v>0</v>
      </c>
      <c r="Z1744">
        <f t="shared" si="314"/>
        <v>0</v>
      </c>
      <c r="AA1744">
        <f t="shared" si="311"/>
        <v>0</v>
      </c>
      <c r="AB1744">
        <f t="shared" si="308"/>
        <v>0</v>
      </c>
    </row>
    <row r="1745" spans="1:28">
      <c r="A1745" s="27">
        <v>44951</v>
      </c>
      <c r="B1745" s="24">
        <v>1222.26</v>
      </c>
      <c r="C1745" s="25">
        <f t="shared" si="322"/>
        <v>-1.2977154716432564E-2</v>
      </c>
      <c r="E1745" s="25">
        <f t="shared" si="318"/>
        <v>-4.479702873525726E-3</v>
      </c>
      <c r="F1745" s="25">
        <f t="shared" si="315"/>
        <v>0.14240115648225249</v>
      </c>
      <c r="G1745" s="25">
        <f t="shared" si="312"/>
        <v>0.13662568512787177</v>
      </c>
      <c r="H1745" s="25">
        <f t="shared" si="309"/>
        <v>0.14108798174103665</v>
      </c>
      <c r="I1745" s="25">
        <f t="shared" si="306"/>
        <v>9.4322429471844327E-2</v>
      </c>
      <c r="K1745" s="29">
        <v>44951</v>
      </c>
      <c r="L1745" s="24">
        <v>23541.16</v>
      </c>
      <c r="M1745" s="25">
        <f t="shared" si="323"/>
        <v>-1.4251634159064379E-2</v>
      </c>
      <c r="O1745" t="b">
        <f t="shared" si="321"/>
        <v>1</v>
      </c>
      <c r="Q1745" s="25">
        <f t="shared" si="319"/>
        <v>2.882580660950862E-2</v>
      </c>
      <c r="R1745" s="25">
        <f t="shared" si="316"/>
        <v>0.17170001745343111</v>
      </c>
      <c r="S1745" s="25">
        <f t="shared" si="313"/>
        <v>0.16752162070968102</v>
      </c>
      <c r="T1745" s="25">
        <f t="shared" si="310"/>
        <v>0.15096524366217379</v>
      </c>
      <c r="U1745" s="25">
        <f t="shared" si="307"/>
        <v>0.10360595746742884</v>
      </c>
      <c r="X1745">
        <f t="shared" si="320"/>
        <v>0</v>
      </c>
      <c r="Y1745">
        <f t="shared" si="317"/>
        <v>0</v>
      </c>
      <c r="Z1745">
        <f t="shared" si="314"/>
        <v>0</v>
      </c>
      <c r="AA1745">
        <f t="shared" si="311"/>
        <v>0</v>
      </c>
      <c r="AB1745">
        <f t="shared" si="308"/>
        <v>0</v>
      </c>
    </row>
    <row r="1746" spans="1:28">
      <c r="A1746" s="26">
        <v>44953</v>
      </c>
      <c r="B1746" s="23">
        <v>1205.47</v>
      </c>
      <c r="C1746" s="25">
        <f t="shared" si="322"/>
        <v>-1.3736848133784925E-2</v>
      </c>
      <c r="E1746" s="25">
        <f t="shared" si="318"/>
        <v>-3.4109483670395124E-2</v>
      </c>
      <c r="F1746" s="25">
        <f t="shared" si="315"/>
        <v>0.11352608478361192</v>
      </c>
      <c r="G1746" s="25">
        <f t="shared" si="312"/>
        <v>0.12785810270422404</v>
      </c>
      <c r="H1746" s="25">
        <f t="shared" si="309"/>
        <v>0.1371528371231967</v>
      </c>
      <c r="I1746" s="25">
        <f t="shared" ref="I1746:I1809" si="324">((B1746/B515)^(1/5))-1</f>
        <v>9.269743588204804E-2</v>
      </c>
      <c r="K1746" s="28">
        <v>44953</v>
      </c>
      <c r="L1746" s="23">
        <v>23080.080000000002</v>
      </c>
      <c r="M1746" s="25">
        <f t="shared" si="323"/>
        <v>-1.9977400424955116E-2</v>
      </c>
      <c r="O1746" t="b">
        <f t="shared" si="321"/>
        <v>1</v>
      </c>
      <c r="Q1746" s="25">
        <f t="shared" si="319"/>
        <v>-4.3295122957112131E-3</v>
      </c>
      <c r="R1746" s="25">
        <f t="shared" si="316"/>
        <v>0.13687719361336192</v>
      </c>
      <c r="S1746" s="25">
        <f t="shared" si="313"/>
        <v>0.15601301050987626</v>
      </c>
      <c r="T1746" s="25">
        <f t="shared" si="310"/>
        <v>0.14554433341462558</v>
      </c>
      <c r="U1746" s="25">
        <f t="shared" ref="U1746:U1809" si="325">((L1746/L515)^(1/5))-1</f>
        <v>0.10095386292661557</v>
      </c>
      <c r="X1746">
        <f t="shared" si="320"/>
        <v>0</v>
      </c>
      <c r="Y1746">
        <f t="shared" si="317"/>
        <v>0</v>
      </c>
      <c r="Z1746">
        <f t="shared" si="314"/>
        <v>0</v>
      </c>
      <c r="AA1746">
        <f t="shared" si="311"/>
        <v>0</v>
      </c>
      <c r="AB1746">
        <f t="shared" ref="AB1746:AB1809" si="326">IF(I1746&gt;U1746,1,0)</f>
        <v>0</v>
      </c>
    </row>
    <row r="1747" spans="1:28">
      <c r="A1747" s="27">
        <v>44956</v>
      </c>
      <c r="B1747" s="24">
        <v>1210.3599999999999</v>
      </c>
      <c r="C1747" s="25">
        <f t="shared" si="322"/>
        <v>4.0565090794460858E-3</v>
      </c>
      <c r="E1747" s="25">
        <f t="shared" si="318"/>
        <v>-4.0675924164606081E-2</v>
      </c>
      <c r="F1747" s="25">
        <f t="shared" si="315"/>
        <v>0.10258646347232481</v>
      </c>
      <c r="G1747" s="25">
        <f t="shared" si="312"/>
        <v>0.12719415401241929</v>
      </c>
      <c r="H1747" s="25">
        <f t="shared" si="309"/>
        <v>0.13539009249903589</v>
      </c>
      <c r="I1747" s="25">
        <f t="shared" si="324"/>
        <v>9.3958799991479935E-2</v>
      </c>
      <c r="K1747" s="29">
        <v>44956</v>
      </c>
      <c r="L1747" s="24">
        <v>23048.29</v>
      </c>
      <c r="M1747" s="25">
        <f t="shared" si="323"/>
        <v>-1.3792780288689908E-3</v>
      </c>
      <c r="O1747" t="b">
        <f t="shared" si="321"/>
        <v>1</v>
      </c>
      <c r="Q1747" s="25">
        <f t="shared" si="319"/>
        <v>-1.7234843720219106E-2</v>
      </c>
      <c r="R1747" s="25">
        <f t="shared" si="316"/>
        <v>0.12266366282092855</v>
      </c>
      <c r="S1747" s="25">
        <f t="shared" si="313"/>
        <v>0.15342868794673148</v>
      </c>
      <c r="T1747" s="25">
        <f t="shared" si="310"/>
        <v>0.14241187955262258</v>
      </c>
      <c r="U1747" s="25">
        <f t="shared" si="325"/>
        <v>0.10166911465946016</v>
      </c>
      <c r="X1747">
        <f t="shared" si="320"/>
        <v>0</v>
      </c>
      <c r="Y1747">
        <f t="shared" si="317"/>
        <v>0</v>
      </c>
      <c r="Z1747">
        <f t="shared" si="314"/>
        <v>0</v>
      </c>
      <c r="AA1747">
        <f t="shared" si="311"/>
        <v>0</v>
      </c>
      <c r="AB1747">
        <f t="shared" si="326"/>
        <v>0</v>
      </c>
    </row>
    <row r="1748" spans="1:28">
      <c r="A1748" s="26">
        <v>44957</v>
      </c>
      <c r="B1748" s="23">
        <v>1215.9000000000001</v>
      </c>
      <c r="C1748" s="25">
        <f t="shared" si="322"/>
        <v>4.5771505998216987E-3</v>
      </c>
      <c r="E1748" s="25">
        <f t="shared" si="318"/>
        <v>-2.6602515350684142E-2</v>
      </c>
      <c r="F1748" s="25">
        <f t="shared" si="315"/>
        <v>9.8817502896234144E-2</v>
      </c>
      <c r="G1748" s="25">
        <f t="shared" si="312"/>
        <v>0.12864428227484526</v>
      </c>
      <c r="H1748" s="25">
        <f t="shared" si="309"/>
        <v>0.13551571279303998</v>
      </c>
      <c r="I1748" s="25">
        <f t="shared" si="324"/>
        <v>9.4522381097493557E-2</v>
      </c>
      <c r="K1748" s="28">
        <v>44957</v>
      </c>
      <c r="L1748" s="23">
        <v>23175.05</v>
      </c>
      <c r="M1748" s="25">
        <f t="shared" si="323"/>
        <v>5.4696753620811344E-3</v>
      </c>
      <c r="O1748" t="b">
        <f t="shared" si="321"/>
        <v>1</v>
      </c>
      <c r="Q1748" s="25">
        <f t="shared" si="319"/>
        <v>-1.73549041280463E-3</v>
      </c>
      <c r="R1748" s="25">
        <f t="shared" si="316"/>
        <v>0.12014728009392628</v>
      </c>
      <c r="S1748" s="25">
        <f t="shared" si="313"/>
        <v>0.15566554852637937</v>
      </c>
      <c r="T1748" s="25">
        <f t="shared" si="310"/>
        <v>0.1431271172471047</v>
      </c>
      <c r="U1748" s="25">
        <f t="shared" si="325"/>
        <v>0.10310885168505157</v>
      </c>
      <c r="X1748">
        <f t="shared" si="320"/>
        <v>0</v>
      </c>
      <c r="Y1748">
        <f t="shared" si="317"/>
        <v>0</v>
      </c>
      <c r="Z1748">
        <f t="shared" si="314"/>
        <v>0</v>
      </c>
      <c r="AA1748">
        <f t="shared" si="311"/>
        <v>0</v>
      </c>
      <c r="AB1748">
        <f t="shared" si="326"/>
        <v>0</v>
      </c>
    </row>
    <row r="1749" spans="1:28">
      <c r="A1749" s="27">
        <v>44958</v>
      </c>
      <c r="B1749" s="24">
        <v>1213.51</v>
      </c>
      <c r="C1749" s="25">
        <f t="shared" si="322"/>
        <v>-1.9656221728761411E-3</v>
      </c>
      <c r="E1749" s="25">
        <f t="shared" si="318"/>
        <v>-2.7199704995831464E-2</v>
      </c>
      <c r="F1749" s="25">
        <f t="shared" si="315"/>
        <v>9.4865134732174061E-2</v>
      </c>
      <c r="G1749" s="25">
        <f t="shared" si="312"/>
        <v>0.13095705484065867</v>
      </c>
      <c r="H1749" s="25">
        <f t="shared" si="309"/>
        <v>0.13839337824919462</v>
      </c>
      <c r="I1749" s="25">
        <f t="shared" si="324"/>
        <v>9.9505549735285914E-2</v>
      </c>
      <c r="K1749" s="29">
        <v>44958</v>
      </c>
      <c r="L1749" s="24">
        <v>23038.799999999999</v>
      </c>
      <c r="M1749" s="25">
        <f t="shared" si="323"/>
        <v>-5.9139364897477301E-3</v>
      </c>
      <c r="O1749" t="b">
        <f t="shared" si="321"/>
        <v>1</v>
      </c>
      <c r="Q1749" s="25">
        <f t="shared" si="319"/>
        <v>-4.3191634462378392E-3</v>
      </c>
      <c r="R1749" s="25">
        <f t="shared" si="316"/>
        <v>0.11173198379453186</v>
      </c>
      <c r="S1749" s="25">
        <f t="shared" si="313"/>
        <v>0.15552092117184113</v>
      </c>
      <c r="T1749" s="25">
        <f t="shared" si="310"/>
        <v>0.14486182271074011</v>
      </c>
      <c r="U1749" s="25">
        <f t="shared" si="325"/>
        <v>0.10822307843797674</v>
      </c>
      <c r="X1749">
        <f t="shared" si="320"/>
        <v>0</v>
      </c>
      <c r="Y1749">
        <f t="shared" si="317"/>
        <v>0</v>
      </c>
      <c r="Z1749">
        <f t="shared" si="314"/>
        <v>0</v>
      </c>
      <c r="AA1749">
        <f t="shared" si="311"/>
        <v>0</v>
      </c>
      <c r="AB1749">
        <f t="shared" si="326"/>
        <v>0</v>
      </c>
    </row>
    <row r="1750" spans="1:28">
      <c r="A1750" s="26">
        <v>44959</v>
      </c>
      <c r="B1750" s="23">
        <v>1218.67</v>
      </c>
      <c r="C1750" s="25">
        <f t="shared" si="322"/>
        <v>4.2521281242017634E-3</v>
      </c>
      <c r="E1750" s="25">
        <f t="shared" si="318"/>
        <v>-6.8860421148704276E-3</v>
      </c>
      <c r="F1750" s="25">
        <f t="shared" si="315"/>
        <v>9.9800890231455108E-2</v>
      </c>
      <c r="G1750" s="25">
        <f t="shared" si="312"/>
        <v>0.13111240462556517</v>
      </c>
      <c r="H1750" s="25">
        <f t="shared" si="309"/>
        <v>0.1425701457808719</v>
      </c>
      <c r="I1750" s="25">
        <f t="shared" si="324"/>
        <v>0.10168180385951575</v>
      </c>
      <c r="K1750" s="28">
        <v>44959</v>
      </c>
      <c r="L1750" s="23">
        <v>23026.240000000002</v>
      </c>
      <c r="M1750" s="25">
        <f t="shared" si="323"/>
        <v>-5.4546465250069796E-4</v>
      </c>
      <c r="O1750" t="b">
        <f t="shared" si="321"/>
        <v>1</v>
      </c>
      <c r="Q1750" s="25">
        <f t="shared" si="319"/>
        <v>9.5021811087485641E-3</v>
      </c>
      <c r="R1750" s="25">
        <f t="shared" si="316"/>
        <v>0.11169671162392492</v>
      </c>
      <c r="S1750" s="25">
        <f t="shared" si="313"/>
        <v>0.15370196880127684</v>
      </c>
      <c r="T1750" s="25">
        <f t="shared" si="310"/>
        <v>0.14687535123055673</v>
      </c>
      <c r="U1750" s="25">
        <f t="shared" si="325"/>
        <v>0.10964800467614588</v>
      </c>
      <c r="X1750">
        <f t="shared" si="320"/>
        <v>0</v>
      </c>
      <c r="Y1750">
        <f t="shared" si="317"/>
        <v>0</v>
      </c>
      <c r="Z1750">
        <f t="shared" si="314"/>
        <v>0</v>
      </c>
      <c r="AA1750">
        <f t="shared" si="311"/>
        <v>0</v>
      </c>
      <c r="AB1750">
        <f t="shared" si="326"/>
        <v>0</v>
      </c>
    </row>
    <row r="1751" spans="1:28">
      <c r="A1751" s="27">
        <v>44960</v>
      </c>
      <c r="B1751" s="24">
        <v>1230.17</v>
      </c>
      <c r="C1751" s="25">
        <f t="shared" si="322"/>
        <v>9.4365168585425086E-3</v>
      </c>
      <c r="E1751" s="25">
        <f t="shared" si="318"/>
        <v>2.5508540878864672E-3</v>
      </c>
      <c r="F1751" s="25">
        <f t="shared" si="315"/>
        <v>9.6880718850625325E-2</v>
      </c>
      <c r="G1751" s="25">
        <f t="shared" si="312"/>
        <v>0.13243128526406323</v>
      </c>
      <c r="H1751" s="25">
        <f t="shared" si="309"/>
        <v>0.14647657361157962</v>
      </c>
      <c r="I1751" s="25">
        <f t="shared" si="324"/>
        <v>0.10649267090949888</v>
      </c>
      <c r="K1751" s="29">
        <v>44960</v>
      </c>
      <c r="L1751" s="24">
        <v>23217.58</v>
      </c>
      <c r="M1751" s="25">
        <f t="shared" si="323"/>
        <v>8.241168976267128E-3</v>
      </c>
      <c r="O1751" t="b">
        <f t="shared" si="321"/>
        <v>1</v>
      </c>
      <c r="Q1751" s="25">
        <f t="shared" si="319"/>
        <v>1.8810018201828038E-2</v>
      </c>
      <c r="R1751" s="25">
        <f t="shared" si="316"/>
        <v>0.10902842530519496</v>
      </c>
      <c r="S1751" s="25">
        <f t="shared" si="313"/>
        <v>0.15495845490263971</v>
      </c>
      <c r="T1751" s="25">
        <f t="shared" si="310"/>
        <v>0.15055525214294052</v>
      </c>
      <c r="U1751" s="25">
        <f t="shared" si="325"/>
        <v>0.11517714505314958</v>
      </c>
      <c r="X1751">
        <f t="shared" si="320"/>
        <v>0</v>
      </c>
      <c r="Y1751">
        <f t="shared" si="317"/>
        <v>0</v>
      </c>
      <c r="Z1751">
        <f t="shared" si="314"/>
        <v>0</v>
      </c>
      <c r="AA1751">
        <f t="shared" si="311"/>
        <v>0</v>
      </c>
      <c r="AB1751">
        <f t="shared" si="326"/>
        <v>0</v>
      </c>
    </row>
    <row r="1752" spans="1:28">
      <c r="A1752" s="26">
        <v>44963</v>
      </c>
      <c r="B1752" s="23">
        <v>1230.55</v>
      </c>
      <c r="C1752" s="25">
        <f t="shared" si="322"/>
        <v>3.0890039588014808E-4</v>
      </c>
      <c r="E1752" s="25">
        <f t="shared" si="318"/>
        <v>-1.0764184767754204E-2</v>
      </c>
      <c r="F1752" s="25">
        <f t="shared" si="315"/>
        <v>9.7280876600412736E-2</v>
      </c>
      <c r="G1752" s="25">
        <f t="shared" si="312"/>
        <v>0.13247212365169214</v>
      </c>
      <c r="H1752" s="25">
        <f t="shared" ref="H1752:H1815" si="327">((B1752/B771)^(1/4))-1</f>
        <v>0.14777598072727294</v>
      </c>
      <c r="I1752" s="25">
        <f t="shared" si="324"/>
        <v>0.10693438566432478</v>
      </c>
      <c r="K1752" s="28">
        <v>44963</v>
      </c>
      <c r="L1752" s="23">
        <v>23174.09</v>
      </c>
      <c r="M1752" s="25">
        <f t="shared" si="323"/>
        <v>-1.8766648442291197E-3</v>
      </c>
      <c r="O1752" t="b">
        <f t="shared" si="321"/>
        <v>1</v>
      </c>
      <c r="Q1752" s="25">
        <f t="shared" si="319"/>
        <v>5.9403817471188614E-3</v>
      </c>
      <c r="R1752" s="25">
        <f t="shared" si="316"/>
        <v>0.1082555299142991</v>
      </c>
      <c r="S1752" s="25">
        <f t="shared" si="313"/>
        <v>0.15496002475952464</v>
      </c>
      <c r="T1752" s="25">
        <f t="shared" ref="T1752:T1815" si="328">((L1752/L771)^(1/4))-1</f>
        <v>0.15122053394100132</v>
      </c>
      <c r="U1752" s="25">
        <f t="shared" si="325"/>
        <v>0.11434579365519792</v>
      </c>
      <c r="X1752">
        <f t="shared" si="320"/>
        <v>0</v>
      </c>
      <c r="Y1752">
        <f t="shared" si="317"/>
        <v>0</v>
      </c>
      <c r="Z1752">
        <f t="shared" si="314"/>
        <v>0</v>
      </c>
      <c r="AA1752">
        <f t="shared" ref="AA1752:AA1815" si="329">IF(H1752&gt;T1752,1,0)</f>
        <v>0</v>
      </c>
      <c r="AB1752">
        <f t="shared" si="326"/>
        <v>0</v>
      </c>
    </row>
    <row r="1753" spans="1:28">
      <c r="A1753" s="27">
        <v>44964</v>
      </c>
      <c r="B1753" s="24">
        <v>1223.1099999999999</v>
      </c>
      <c r="C1753" s="25">
        <f t="shared" si="322"/>
        <v>-6.046076957458092E-3</v>
      </c>
      <c r="E1753" s="25">
        <f t="shared" si="318"/>
        <v>-2.3519643612732288E-2</v>
      </c>
      <c r="F1753" s="25">
        <f t="shared" si="315"/>
        <v>9.414073490241992E-2</v>
      </c>
      <c r="G1753" s="25">
        <f t="shared" si="312"/>
        <v>0.13129450626879069</v>
      </c>
      <c r="H1753" s="25">
        <f t="shared" si="327"/>
        <v>0.14632017890921301</v>
      </c>
      <c r="I1753" s="25">
        <f t="shared" si="324"/>
        <v>0.10294790966122114</v>
      </c>
      <c r="K1753" s="29">
        <v>44964</v>
      </c>
      <c r="L1753" s="24">
        <v>23125.02</v>
      </c>
      <c r="M1753" s="25">
        <f t="shared" si="323"/>
        <v>-2.1219441107510266E-3</v>
      </c>
      <c r="O1753" t="b">
        <f t="shared" si="321"/>
        <v>1</v>
      </c>
      <c r="Q1753" s="25">
        <f t="shared" si="319"/>
        <v>-2.6468113406182825E-3</v>
      </c>
      <c r="R1753" s="25">
        <f t="shared" si="316"/>
        <v>0.10625722058809739</v>
      </c>
      <c r="S1753" s="25">
        <f t="shared" si="313"/>
        <v>0.15632337395846574</v>
      </c>
      <c r="T1753" s="25">
        <f t="shared" si="328"/>
        <v>0.15118693447750164</v>
      </c>
      <c r="U1753" s="25">
        <f t="shared" si="325"/>
        <v>0.11098817070739164</v>
      </c>
      <c r="X1753">
        <f t="shared" si="320"/>
        <v>0</v>
      </c>
      <c r="Y1753">
        <f t="shared" si="317"/>
        <v>0</v>
      </c>
      <c r="Z1753">
        <f t="shared" si="314"/>
        <v>0</v>
      </c>
      <c r="AA1753">
        <f t="shared" si="329"/>
        <v>0</v>
      </c>
      <c r="AB1753">
        <f t="shared" si="326"/>
        <v>0</v>
      </c>
    </row>
    <row r="1754" spans="1:28">
      <c r="A1754" s="26">
        <v>44965</v>
      </c>
      <c r="B1754" s="23">
        <v>1234.72</v>
      </c>
      <c r="C1754" s="25">
        <f t="shared" si="322"/>
        <v>9.4921961229980367E-3</v>
      </c>
      <c r="E1754" s="25">
        <f t="shared" si="318"/>
        <v>1.606178107305789E-3</v>
      </c>
      <c r="F1754" s="25">
        <f t="shared" si="315"/>
        <v>9.7132915669379427E-2</v>
      </c>
      <c r="G1754" s="25">
        <f t="shared" si="312"/>
        <v>0.13711060272718201</v>
      </c>
      <c r="H1754" s="25">
        <f t="shared" si="327"/>
        <v>0.151891348854998</v>
      </c>
      <c r="I1754" s="25">
        <f t="shared" si="324"/>
        <v>0.10606310083699766</v>
      </c>
      <c r="K1754" s="28">
        <v>44965</v>
      </c>
      <c r="L1754" s="23">
        <v>23322.639999999999</v>
      </c>
      <c r="M1754" s="25">
        <f t="shared" si="323"/>
        <v>8.4733117691650258E-3</v>
      </c>
      <c r="O1754" t="b">
        <f t="shared" si="321"/>
        <v>1</v>
      </c>
      <c r="Q1754" s="25">
        <f t="shared" si="319"/>
        <v>2.0793020877056145E-2</v>
      </c>
      <c r="R1754" s="25">
        <f t="shared" si="316"/>
        <v>0.1081223790260728</v>
      </c>
      <c r="S1754" s="25">
        <f t="shared" si="313"/>
        <v>0.16224996095733157</v>
      </c>
      <c r="T1754" s="25">
        <f t="shared" si="328"/>
        <v>0.1549965769182331</v>
      </c>
      <c r="U1754" s="25">
        <f t="shared" si="325"/>
        <v>0.11459277521595523</v>
      </c>
      <c r="X1754">
        <f t="shared" si="320"/>
        <v>0</v>
      </c>
      <c r="Y1754">
        <f t="shared" si="317"/>
        <v>0</v>
      </c>
      <c r="Z1754">
        <f t="shared" si="314"/>
        <v>0</v>
      </c>
      <c r="AA1754">
        <f t="shared" si="329"/>
        <v>0</v>
      </c>
      <c r="AB1754">
        <f t="shared" si="326"/>
        <v>0</v>
      </c>
    </row>
    <row r="1755" spans="1:28">
      <c r="A1755" s="27">
        <v>44966</v>
      </c>
      <c r="B1755" s="24">
        <v>1235.92</v>
      </c>
      <c r="C1755" s="25">
        <f t="shared" si="322"/>
        <v>9.7188026435146872E-4</v>
      </c>
      <c r="E1755" s="25">
        <f t="shared" si="318"/>
        <v>3.7663929608919844E-2</v>
      </c>
      <c r="F1755" s="25">
        <f t="shared" si="315"/>
        <v>9.6149547732984564E-2</v>
      </c>
      <c r="G1755" s="25">
        <f t="shared" si="312"/>
        <v>0.13833348731277129</v>
      </c>
      <c r="H1755" s="25">
        <f t="shared" si="327"/>
        <v>0.154345783023909</v>
      </c>
      <c r="I1755" s="25">
        <f t="shared" si="324"/>
        <v>0.10402259695953742</v>
      </c>
      <c r="K1755" s="29">
        <v>44966</v>
      </c>
      <c r="L1755" s="24">
        <v>23325.42</v>
      </c>
      <c r="M1755" s="25">
        <f t="shared" si="323"/>
        <v>1.1918327729999442E-4</v>
      </c>
      <c r="O1755" t="b">
        <f t="shared" si="321"/>
        <v>1</v>
      </c>
      <c r="Q1755" s="25">
        <f t="shared" si="319"/>
        <v>5.5271239411284423E-2</v>
      </c>
      <c r="R1755" s="25">
        <f t="shared" si="316"/>
        <v>0.10843443019125432</v>
      </c>
      <c r="S1755" s="25">
        <f t="shared" si="313"/>
        <v>0.16401942115044266</v>
      </c>
      <c r="T1755" s="25">
        <f t="shared" si="328"/>
        <v>0.15741245471842547</v>
      </c>
      <c r="U1755" s="25">
        <f t="shared" si="325"/>
        <v>0.11228888329928277</v>
      </c>
      <c r="X1755">
        <f t="shared" si="320"/>
        <v>0</v>
      </c>
      <c r="Y1755">
        <f t="shared" si="317"/>
        <v>0</v>
      </c>
      <c r="Z1755">
        <f t="shared" si="314"/>
        <v>0</v>
      </c>
      <c r="AA1755">
        <f t="shared" si="329"/>
        <v>0</v>
      </c>
      <c r="AB1755">
        <f t="shared" si="326"/>
        <v>0</v>
      </c>
    </row>
    <row r="1756" spans="1:28">
      <c r="A1756" s="26">
        <v>44967</v>
      </c>
      <c r="B1756" s="23">
        <v>1233.3</v>
      </c>
      <c r="C1756" s="25">
        <f t="shared" si="322"/>
        <v>-2.1198783092757768E-3</v>
      </c>
      <c r="E1756" s="25">
        <f t="shared" si="318"/>
        <v>9.6767855388544266E-3</v>
      </c>
      <c r="F1756" s="25">
        <f t="shared" si="315"/>
        <v>8.8148204213926329E-2</v>
      </c>
      <c r="G1756" s="25">
        <f t="shared" si="312"/>
        <v>0.13423956862800068</v>
      </c>
      <c r="H1756" s="25">
        <f t="shared" si="327"/>
        <v>0.15334847598161327</v>
      </c>
      <c r="I1756" s="25">
        <f t="shared" si="324"/>
        <v>0.10428195693959896</v>
      </c>
      <c r="K1756" s="28">
        <v>44967</v>
      </c>
      <c r="L1756" s="23">
        <v>23304.12</v>
      </c>
      <c r="M1756" s="25">
        <f t="shared" si="323"/>
        <v>-9.1400147270093331E-4</v>
      </c>
      <c r="O1756" t="b">
        <f t="shared" si="321"/>
        <v>1</v>
      </c>
      <c r="Q1756" s="25">
        <f t="shared" si="319"/>
        <v>2.5401706001983548E-2</v>
      </c>
      <c r="R1756" s="25">
        <f t="shared" si="316"/>
        <v>0.10243753214959406</v>
      </c>
      <c r="S1756" s="25">
        <f t="shared" si="313"/>
        <v>0.15878358925073033</v>
      </c>
      <c r="T1756" s="25">
        <f t="shared" si="328"/>
        <v>0.1575470896942297</v>
      </c>
      <c r="U1756" s="25">
        <f t="shared" si="325"/>
        <v>0.1126013284480365</v>
      </c>
      <c r="X1756">
        <f t="shared" si="320"/>
        <v>0</v>
      </c>
      <c r="Y1756">
        <f t="shared" si="317"/>
        <v>0</v>
      </c>
      <c r="Z1756">
        <f t="shared" si="314"/>
        <v>0</v>
      </c>
      <c r="AA1756">
        <f t="shared" si="329"/>
        <v>0</v>
      </c>
      <c r="AB1756">
        <f t="shared" si="326"/>
        <v>0</v>
      </c>
    </row>
    <row r="1757" spans="1:28">
      <c r="A1757" s="27">
        <v>44970</v>
      </c>
      <c r="B1757" s="24">
        <v>1226.53</v>
      </c>
      <c r="C1757" s="25">
        <f t="shared" si="322"/>
        <v>-5.4893375496634896E-3</v>
      </c>
      <c r="E1757" s="25">
        <f t="shared" si="318"/>
        <v>6.1111657971586464E-3</v>
      </c>
      <c r="F1757" s="25">
        <f t="shared" si="315"/>
        <v>8.6514418048446062E-2</v>
      </c>
      <c r="G1757" s="25">
        <f t="shared" si="312"/>
        <v>0.13186134702854191</v>
      </c>
      <c r="H1757" s="25">
        <f t="shared" si="327"/>
        <v>0.14813098891268339</v>
      </c>
      <c r="I1757" s="25">
        <f t="shared" si="324"/>
        <v>0.10315507395447043</v>
      </c>
      <c r="K1757" s="29">
        <v>44970</v>
      </c>
      <c r="L1757" s="24">
        <v>23125.41</v>
      </c>
      <c r="M1757" s="25">
        <f t="shared" si="323"/>
        <v>-7.727862987077813E-3</v>
      </c>
      <c r="O1757" t="b">
        <f t="shared" si="321"/>
        <v>1</v>
      </c>
      <c r="Q1757" s="25">
        <f t="shared" si="319"/>
        <v>1.8439931826289113E-2</v>
      </c>
      <c r="R1757" s="25">
        <f t="shared" si="316"/>
        <v>9.7538543866680483E-2</v>
      </c>
      <c r="S1757" s="25">
        <f t="shared" si="313"/>
        <v>0.15627060914918389</v>
      </c>
      <c r="T1757" s="25">
        <f t="shared" si="328"/>
        <v>0.15193327445724769</v>
      </c>
      <c r="U1757" s="25">
        <f t="shared" si="325"/>
        <v>0.11089875332897559</v>
      </c>
      <c r="X1757">
        <f t="shared" si="320"/>
        <v>0</v>
      </c>
      <c r="Y1757">
        <f t="shared" si="317"/>
        <v>0</v>
      </c>
      <c r="Z1757">
        <f t="shared" si="314"/>
        <v>0</v>
      </c>
      <c r="AA1757">
        <f t="shared" si="329"/>
        <v>0</v>
      </c>
      <c r="AB1757">
        <f t="shared" si="326"/>
        <v>0</v>
      </c>
    </row>
    <row r="1758" spans="1:28">
      <c r="A1758" s="26">
        <v>44971</v>
      </c>
      <c r="B1758" s="23">
        <v>1231.32</v>
      </c>
      <c r="C1758" s="25">
        <f t="shared" si="322"/>
        <v>3.90532640864876E-3</v>
      </c>
      <c r="E1758" s="25">
        <f t="shared" si="318"/>
        <v>1.5387660185047558E-2</v>
      </c>
      <c r="F1758" s="25">
        <f t="shared" si="315"/>
        <v>9.0709254067240286E-2</v>
      </c>
      <c r="G1758" s="25">
        <f t="shared" si="312"/>
        <v>0.14097368185695225</v>
      </c>
      <c r="H1758" s="25">
        <f t="shared" si="327"/>
        <v>0.14646677586571144</v>
      </c>
      <c r="I1758" s="25">
        <f t="shared" si="324"/>
        <v>0.10638936750294414</v>
      </c>
      <c r="K1758" s="28">
        <v>44971</v>
      </c>
      <c r="L1758" s="23">
        <v>23231.75</v>
      </c>
      <c r="M1758" s="25">
        <f t="shared" si="323"/>
        <v>4.5773564195551409E-3</v>
      </c>
      <c r="O1758" t="b">
        <f t="shared" si="321"/>
        <v>1</v>
      </c>
      <c r="Q1758" s="25">
        <f t="shared" si="319"/>
        <v>2.4215606053659133E-2</v>
      </c>
      <c r="R1758" s="25">
        <f t="shared" si="316"/>
        <v>0.10208975747393412</v>
      </c>
      <c r="S1758" s="25">
        <f t="shared" si="313"/>
        <v>0.16589089247296496</v>
      </c>
      <c r="T1758" s="25">
        <f t="shared" si="328"/>
        <v>0.15138744055209652</v>
      </c>
      <c r="U1758" s="25">
        <f t="shared" si="325"/>
        <v>0.11401157000182827</v>
      </c>
      <c r="X1758">
        <f t="shared" si="320"/>
        <v>0</v>
      </c>
      <c r="Y1758">
        <f t="shared" si="317"/>
        <v>0</v>
      </c>
      <c r="Z1758">
        <f t="shared" si="314"/>
        <v>0</v>
      </c>
      <c r="AA1758">
        <f t="shared" si="329"/>
        <v>0</v>
      </c>
      <c r="AB1758">
        <f t="shared" si="326"/>
        <v>0</v>
      </c>
    </row>
    <row r="1759" spans="1:28">
      <c r="A1759" s="27">
        <v>44972</v>
      </c>
      <c r="B1759" s="24">
        <v>1238.19</v>
      </c>
      <c r="C1759" s="25">
        <f t="shared" si="322"/>
        <v>5.5793782282429578E-3</v>
      </c>
      <c r="E1759" s="25">
        <f t="shared" si="318"/>
        <v>2.5042634567942201E-2</v>
      </c>
      <c r="F1759" s="25">
        <f t="shared" si="315"/>
        <v>9.635662304304593E-2</v>
      </c>
      <c r="G1759" s="25">
        <f t="shared" si="312"/>
        <v>0.14401709044645328</v>
      </c>
      <c r="H1759" s="25">
        <f t="shared" si="327"/>
        <v>0.14655740902516179</v>
      </c>
      <c r="I1759" s="25">
        <f t="shared" si="324"/>
        <v>0.1097208999743966</v>
      </c>
      <c r="K1759" s="29">
        <v>44972</v>
      </c>
      <c r="L1759" s="24">
        <v>23352.25</v>
      </c>
      <c r="M1759" s="25">
        <f t="shared" si="323"/>
        <v>5.1601023455983899E-3</v>
      </c>
      <c r="O1759" t="b">
        <f t="shared" si="321"/>
        <v>1</v>
      </c>
      <c r="Q1759" s="25">
        <f t="shared" si="319"/>
        <v>3.381740249517784E-2</v>
      </c>
      <c r="R1759" s="25">
        <f t="shared" si="316"/>
        <v>0.10633448015611169</v>
      </c>
      <c r="S1759" s="25">
        <f t="shared" si="313"/>
        <v>0.16922899466232755</v>
      </c>
      <c r="T1759" s="25">
        <f t="shared" si="328"/>
        <v>0.15229353785095312</v>
      </c>
      <c r="U1759" s="25">
        <f t="shared" si="325"/>
        <v>0.11700055654627328</v>
      </c>
      <c r="X1759">
        <f t="shared" si="320"/>
        <v>0</v>
      </c>
      <c r="Y1759">
        <f t="shared" si="317"/>
        <v>0</v>
      </c>
      <c r="Z1759">
        <f t="shared" si="314"/>
        <v>0</v>
      </c>
      <c r="AA1759">
        <f t="shared" si="329"/>
        <v>0</v>
      </c>
      <c r="AB1759">
        <f t="shared" si="326"/>
        <v>0</v>
      </c>
    </row>
    <row r="1760" spans="1:28">
      <c r="A1760" s="26">
        <v>44973</v>
      </c>
      <c r="B1760" s="23">
        <v>1243.24</v>
      </c>
      <c r="C1760" s="25">
        <f t="shared" si="322"/>
        <v>4.0785339891292564E-3</v>
      </c>
      <c r="E1760" s="25">
        <f t="shared" si="318"/>
        <v>3.4171824050043265E-2</v>
      </c>
      <c r="F1760" s="25">
        <f t="shared" si="315"/>
        <v>0.10592565307900359</v>
      </c>
      <c r="G1760" s="25">
        <f t="shared" si="312"/>
        <v>0.14883960572802124</v>
      </c>
      <c r="H1760" s="25">
        <f t="shared" si="327"/>
        <v>0.14572704466913655</v>
      </c>
      <c r="I1760" s="25">
        <f t="shared" si="324"/>
        <v>0.11076960769286726</v>
      </c>
      <c r="K1760" s="28">
        <v>44973</v>
      </c>
      <c r="L1760" s="23">
        <v>23420.94</v>
      </c>
      <c r="M1760" s="25">
        <f t="shared" si="323"/>
        <v>2.9328455646954687E-3</v>
      </c>
      <c r="O1760" t="b">
        <f t="shared" si="321"/>
        <v>1</v>
      </c>
      <c r="Q1760" s="25">
        <f t="shared" si="319"/>
        <v>4.4656608570568412E-2</v>
      </c>
      <c r="R1760" s="25">
        <f t="shared" si="316"/>
        <v>0.11359752968784864</v>
      </c>
      <c r="S1760" s="25">
        <f t="shared" si="313"/>
        <v>0.17449496516021168</v>
      </c>
      <c r="T1760" s="25">
        <f t="shared" si="328"/>
        <v>0.15107811830500695</v>
      </c>
      <c r="U1760" s="25">
        <f t="shared" si="325"/>
        <v>0.11786208601944947</v>
      </c>
      <c r="X1760">
        <f t="shared" si="320"/>
        <v>0</v>
      </c>
      <c r="Y1760">
        <f t="shared" si="317"/>
        <v>0</v>
      </c>
      <c r="Z1760">
        <f t="shared" si="314"/>
        <v>0</v>
      </c>
      <c r="AA1760">
        <f t="shared" si="329"/>
        <v>0</v>
      </c>
      <c r="AB1760">
        <f t="shared" si="326"/>
        <v>0</v>
      </c>
    </row>
    <row r="1761" spans="1:28">
      <c r="A1761" s="27">
        <v>44974</v>
      </c>
      <c r="B1761" s="24">
        <v>1233.81</v>
      </c>
      <c r="C1761" s="25">
        <f t="shared" si="322"/>
        <v>-7.5850197870081914E-3</v>
      </c>
      <c r="E1761" s="25">
        <f t="shared" si="318"/>
        <v>3.3471541650961223E-2</v>
      </c>
      <c r="F1761" s="25">
        <f t="shared" si="315"/>
        <v>0.1101706728082017</v>
      </c>
      <c r="G1761" s="25">
        <f t="shared" si="312"/>
        <v>0.14760023787326615</v>
      </c>
      <c r="H1761" s="25">
        <f t="shared" si="327"/>
        <v>0.14512677338813629</v>
      </c>
      <c r="I1761" s="25">
        <f t="shared" si="324"/>
        <v>0.10896783922076314</v>
      </c>
      <c r="K1761" s="29">
        <v>44974</v>
      </c>
      <c r="L1761" s="24">
        <v>23298.25</v>
      </c>
      <c r="M1761" s="25">
        <f t="shared" si="323"/>
        <v>-5.2660607556360966E-3</v>
      </c>
      <c r="O1761" t="b">
        <f t="shared" si="321"/>
        <v>1</v>
      </c>
      <c r="Q1761" s="25">
        <f t="shared" si="319"/>
        <v>4.68785174727262E-2</v>
      </c>
      <c r="R1761" s="25">
        <f t="shared" si="316"/>
        <v>0.12064495019457278</v>
      </c>
      <c r="S1761" s="25">
        <f t="shared" si="313"/>
        <v>0.17420332154582274</v>
      </c>
      <c r="T1761" s="25">
        <f t="shared" si="328"/>
        <v>0.15055166864179492</v>
      </c>
      <c r="U1761" s="25">
        <f t="shared" si="325"/>
        <v>0.1162722727069343</v>
      </c>
      <c r="X1761">
        <f t="shared" si="320"/>
        <v>0</v>
      </c>
      <c r="Y1761">
        <f t="shared" si="317"/>
        <v>0</v>
      </c>
      <c r="Z1761">
        <f t="shared" si="314"/>
        <v>0</v>
      </c>
      <c r="AA1761">
        <f t="shared" si="329"/>
        <v>0</v>
      </c>
      <c r="AB1761">
        <f t="shared" si="326"/>
        <v>0</v>
      </c>
    </row>
    <row r="1762" spans="1:28">
      <c r="A1762" s="26">
        <v>44977</v>
      </c>
      <c r="B1762" s="23">
        <v>1229.2</v>
      </c>
      <c r="C1762" s="25">
        <f t="shared" si="322"/>
        <v>-3.7363937721366339E-3</v>
      </c>
      <c r="E1762" s="25">
        <f t="shared" si="318"/>
        <v>2.7638905144882653E-2</v>
      </c>
      <c r="F1762" s="25">
        <f t="shared" si="315"/>
        <v>0.10593704487702005</v>
      </c>
      <c r="G1762" s="25">
        <f t="shared" si="312"/>
        <v>0.16011610346488458</v>
      </c>
      <c r="H1762" s="25">
        <f t="shared" si="327"/>
        <v>0.14431485647111808</v>
      </c>
      <c r="I1762" s="25">
        <f t="shared" si="324"/>
        <v>0.10916206250376748</v>
      </c>
      <c r="K1762" s="28">
        <v>44977</v>
      </c>
      <c r="L1762" s="23">
        <v>23197</v>
      </c>
      <c r="M1762" s="25">
        <f t="shared" si="323"/>
        <v>-4.3647885502435656E-3</v>
      </c>
      <c r="O1762" t="b">
        <f t="shared" si="321"/>
        <v>1</v>
      </c>
      <c r="Q1762" s="25">
        <f t="shared" si="319"/>
        <v>4.1034635034268963E-2</v>
      </c>
      <c r="R1762" s="25">
        <f t="shared" si="316"/>
        <v>0.11586600792377699</v>
      </c>
      <c r="S1762" s="25">
        <f t="shared" si="313"/>
        <v>0.18685062515159934</v>
      </c>
      <c r="T1762" s="25">
        <f t="shared" si="328"/>
        <v>0.14951862726046961</v>
      </c>
      <c r="U1762" s="25">
        <f t="shared" si="325"/>
        <v>0.11596880013081301</v>
      </c>
      <c r="X1762">
        <f t="shared" si="320"/>
        <v>0</v>
      </c>
      <c r="Y1762">
        <f t="shared" si="317"/>
        <v>0</v>
      </c>
      <c r="Z1762">
        <f t="shared" si="314"/>
        <v>0</v>
      </c>
      <c r="AA1762">
        <f t="shared" si="329"/>
        <v>0</v>
      </c>
      <c r="AB1762">
        <f t="shared" si="326"/>
        <v>0</v>
      </c>
    </row>
    <row r="1763" spans="1:28">
      <c r="A1763" s="27">
        <v>44978</v>
      </c>
      <c r="B1763" s="24">
        <v>1225.8800000000001</v>
      </c>
      <c r="C1763" s="25">
        <f t="shared" si="322"/>
        <v>-2.7009437032215556E-3</v>
      </c>
      <c r="E1763" s="25">
        <f t="shared" si="318"/>
        <v>7.3440687909913427E-2</v>
      </c>
      <c r="F1763" s="25">
        <f t="shared" si="315"/>
        <v>9.7394779055512304E-2</v>
      </c>
      <c r="G1763" s="25">
        <f t="shared" si="312"/>
        <v>0.16272028278839956</v>
      </c>
      <c r="H1763" s="25">
        <f t="shared" si="327"/>
        <v>0.14335004779980065</v>
      </c>
      <c r="I1763" s="25">
        <f t="shared" si="324"/>
        <v>0.10553508474267992</v>
      </c>
      <c r="K1763" s="29">
        <v>44978</v>
      </c>
      <c r="L1763" s="24">
        <v>23158.959999999999</v>
      </c>
      <c r="M1763" s="25">
        <f t="shared" si="323"/>
        <v>-1.6425608058393327E-3</v>
      </c>
      <c r="O1763" t="b">
        <f t="shared" si="321"/>
        <v>1</v>
      </c>
      <c r="Q1763" s="25">
        <f t="shared" si="319"/>
        <v>9.4484843587028022E-2</v>
      </c>
      <c r="R1763" s="25">
        <f t="shared" si="316"/>
        <v>0.10634530430119216</v>
      </c>
      <c r="S1763" s="25">
        <f t="shared" si="313"/>
        <v>0.18862332170914908</v>
      </c>
      <c r="T1763" s="25">
        <f t="shared" si="328"/>
        <v>0.14865797736524033</v>
      </c>
      <c r="U1763" s="25">
        <f t="shared" si="325"/>
        <v>0.11286700996385179</v>
      </c>
      <c r="X1763">
        <f t="shared" si="320"/>
        <v>0</v>
      </c>
      <c r="Y1763">
        <f t="shared" si="317"/>
        <v>0</v>
      </c>
      <c r="Z1763">
        <f t="shared" si="314"/>
        <v>0</v>
      </c>
      <c r="AA1763">
        <f t="shared" si="329"/>
        <v>0</v>
      </c>
      <c r="AB1763">
        <f t="shared" si="326"/>
        <v>0</v>
      </c>
    </row>
    <row r="1764" spans="1:28">
      <c r="A1764" s="26">
        <v>44979</v>
      </c>
      <c r="B1764" s="23">
        <v>1211.03</v>
      </c>
      <c r="C1764" s="25">
        <f t="shared" si="322"/>
        <v>-1.2113746859399073E-2</v>
      </c>
      <c r="E1764" s="25">
        <f t="shared" si="318"/>
        <v>2.8536728298072855E-2</v>
      </c>
      <c r="F1764" s="25">
        <f t="shared" si="315"/>
        <v>8.5203530368006097E-2</v>
      </c>
      <c r="G1764" s="25">
        <f t="shared" ref="G1764:G1827" si="330">((B1764/B1027)^(1/3))-1</f>
        <v>0.15150684625244115</v>
      </c>
      <c r="H1764" s="25">
        <f t="shared" si="327"/>
        <v>0.1361521369111236</v>
      </c>
      <c r="I1764" s="25">
        <f t="shared" si="324"/>
        <v>0.1007517932620261</v>
      </c>
      <c r="K1764" s="28">
        <v>44979</v>
      </c>
      <c r="L1764" s="23">
        <v>22830.35</v>
      </c>
      <c r="M1764" s="25">
        <f t="shared" si="323"/>
        <v>-1.4393559450468373E-2</v>
      </c>
      <c r="O1764" t="b">
        <f t="shared" si="321"/>
        <v>1</v>
      </c>
      <c r="Q1764" s="25">
        <f t="shared" si="319"/>
        <v>4.7576592826573227E-2</v>
      </c>
      <c r="R1764" s="25">
        <f t="shared" si="316"/>
        <v>9.3531677065365582E-2</v>
      </c>
      <c r="S1764" s="25">
        <f t="shared" ref="S1764:S1827" si="331">((L1764/L1027)^(1/3))-1</f>
        <v>0.17663953823757939</v>
      </c>
      <c r="T1764" s="25">
        <f t="shared" si="328"/>
        <v>0.14197055648445489</v>
      </c>
      <c r="U1764" s="25">
        <f t="shared" si="325"/>
        <v>0.10775094622398385</v>
      </c>
      <c r="X1764">
        <f t="shared" si="320"/>
        <v>0</v>
      </c>
      <c r="Y1764">
        <f t="shared" si="317"/>
        <v>0</v>
      </c>
      <c r="Z1764">
        <f t="shared" ref="Z1764:Z1827" si="332">IF(G1764&gt;S1764,1,0)</f>
        <v>0</v>
      </c>
      <c r="AA1764">
        <f t="shared" si="329"/>
        <v>0</v>
      </c>
      <c r="AB1764">
        <f t="shared" si="326"/>
        <v>0</v>
      </c>
    </row>
    <row r="1765" spans="1:28">
      <c r="A1765" s="27">
        <v>44980</v>
      </c>
      <c r="B1765" s="24">
        <v>1209.4000000000001</v>
      </c>
      <c r="C1765" s="25">
        <f t="shared" si="322"/>
        <v>-1.345961702022148E-3</v>
      </c>
      <c r="E1765" s="25">
        <f t="shared" si="318"/>
        <v>2.1124976781100591E-2</v>
      </c>
      <c r="F1765" s="25">
        <f t="shared" si="315"/>
        <v>0.10015638359886414</v>
      </c>
      <c r="G1765" s="25">
        <f t="shared" si="330"/>
        <v>0.15469972622507977</v>
      </c>
      <c r="H1765" s="25">
        <f t="shared" si="327"/>
        <v>0.13181929207958487</v>
      </c>
      <c r="I1765" s="25">
        <f t="shared" si="324"/>
        <v>0.10120577125244612</v>
      </c>
      <c r="K1765" s="29">
        <v>44980</v>
      </c>
      <c r="L1765" s="24">
        <v>22775.81</v>
      </c>
      <c r="M1765" s="25">
        <f t="shared" si="323"/>
        <v>-2.3946458984333481E-3</v>
      </c>
      <c r="O1765" t="b">
        <f t="shared" si="321"/>
        <v>1</v>
      </c>
      <c r="Q1765" s="25">
        <f t="shared" si="319"/>
        <v>3.6269743592076908E-2</v>
      </c>
      <c r="R1765" s="25">
        <f t="shared" si="316"/>
        <v>0.10941494941092689</v>
      </c>
      <c r="S1765" s="25">
        <f t="shared" si="331"/>
        <v>0.17847429961069516</v>
      </c>
      <c r="T1765" s="25">
        <f t="shared" si="328"/>
        <v>0.13702659975497999</v>
      </c>
      <c r="U1765" s="25">
        <f t="shared" si="325"/>
        <v>0.10794402601833353</v>
      </c>
      <c r="X1765">
        <f t="shared" si="320"/>
        <v>0</v>
      </c>
      <c r="Y1765">
        <f t="shared" si="317"/>
        <v>0</v>
      </c>
      <c r="Z1765">
        <f t="shared" si="332"/>
        <v>0</v>
      </c>
      <c r="AA1765">
        <f t="shared" si="329"/>
        <v>0</v>
      </c>
      <c r="AB1765">
        <f t="shared" si="326"/>
        <v>0</v>
      </c>
    </row>
    <row r="1766" spans="1:28">
      <c r="A1766" s="26">
        <v>44981</v>
      </c>
      <c r="B1766" s="23">
        <v>1208.5899999999999</v>
      </c>
      <c r="C1766" s="25">
        <f t="shared" si="322"/>
        <v>-6.6975359682501468E-4</v>
      </c>
      <c r="E1766" s="25">
        <f t="shared" si="318"/>
        <v>3.2497543889624447E-2</v>
      </c>
      <c r="F1766" s="25">
        <f t="shared" si="315"/>
        <v>9.1942501799780141E-2</v>
      </c>
      <c r="G1766" s="25">
        <f t="shared" si="330"/>
        <v>0.15383018171198892</v>
      </c>
      <c r="H1766" s="25">
        <f t="shared" si="327"/>
        <v>0.12993555585172256</v>
      </c>
      <c r="I1766" s="25">
        <f t="shared" si="324"/>
        <v>0.1020012391258478</v>
      </c>
      <c r="K1766" s="28">
        <v>44981</v>
      </c>
      <c r="L1766" s="23">
        <v>22719.84</v>
      </c>
      <c r="M1766" s="25">
        <f t="shared" si="323"/>
        <v>-2.463485658349758E-3</v>
      </c>
      <c r="O1766" t="b">
        <f t="shared" si="321"/>
        <v>1</v>
      </c>
      <c r="Q1766" s="25">
        <f t="shared" si="319"/>
        <v>4.1597249283667592E-2</v>
      </c>
      <c r="R1766" s="25">
        <f t="shared" si="316"/>
        <v>9.9646833819110769E-2</v>
      </c>
      <c r="S1766" s="25">
        <f t="shared" si="331"/>
        <v>0.17653219555158395</v>
      </c>
      <c r="T1766" s="25">
        <f t="shared" si="328"/>
        <v>0.13457425815570701</v>
      </c>
      <c r="U1766" s="25">
        <f t="shared" si="325"/>
        <v>0.10832209776181889</v>
      </c>
      <c r="X1766">
        <f t="shared" si="320"/>
        <v>0</v>
      </c>
      <c r="Y1766">
        <f t="shared" si="317"/>
        <v>0</v>
      </c>
      <c r="Z1766">
        <f t="shared" si="332"/>
        <v>0</v>
      </c>
      <c r="AA1766">
        <f t="shared" si="329"/>
        <v>0</v>
      </c>
      <c r="AB1766">
        <f t="shared" si="326"/>
        <v>0</v>
      </c>
    </row>
    <row r="1767" spans="1:28">
      <c r="A1767" s="27">
        <v>44984</v>
      </c>
      <c r="B1767" s="24">
        <v>1201.76</v>
      </c>
      <c r="C1767" s="25">
        <f t="shared" si="322"/>
        <v>-5.6512133974300034E-3</v>
      </c>
      <c r="E1767" s="25">
        <f t="shared" si="318"/>
        <v>3.496503496503478E-2</v>
      </c>
      <c r="F1767" s="25">
        <f t="shared" si="315"/>
        <v>8.1000081851289929E-2</v>
      </c>
      <c r="G1767" s="25">
        <f t="shared" si="330"/>
        <v>0.16075267960142625</v>
      </c>
      <c r="H1767" s="25">
        <f t="shared" si="327"/>
        <v>0.12900258159659206</v>
      </c>
      <c r="I1767" s="25">
        <f t="shared" si="324"/>
        <v>0.10121232283392345</v>
      </c>
      <c r="K1767" s="29">
        <v>44984</v>
      </c>
      <c r="L1767" s="24">
        <v>22592.89</v>
      </c>
      <c r="M1767" s="25">
        <f t="shared" si="323"/>
        <v>-5.619024392187132E-3</v>
      </c>
      <c r="O1767" t="b">
        <f t="shared" si="321"/>
        <v>1</v>
      </c>
      <c r="Q1767" s="25">
        <f t="shared" si="319"/>
        <v>4.0453209311578808E-2</v>
      </c>
      <c r="R1767" s="25">
        <f t="shared" si="316"/>
        <v>8.9932182289760298E-2</v>
      </c>
      <c r="S1767" s="25">
        <f t="shared" si="331"/>
        <v>0.18376017295813485</v>
      </c>
      <c r="T1767" s="25">
        <f t="shared" si="328"/>
        <v>0.13314226111998306</v>
      </c>
      <c r="U1767" s="25">
        <f t="shared" si="325"/>
        <v>0.10795737059983423</v>
      </c>
      <c r="X1767">
        <f t="shared" si="320"/>
        <v>0</v>
      </c>
      <c r="Y1767">
        <f t="shared" si="317"/>
        <v>0</v>
      </c>
      <c r="Z1767">
        <f t="shared" si="332"/>
        <v>0</v>
      </c>
      <c r="AA1767">
        <f t="shared" si="329"/>
        <v>0</v>
      </c>
      <c r="AB1767">
        <f t="shared" si="326"/>
        <v>0</v>
      </c>
    </row>
    <row r="1768" spans="1:28">
      <c r="A1768" s="26">
        <v>44985</v>
      </c>
      <c r="B1768" s="23">
        <v>1195.92</v>
      </c>
      <c r="C1768" s="25">
        <f t="shared" si="322"/>
        <v>-4.8595393422978953E-3</v>
      </c>
      <c r="E1768" s="25">
        <f t="shared" si="318"/>
        <v>4.4544597002410535E-2</v>
      </c>
      <c r="F1768" s="25">
        <f t="shared" si="315"/>
        <v>6.9065400466359339E-2</v>
      </c>
      <c r="G1768" s="25">
        <f t="shared" si="330"/>
        <v>0.17584352916987345</v>
      </c>
      <c r="H1768" s="25">
        <f t="shared" si="327"/>
        <v>0.12856798937571745</v>
      </c>
      <c r="I1768" s="25">
        <f t="shared" si="324"/>
        <v>0.10275580071859003</v>
      </c>
      <c r="K1768" s="28">
        <v>44985</v>
      </c>
      <c r="L1768" s="23">
        <v>22546.35</v>
      </c>
      <c r="M1768" s="25">
        <f t="shared" si="323"/>
        <v>-2.0641922084949837E-3</v>
      </c>
      <c r="O1768" t="b">
        <f t="shared" si="321"/>
        <v>1</v>
      </c>
      <c r="Q1768" s="25">
        <f t="shared" si="319"/>
        <v>5.6455731790173935E-2</v>
      </c>
      <c r="R1768" s="25">
        <f t="shared" si="316"/>
        <v>7.82918912630437E-2</v>
      </c>
      <c r="S1768" s="25">
        <f t="shared" si="331"/>
        <v>0.20219989087942869</v>
      </c>
      <c r="T1768" s="25">
        <f t="shared" si="328"/>
        <v>0.13299671103774702</v>
      </c>
      <c r="U1768" s="25">
        <f t="shared" si="325"/>
        <v>0.1096557327670129</v>
      </c>
      <c r="X1768">
        <f t="shared" si="320"/>
        <v>0</v>
      </c>
      <c r="Y1768">
        <f t="shared" si="317"/>
        <v>0</v>
      </c>
      <c r="Z1768">
        <f t="shared" si="332"/>
        <v>0</v>
      </c>
      <c r="AA1768">
        <f t="shared" si="329"/>
        <v>0</v>
      </c>
      <c r="AB1768">
        <f t="shared" si="326"/>
        <v>0</v>
      </c>
    </row>
    <row r="1769" spans="1:28">
      <c r="A1769" s="27">
        <v>44986</v>
      </c>
      <c r="B1769" s="24">
        <v>1206.8800000000001</v>
      </c>
      <c r="C1769" s="25">
        <f t="shared" si="322"/>
        <v>9.1644926082012478E-3</v>
      </c>
      <c r="E1769" s="25">
        <f t="shared" si="318"/>
        <v>7.0944956652143398E-2</v>
      </c>
      <c r="F1769" s="25">
        <f t="shared" si="315"/>
        <v>7.7091865383382974E-2</v>
      </c>
      <c r="G1769" s="25">
        <f t="shared" si="330"/>
        <v>0.18161320968246253</v>
      </c>
      <c r="H1769" s="25">
        <f t="shared" si="327"/>
        <v>0.12732604731929431</v>
      </c>
      <c r="I1769" s="25">
        <f t="shared" si="324"/>
        <v>0.10690311403419406</v>
      </c>
      <c r="K1769" s="29">
        <v>44986</v>
      </c>
      <c r="L1769" s="24">
        <v>22773.279999999999</v>
      </c>
      <c r="M1769" s="25">
        <f t="shared" si="323"/>
        <v>9.9647481610027327E-3</v>
      </c>
      <c r="O1769" t="b">
        <f t="shared" si="321"/>
        <v>1</v>
      </c>
      <c r="Q1769" s="25">
        <f t="shared" si="319"/>
        <v>9.2965474080483723E-2</v>
      </c>
      <c r="R1769" s="25">
        <f t="shared" si="316"/>
        <v>8.6943670198978529E-2</v>
      </c>
      <c r="S1769" s="25">
        <f t="shared" si="331"/>
        <v>0.20683366008548254</v>
      </c>
      <c r="T1769" s="25">
        <f t="shared" si="328"/>
        <v>0.13172697050849114</v>
      </c>
      <c r="U1769" s="25">
        <f t="shared" si="325"/>
        <v>0.11423199836162201</v>
      </c>
      <c r="X1769">
        <f t="shared" si="320"/>
        <v>0</v>
      </c>
      <c r="Y1769">
        <f t="shared" si="317"/>
        <v>0</v>
      </c>
      <c r="Z1769">
        <f t="shared" si="332"/>
        <v>0</v>
      </c>
      <c r="AA1769">
        <f t="shared" si="329"/>
        <v>0</v>
      </c>
      <c r="AB1769">
        <f t="shared" si="326"/>
        <v>0</v>
      </c>
    </row>
    <row r="1770" spans="1:28">
      <c r="A1770" s="26">
        <v>44987</v>
      </c>
      <c r="B1770" s="23">
        <v>1199.5999999999999</v>
      </c>
      <c r="C1770" s="25">
        <f t="shared" si="322"/>
        <v>-6.0320827257061178E-3</v>
      </c>
      <c r="E1770" s="25">
        <f t="shared" si="318"/>
        <v>5.1036053795943337E-2</v>
      </c>
      <c r="F1770" s="25">
        <f t="shared" si="315"/>
        <v>8.1649107531236442E-2</v>
      </c>
      <c r="G1770" s="25">
        <f t="shared" si="330"/>
        <v>0.212639993205328</v>
      </c>
      <c r="H1770" s="25">
        <f t="shared" si="327"/>
        <v>0.1224957104536859</v>
      </c>
      <c r="I1770" s="25">
        <f t="shared" si="324"/>
        <v>0.10720661493644479</v>
      </c>
      <c r="K1770" s="28">
        <v>44987</v>
      </c>
      <c r="L1770" s="23">
        <v>22652.74</v>
      </c>
      <c r="M1770" s="25">
        <f t="shared" si="323"/>
        <v>-5.3212105908599676E-3</v>
      </c>
      <c r="O1770" t="b">
        <f t="shared" si="321"/>
        <v>1</v>
      </c>
      <c r="Q1770" s="25">
        <f t="shared" si="319"/>
        <v>7.5875426320471506E-2</v>
      </c>
      <c r="R1770" s="25">
        <f t="shared" si="316"/>
        <v>9.0515686359874614E-2</v>
      </c>
      <c r="S1770" s="25">
        <f t="shared" si="331"/>
        <v>0.24004709296571902</v>
      </c>
      <c r="T1770" s="25">
        <f t="shared" si="328"/>
        <v>0.12736556212036532</v>
      </c>
      <c r="U1770" s="25">
        <f t="shared" si="325"/>
        <v>0.11560257117022688</v>
      </c>
      <c r="X1770">
        <f t="shared" si="320"/>
        <v>0</v>
      </c>
      <c r="Y1770">
        <f t="shared" si="317"/>
        <v>0</v>
      </c>
      <c r="Z1770">
        <f t="shared" si="332"/>
        <v>0</v>
      </c>
      <c r="AA1770">
        <f t="shared" si="329"/>
        <v>0</v>
      </c>
      <c r="AB1770">
        <f t="shared" si="326"/>
        <v>0</v>
      </c>
    </row>
    <row r="1771" spans="1:28">
      <c r="A1771" s="27">
        <v>44988</v>
      </c>
      <c r="B1771" s="24">
        <v>1213.68</v>
      </c>
      <c r="C1771" s="25">
        <f t="shared" si="322"/>
        <v>1.1737245748582991E-2</v>
      </c>
      <c r="E1771" s="25">
        <f t="shared" si="318"/>
        <v>4.533866188934077E-2</v>
      </c>
      <c r="F1771" s="25">
        <f t="shared" si="315"/>
        <v>8.6543432753373173E-2</v>
      </c>
      <c r="G1771" s="25">
        <f t="shared" si="330"/>
        <v>0.20286751595630115</v>
      </c>
      <c r="H1771" s="25">
        <f t="shared" si="327"/>
        <v>0.12528765294100408</v>
      </c>
      <c r="I1771" s="25">
        <f t="shared" si="324"/>
        <v>0.1089335526946722</v>
      </c>
      <c r="K1771" s="29">
        <v>44988</v>
      </c>
      <c r="L1771" s="24">
        <v>22943.96</v>
      </c>
      <c r="M1771" s="25">
        <f t="shared" si="323"/>
        <v>1.2692665084841393E-2</v>
      </c>
      <c r="O1771" t="b">
        <f t="shared" si="321"/>
        <v>1</v>
      </c>
      <c r="Q1771" s="25">
        <f t="shared" si="319"/>
        <v>6.8269943494827956E-2</v>
      </c>
      <c r="R1771" s="25">
        <f t="shared" si="316"/>
        <v>9.6571133430922718E-2</v>
      </c>
      <c r="S1771" s="25">
        <f t="shared" si="331"/>
        <v>0.23187970757795773</v>
      </c>
      <c r="T1771" s="25">
        <f t="shared" si="328"/>
        <v>0.13067454169497394</v>
      </c>
      <c r="U1771" s="25">
        <f t="shared" si="325"/>
        <v>0.11686410901267941</v>
      </c>
      <c r="X1771">
        <f t="shared" si="320"/>
        <v>0</v>
      </c>
      <c r="Y1771">
        <f t="shared" si="317"/>
        <v>0</v>
      </c>
      <c r="Z1771">
        <f t="shared" si="332"/>
        <v>0</v>
      </c>
      <c r="AA1771">
        <f t="shared" si="329"/>
        <v>0</v>
      </c>
      <c r="AB1771">
        <f t="shared" si="326"/>
        <v>0</v>
      </c>
    </row>
    <row r="1772" spans="1:28">
      <c r="A1772" s="26">
        <v>44991</v>
      </c>
      <c r="B1772" s="23">
        <v>1219.71</v>
      </c>
      <c r="C1772" s="25">
        <f t="shared" si="322"/>
        <v>4.9683606881550102E-3</v>
      </c>
      <c r="E1772" s="25">
        <f t="shared" si="318"/>
        <v>3.686859241375795E-2</v>
      </c>
      <c r="F1772" s="25">
        <f t="shared" si="315"/>
        <v>8.74477842447825E-2</v>
      </c>
      <c r="G1772" s="25">
        <f t="shared" si="330"/>
        <v>0.23425944839623036</v>
      </c>
      <c r="H1772" s="25">
        <f t="shared" si="327"/>
        <v>0.12671253723738896</v>
      </c>
      <c r="I1772" s="25">
        <f t="shared" si="324"/>
        <v>0.11071861335194466</v>
      </c>
      <c r="K1772" s="28">
        <v>44991</v>
      </c>
      <c r="L1772" s="23">
        <v>23108.97</v>
      </c>
      <c r="M1772" s="25">
        <f t="shared" si="323"/>
        <v>7.1405172969631284E-3</v>
      </c>
      <c r="O1772" t="b">
        <f t="shared" si="321"/>
        <v>1</v>
      </c>
      <c r="Q1772" s="25">
        <f t="shared" si="319"/>
        <v>6.0069295199107753E-2</v>
      </c>
      <c r="R1772" s="25">
        <f t="shared" si="316"/>
        <v>9.7961926595089066E-2</v>
      </c>
      <c r="S1772" s="25">
        <f t="shared" si="331"/>
        <v>0.26489991465692708</v>
      </c>
      <c r="T1772" s="25">
        <f t="shared" si="328"/>
        <v>0.13273205575937608</v>
      </c>
      <c r="U1772" s="25">
        <f t="shared" si="325"/>
        <v>0.11882194568772997</v>
      </c>
      <c r="X1772">
        <f t="shared" si="320"/>
        <v>0</v>
      </c>
      <c r="Y1772">
        <f t="shared" si="317"/>
        <v>0</v>
      </c>
      <c r="Z1772">
        <f t="shared" si="332"/>
        <v>0</v>
      </c>
      <c r="AA1772">
        <f t="shared" si="329"/>
        <v>0</v>
      </c>
      <c r="AB1772">
        <f t="shared" si="326"/>
        <v>0</v>
      </c>
    </row>
    <row r="1773" spans="1:28">
      <c r="A1773" s="27">
        <v>44993</v>
      </c>
      <c r="B1773" s="24">
        <v>1219.72</v>
      </c>
      <c r="C1773" s="25">
        <f t="shared" si="322"/>
        <v>8.1986701756900454E-6</v>
      </c>
      <c r="E1773" s="25">
        <f t="shared" si="318"/>
        <v>3.3354513491760995E-2</v>
      </c>
      <c r="F1773" s="25">
        <f t="shared" si="315"/>
        <v>8.3749507418126035E-2</v>
      </c>
      <c r="G1773" s="25">
        <f t="shared" si="330"/>
        <v>0.24644849379231237</v>
      </c>
      <c r="H1773" s="25">
        <f t="shared" si="327"/>
        <v>0.12512383821867434</v>
      </c>
      <c r="I1773" s="25">
        <f t="shared" si="324"/>
        <v>0.10683891751869434</v>
      </c>
      <c r="K1773" s="29">
        <v>44993</v>
      </c>
      <c r="L1773" s="24">
        <v>23172.99</v>
      </c>
      <c r="M1773" s="25">
        <f t="shared" si="323"/>
        <v>2.7626991596682356E-3</v>
      </c>
      <c r="O1773" t="b">
        <f t="shared" si="321"/>
        <v>1</v>
      </c>
      <c r="Q1773" s="25">
        <f t="shared" si="319"/>
        <v>5.9385599060802319E-2</v>
      </c>
      <c r="R1773" s="25">
        <f t="shared" si="316"/>
        <v>9.6252522877118718E-2</v>
      </c>
      <c r="S1773" s="25">
        <f t="shared" si="331"/>
        <v>0.27588390162893695</v>
      </c>
      <c r="T1773" s="25">
        <f t="shared" si="328"/>
        <v>0.13193049371332544</v>
      </c>
      <c r="U1773" s="25">
        <f t="shared" si="325"/>
        <v>0.11609951675065577</v>
      </c>
      <c r="X1773">
        <f t="shared" si="320"/>
        <v>0</v>
      </c>
      <c r="Y1773">
        <f t="shared" si="317"/>
        <v>0</v>
      </c>
      <c r="Z1773">
        <f t="shared" si="332"/>
        <v>0</v>
      </c>
      <c r="AA1773">
        <f t="shared" si="329"/>
        <v>0</v>
      </c>
      <c r="AB1773">
        <f t="shared" si="326"/>
        <v>0</v>
      </c>
    </row>
    <row r="1774" spans="1:28">
      <c r="A1774" s="26">
        <v>44994</v>
      </c>
      <c r="B1774" s="23">
        <v>1212.2</v>
      </c>
      <c r="C1774" s="25">
        <f t="shared" si="322"/>
        <v>-6.1653494244580569E-3</v>
      </c>
      <c r="E1774" s="25">
        <f t="shared" si="318"/>
        <v>1.661369182901562E-2</v>
      </c>
      <c r="F1774" s="25">
        <f t="shared" si="315"/>
        <v>8.4973499832470489E-2</v>
      </c>
      <c r="G1774" s="25">
        <f t="shared" si="330"/>
        <v>0.26638940480751483</v>
      </c>
      <c r="H1774" s="25">
        <f t="shared" si="327"/>
        <v>0.12330445658052613</v>
      </c>
      <c r="I1774" s="25">
        <f t="shared" si="324"/>
        <v>0.10462652057120736</v>
      </c>
      <c r="K1774" s="28">
        <v>44994</v>
      </c>
      <c r="L1774" s="23">
        <v>22989.73</v>
      </c>
      <c r="M1774" s="25">
        <f t="shared" si="323"/>
        <v>-7.971385483866146E-3</v>
      </c>
      <c r="O1774" t="b">
        <f t="shared" si="321"/>
        <v>1</v>
      </c>
      <c r="Q1774" s="25">
        <f t="shared" si="319"/>
        <v>4.0956858419601616E-2</v>
      </c>
      <c r="R1774" s="25">
        <f t="shared" si="316"/>
        <v>9.6125274974464547E-2</v>
      </c>
      <c r="S1774" s="25">
        <f t="shared" si="331"/>
        <v>0.29665332760771301</v>
      </c>
      <c r="T1774" s="25">
        <f t="shared" si="328"/>
        <v>0.12917189197658985</v>
      </c>
      <c r="U1774" s="25">
        <f t="shared" si="325"/>
        <v>0.11342338658079676</v>
      </c>
      <c r="X1774">
        <f t="shared" si="320"/>
        <v>0</v>
      </c>
      <c r="Y1774">
        <f t="shared" si="317"/>
        <v>0</v>
      </c>
      <c r="Z1774">
        <f t="shared" si="332"/>
        <v>0</v>
      </c>
      <c r="AA1774">
        <f t="shared" si="329"/>
        <v>0</v>
      </c>
      <c r="AB1774">
        <f t="shared" si="326"/>
        <v>0</v>
      </c>
    </row>
    <row r="1775" spans="1:28">
      <c r="A1775" s="27">
        <v>44995</v>
      </c>
      <c r="B1775" s="24">
        <v>1200.68</v>
      </c>
      <c r="C1775" s="25">
        <f t="shared" si="322"/>
        <v>-9.5033822801517745E-3</v>
      </c>
      <c r="E1775" s="25">
        <f t="shared" si="318"/>
        <v>1.8336641053042335E-2</v>
      </c>
      <c r="F1775" s="25">
        <f t="shared" ref="F1775:F1838" si="333">((B1775/B1283)^(1/2))-1</f>
        <v>8.3955775347643424E-2</v>
      </c>
      <c r="G1775" s="25">
        <f t="shared" si="330"/>
        <v>0.27377050961061711</v>
      </c>
      <c r="H1775" s="25">
        <f t="shared" si="327"/>
        <v>0.11896169402186896</v>
      </c>
      <c r="I1775" s="25">
        <f t="shared" si="324"/>
        <v>0.1021632873495113</v>
      </c>
      <c r="K1775" s="29">
        <v>44995</v>
      </c>
      <c r="L1775" s="24">
        <v>22797.01</v>
      </c>
      <c r="M1775" s="25">
        <f t="shared" si="323"/>
        <v>-8.453740205404181E-3</v>
      </c>
      <c r="O1775" t="b">
        <f t="shared" si="321"/>
        <v>1</v>
      </c>
      <c r="Q1775" s="25">
        <f t="shared" si="319"/>
        <v>4.3757966566062123E-2</v>
      </c>
      <c r="R1775" s="25">
        <f t="shared" ref="R1775:R1838" si="334">((L1775/L1283)^(1/2))-1</f>
        <v>9.5107032572995687E-2</v>
      </c>
      <c r="S1775" s="25">
        <f t="shared" si="331"/>
        <v>0.30558337260458224</v>
      </c>
      <c r="T1775" s="25">
        <f t="shared" si="328"/>
        <v>0.12521829722714717</v>
      </c>
      <c r="U1775" s="25">
        <f t="shared" si="325"/>
        <v>0.11170530540738599</v>
      </c>
      <c r="X1775">
        <f t="shared" si="320"/>
        <v>0</v>
      </c>
      <c r="Y1775">
        <f t="shared" ref="Y1775:Y1838" si="335">IF(F1775&gt;R1775,1,0)</f>
        <v>0</v>
      </c>
      <c r="Z1775">
        <f t="shared" si="332"/>
        <v>0</v>
      </c>
      <c r="AA1775">
        <f t="shared" si="329"/>
        <v>0</v>
      </c>
      <c r="AB1775">
        <f t="shared" si="326"/>
        <v>0</v>
      </c>
    </row>
    <row r="1776" spans="1:28">
      <c r="A1776" s="26">
        <v>44998</v>
      </c>
      <c r="B1776" s="23">
        <v>1180.8800000000001</v>
      </c>
      <c r="C1776" s="25">
        <f t="shared" si="322"/>
        <v>-1.6490655295332605E-2</v>
      </c>
      <c r="E1776" s="25">
        <f t="shared" si="318"/>
        <v>-1.5998933404439586E-2</v>
      </c>
      <c r="F1776" s="25">
        <f t="shared" si="333"/>
        <v>7.4250688375145701E-2</v>
      </c>
      <c r="G1776" s="25">
        <f t="shared" si="330"/>
        <v>0.24935325583521095</v>
      </c>
      <c r="H1776" s="25">
        <f t="shared" si="327"/>
        <v>0.11522367556097213</v>
      </c>
      <c r="I1776" s="25">
        <f t="shared" si="324"/>
        <v>9.9007627715180124E-2</v>
      </c>
      <c r="K1776" s="28">
        <v>44998</v>
      </c>
      <c r="L1776" s="23">
        <v>22446.97</v>
      </c>
      <c r="M1776" s="25">
        <f t="shared" si="323"/>
        <v>-1.559408686339391E-2</v>
      </c>
      <c r="O1776" t="b">
        <f t="shared" si="321"/>
        <v>1</v>
      </c>
      <c r="Q1776" s="25">
        <f t="shared" si="319"/>
        <v>8.8462364731189957E-3</v>
      </c>
      <c r="R1776" s="25">
        <f t="shared" si="334"/>
        <v>8.655699262381078E-2</v>
      </c>
      <c r="S1776" s="25">
        <f t="shared" si="331"/>
        <v>0.27716482852342716</v>
      </c>
      <c r="T1776" s="25">
        <f t="shared" si="328"/>
        <v>0.12137354150955826</v>
      </c>
      <c r="U1776" s="25">
        <f t="shared" si="325"/>
        <v>0.10869761573223102</v>
      </c>
      <c r="X1776">
        <f t="shared" si="320"/>
        <v>0</v>
      </c>
      <c r="Y1776">
        <f t="shared" si="335"/>
        <v>0</v>
      </c>
      <c r="Z1776">
        <f t="shared" si="332"/>
        <v>0</v>
      </c>
      <c r="AA1776">
        <f t="shared" si="329"/>
        <v>0</v>
      </c>
      <c r="AB1776">
        <f t="shared" si="326"/>
        <v>0</v>
      </c>
    </row>
    <row r="1777" spans="1:28">
      <c r="A1777" s="27">
        <v>44999</v>
      </c>
      <c r="B1777" s="24">
        <v>1176.4000000000001</v>
      </c>
      <c r="C1777" s="25">
        <f t="shared" si="322"/>
        <v>-3.7937809091525116E-3</v>
      </c>
      <c r="E1777" s="25">
        <f t="shared" si="318"/>
        <v>-3.3844991417612991E-2</v>
      </c>
      <c r="F1777" s="25">
        <f t="shared" si="333"/>
        <v>8.0612702163116889E-2</v>
      </c>
      <c r="G1777" s="25">
        <f t="shared" si="330"/>
        <v>0.31251168646378846</v>
      </c>
      <c r="H1777" s="25">
        <f t="shared" si="327"/>
        <v>0.11558829875386745</v>
      </c>
      <c r="I1777" s="25">
        <f t="shared" si="324"/>
        <v>0.10087305059226082</v>
      </c>
      <c r="K1777" s="29">
        <v>44999</v>
      </c>
      <c r="L1777" s="24">
        <v>22298.04</v>
      </c>
      <c r="M1777" s="25">
        <f t="shared" si="323"/>
        <v>-6.6790623749890254E-3</v>
      </c>
      <c r="O1777" t="b">
        <f t="shared" si="321"/>
        <v>1</v>
      </c>
      <c r="Q1777" s="25">
        <f t="shared" si="319"/>
        <v>-1.4182431186758993E-2</v>
      </c>
      <c r="R1777" s="25">
        <f t="shared" si="334"/>
        <v>9.1387056636285102E-2</v>
      </c>
      <c r="S1777" s="25">
        <f t="shared" si="331"/>
        <v>0.33361814292565972</v>
      </c>
      <c r="T1777" s="25">
        <f t="shared" si="328"/>
        <v>0.12100318101812446</v>
      </c>
      <c r="U1777" s="25">
        <f t="shared" si="325"/>
        <v>0.11030796138382759</v>
      </c>
      <c r="X1777">
        <f t="shared" si="320"/>
        <v>0</v>
      </c>
      <c r="Y1777">
        <f t="shared" si="335"/>
        <v>0</v>
      </c>
      <c r="Z1777">
        <f t="shared" si="332"/>
        <v>0</v>
      </c>
      <c r="AA1777">
        <f t="shared" si="329"/>
        <v>0</v>
      </c>
      <c r="AB1777">
        <f t="shared" si="326"/>
        <v>0</v>
      </c>
    </row>
    <row r="1778" spans="1:28">
      <c r="A1778" s="26">
        <v>45000</v>
      </c>
      <c r="B1778" s="23">
        <v>1175.01</v>
      </c>
      <c r="C1778" s="25">
        <f t="shared" si="322"/>
        <v>-1.1815708942537401E-3</v>
      </c>
      <c r="E1778" s="25">
        <f t="shared" si="318"/>
        <v>-2.7446468626104004E-2</v>
      </c>
      <c r="F1778" s="25">
        <f t="shared" si="333"/>
        <v>8.8812954986940751E-2</v>
      </c>
      <c r="G1778" s="25">
        <f t="shared" si="330"/>
        <v>0.30178315111478127</v>
      </c>
      <c r="H1778" s="25">
        <f t="shared" si="327"/>
        <v>0.11785060091741673</v>
      </c>
      <c r="I1778" s="25">
        <f t="shared" si="324"/>
        <v>0.10374039041832805</v>
      </c>
      <c r="K1778" s="28">
        <v>45000</v>
      </c>
      <c r="L1778" s="23">
        <v>22238.83</v>
      </c>
      <c r="M1778" s="25">
        <f t="shared" si="323"/>
        <v>-2.6624602103617469E-3</v>
      </c>
      <c r="O1778" t="b">
        <f t="shared" si="321"/>
        <v>1</v>
      </c>
      <c r="Q1778" s="25">
        <f t="shared" si="319"/>
        <v>-8.8446549670903041E-3</v>
      </c>
      <c r="R1778" s="25">
        <f t="shared" si="334"/>
        <v>9.6389679419738972E-2</v>
      </c>
      <c r="S1778" s="25">
        <f t="shared" si="331"/>
        <v>0.32371498583819225</v>
      </c>
      <c r="T1778" s="25">
        <f t="shared" si="328"/>
        <v>0.12287996803843559</v>
      </c>
      <c r="U1778" s="25">
        <f t="shared" si="325"/>
        <v>0.11245209323577354</v>
      </c>
      <c r="X1778">
        <f t="shared" si="320"/>
        <v>0</v>
      </c>
      <c r="Y1778">
        <f t="shared" si="335"/>
        <v>0</v>
      </c>
      <c r="Z1778">
        <f t="shared" si="332"/>
        <v>0</v>
      </c>
      <c r="AA1778">
        <f t="shared" si="329"/>
        <v>0</v>
      </c>
      <c r="AB1778">
        <f t="shared" si="326"/>
        <v>0</v>
      </c>
    </row>
    <row r="1779" spans="1:28">
      <c r="A1779" s="27">
        <v>45001</v>
      </c>
      <c r="B1779" s="24">
        <v>1174.51</v>
      </c>
      <c r="C1779" s="25">
        <f t="shared" si="322"/>
        <v>-4.2552829337622657E-4</v>
      </c>
      <c r="E1779" s="25">
        <f t="shared" si="318"/>
        <v>-3.5111932635037979E-2</v>
      </c>
      <c r="F1779" s="25">
        <f t="shared" si="333"/>
        <v>8.3141736088628404E-2</v>
      </c>
      <c r="G1779" s="25">
        <f t="shared" si="330"/>
        <v>0.27757893660346022</v>
      </c>
      <c r="H1779" s="25">
        <f t="shared" si="327"/>
        <v>0.1149381650338277</v>
      </c>
      <c r="I1779" s="25">
        <f t="shared" si="324"/>
        <v>0.10275621559273596</v>
      </c>
      <c r="K1779" s="29">
        <v>45001</v>
      </c>
      <c r="L1779" s="24">
        <v>22254.68</v>
      </c>
      <c r="M1779" s="25">
        <f t="shared" si="323"/>
        <v>7.1220974644427802E-4</v>
      </c>
      <c r="O1779" t="b">
        <f t="shared" si="321"/>
        <v>1</v>
      </c>
      <c r="Q1779" s="25">
        <f t="shared" si="319"/>
        <v>-1.6334257563682786E-2</v>
      </c>
      <c r="R1779" s="25">
        <f t="shared" si="334"/>
        <v>9.052173686552778E-2</v>
      </c>
      <c r="S1779" s="25">
        <f t="shared" si="331"/>
        <v>0.30006488921959051</v>
      </c>
      <c r="T1779" s="25">
        <f t="shared" si="328"/>
        <v>0.1200877488744041</v>
      </c>
      <c r="U1779" s="25">
        <f t="shared" si="325"/>
        <v>0.11180465146564855</v>
      </c>
      <c r="X1779">
        <f t="shared" si="320"/>
        <v>0</v>
      </c>
      <c r="Y1779">
        <f t="shared" si="335"/>
        <v>0</v>
      </c>
      <c r="Z1779">
        <f t="shared" si="332"/>
        <v>0</v>
      </c>
      <c r="AA1779">
        <f t="shared" si="329"/>
        <v>0</v>
      </c>
      <c r="AB1779">
        <f t="shared" si="326"/>
        <v>0</v>
      </c>
    </row>
    <row r="1780" spans="1:28">
      <c r="A1780" s="26">
        <v>45002</v>
      </c>
      <c r="B1780" s="23">
        <v>1186.42</v>
      </c>
      <c r="C1780" s="25">
        <f t="shared" si="322"/>
        <v>1.0140398974891726E-2</v>
      </c>
      <c r="E1780" s="25">
        <f t="shared" si="318"/>
        <v>-2.3795810225944902E-2</v>
      </c>
      <c r="F1780" s="25">
        <f t="shared" si="333"/>
        <v>8.6808199179760015E-2</v>
      </c>
      <c r="G1780" s="25">
        <f t="shared" si="330"/>
        <v>0.26582374445000445</v>
      </c>
      <c r="H1780" s="25">
        <f t="shared" si="327"/>
        <v>0.11710416738786766</v>
      </c>
      <c r="I1780" s="25">
        <f t="shared" si="324"/>
        <v>0.10473835962976463</v>
      </c>
      <c r="K1780" s="28">
        <v>45002</v>
      </c>
      <c r="L1780" s="23">
        <v>22395.26</v>
      </c>
      <c r="M1780" s="25">
        <f t="shared" si="323"/>
        <v>6.2772211619779418E-3</v>
      </c>
      <c r="O1780" t="b">
        <f t="shared" si="321"/>
        <v>1</v>
      </c>
      <c r="Q1780" s="25">
        <f t="shared" si="319"/>
        <v>-8.1758663800987064E-3</v>
      </c>
      <c r="R1780" s="25">
        <f t="shared" si="334"/>
        <v>9.2849592560879657E-2</v>
      </c>
      <c r="S1780" s="25">
        <f t="shared" si="331"/>
        <v>0.28577321709607162</v>
      </c>
      <c r="T1780" s="25">
        <f t="shared" si="328"/>
        <v>0.12215276271984044</v>
      </c>
      <c r="U1780" s="25">
        <f t="shared" si="325"/>
        <v>0.11249195828777592</v>
      </c>
      <c r="X1780">
        <f t="shared" si="320"/>
        <v>0</v>
      </c>
      <c r="Y1780">
        <f t="shared" si="335"/>
        <v>0</v>
      </c>
      <c r="Z1780">
        <f t="shared" si="332"/>
        <v>0</v>
      </c>
      <c r="AA1780">
        <f t="shared" si="329"/>
        <v>0</v>
      </c>
      <c r="AB1780">
        <f t="shared" si="326"/>
        <v>0</v>
      </c>
    </row>
    <row r="1781" spans="1:28">
      <c r="A1781" s="27">
        <v>45005</v>
      </c>
      <c r="B1781" s="24">
        <v>1176.47</v>
      </c>
      <c r="C1781" s="25">
        <f t="shared" si="322"/>
        <v>-8.3865747374454614E-3</v>
      </c>
      <c r="E1781" s="25">
        <f t="shared" si="318"/>
        <v>-3.6612129252034942E-2</v>
      </c>
      <c r="F1781" s="25">
        <f t="shared" si="333"/>
        <v>7.8042320362581741E-2</v>
      </c>
      <c r="G1781" s="25">
        <f t="shared" si="330"/>
        <v>0.26579048311270381</v>
      </c>
      <c r="H1781" s="25">
        <f t="shared" si="327"/>
        <v>0.11270817028409796</v>
      </c>
      <c r="I1781" s="25">
        <f t="shared" si="324"/>
        <v>0.10392529671566964</v>
      </c>
      <c r="K1781" s="29">
        <v>45005</v>
      </c>
      <c r="L1781" s="24">
        <v>22234.47</v>
      </c>
      <c r="M1781" s="25">
        <f t="shared" si="323"/>
        <v>-7.231564323323076E-3</v>
      </c>
      <c r="O1781" t="b">
        <f t="shared" si="321"/>
        <v>1</v>
      </c>
      <c r="Q1781" s="25">
        <f t="shared" si="319"/>
        <v>-1.5605035476253026E-2</v>
      </c>
      <c r="R1781" s="25">
        <f t="shared" si="334"/>
        <v>8.5408906973424736E-2</v>
      </c>
      <c r="S1781" s="25">
        <f t="shared" si="331"/>
        <v>0.28210038230797174</v>
      </c>
      <c r="T1781" s="25">
        <f t="shared" si="328"/>
        <v>0.11719626844208864</v>
      </c>
      <c r="U1781" s="25">
        <f t="shared" si="325"/>
        <v>0.11198913388384191</v>
      </c>
      <c r="X1781">
        <f t="shared" si="320"/>
        <v>0</v>
      </c>
      <c r="Y1781">
        <f t="shared" si="335"/>
        <v>0</v>
      </c>
      <c r="Z1781">
        <f t="shared" si="332"/>
        <v>0</v>
      </c>
      <c r="AA1781">
        <f t="shared" si="329"/>
        <v>0</v>
      </c>
      <c r="AB1781">
        <f t="shared" si="326"/>
        <v>0</v>
      </c>
    </row>
    <row r="1782" spans="1:28">
      <c r="A1782" s="26">
        <v>45006</v>
      </c>
      <c r="B1782" s="23">
        <v>1182.51</v>
      </c>
      <c r="C1782" s="25">
        <f t="shared" si="322"/>
        <v>5.1340025670012527E-3</v>
      </c>
      <c r="E1782" s="25">
        <f t="shared" si="318"/>
        <v>-2.7828932224012504E-2</v>
      </c>
      <c r="F1782" s="25">
        <f t="shared" si="333"/>
        <v>8.9975364739102615E-2</v>
      </c>
      <c r="G1782" s="25">
        <f t="shared" si="330"/>
        <v>0.28378656873049524</v>
      </c>
      <c r="H1782" s="25">
        <f t="shared" si="327"/>
        <v>0.11168284023887476</v>
      </c>
      <c r="I1782" s="25">
        <f t="shared" si="324"/>
        <v>0.10766502726857285</v>
      </c>
      <c r="K1782" s="28">
        <v>45006</v>
      </c>
      <c r="L1782" s="23">
        <v>22380.86</v>
      </c>
      <c r="M1782" s="25">
        <f t="shared" si="323"/>
        <v>6.5408567856641529E-3</v>
      </c>
      <c r="O1782" t="b">
        <f t="shared" si="321"/>
        <v>1</v>
      </c>
      <c r="Q1782" s="25">
        <f t="shared" si="319"/>
        <v>-5.9079136550046485E-3</v>
      </c>
      <c r="R1782" s="25">
        <f t="shared" si="334"/>
        <v>9.8758533341268606E-2</v>
      </c>
      <c r="S1782" s="25">
        <f t="shared" si="331"/>
        <v>0.30083266141268838</v>
      </c>
      <c r="T1782" s="25">
        <f t="shared" si="328"/>
        <v>0.11723847661922249</v>
      </c>
      <c r="U1782" s="25">
        <f t="shared" si="325"/>
        <v>0.11604278424247916</v>
      </c>
      <c r="X1782">
        <f t="shared" si="320"/>
        <v>0</v>
      </c>
      <c r="Y1782">
        <f t="shared" si="335"/>
        <v>0</v>
      </c>
      <c r="Z1782">
        <f t="shared" si="332"/>
        <v>0</v>
      </c>
      <c r="AA1782">
        <f t="shared" si="329"/>
        <v>0</v>
      </c>
      <c r="AB1782">
        <f t="shared" si="326"/>
        <v>0</v>
      </c>
    </row>
    <row r="1783" spans="1:28">
      <c r="A1783" s="27">
        <v>45007</v>
      </c>
      <c r="B1783" s="24">
        <v>1186.24</v>
      </c>
      <c r="C1783" s="25">
        <f t="shared" si="322"/>
        <v>3.1543073631512784E-3</v>
      </c>
      <c r="E1783" s="25">
        <f t="shared" si="318"/>
        <v>-2.6291380400075504E-2</v>
      </c>
      <c r="F1783" s="25">
        <f t="shared" si="333"/>
        <v>9.939103832671381E-2</v>
      </c>
      <c r="G1783" s="25">
        <f t="shared" si="330"/>
        <v>0.27270188720892641</v>
      </c>
      <c r="H1783" s="25">
        <f t="shared" si="327"/>
        <v>0.11144759481021205</v>
      </c>
      <c r="I1783" s="25">
        <f t="shared" si="324"/>
        <v>0.10494400878584398</v>
      </c>
      <c r="K1783" s="29">
        <v>45007</v>
      </c>
      <c r="L1783" s="24">
        <v>22456.46</v>
      </c>
      <c r="M1783" s="25">
        <f t="shared" si="323"/>
        <v>3.3665145797689639E-3</v>
      </c>
      <c r="O1783" t="b">
        <f t="shared" si="321"/>
        <v>1</v>
      </c>
      <c r="Q1783" s="25">
        <f t="shared" si="319"/>
        <v>-4.2218602879520173E-3</v>
      </c>
      <c r="R1783" s="25">
        <f t="shared" si="334"/>
        <v>0.10990368797720129</v>
      </c>
      <c r="S1783" s="25">
        <f t="shared" si="331"/>
        <v>0.28675043125675148</v>
      </c>
      <c r="T1783" s="25">
        <f t="shared" si="328"/>
        <v>0.11707617858389852</v>
      </c>
      <c r="U1783" s="25">
        <f t="shared" si="325"/>
        <v>0.11393324401647598</v>
      </c>
      <c r="X1783">
        <f t="shared" si="320"/>
        <v>0</v>
      </c>
      <c r="Y1783">
        <f t="shared" si="335"/>
        <v>0</v>
      </c>
      <c r="Z1783">
        <f t="shared" si="332"/>
        <v>0</v>
      </c>
      <c r="AA1783">
        <f t="shared" si="329"/>
        <v>0</v>
      </c>
      <c r="AB1783">
        <f t="shared" si="326"/>
        <v>0</v>
      </c>
    </row>
    <row r="1784" spans="1:28">
      <c r="A1784" s="26">
        <v>45008</v>
      </c>
      <c r="B1784" s="23">
        <v>1180.44</v>
      </c>
      <c r="C1784" s="25">
        <f t="shared" si="322"/>
        <v>-4.8893984353924622E-3</v>
      </c>
      <c r="E1784" s="25">
        <f t="shared" ref="E1784:E1847" si="336">(B1784/B1539)-1</f>
        <v>-3.7585402840510596E-2</v>
      </c>
      <c r="F1784" s="25">
        <f t="shared" si="333"/>
        <v>8.8064844417584887E-2</v>
      </c>
      <c r="G1784" s="25">
        <f t="shared" si="330"/>
        <v>0.28507902842799338</v>
      </c>
      <c r="H1784" s="25">
        <f t="shared" si="327"/>
        <v>0.10939143932218109</v>
      </c>
      <c r="I1784" s="25">
        <f t="shared" si="324"/>
        <v>0.10167962702955591</v>
      </c>
      <c r="K1784" s="28">
        <v>45008</v>
      </c>
      <c r="L1784" s="23">
        <v>22368.83</v>
      </c>
      <c r="M1784" s="25">
        <f t="shared" si="323"/>
        <v>-3.9175048493818128E-3</v>
      </c>
      <c r="O1784" t="b">
        <f t="shared" si="321"/>
        <v>1</v>
      </c>
      <c r="Q1784" s="25">
        <f t="shared" ref="Q1784:Q1847" si="337">(L1784/L1539)-1</f>
        <v>-1.3900020013983272E-2</v>
      </c>
      <c r="R1784" s="25">
        <f t="shared" si="334"/>
        <v>0.10061894169604124</v>
      </c>
      <c r="S1784" s="25">
        <f t="shared" si="331"/>
        <v>0.29977850059860156</v>
      </c>
      <c r="T1784" s="25">
        <f t="shared" si="328"/>
        <v>0.11544397671062323</v>
      </c>
      <c r="U1784" s="25">
        <f t="shared" si="325"/>
        <v>0.11145919920741587</v>
      </c>
      <c r="X1784">
        <f t="shared" ref="X1784:X1847" si="338">IF(E1784&gt;Q1784,1,0)</f>
        <v>0</v>
      </c>
      <c r="Y1784">
        <f t="shared" si="335"/>
        <v>0</v>
      </c>
      <c r="Z1784">
        <f t="shared" si="332"/>
        <v>0</v>
      </c>
      <c r="AA1784">
        <f t="shared" si="329"/>
        <v>0</v>
      </c>
      <c r="AB1784">
        <f t="shared" si="326"/>
        <v>0</v>
      </c>
    </row>
    <row r="1785" spans="1:28">
      <c r="A1785" s="27">
        <v>45009</v>
      </c>
      <c r="B1785" s="24">
        <v>1170.4000000000001</v>
      </c>
      <c r="C1785" s="25">
        <f t="shared" si="322"/>
        <v>-8.5053031073158841E-3</v>
      </c>
      <c r="E1785" s="25">
        <f t="shared" si="336"/>
        <v>-5.4298642533936459E-2</v>
      </c>
      <c r="F1785" s="25">
        <f t="shared" si="333"/>
        <v>7.2812344520091221E-2</v>
      </c>
      <c r="G1785" s="25">
        <f t="shared" si="330"/>
        <v>0.28927657825565745</v>
      </c>
      <c r="H1785" s="25">
        <f t="shared" si="327"/>
        <v>0.10882209788267572</v>
      </c>
      <c r="I1785" s="25">
        <f t="shared" si="324"/>
        <v>0.10145775434631132</v>
      </c>
      <c r="K1785" s="29">
        <v>45009</v>
      </c>
      <c r="L1785" s="24">
        <v>22176.11</v>
      </c>
      <c r="M1785" s="25">
        <f t="shared" si="323"/>
        <v>-8.6904330831692831E-3</v>
      </c>
      <c r="O1785" t="b">
        <f t="shared" si="321"/>
        <v>1</v>
      </c>
      <c r="Q1785" s="25">
        <f t="shared" si="337"/>
        <v>-3.1306772737816013E-2</v>
      </c>
      <c r="R1785" s="25">
        <f t="shared" si="334"/>
        <v>8.521847234330493E-2</v>
      </c>
      <c r="S1785" s="25">
        <f t="shared" si="331"/>
        <v>0.30401525841191179</v>
      </c>
      <c r="T1785" s="25">
        <f t="shared" si="328"/>
        <v>0.11482578444680946</v>
      </c>
      <c r="U1785" s="25">
        <f t="shared" si="325"/>
        <v>0.1111754599952548</v>
      </c>
      <c r="X1785">
        <f t="shared" si="338"/>
        <v>0</v>
      </c>
      <c r="Y1785">
        <f t="shared" si="335"/>
        <v>0</v>
      </c>
      <c r="Z1785">
        <f t="shared" si="332"/>
        <v>0</v>
      </c>
      <c r="AA1785">
        <f t="shared" si="329"/>
        <v>0</v>
      </c>
      <c r="AB1785">
        <f t="shared" si="326"/>
        <v>0</v>
      </c>
    </row>
    <row r="1786" spans="1:28">
      <c r="A1786" s="26">
        <v>45012</v>
      </c>
      <c r="B1786" s="23">
        <v>1169.31</v>
      </c>
      <c r="C1786" s="25">
        <f t="shared" si="322"/>
        <v>-9.3130553656881868E-4</v>
      </c>
      <c r="E1786" s="25">
        <f t="shared" si="336"/>
        <v>-5.3550470671080652E-2</v>
      </c>
      <c r="F1786" s="25">
        <f t="shared" si="333"/>
        <v>7.5995846826553359E-2</v>
      </c>
      <c r="G1786" s="25">
        <f t="shared" si="330"/>
        <v>0.25578563921126096</v>
      </c>
      <c r="H1786" s="25">
        <f t="shared" si="327"/>
        <v>0.10853521104083175</v>
      </c>
      <c r="I1786" s="25">
        <f t="shared" si="324"/>
        <v>9.8710548088030814E-2</v>
      </c>
      <c r="K1786" s="28">
        <v>45012</v>
      </c>
      <c r="L1786" s="23">
        <v>22150.83</v>
      </c>
      <c r="M1786" s="25">
        <f t="shared" si="323"/>
        <v>-1.1412664897883661E-3</v>
      </c>
      <c r="O1786" t="b">
        <f t="shared" si="321"/>
        <v>1</v>
      </c>
      <c r="Q1786" s="25">
        <f t="shared" si="337"/>
        <v>-3.2255908260423793E-2</v>
      </c>
      <c r="R1786" s="25">
        <f t="shared" si="334"/>
        <v>8.7862728314337168E-2</v>
      </c>
      <c r="S1786" s="25">
        <f t="shared" si="331"/>
        <v>0.27171783349445899</v>
      </c>
      <c r="T1786" s="25">
        <f t="shared" si="328"/>
        <v>0.1154250662447216</v>
      </c>
      <c r="U1786" s="25">
        <f t="shared" si="325"/>
        <v>0.10816328727368618</v>
      </c>
      <c r="X1786">
        <f t="shared" si="338"/>
        <v>0</v>
      </c>
      <c r="Y1786">
        <f t="shared" si="335"/>
        <v>0</v>
      </c>
      <c r="Z1786">
        <f t="shared" si="332"/>
        <v>0</v>
      </c>
      <c r="AA1786">
        <f t="shared" si="329"/>
        <v>0</v>
      </c>
      <c r="AB1786">
        <f t="shared" si="326"/>
        <v>0</v>
      </c>
    </row>
    <row r="1787" spans="1:28">
      <c r="A1787" s="27">
        <v>45013</v>
      </c>
      <c r="B1787" s="24">
        <v>1166.8599999999999</v>
      </c>
      <c r="C1787" s="25">
        <f t="shared" si="322"/>
        <v>-2.0952527558988168E-3</v>
      </c>
      <c r="E1787" s="25">
        <f t="shared" si="336"/>
        <v>-6.2537157548003597E-2</v>
      </c>
      <c r="F1787" s="25">
        <f t="shared" si="333"/>
        <v>6.760425927354019E-2</v>
      </c>
      <c r="G1787" s="25">
        <f t="shared" si="330"/>
        <v>0.2529235192770185</v>
      </c>
      <c r="H1787" s="25">
        <f t="shared" si="327"/>
        <v>0.10615143671445026</v>
      </c>
      <c r="I1787" s="25">
        <f t="shared" si="324"/>
        <v>9.7002849365784183E-2</v>
      </c>
      <c r="K1787" s="29">
        <v>45013</v>
      </c>
      <c r="L1787" s="24">
        <v>22071.73</v>
      </c>
      <c r="M1787" s="25">
        <f t="shared" si="323"/>
        <v>-3.5837698268328848E-3</v>
      </c>
      <c r="O1787" t="b">
        <f t="shared" si="321"/>
        <v>1</v>
      </c>
      <c r="Q1787" s="25">
        <f t="shared" si="337"/>
        <v>-4.8032834470328023E-2</v>
      </c>
      <c r="R1787" s="25">
        <f t="shared" si="334"/>
        <v>7.8701097470915471E-2</v>
      </c>
      <c r="S1787" s="25">
        <f t="shared" si="331"/>
        <v>0.26946561892480281</v>
      </c>
      <c r="T1787" s="25">
        <f t="shared" si="328"/>
        <v>0.11274394667889931</v>
      </c>
      <c r="U1787" s="25">
        <f t="shared" si="325"/>
        <v>0.10611695548510625</v>
      </c>
      <c r="X1787">
        <f t="shared" si="338"/>
        <v>0</v>
      </c>
      <c r="Y1787">
        <f t="shared" si="335"/>
        <v>0</v>
      </c>
      <c r="Z1787">
        <f t="shared" si="332"/>
        <v>0</v>
      </c>
      <c r="AA1787">
        <f t="shared" si="329"/>
        <v>0</v>
      </c>
      <c r="AB1787">
        <f t="shared" si="326"/>
        <v>0</v>
      </c>
    </row>
    <row r="1788" spans="1:28">
      <c r="A1788" s="26">
        <v>45014</v>
      </c>
      <c r="B1788" s="23">
        <v>1177.75</v>
      </c>
      <c r="C1788" s="25">
        <f t="shared" si="322"/>
        <v>9.3327391460844497E-3</v>
      </c>
      <c r="E1788" s="25">
        <f t="shared" si="336"/>
        <v>-6.8935531048658127E-2</v>
      </c>
      <c r="F1788" s="25">
        <f t="shared" si="333"/>
        <v>7.8911090685107821E-2</v>
      </c>
      <c r="G1788" s="25">
        <f t="shared" si="330"/>
        <v>0.24145870357743204</v>
      </c>
      <c r="H1788" s="25">
        <f t="shared" si="327"/>
        <v>0.1102435046733492</v>
      </c>
      <c r="I1788" s="25">
        <f t="shared" si="324"/>
        <v>0.10155289006212942</v>
      </c>
      <c r="K1788" s="28">
        <v>45014</v>
      </c>
      <c r="L1788" s="23">
        <v>22279.71</v>
      </c>
      <c r="M1788" s="25">
        <f t="shared" si="323"/>
        <v>9.3349509486433876E-3</v>
      </c>
      <c r="O1788" t="b">
        <f t="shared" si="321"/>
        <v>1</v>
      </c>
      <c r="Q1788" s="25">
        <f t="shared" si="337"/>
        <v>-5.7645919803270496E-2</v>
      </c>
      <c r="R1788" s="25">
        <f t="shared" si="334"/>
        <v>9.1678657210891412E-2</v>
      </c>
      <c r="S1788" s="25">
        <f t="shared" si="331"/>
        <v>0.25725210855691127</v>
      </c>
      <c r="T1788" s="25">
        <f t="shared" si="328"/>
        <v>0.11681539962800036</v>
      </c>
      <c r="U1788" s="25">
        <f t="shared" si="325"/>
        <v>0.11063211635536274</v>
      </c>
      <c r="X1788">
        <f t="shared" si="338"/>
        <v>0</v>
      </c>
      <c r="Y1788">
        <f t="shared" si="335"/>
        <v>0</v>
      </c>
      <c r="Z1788">
        <f t="shared" si="332"/>
        <v>0</v>
      </c>
      <c r="AA1788">
        <f t="shared" si="329"/>
        <v>0</v>
      </c>
      <c r="AB1788">
        <f t="shared" si="326"/>
        <v>0</v>
      </c>
    </row>
    <row r="1789" spans="1:28">
      <c r="A1789" s="27">
        <v>45016</v>
      </c>
      <c r="B1789" s="24">
        <v>1194.32</v>
      </c>
      <c r="C1789" s="25">
        <f t="shared" si="322"/>
        <v>1.4069199745276957E-2</v>
      </c>
      <c r="E1789" s="25">
        <f t="shared" si="336"/>
        <v>-5.6552203553175251E-2</v>
      </c>
      <c r="F1789" s="25">
        <f t="shared" si="333"/>
        <v>8.5986023684771817E-2</v>
      </c>
      <c r="G1789" s="25">
        <f t="shared" si="330"/>
        <v>0.25016483170585113</v>
      </c>
      <c r="H1789" s="25">
        <f t="shared" si="327"/>
        <v>0.11303127991920237</v>
      </c>
      <c r="I1789" s="25">
        <f t="shared" si="324"/>
        <v>0.10032030766943878</v>
      </c>
      <c r="K1789" s="29">
        <v>45016</v>
      </c>
      <c r="L1789" s="24">
        <v>22609.54</v>
      </c>
      <c r="M1789" s="25">
        <f t="shared" si="323"/>
        <v>1.4588089806338463E-2</v>
      </c>
      <c r="O1789" t="b">
        <f t="shared" si="321"/>
        <v>1</v>
      </c>
      <c r="Q1789" s="25">
        <f t="shared" si="337"/>
        <v>-4.4146855174944433E-2</v>
      </c>
      <c r="R1789" s="25">
        <f t="shared" si="334"/>
        <v>9.7078249471777012E-2</v>
      </c>
      <c r="S1789" s="25">
        <f t="shared" si="331"/>
        <v>0.26806067243702847</v>
      </c>
      <c r="T1789" s="25">
        <f t="shared" si="328"/>
        <v>0.11966841455481503</v>
      </c>
      <c r="U1789" s="25">
        <f t="shared" si="325"/>
        <v>0.10971087325072792</v>
      </c>
      <c r="X1789">
        <f t="shared" si="338"/>
        <v>0</v>
      </c>
      <c r="Y1789">
        <f t="shared" si="335"/>
        <v>0</v>
      </c>
      <c r="Z1789">
        <f t="shared" si="332"/>
        <v>0</v>
      </c>
      <c r="AA1789">
        <f t="shared" si="329"/>
        <v>0</v>
      </c>
      <c r="AB1789">
        <f t="shared" si="326"/>
        <v>0</v>
      </c>
    </row>
    <row r="1790" spans="1:28">
      <c r="A1790" s="26">
        <v>45019</v>
      </c>
      <c r="B1790" s="23">
        <v>1198.75</v>
      </c>
      <c r="C1790" s="25">
        <f t="shared" si="322"/>
        <v>3.7092236586510011E-3</v>
      </c>
      <c r="E1790" s="25">
        <f t="shared" si="336"/>
        <v>-4.7628505601016946E-2</v>
      </c>
      <c r="F1790" s="25">
        <f t="shared" si="333"/>
        <v>8.0954868598869023E-2</v>
      </c>
      <c r="G1790" s="25">
        <f t="shared" si="330"/>
        <v>0.25241250189612652</v>
      </c>
      <c r="H1790" s="25">
        <f t="shared" si="327"/>
        <v>0.11574325026663179</v>
      </c>
      <c r="I1790" s="25">
        <f t="shared" si="324"/>
        <v>0.10048520631516777</v>
      </c>
      <c r="K1790" s="28">
        <v>45019</v>
      </c>
      <c r="L1790" s="23">
        <v>22678.03</v>
      </c>
      <c r="M1790" s="25">
        <f t="shared" si="323"/>
        <v>3.0201035980637631E-3</v>
      </c>
      <c r="O1790" t="b">
        <f t="shared" si="321"/>
        <v>1</v>
      </c>
      <c r="Q1790" s="25">
        <f t="shared" si="337"/>
        <v>-3.733699527965495E-2</v>
      </c>
      <c r="R1790" s="25">
        <f t="shared" si="334"/>
        <v>9.3299721444383144E-2</v>
      </c>
      <c r="S1790" s="25">
        <f t="shared" si="331"/>
        <v>0.27026189626658859</v>
      </c>
      <c r="T1790" s="25">
        <f t="shared" si="328"/>
        <v>0.12210824841549872</v>
      </c>
      <c r="U1790" s="25">
        <f t="shared" si="325"/>
        <v>0.10975367383908874</v>
      </c>
      <c r="X1790">
        <f t="shared" si="338"/>
        <v>0</v>
      </c>
      <c r="Y1790">
        <f t="shared" si="335"/>
        <v>0</v>
      </c>
      <c r="Z1790">
        <f t="shared" si="332"/>
        <v>0</v>
      </c>
      <c r="AA1790">
        <f t="shared" si="329"/>
        <v>0</v>
      </c>
      <c r="AB1790">
        <f t="shared" si="326"/>
        <v>0</v>
      </c>
    </row>
    <row r="1791" spans="1:28">
      <c r="A1791" s="27">
        <v>45021</v>
      </c>
      <c r="B1791" s="24">
        <v>1204.83</v>
      </c>
      <c r="C1791" s="25">
        <f t="shared" si="322"/>
        <v>5.0719499478622957E-3</v>
      </c>
      <c r="E1791" s="25">
        <f t="shared" si="336"/>
        <v>-4.0580033285820161E-2</v>
      </c>
      <c r="F1791" s="25">
        <f t="shared" si="333"/>
        <v>8.0631821957386496E-2</v>
      </c>
      <c r="G1791" s="25">
        <f t="shared" si="330"/>
        <v>0.2494621028226589</v>
      </c>
      <c r="H1791" s="25">
        <f t="shared" si="327"/>
        <v>0.11714448425181145</v>
      </c>
      <c r="I1791" s="25">
        <f t="shared" si="324"/>
        <v>0.10121402757575915</v>
      </c>
      <c r="K1791" s="29">
        <v>45021</v>
      </c>
      <c r="L1791" s="24">
        <v>22844.93</v>
      </c>
      <c r="M1791" s="25">
        <f t="shared" si="323"/>
        <v>7.3057785688116121E-3</v>
      </c>
      <c r="O1791" t="b">
        <f t="shared" si="321"/>
        <v>1</v>
      </c>
      <c r="Q1791" s="25">
        <f t="shared" si="337"/>
        <v>-2.2171876558291226E-2</v>
      </c>
      <c r="R1791" s="25">
        <f t="shared" si="334"/>
        <v>9.4629559136269581E-2</v>
      </c>
      <c r="S1791" s="25">
        <f t="shared" si="331"/>
        <v>0.26946885350621619</v>
      </c>
      <c r="T1791" s="25">
        <f t="shared" si="328"/>
        <v>0.12382297173792201</v>
      </c>
      <c r="U1791" s="25">
        <f t="shared" si="325"/>
        <v>0.11058113981533069</v>
      </c>
      <c r="X1791">
        <f t="shared" si="338"/>
        <v>0</v>
      </c>
      <c r="Y1791">
        <f t="shared" si="335"/>
        <v>0</v>
      </c>
      <c r="Z1791">
        <f t="shared" si="332"/>
        <v>0</v>
      </c>
      <c r="AA1791">
        <f t="shared" si="329"/>
        <v>0</v>
      </c>
      <c r="AB1791">
        <f t="shared" si="326"/>
        <v>0</v>
      </c>
    </row>
    <row r="1792" spans="1:28">
      <c r="A1792" s="26">
        <v>45022</v>
      </c>
      <c r="B1792" s="23">
        <v>1208.6400000000001</v>
      </c>
      <c r="C1792" s="25">
        <f t="shared" si="322"/>
        <v>3.1622718557806273E-3</v>
      </c>
      <c r="E1792" s="25">
        <f t="shared" si="336"/>
        <v>-4.4893121024141558E-2</v>
      </c>
      <c r="F1792" s="25">
        <f t="shared" si="333"/>
        <v>8.2906027171085972E-2</v>
      </c>
      <c r="G1792" s="25">
        <f t="shared" si="330"/>
        <v>0.2388196505270237</v>
      </c>
      <c r="H1792" s="25">
        <f t="shared" si="327"/>
        <v>0.11722230074538231</v>
      </c>
      <c r="I1792" s="25">
        <f t="shared" si="324"/>
        <v>0.10107028316069888</v>
      </c>
      <c r="K1792" s="28">
        <v>45022</v>
      </c>
      <c r="L1792" s="23">
        <v>22922.21</v>
      </c>
      <c r="M1792" s="25">
        <f t="shared" si="323"/>
        <v>3.3714026701613343E-3</v>
      </c>
      <c r="O1792" t="b">
        <f t="shared" si="321"/>
        <v>1</v>
      </c>
      <c r="Q1792" s="25">
        <f t="shared" si="337"/>
        <v>-2.7894037095074431E-2</v>
      </c>
      <c r="R1792" s="25">
        <f t="shared" si="334"/>
        <v>9.7101095122306802E-2</v>
      </c>
      <c r="S1792" s="25">
        <f t="shared" si="331"/>
        <v>0.25955354802106223</v>
      </c>
      <c r="T1792" s="25">
        <f t="shared" si="328"/>
        <v>0.12360621378483261</v>
      </c>
      <c r="U1792" s="25">
        <f t="shared" si="325"/>
        <v>0.11099467535093077</v>
      </c>
      <c r="X1792">
        <f t="shared" si="338"/>
        <v>0</v>
      </c>
      <c r="Y1792">
        <f t="shared" si="335"/>
        <v>0</v>
      </c>
      <c r="Z1792">
        <f t="shared" si="332"/>
        <v>0</v>
      </c>
      <c r="AA1792">
        <f t="shared" si="329"/>
        <v>0</v>
      </c>
      <c r="AB1792">
        <f t="shared" si="326"/>
        <v>0</v>
      </c>
    </row>
    <row r="1793" spans="1:28">
      <c r="A1793" s="27">
        <v>45026</v>
      </c>
      <c r="B1793" s="24">
        <v>1207</v>
      </c>
      <c r="C1793" s="25">
        <f t="shared" si="322"/>
        <v>-1.3568970082076547E-3</v>
      </c>
      <c r="E1793" s="25">
        <f t="shared" si="336"/>
        <v>-4.1531009290875831E-2</v>
      </c>
      <c r="F1793" s="25">
        <f t="shared" si="333"/>
        <v>0.10229015624573301</v>
      </c>
      <c r="G1793" s="25">
        <f t="shared" si="330"/>
        <v>0.23886347984210121</v>
      </c>
      <c r="H1793" s="25">
        <f t="shared" si="327"/>
        <v>0.11558339588856881</v>
      </c>
      <c r="I1793" s="25">
        <f t="shared" si="324"/>
        <v>0.10036496019521191</v>
      </c>
      <c r="K1793" s="29">
        <v>45026</v>
      </c>
      <c r="L1793" s="24">
        <v>22970.959999999999</v>
      </c>
      <c r="M1793" s="25">
        <f t="shared" si="323"/>
        <v>2.1222447821074956E-3</v>
      </c>
      <c r="O1793" t="b">
        <f t="shared" si="321"/>
        <v>1</v>
      </c>
      <c r="Q1793" s="25">
        <f t="shared" si="337"/>
        <v>-2.4751262527092144E-2</v>
      </c>
      <c r="R1793" s="25">
        <f t="shared" si="334"/>
        <v>0.12101845516448306</v>
      </c>
      <c r="S1793" s="25">
        <f t="shared" si="331"/>
        <v>0.26043484995683719</v>
      </c>
      <c r="T1793" s="25">
        <f t="shared" si="328"/>
        <v>0.12298872798588745</v>
      </c>
      <c r="U1793" s="25">
        <f t="shared" si="325"/>
        <v>0.11118472136668056</v>
      </c>
      <c r="X1793">
        <f t="shared" si="338"/>
        <v>0</v>
      </c>
      <c r="Y1793">
        <f t="shared" si="335"/>
        <v>0</v>
      </c>
      <c r="Z1793">
        <f t="shared" si="332"/>
        <v>0</v>
      </c>
      <c r="AA1793">
        <f t="shared" si="329"/>
        <v>0</v>
      </c>
      <c r="AB1793">
        <f t="shared" si="326"/>
        <v>0</v>
      </c>
    </row>
    <row r="1794" spans="1:28">
      <c r="A1794" s="26">
        <v>45027</v>
      </c>
      <c r="B1794" s="23">
        <v>1211.3800000000001</v>
      </c>
      <c r="C1794" s="25">
        <f t="shared" si="322"/>
        <v>3.6288318144159976E-3</v>
      </c>
      <c r="E1794" s="25">
        <f t="shared" si="336"/>
        <v>-2.9731678013616203E-2</v>
      </c>
      <c r="F1794" s="25">
        <f t="shared" si="333"/>
        <v>9.8936033602354367E-2</v>
      </c>
      <c r="G1794" s="25">
        <f t="shared" si="330"/>
        <v>0.25437466158087552</v>
      </c>
      <c r="H1794" s="25">
        <f t="shared" si="327"/>
        <v>0.11434161381472618</v>
      </c>
      <c r="I1794" s="25">
        <f t="shared" si="324"/>
        <v>0.10130375178273177</v>
      </c>
      <c r="K1794" s="28">
        <v>45027</v>
      </c>
      <c r="L1794" s="23">
        <v>23090.27</v>
      </c>
      <c r="M1794" s="25">
        <f t="shared" si="323"/>
        <v>5.1671115149368677E-3</v>
      </c>
      <c r="O1794" t="b">
        <f t="shared" si="321"/>
        <v>1</v>
      </c>
      <c r="Q1794" s="25">
        <f t="shared" si="337"/>
        <v>-9.2929721120734721E-3</v>
      </c>
      <c r="R1794" s="25">
        <f t="shared" si="334"/>
        <v>0.11640266027135304</v>
      </c>
      <c r="S1794" s="25">
        <f t="shared" si="331"/>
        <v>0.27493897753193708</v>
      </c>
      <c r="T1794" s="25">
        <f t="shared" si="328"/>
        <v>0.12257471299059608</v>
      </c>
      <c r="U1794" s="25">
        <f t="shared" si="325"/>
        <v>0.11194213147129983</v>
      </c>
      <c r="X1794">
        <f t="shared" si="338"/>
        <v>0</v>
      </c>
      <c r="Y1794">
        <f t="shared" si="335"/>
        <v>0</v>
      </c>
      <c r="Z1794">
        <f t="shared" si="332"/>
        <v>0</v>
      </c>
      <c r="AA1794">
        <f t="shared" si="329"/>
        <v>0</v>
      </c>
      <c r="AB1794">
        <f t="shared" si="326"/>
        <v>0</v>
      </c>
    </row>
    <row r="1795" spans="1:28">
      <c r="A1795" s="27">
        <v>45028</v>
      </c>
      <c r="B1795" s="24">
        <v>1218.24</v>
      </c>
      <c r="C1795" s="25">
        <f t="shared" si="322"/>
        <v>5.6629629018143763E-3</v>
      </c>
      <c r="E1795" s="25">
        <f t="shared" si="336"/>
        <v>-2.1619711523017227E-2</v>
      </c>
      <c r="F1795" s="25">
        <f t="shared" si="333"/>
        <v>0.10020759996185324</v>
      </c>
      <c r="G1795" s="25">
        <f t="shared" si="330"/>
        <v>0.25197612653596346</v>
      </c>
      <c r="H1795" s="25">
        <f t="shared" si="327"/>
        <v>0.1186527445790837</v>
      </c>
      <c r="I1795" s="25">
        <f t="shared" si="324"/>
        <v>0.10217117262172293</v>
      </c>
      <c r="K1795" s="29">
        <v>45028</v>
      </c>
      <c r="L1795" s="24">
        <v>23205.72</v>
      </c>
      <c r="M1795" s="25">
        <f t="shared" si="323"/>
        <v>4.9750664922269478E-3</v>
      </c>
      <c r="O1795" t="b">
        <f t="shared" ref="O1795:O1858" si="339">K1795=A1795</f>
        <v>1</v>
      </c>
      <c r="Q1795" s="25">
        <f t="shared" si="337"/>
        <v>-2.6187697842190438E-3</v>
      </c>
      <c r="R1795" s="25">
        <f t="shared" si="334"/>
        <v>0.11685834502311909</v>
      </c>
      <c r="S1795" s="25">
        <f t="shared" si="331"/>
        <v>0.26921882776069639</v>
      </c>
      <c r="T1795" s="25">
        <f t="shared" si="328"/>
        <v>0.12520562162837057</v>
      </c>
      <c r="U1795" s="25">
        <f t="shared" si="325"/>
        <v>0.11256134265772189</v>
      </c>
      <c r="X1795">
        <f t="shared" si="338"/>
        <v>0</v>
      </c>
      <c r="Y1795">
        <f t="shared" si="335"/>
        <v>0</v>
      </c>
      <c r="Z1795">
        <f t="shared" si="332"/>
        <v>0</v>
      </c>
      <c r="AA1795">
        <f t="shared" si="329"/>
        <v>0</v>
      </c>
      <c r="AB1795">
        <f t="shared" si="326"/>
        <v>0</v>
      </c>
    </row>
    <row r="1796" spans="1:28">
      <c r="A1796" s="26">
        <v>45029</v>
      </c>
      <c r="B1796" s="23">
        <v>1218.46</v>
      </c>
      <c r="C1796" s="25">
        <f t="shared" ref="C1796:C1859" si="340">(B1796-B1795)/B1795</f>
        <v>1.8058838980827035E-4</v>
      </c>
      <c r="E1796" s="25">
        <f t="shared" si="336"/>
        <v>-6.0527947270532234E-3</v>
      </c>
      <c r="F1796" s="25">
        <f t="shared" si="333"/>
        <v>9.6825048425080329E-2</v>
      </c>
      <c r="G1796" s="25">
        <f t="shared" si="330"/>
        <v>0.24584114792880607</v>
      </c>
      <c r="H1796" s="25">
        <f t="shared" si="327"/>
        <v>0.1229384343518507</v>
      </c>
      <c r="I1796" s="25">
        <f t="shared" si="324"/>
        <v>0.10127744400454652</v>
      </c>
      <c r="K1796" s="28">
        <v>45029</v>
      </c>
      <c r="L1796" s="23">
        <v>23227.119999999999</v>
      </c>
      <c r="M1796" s="25">
        <f t="shared" ref="M1796:M1859" si="341">(L1796-L1795)/L1796</f>
        <v>9.2133678217522523E-4</v>
      </c>
      <c r="O1796" t="b">
        <f t="shared" si="339"/>
        <v>1</v>
      </c>
      <c r="Q1796" s="25">
        <f t="shared" si="337"/>
        <v>1.2512156665470675E-2</v>
      </c>
      <c r="R1796" s="25">
        <f t="shared" si="334"/>
        <v>0.11462353886668875</v>
      </c>
      <c r="S1796" s="25">
        <f t="shared" si="331"/>
        <v>0.2645092761276171</v>
      </c>
      <c r="T1796" s="25">
        <f t="shared" si="328"/>
        <v>0.12951323978578766</v>
      </c>
      <c r="U1796" s="25">
        <f t="shared" si="325"/>
        <v>0.11172103459596716</v>
      </c>
      <c r="X1796">
        <f t="shared" si="338"/>
        <v>0</v>
      </c>
      <c r="Y1796">
        <f t="shared" si="335"/>
        <v>0</v>
      </c>
      <c r="Z1796">
        <f t="shared" si="332"/>
        <v>0</v>
      </c>
      <c r="AA1796">
        <f t="shared" si="329"/>
        <v>0</v>
      </c>
      <c r="AB1796">
        <f t="shared" si="326"/>
        <v>0</v>
      </c>
    </row>
    <row r="1797" spans="1:28">
      <c r="A1797" s="27">
        <v>45033</v>
      </c>
      <c r="B1797" s="24">
        <v>1211.83</v>
      </c>
      <c r="C1797" s="25">
        <f t="shared" si="340"/>
        <v>-5.4412947491096209E-3</v>
      </c>
      <c r="E1797" s="25">
        <f t="shared" si="336"/>
        <v>1.1648849159795471E-3</v>
      </c>
      <c r="F1797" s="25">
        <f t="shared" si="333"/>
        <v>0.10178496044890428</v>
      </c>
      <c r="G1797" s="25">
        <f t="shared" si="330"/>
        <v>0.25210022624233241</v>
      </c>
      <c r="H1797" s="25">
        <f t="shared" si="327"/>
        <v>0.12203057517203342</v>
      </c>
      <c r="I1797" s="25">
        <f t="shared" si="324"/>
        <v>9.9751964529132042E-2</v>
      </c>
      <c r="K1797" s="29">
        <v>45033</v>
      </c>
      <c r="L1797" s="24">
        <v>23149.56</v>
      </c>
      <c r="M1797" s="25">
        <f t="shared" si="341"/>
        <v>-3.3503876531561579E-3</v>
      </c>
      <c r="O1797" t="b">
        <f t="shared" si="339"/>
        <v>1</v>
      </c>
      <c r="Q1797" s="25">
        <f t="shared" si="337"/>
        <v>2.2777669533591505E-2</v>
      </c>
      <c r="R1797" s="25">
        <f t="shared" si="334"/>
        <v>0.12290025957422879</v>
      </c>
      <c r="S1797" s="25">
        <f t="shared" si="331"/>
        <v>0.27046492362923091</v>
      </c>
      <c r="T1797" s="25">
        <f t="shared" si="328"/>
        <v>0.12893639545308733</v>
      </c>
      <c r="U1797" s="25">
        <f t="shared" si="325"/>
        <v>0.11052426000833337</v>
      </c>
      <c r="X1797">
        <f t="shared" si="338"/>
        <v>0</v>
      </c>
      <c r="Y1797">
        <f t="shared" si="335"/>
        <v>0</v>
      </c>
      <c r="Z1797">
        <f t="shared" si="332"/>
        <v>0</v>
      </c>
      <c r="AA1797">
        <f t="shared" si="329"/>
        <v>0</v>
      </c>
      <c r="AB1797">
        <f t="shared" si="326"/>
        <v>0</v>
      </c>
    </row>
    <row r="1798" spans="1:28">
      <c r="A1798" s="26">
        <v>45034</v>
      </c>
      <c r="B1798" s="23">
        <v>1214.1099999999999</v>
      </c>
      <c r="C1798" s="25">
        <f t="shared" si="340"/>
        <v>1.8814520188475056E-3</v>
      </c>
      <c r="E1798" s="25">
        <f t="shared" si="336"/>
        <v>-1.4228845900776665E-3</v>
      </c>
      <c r="F1798" s="25">
        <f t="shared" si="333"/>
        <v>0.10124457058693404</v>
      </c>
      <c r="G1798" s="25">
        <f t="shared" si="330"/>
        <v>0.24586126937717379</v>
      </c>
      <c r="H1798" s="25">
        <f t="shared" si="327"/>
        <v>0.12002861702633627</v>
      </c>
      <c r="I1798" s="25">
        <f t="shared" si="324"/>
        <v>0.10050461997755722</v>
      </c>
      <c r="K1798" s="28">
        <v>45034</v>
      </c>
      <c r="L1798" s="23">
        <v>23138.2</v>
      </c>
      <c r="M1798" s="25">
        <f t="shared" si="341"/>
        <v>-4.9096299625729666E-4</v>
      </c>
      <c r="O1798" t="b">
        <f t="shared" si="339"/>
        <v>1</v>
      </c>
      <c r="Q1798" s="25">
        <f t="shared" si="337"/>
        <v>1.3761769357828024E-2</v>
      </c>
      <c r="R1798" s="25">
        <f t="shared" si="334"/>
        <v>0.12360464701306961</v>
      </c>
      <c r="S1798" s="25">
        <f t="shared" si="331"/>
        <v>0.26407502641558422</v>
      </c>
      <c r="T1798" s="25">
        <f t="shared" si="328"/>
        <v>0.12586662262973403</v>
      </c>
      <c r="U1798" s="25">
        <f t="shared" si="325"/>
        <v>0.11086122211198179</v>
      </c>
      <c r="X1798">
        <f t="shared" si="338"/>
        <v>0</v>
      </c>
      <c r="Y1798">
        <f t="shared" si="335"/>
        <v>0</v>
      </c>
      <c r="Z1798">
        <f t="shared" si="332"/>
        <v>0</v>
      </c>
      <c r="AA1798">
        <f t="shared" si="329"/>
        <v>0</v>
      </c>
      <c r="AB1798">
        <f t="shared" si="326"/>
        <v>0</v>
      </c>
    </row>
    <row r="1799" spans="1:28">
      <c r="A1799" s="27">
        <v>45035</v>
      </c>
      <c r="B1799" s="24">
        <v>1208.6400000000001</v>
      </c>
      <c r="C1799" s="25">
        <f t="shared" si="340"/>
        <v>-4.5053578341334808E-3</v>
      </c>
      <c r="E1799" s="25">
        <f t="shared" si="336"/>
        <v>-1.5637216575449475E-2</v>
      </c>
      <c r="F1799" s="25">
        <f t="shared" si="333"/>
        <v>9.4614036802061818E-2</v>
      </c>
      <c r="G1799" s="25">
        <f t="shared" si="330"/>
        <v>0.2401410556843544</v>
      </c>
      <c r="H1799" s="25">
        <f t="shared" si="327"/>
        <v>0.12047898278734981</v>
      </c>
      <c r="I1799" s="25">
        <f t="shared" si="324"/>
        <v>9.7357456526653063E-2</v>
      </c>
      <c r="K1799" s="29">
        <v>45035</v>
      </c>
      <c r="L1799" s="24">
        <v>23075.89</v>
      </c>
      <c r="M1799" s="25">
        <f t="shared" si="341"/>
        <v>-2.700220879888113E-3</v>
      </c>
      <c r="O1799" t="b">
        <f t="shared" si="339"/>
        <v>1</v>
      </c>
      <c r="Q1799" s="25">
        <f t="shared" si="337"/>
        <v>-2.6701046388853955E-3</v>
      </c>
      <c r="R1799" s="25">
        <f t="shared" si="334"/>
        <v>0.11851826122839526</v>
      </c>
      <c r="S1799" s="25">
        <f t="shared" si="331"/>
        <v>0.25916757549733882</v>
      </c>
      <c r="T1799" s="25">
        <f t="shared" si="328"/>
        <v>0.12681579718615232</v>
      </c>
      <c r="U1799" s="25">
        <f t="shared" si="325"/>
        <v>0.10919715436039468</v>
      </c>
      <c r="X1799">
        <f t="shared" si="338"/>
        <v>0</v>
      </c>
      <c r="Y1799">
        <f t="shared" si="335"/>
        <v>0</v>
      </c>
      <c r="Z1799">
        <f t="shared" si="332"/>
        <v>0</v>
      </c>
      <c r="AA1799">
        <f t="shared" si="329"/>
        <v>0</v>
      </c>
      <c r="AB1799">
        <f t="shared" si="326"/>
        <v>0</v>
      </c>
    </row>
    <row r="1800" spans="1:28">
      <c r="A1800" s="26">
        <v>45036</v>
      </c>
      <c r="B1800" s="23">
        <v>1209.28</v>
      </c>
      <c r="C1800" s="25">
        <f t="shared" si="340"/>
        <v>5.2952078369065448E-4</v>
      </c>
      <c r="E1800" s="25">
        <f t="shared" si="336"/>
        <v>-2.4499896885955552E-3</v>
      </c>
      <c r="F1800" s="25">
        <f t="shared" si="333"/>
        <v>9.7053845656406956E-2</v>
      </c>
      <c r="G1800" s="25">
        <f t="shared" si="330"/>
        <v>0.23168132708285794</v>
      </c>
      <c r="H1800" s="25">
        <f t="shared" si="327"/>
        <v>0.11825410991169738</v>
      </c>
      <c r="I1800" s="25">
        <f t="shared" si="324"/>
        <v>9.7303227876420317E-2</v>
      </c>
      <c r="K1800" s="28">
        <v>45036</v>
      </c>
      <c r="L1800" s="23">
        <v>23083.439999999999</v>
      </c>
      <c r="M1800" s="25">
        <f t="shared" si="341"/>
        <v>3.270743008840655E-4</v>
      </c>
      <c r="O1800" t="b">
        <f t="shared" si="339"/>
        <v>1</v>
      </c>
      <c r="Q1800" s="25">
        <f t="shared" si="337"/>
        <v>8.3098911467158754E-3</v>
      </c>
      <c r="R1800" s="25">
        <f t="shared" si="334"/>
        <v>0.1199241431879623</v>
      </c>
      <c r="S1800" s="25">
        <f t="shared" si="331"/>
        <v>0.25252387011550947</v>
      </c>
      <c r="T1800" s="25">
        <f t="shared" si="328"/>
        <v>0.12513193027821723</v>
      </c>
      <c r="U1800" s="25">
        <f t="shared" si="325"/>
        <v>0.10947775016973993</v>
      </c>
      <c r="X1800">
        <f t="shared" si="338"/>
        <v>0</v>
      </c>
      <c r="Y1800">
        <f t="shared" si="335"/>
        <v>0</v>
      </c>
      <c r="Z1800">
        <f t="shared" si="332"/>
        <v>0</v>
      </c>
      <c r="AA1800">
        <f t="shared" si="329"/>
        <v>0</v>
      </c>
      <c r="AB1800">
        <f t="shared" si="326"/>
        <v>0</v>
      </c>
    </row>
    <row r="1801" spans="1:28">
      <c r="A1801" s="27">
        <v>45037</v>
      </c>
      <c r="B1801" s="24">
        <v>1206.76</v>
      </c>
      <c r="C1801" s="25">
        <f t="shared" si="340"/>
        <v>-2.0838846255623032E-3</v>
      </c>
      <c r="E1801" s="25">
        <f t="shared" si="336"/>
        <v>9.3173416302838596E-3</v>
      </c>
      <c r="F1801" s="25">
        <f t="shared" si="333"/>
        <v>9.0486325315290328E-2</v>
      </c>
      <c r="G1801" s="25">
        <f t="shared" si="330"/>
        <v>0.22166347730880309</v>
      </c>
      <c r="H1801" s="25">
        <f t="shared" si="327"/>
        <v>0.11749049011033219</v>
      </c>
      <c r="I1801" s="25">
        <f t="shared" si="324"/>
        <v>9.6105339034945336E-2</v>
      </c>
      <c r="K1801" s="29">
        <v>45037</v>
      </c>
      <c r="L1801" s="24">
        <v>23061.48</v>
      </c>
      <c r="M1801" s="25">
        <f t="shared" si="341"/>
        <v>-9.5223723715906906E-4</v>
      </c>
      <c r="O1801" t="b">
        <f t="shared" si="339"/>
        <v>1</v>
      </c>
      <c r="Q1801" s="25">
        <f t="shared" si="337"/>
        <v>2.2562778709179332E-2</v>
      </c>
      <c r="R1801" s="25">
        <f t="shared" si="334"/>
        <v>0.11428099946016612</v>
      </c>
      <c r="S1801" s="25">
        <f t="shared" si="331"/>
        <v>0.24078773851344804</v>
      </c>
      <c r="T1801" s="25">
        <f t="shared" si="328"/>
        <v>0.12560323937338258</v>
      </c>
      <c r="U1801" s="25">
        <f t="shared" si="325"/>
        <v>0.10865395038327041</v>
      </c>
      <c r="X1801">
        <f t="shared" si="338"/>
        <v>0</v>
      </c>
      <c r="Y1801">
        <f t="shared" si="335"/>
        <v>0</v>
      </c>
      <c r="Z1801">
        <f t="shared" si="332"/>
        <v>0</v>
      </c>
      <c r="AA1801">
        <f t="shared" si="329"/>
        <v>0</v>
      </c>
      <c r="AB1801">
        <f t="shared" si="326"/>
        <v>0</v>
      </c>
    </row>
    <row r="1802" spans="1:28">
      <c r="A1802" s="26">
        <v>45040</v>
      </c>
      <c r="B1802" s="23">
        <v>1213.9100000000001</v>
      </c>
      <c r="C1802" s="25">
        <f t="shared" si="340"/>
        <v>5.9249560807452112E-3</v>
      </c>
      <c r="E1802" s="25">
        <f t="shared" si="336"/>
        <v>3.0656089902496575E-3</v>
      </c>
      <c r="F1802" s="25">
        <f t="shared" si="333"/>
        <v>8.6662236751575916E-2</v>
      </c>
      <c r="G1802" s="25">
        <f t="shared" si="330"/>
        <v>0.24421606785141692</v>
      </c>
      <c r="H1802" s="25">
        <f t="shared" si="327"/>
        <v>0.12090620435556487</v>
      </c>
      <c r="I1802" s="25">
        <f t="shared" si="324"/>
        <v>9.8017999919145282E-2</v>
      </c>
      <c r="K1802" s="28">
        <v>45040</v>
      </c>
      <c r="L1802" s="23">
        <v>23190.5</v>
      </c>
      <c r="M1802" s="25">
        <f t="shared" si="341"/>
        <v>5.5634850477566432E-3</v>
      </c>
      <c r="O1802" t="b">
        <f t="shared" si="339"/>
        <v>1</v>
      </c>
      <c r="Q1802" s="25">
        <f t="shared" si="337"/>
        <v>1.2728929010935808E-2</v>
      </c>
      <c r="R1802" s="25">
        <f t="shared" si="334"/>
        <v>0.11078991243649772</v>
      </c>
      <c r="S1802" s="25">
        <f t="shared" si="331"/>
        <v>0.26538434775548581</v>
      </c>
      <c r="T1802" s="25">
        <f t="shared" si="328"/>
        <v>0.12795649798902575</v>
      </c>
      <c r="U1802" s="25">
        <f t="shared" si="325"/>
        <v>0.10948924473714672</v>
      </c>
      <c r="X1802">
        <f t="shared" si="338"/>
        <v>0</v>
      </c>
      <c r="Y1802">
        <f t="shared" si="335"/>
        <v>0</v>
      </c>
      <c r="Z1802">
        <f t="shared" si="332"/>
        <v>0</v>
      </c>
      <c r="AA1802">
        <f t="shared" si="329"/>
        <v>0</v>
      </c>
      <c r="AB1802">
        <f t="shared" si="326"/>
        <v>0</v>
      </c>
    </row>
    <row r="1803" spans="1:28">
      <c r="A1803" s="27">
        <v>45041</v>
      </c>
      <c r="B1803" s="24">
        <v>1215.21</v>
      </c>
      <c r="C1803" s="25">
        <f t="shared" si="340"/>
        <v>1.0709195904144084E-3</v>
      </c>
      <c r="E1803" s="25">
        <f t="shared" si="336"/>
        <v>1.6129841460967187E-2</v>
      </c>
      <c r="F1803" s="25">
        <f t="shared" si="333"/>
        <v>8.0418368039047117E-2</v>
      </c>
      <c r="G1803" s="25">
        <f t="shared" si="330"/>
        <v>0.25066202321828701</v>
      </c>
      <c r="H1803" s="25">
        <f t="shared" si="327"/>
        <v>0.12127909898466149</v>
      </c>
      <c r="I1803" s="25">
        <f t="shared" si="324"/>
        <v>9.9507859070530946E-2</v>
      </c>
      <c r="K1803" s="29">
        <v>45041</v>
      </c>
      <c r="L1803" s="24">
        <v>23230.2</v>
      </c>
      <c r="M1803" s="25">
        <f t="shared" si="341"/>
        <v>1.7089822730755966E-3</v>
      </c>
      <c r="O1803" t="b">
        <f t="shared" si="339"/>
        <v>1</v>
      </c>
      <c r="Q1803" s="25">
        <f t="shared" si="337"/>
        <v>2.4247517444685451E-2</v>
      </c>
      <c r="R1803" s="25">
        <f t="shared" si="334"/>
        <v>0.10481776623057359</v>
      </c>
      <c r="S1803" s="25">
        <f t="shared" si="331"/>
        <v>0.27020949102642455</v>
      </c>
      <c r="T1803" s="25">
        <f t="shared" si="328"/>
        <v>0.12881949004879245</v>
      </c>
      <c r="U1803" s="25">
        <f t="shared" si="325"/>
        <v>0.11082298368995991</v>
      </c>
      <c r="X1803">
        <f t="shared" si="338"/>
        <v>0</v>
      </c>
      <c r="Y1803">
        <f t="shared" si="335"/>
        <v>0</v>
      </c>
      <c r="Z1803">
        <f t="shared" si="332"/>
        <v>0</v>
      </c>
      <c r="AA1803">
        <f t="shared" si="329"/>
        <v>0</v>
      </c>
      <c r="AB1803">
        <f t="shared" si="326"/>
        <v>0</v>
      </c>
    </row>
    <row r="1804" spans="1:28">
      <c r="A1804" s="26">
        <v>45042</v>
      </c>
      <c r="B1804" s="23">
        <v>1218.8599999999999</v>
      </c>
      <c r="C1804" s="25">
        <f t="shared" si="340"/>
        <v>3.003596086273042E-3</v>
      </c>
      <c r="E1804" s="25">
        <f t="shared" si="336"/>
        <v>1.109931313667567E-2</v>
      </c>
      <c r="F1804" s="25">
        <f t="shared" si="333"/>
        <v>7.941962901076538E-2</v>
      </c>
      <c r="G1804" s="25">
        <f t="shared" si="330"/>
        <v>0.24703384621484492</v>
      </c>
      <c r="H1804" s="25">
        <f t="shared" si="327"/>
        <v>0.12389693311686867</v>
      </c>
      <c r="I1804" s="25">
        <f t="shared" si="324"/>
        <v>9.9157817443201068E-2</v>
      </c>
      <c r="K1804" s="28">
        <v>45042</v>
      </c>
      <c r="L1804" s="23">
        <v>23290.3</v>
      </c>
      <c r="M1804" s="25">
        <f t="shared" si="341"/>
        <v>2.5804734159713934E-3</v>
      </c>
      <c r="O1804" t="b">
        <f t="shared" si="339"/>
        <v>1</v>
      </c>
      <c r="Q1804" s="25">
        <f t="shared" si="337"/>
        <v>1.5857465998218467E-2</v>
      </c>
      <c r="R1804" s="25">
        <f t="shared" si="334"/>
        <v>0.10547024361947299</v>
      </c>
      <c r="S1804" s="25">
        <f t="shared" si="331"/>
        <v>0.26836379194512983</v>
      </c>
      <c r="T1804" s="25">
        <f t="shared" si="328"/>
        <v>0.13226561802503789</v>
      </c>
      <c r="U1804" s="25">
        <f t="shared" si="325"/>
        <v>0.11065018761624112</v>
      </c>
      <c r="X1804">
        <f t="shared" si="338"/>
        <v>0</v>
      </c>
      <c r="Y1804">
        <f t="shared" si="335"/>
        <v>0</v>
      </c>
      <c r="Z1804">
        <f t="shared" si="332"/>
        <v>0</v>
      </c>
      <c r="AA1804">
        <f t="shared" si="329"/>
        <v>0</v>
      </c>
      <c r="AB1804">
        <f t="shared" si="326"/>
        <v>0</v>
      </c>
    </row>
    <row r="1805" spans="1:28">
      <c r="A1805" s="27">
        <v>45043</v>
      </c>
      <c r="B1805" s="24">
        <v>1227.3900000000001</v>
      </c>
      <c r="C1805" s="25">
        <f t="shared" si="340"/>
        <v>6.9983427136834425E-3</v>
      </c>
      <c r="E1805" s="25">
        <f t="shared" si="336"/>
        <v>2.4831962593412138E-2</v>
      </c>
      <c r="F1805" s="25">
        <f t="shared" si="333"/>
        <v>8.8725351322441748E-2</v>
      </c>
      <c r="G1805" s="25">
        <f t="shared" si="330"/>
        <v>0.25316114555894575</v>
      </c>
      <c r="H1805" s="25">
        <f t="shared" si="327"/>
        <v>0.12780828233521468</v>
      </c>
      <c r="I1805" s="25">
        <f t="shared" si="324"/>
        <v>9.9323629132252567E-2</v>
      </c>
      <c r="K1805" s="29">
        <v>45043</v>
      </c>
      <c r="L1805" s="24">
        <v>23415.66</v>
      </c>
      <c r="M1805" s="25">
        <f t="shared" si="341"/>
        <v>5.3536821084693145E-3</v>
      </c>
      <c r="O1805" t="b">
        <f t="shared" si="339"/>
        <v>1</v>
      </c>
      <c r="Q1805" s="25">
        <f t="shared" si="337"/>
        <v>3.0346286039652393E-2</v>
      </c>
      <c r="R1805" s="25">
        <f t="shared" si="334"/>
        <v>0.11596566045478895</v>
      </c>
      <c r="S1805" s="25">
        <f t="shared" si="331"/>
        <v>0.27370367248988714</v>
      </c>
      <c r="T1805" s="25">
        <f t="shared" si="328"/>
        <v>0.13618532140809636</v>
      </c>
      <c r="U1805" s="25">
        <f t="shared" si="325"/>
        <v>0.11037236236603154</v>
      </c>
      <c r="X1805">
        <f t="shared" si="338"/>
        <v>0</v>
      </c>
      <c r="Y1805">
        <f t="shared" si="335"/>
        <v>0</v>
      </c>
      <c r="Z1805">
        <f t="shared" si="332"/>
        <v>0</v>
      </c>
      <c r="AA1805">
        <f t="shared" si="329"/>
        <v>0</v>
      </c>
      <c r="AB1805">
        <f t="shared" si="326"/>
        <v>0</v>
      </c>
    </row>
    <row r="1806" spans="1:28">
      <c r="A1806" s="26">
        <v>45044</v>
      </c>
      <c r="B1806" s="23">
        <v>1237.1199999999999</v>
      </c>
      <c r="C1806" s="25">
        <f t="shared" si="340"/>
        <v>7.9273906419310806E-3</v>
      </c>
      <c r="E1806" s="25">
        <f t="shared" si="336"/>
        <v>3.9456879747260754E-2</v>
      </c>
      <c r="F1806" s="25">
        <f t="shared" si="333"/>
        <v>9.1032128345152508E-2</v>
      </c>
      <c r="G1806" s="25">
        <f t="shared" si="330"/>
        <v>0.25465594421746829</v>
      </c>
      <c r="H1806" s="25">
        <f t="shared" si="327"/>
        <v>0.13260213683867117</v>
      </c>
      <c r="I1806" s="25">
        <f t="shared" si="324"/>
        <v>9.9192466386130107E-2</v>
      </c>
      <c r="K1806" s="28">
        <v>45044</v>
      </c>
      <c r="L1806" s="23">
        <v>23643.94</v>
      </c>
      <c r="M1806" s="25">
        <f t="shared" si="341"/>
        <v>9.6549052315307374E-3</v>
      </c>
      <c r="O1806" t="b">
        <f t="shared" si="339"/>
        <v>1</v>
      </c>
      <c r="Q1806" s="25">
        <f t="shared" si="337"/>
        <v>4.3712986146180244E-2</v>
      </c>
      <c r="R1806" s="25">
        <f t="shared" si="334"/>
        <v>0.11999507436951196</v>
      </c>
      <c r="S1806" s="25">
        <f t="shared" si="331"/>
        <v>0.27607138606495596</v>
      </c>
      <c r="T1806" s="25">
        <f t="shared" si="328"/>
        <v>0.14229738450973017</v>
      </c>
      <c r="U1806" s="25">
        <f t="shared" si="325"/>
        <v>0.11128771440833973</v>
      </c>
      <c r="X1806">
        <f t="shared" si="338"/>
        <v>0</v>
      </c>
      <c r="Y1806">
        <f t="shared" si="335"/>
        <v>0</v>
      </c>
      <c r="Z1806">
        <f t="shared" si="332"/>
        <v>0</v>
      </c>
      <c r="AA1806">
        <f t="shared" si="329"/>
        <v>0</v>
      </c>
      <c r="AB1806">
        <f t="shared" si="326"/>
        <v>0</v>
      </c>
    </row>
    <row r="1807" spans="1:28">
      <c r="A1807" s="27">
        <v>45048</v>
      </c>
      <c r="B1807" s="24">
        <v>1238.68</v>
      </c>
      <c r="C1807" s="25">
        <f t="shared" si="340"/>
        <v>1.2609932747026746E-3</v>
      </c>
      <c r="E1807" s="25">
        <f t="shared" si="336"/>
        <v>6.6301671745605306E-2</v>
      </c>
      <c r="F1807" s="25">
        <f t="shared" si="333"/>
        <v>9.6839764214357471E-2</v>
      </c>
      <c r="G1807" s="25">
        <f t="shared" si="330"/>
        <v>0.25686415635951754</v>
      </c>
      <c r="H1807" s="25">
        <f t="shared" si="327"/>
        <v>0.13302684397791475</v>
      </c>
      <c r="I1807" s="25">
        <f t="shared" si="324"/>
        <v>0.10145680158513892</v>
      </c>
      <c r="K1807" s="29">
        <v>45048</v>
      </c>
      <c r="L1807" s="24">
        <v>23770.12</v>
      </c>
      <c r="M1807" s="25">
        <f t="shared" si="341"/>
        <v>5.3083450988047299E-3</v>
      </c>
      <c r="O1807" t="b">
        <f t="shared" si="339"/>
        <v>1</v>
      </c>
      <c r="Q1807" s="25">
        <f t="shared" si="337"/>
        <v>7.4281416923485111E-2</v>
      </c>
      <c r="R1807" s="25">
        <f t="shared" si="334"/>
        <v>0.12729757353513516</v>
      </c>
      <c r="S1807" s="25">
        <f t="shared" si="331"/>
        <v>0.27808916803959605</v>
      </c>
      <c r="T1807" s="25">
        <f t="shared" si="328"/>
        <v>0.14505452396634211</v>
      </c>
      <c r="U1807" s="25">
        <f t="shared" si="325"/>
        <v>0.1136819449465265</v>
      </c>
      <c r="X1807">
        <f t="shared" si="338"/>
        <v>0</v>
      </c>
      <c r="Y1807">
        <f t="shared" si="335"/>
        <v>0</v>
      </c>
      <c r="Z1807">
        <f t="shared" si="332"/>
        <v>0</v>
      </c>
      <c r="AA1807">
        <f t="shared" si="329"/>
        <v>0</v>
      </c>
      <c r="AB1807">
        <f t="shared" si="326"/>
        <v>0</v>
      </c>
    </row>
    <row r="1808" spans="1:28">
      <c r="A1808" s="26">
        <v>45049</v>
      </c>
      <c r="B1808" s="23">
        <v>1235.8599999999999</v>
      </c>
      <c r="C1808" s="25">
        <f t="shared" si="340"/>
        <v>-2.2766170439501433E-3</v>
      </c>
      <c r="E1808" s="25">
        <f t="shared" si="336"/>
        <v>6.1945229727523365E-2</v>
      </c>
      <c r="F1808" s="25">
        <f t="shared" si="333"/>
        <v>8.8441298995282525E-2</v>
      </c>
      <c r="G1808" s="25">
        <f t="shared" si="330"/>
        <v>0.25536656649444445</v>
      </c>
      <c r="H1808" s="25">
        <f t="shared" si="327"/>
        <v>0.13292067210852276</v>
      </c>
      <c r="I1808" s="25">
        <f t="shared" si="324"/>
        <v>0.10254093423873223</v>
      </c>
      <c r="K1808" s="28">
        <v>45049</v>
      </c>
      <c r="L1808" s="23">
        <v>23732.29</v>
      </c>
      <c r="M1808" s="25">
        <f t="shared" si="341"/>
        <v>-1.5940307488235693E-3</v>
      </c>
      <c r="O1808" t="b">
        <f t="shared" si="339"/>
        <v>1</v>
      </c>
      <c r="Q1808" s="25">
        <f t="shared" si="337"/>
        <v>7.238462584708194E-2</v>
      </c>
      <c r="R1808" s="25">
        <f t="shared" si="334"/>
        <v>0.12128107931950538</v>
      </c>
      <c r="S1808" s="25">
        <f t="shared" si="331"/>
        <v>0.27941642301935854</v>
      </c>
      <c r="T1808" s="25">
        <f t="shared" si="328"/>
        <v>0.14488857922951537</v>
      </c>
      <c r="U1808" s="25">
        <f t="shared" si="325"/>
        <v>0.11464706953704118</v>
      </c>
      <c r="X1808">
        <f t="shared" si="338"/>
        <v>0</v>
      </c>
      <c r="Y1808">
        <f t="shared" si="335"/>
        <v>0</v>
      </c>
      <c r="Z1808">
        <f t="shared" si="332"/>
        <v>0</v>
      </c>
      <c r="AA1808">
        <f t="shared" si="329"/>
        <v>0</v>
      </c>
      <c r="AB1808">
        <f t="shared" si="326"/>
        <v>0</v>
      </c>
    </row>
    <row r="1809" spans="1:28">
      <c r="A1809" s="27">
        <v>45050</v>
      </c>
      <c r="B1809" s="24">
        <v>1247.76</v>
      </c>
      <c r="C1809" s="25">
        <f t="shared" si="340"/>
        <v>9.6289223698477911E-3</v>
      </c>
      <c r="E1809" s="25">
        <f t="shared" si="336"/>
        <v>9.3298752278143882E-2</v>
      </c>
      <c r="F1809" s="25">
        <f t="shared" si="333"/>
        <v>8.8629794779599314E-2</v>
      </c>
      <c r="G1809" s="25">
        <f t="shared" si="330"/>
        <v>0.25251662246061679</v>
      </c>
      <c r="H1809" s="25">
        <f t="shared" si="327"/>
        <v>0.14126268931353181</v>
      </c>
      <c r="I1809" s="25">
        <f t="shared" si="324"/>
        <v>0.10582181655762035</v>
      </c>
      <c r="K1809" s="29">
        <v>45050</v>
      </c>
      <c r="L1809" s="24">
        <v>23932.9</v>
      </c>
      <c r="M1809" s="25">
        <f t="shared" si="341"/>
        <v>8.3821851927681386E-3</v>
      </c>
      <c r="O1809" t="b">
        <f t="shared" si="339"/>
        <v>1</v>
      </c>
      <c r="Q1809" s="25">
        <f t="shared" si="337"/>
        <v>0.10054284722333984</v>
      </c>
      <c r="R1809" s="25">
        <f t="shared" si="334"/>
        <v>0.12200099073243642</v>
      </c>
      <c r="S1809" s="25">
        <f t="shared" si="331"/>
        <v>0.27482864477033919</v>
      </c>
      <c r="T1809" s="25">
        <f t="shared" si="328"/>
        <v>0.15135755390138006</v>
      </c>
      <c r="U1809" s="25">
        <f t="shared" si="325"/>
        <v>0.11769140791241917</v>
      </c>
      <c r="X1809">
        <f t="shared" si="338"/>
        <v>0</v>
      </c>
      <c r="Y1809">
        <f t="shared" si="335"/>
        <v>0</v>
      </c>
      <c r="Z1809">
        <f t="shared" si="332"/>
        <v>0</v>
      </c>
      <c r="AA1809">
        <f t="shared" si="329"/>
        <v>0</v>
      </c>
      <c r="AB1809">
        <f t="shared" si="326"/>
        <v>0</v>
      </c>
    </row>
    <row r="1810" spans="1:28">
      <c r="A1810" s="26">
        <v>45051</v>
      </c>
      <c r="B1810" s="23">
        <v>1238.96</v>
      </c>
      <c r="C1810" s="25">
        <f t="shared" si="340"/>
        <v>-7.0526383278835311E-3</v>
      </c>
      <c r="E1810" s="25">
        <f t="shared" si="336"/>
        <v>9.2018051050627658E-2</v>
      </c>
      <c r="F1810" s="25">
        <f t="shared" si="333"/>
        <v>8.3519067365173782E-2</v>
      </c>
      <c r="G1810" s="25">
        <f t="shared" si="330"/>
        <v>0.25744949788161287</v>
      </c>
      <c r="H1810" s="25">
        <f t="shared" si="327"/>
        <v>0.13734019252011187</v>
      </c>
      <c r="I1810" s="25">
        <f t="shared" ref="I1810:I1873" si="342">((B1810/B579)^(1/5))-1</f>
        <v>0.1028464535915159</v>
      </c>
      <c r="K1810" s="28">
        <v>45051</v>
      </c>
      <c r="L1810" s="23">
        <v>23735.759999999998</v>
      </c>
      <c r="M1810" s="25">
        <f t="shared" si="341"/>
        <v>-8.3056114487171703E-3</v>
      </c>
      <c r="O1810" t="b">
        <f t="shared" si="339"/>
        <v>1</v>
      </c>
      <c r="Q1810" s="25">
        <f t="shared" si="337"/>
        <v>0.10349047011791424</v>
      </c>
      <c r="R1810" s="25">
        <f t="shared" si="334"/>
        <v>0.11464529796461242</v>
      </c>
      <c r="S1810" s="25">
        <f t="shared" si="331"/>
        <v>0.27985611537812249</v>
      </c>
      <c r="T1810" s="25">
        <f t="shared" si="328"/>
        <v>0.14734248136720685</v>
      </c>
      <c r="U1810" s="25">
        <f t="shared" ref="U1810:U1873" si="343">((L1810/L579)^(1/5))-1</f>
        <v>0.11396517100634962</v>
      </c>
      <c r="X1810">
        <f t="shared" si="338"/>
        <v>0</v>
      </c>
      <c r="Y1810">
        <f t="shared" si="335"/>
        <v>0</v>
      </c>
      <c r="Z1810">
        <f t="shared" si="332"/>
        <v>0</v>
      </c>
      <c r="AA1810">
        <f t="shared" si="329"/>
        <v>0</v>
      </c>
      <c r="AB1810">
        <f t="shared" ref="AB1810:AB1873" si="344">IF(I1810&gt;U1810,1,0)</f>
        <v>0</v>
      </c>
    </row>
    <row r="1811" spans="1:28">
      <c r="A1811" s="27">
        <v>45054</v>
      </c>
      <c r="B1811" s="24">
        <v>1253.27</v>
      </c>
      <c r="C1811" s="25">
        <f t="shared" si="340"/>
        <v>1.1550009685542669E-2</v>
      </c>
      <c r="E1811" s="25">
        <f t="shared" si="336"/>
        <v>0.11281099607536715</v>
      </c>
      <c r="F1811" s="25">
        <f t="shared" si="333"/>
        <v>8.4250075055221529E-2</v>
      </c>
      <c r="G1811" s="25">
        <f t="shared" si="330"/>
        <v>0.26283985874065285</v>
      </c>
      <c r="H1811" s="25">
        <f t="shared" si="327"/>
        <v>0.14252830453800169</v>
      </c>
      <c r="I1811" s="25">
        <f t="shared" si="342"/>
        <v>0.10505949060733566</v>
      </c>
      <c r="K1811" s="29">
        <v>45054</v>
      </c>
      <c r="L1811" s="24">
        <v>23966.42</v>
      </c>
      <c r="M1811" s="25">
        <f t="shared" si="341"/>
        <v>9.6242993321488928E-3</v>
      </c>
      <c r="O1811" t="b">
        <f t="shared" si="339"/>
        <v>1</v>
      </c>
      <c r="Q1811" s="25">
        <f t="shared" si="337"/>
        <v>0.12512857347407746</v>
      </c>
      <c r="R1811" s="25">
        <f t="shared" si="334"/>
        <v>0.11531682435842039</v>
      </c>
      <c r="S1811" s="25">
        <f t="shared" si="331"/>
        <v>0.2845856424924722</v>
      </c>
      <c r="T1811" s="25">
        <f t="shared" si="328"/>
        <v>0.15175689100990053</v>
      </c>
      <c r="U1811" s="25">
        <f t="shared" si="343"/>
        <v>0.11609686453500512</v>
      </c>
      <c r="X1811">
        <f t="shared" si="338"/>
        <v>0</v>
      </c>
      <c r="Y1811">
        <f t="shared" si="335"/>
        <v>0</v>
      </c>
      <c r="Z1811">
        <f t="shared" si="332"/>
        <v>0</v>
      </c>
      <c r="AA1811">
        <f t="shared" si="329"/>
        <v>0</v>
      </c>
      <c r="AB1811">
        <f t="shared" si="344"/>
        <v>0</v>
      </c>
    </row>
    <row r="1812" spans="1:28">
      <c r="A1812" s="26">
        <v>45055</v>
      </c>
      <c r="B1812" s="23">
        <v>1252.06</v>
      </c>
      <c r="C1812" s="25">
        <f t="shared" si="340"/>
        <v>-9.6547431918105151E-4</v>
      </c>
      <c r="E1812" s="25">
        <f t="shared" si="336"/>
        <v>0.1167540761354311</v>
      </c>
      <c r="F1812" s="25">
        <f t="shared" si="333"/>
        <v>8.4474487722918434E-2</v>
      </c>
      <c r="G1812" s="25">
        <f t="shared" si="330"/>
        <v>0.27939935207761901</v>
      </c>
      <c r="H1812" s="25">
        <f t="shared" si="327"/>
        <v>0.13942406646545491</v>
      </c>
      <c r="I1812" s="25">
        <f t="shared" si="342"/>
        <v>0.10532896640898448</v>
      </c>
      <c r="K1812" s="28">
        <v>45055</v>
      </c>
      <c r="L1812" s="23">
        <v>23956.36</v>
      </c>
      <c r="M1812" s="25">
        <f t="shared" si="341"/>
        <v>-4.1993023981930775E-4</v>
      </c>
      <c r="O1812" t="b">
        <f t="shared" si="339"/>
        <v>1</v>
      </c>
      <c r="Q1812" s="25">
        <f t="shared" si="337"/>
        <v>0.13152479129028061</v>
      </c>
      <c r="R1812" s="25">
        <f t="shared" si="334"/>
        <v>0.11628762857560648</v>
      </c>
      <c r="S1812" s="25">
        <f t="shared" si="331"/>
        <v>0.29952004540320565</v>
      </c>
      <c r="T1812" s="25">
        <f t="shared" si="328"/>
        <v>0.1497045816506779</v>
      </c>
      <c r="U1812" s="25">
        <f t="shared" si="343"/>
        <v>0.11602202321807198</v>
      </c>
      <c r="X1812">
        <f t="shared" si="338"/>
        <v>0</v>
      </c>
      <c r="Y1812">
        <f t="shared" si="335"/>
        <v>0</v>
      </c>
      <c r="Z1812">
        <f t="shared" si="332"/>
        <v>0</v>
      </c>
      <c r="AA1812">
        <f t="shared" si="329"/>
        <v>0</v>
      </c>
      <c r="AB1812">
        <f t="shared" si="344"/>
        <v>0</v>
      </c>
    </row>
    <row r="1813" spans="1:28">
      <c r="A1813" s="27">
        <v>45056</v>
      </c>
      <c r="B1813" s="24">
        <v>1252.48</v>
      </c>
      <c r="C1813" s="25">
        <f t="shared" si="340"/>
        <v>3.3544718304240432E-4</v>
      </c>
      <c r="E1813" s="25">
        <f t="shared" si="336"/>
        <v>0.1403909714192062</v>
      </c>
      <c r="F1813" s="25">
        <f t="shared" si="333"/>
        <v>8.9311695376116607E-2</v>
      </c>
      <c r="G1813" s="25">
        <f t="shared" si="330"/>
        <v>0.27418016063386874</v>
      </c>
      <c r="H1813" s="25">
        <f t="shared" si="327"/>
        <v>0.13651741783324578</v>
      </c>
      <c r="I1813" s="25">
        <f t="shared" si="342"/>
        <v>0.10625576172817208</v>
      </c>
      <c r="K1813" s="29">
        <v>45056</v>
      </c>
      <c r="L1813" s="24">
        <v>24027.200000000001</v>
      </c>
      <c r="M1813" s="25">
        <f t="shared" si="341"/>
        <v>2.9483252314044142E-3</v>
      </c>
      <c r="O1813" t="b">
        <f t="shared" si="339"/>
        <v>1</v>
      </c>
      <c r="Q1813" s="25">
        <f t="shared" si="337"/>
        <v>0.15994811246290563</v>
      </c>
      <c r="R1813" s="25">
        <f t="shared" si="334"/>
        <v>0.1225757007738002</v>
      </c>
      <c r="S1813" s="25">
        <f t="shared" si="331"/>
        <v>0.29844249920400312</v>
      </c>
      <c r="T1813" s="25">
        <f t="shared" si="328"/>
        <v>0.1472072469216279</v>
      </c>
      <c r="U1813" s="25">
        <f t="shared" si="343"/>
        <v>0.11805840672563939</v>
      </c>
      <c r="X1813">
        <f t="shared" si="338"/>
        <v>0</v>
      </c>
      <c r="Y1813">
        <f t="shared" si="335"/>
        <v>0</v>
      </c>
      <c r="Z1813">
        <f t="shared" si="332"/>
        <v>0</v>
      </c>
      <c r="AA1813">
        <f t="shared" si="329"/>
        <v>0</v>
      </c>
      <c r="AB1813">
        <f t="shared" si="344"/>
        <v>0</v>
      </c>
    </row>
    <row r="1814" spans="1:28">
      <c r="A1814" s="26">
        <v>45057</v>
      </c>
      <c r="B1814" s="23">
        <v>1254.2</v>
      </c>
      <c r="C1814" s="25">
        <f t="shared" si="340"/>
        <v>1.3732754215636397E-3</v>
      </c>
      <c r="E1814" s="25">
        <f t="shared" si="336"/>
        <v>0.1428102818300272</v>
      </c>
      <c r="F1814" s="25">
        <f t="shared" si="333"/>
        <v>9.5212858804271328E-2</v>
      </c>
      <c r="G1814" s="25">
        <f t="shared" si="330"/>
        <v>0.26696402281870246</v>
      </c>
      <c r="H1814" s="25">
        <f t="shared" si="327"/>
        <v>0.12864682137967121</v>
      </c>
      <c r="I1814" s="25">
        <f t="shared" si="342"/>
        <v>0.10512465276511573</v>
      </c>
      <c r="K1814" s="28">
        <v>45057</v>
      </c>
      <c r="L1814" s="23">
        <v>24055.22</v>
      </c>
      <c r="M1814" s="25">
        <f t="shared" si="341"/>
        <v>1.1648199434468043E-3</v>
      </c>
      <c r="O1814" t="b">
        <f t="shared" si="339"/>
        <v>1</v>
      </c>
      <c r="Q1814" s="25">
        <f t="shared" si="337"/>
        <v>0.16076005805918636</v>
      </c>
      <c r="R1814" s="25">
        <f t="shared" si="334"/>
        <v>0.12618874667547497</v>
      </c>
      <c r="S1814" s="25">
        <f t="shared" si="331"/>
        <v>0.29059422852428396</v>
      </c>
      <c r="T1814" s="25">
        <f t="shared" si="328"/>
        <v>0.13725203514504214</v>
      </c>
      <c r="U1814" s="25">
        <f t="shared" si="343"/>
        <v>0.11700004696964128</v>
      </c>
      <c r="X1814">
        <f t="shared" si="338"/>
        <v>0</v>
      </c>
      <c r="Y1814">
        <f t="shared" si="335"/>
        <v>0</v>
      </c>
      <c r="Z1814">
        <f t="shared" si="332"/>
        <v>0</v>
      </c>
      <c r="AA1814">
        <f t="shared" si="329"/>
        <v>0</v>
      </c>
      <c r="AB1814">
        <f t="shared" si="344"/>
        <v>0</v>
      </c>
    </row>
    <row r="1815" spans="1:28">
      <c r="A1815" s="27">
        <v>45058</v>
      </c>
      <c r="B1815" s="24">
        <v>1256.56</v>
      </c>
      <c r="C1815" s="25">
        <f t="shared" si="340"/>
        <v>1.8816775633869398E-3</v>
      </c>
      <c r="E1815" s="25">
        <f t="shared" si="336"/>
        <v>0.13726129061453518</v>
      </c>
      <c r="F1815" s="25">
        <f t="shared" si="333"/>
        <v>8.9470347606094958E-2</v>
      </c>
      <c r="G1815" s="25">
        <f t="shared" si="330"/>
        <v>0.26596112925212778</v>
      </c>
      <c r="H1815" s="25">
        <f t="shared" si="327"/>
        <v>0.13204799047947446</v>
      </c>
      <c r="I1815" s="25">
        <f t="shared" si="342"/>
        <v>0.1061456770403324</v>
      </c>
      <c r="K1815" s="29">
        <v>45058</v>
      </c>
      <c r="L1815" s="24">
        <v>24044.99</v>
      </c>
      <c r="M1815" s="25">
        <f t="shared" si="341"/>
        <v>-4.2545245392073622E-4</v>
      </c>
      <c r="O1815" t="b">
        <f t="shared" si="339"/>
        <v>1</v>
      </c>
      <c r="Q1815" s="25">
        <f t="shared" si="337"/>
        <v>0.151743254790909</v>
      </c>
      <c r="R1815" s="25">
        <f t="shared" si="334"/>
        <v>0.11703162982664317</v>
      </c>
      <c r="S1815" s="25">
        <f t="shared" si="331"/>
        <v>0.28788728975089795</v>
      </c>
      <c r="T1815" s="25">
        <f t="shared" si="328"/>
        <v>0.13988060563803173</v>
      </c>
      <c r="U1815" s="25">
        <f t="shared" si="343"/>
        <v>0.11753276315538774</v>
      </c>
      <c r="X1815">
        <f t="shared" si="338"/>
        <v>0</v>
      </c>
      <c r="Y1815">
        <f t="shared" si="335"/>
        <v>0</v>
      </c>
      <c r="Z1815">
        <f t="shared" si="332"/>
        <v>0</v>
      </c>
      <c r="AA1815">
        <f t="shared" si="329"/>
        <v>0</v>
      </c>
      <c r="AB1815">
        <f t="shared" si="344"/>
        <v>0</v>
      </c>
    </row>
    <row r="1816" spans="1:28">
      <c r="A1816" s="26">
        <v>45061</v>
      </c>
      <c r="B1816" s="23">
        <v>1261.8499999999999</v>
      </c>
      <c r="C1816" s="25">
        <f t="shared" si="340"/>
        <v>4.2099064111542333E-3</v>
      </c>
      <c r="E1816" s="25">
        <f t="shared" si="336"/>
        <v>0.11675059516961217</v>
      </c>
      <c r="F1816" s="25">
        <f t="shared" si="333"/>
        <v>8.5711873049278742E-2</v>
      </c>
      <c r="G1816" s="25">
        <f t="shared" si="330"/>
        <v>0.27133080098501883</v>
      </c>
      <c r="H1816" s="25">
        <f t="shared" ref="H1816:H1879" si="345">((B1816/B835)^(1/4))-1</f>
        <v>0.13208889591259165</v>
      </c>
      <c r="I1816" s="25">
        <f t="shared" si="342"/>
        <v>0.10767170116915747</v>
      </c>
      <c r="K1816" s="28">
        <v>45061</v>
      </c>
      <c r="L1816" s="23">
        <v>24157.41</v>
      </c>
      <c r="M1816" s="25">
        <f t="shared" si="341"/>
        <v>4.6536445753082908E-3</v>
      </c>
      <c r="O1816" t="b">
        <f t="shared" si="339"/>
        <v>1</v>
      </c>
      <c r="Q1816" s="25">
        <f t="shared" si="337"/>
        <v>0.12763740703345894</v>
      </c>
      <c r="R1816" s="25">
        <f t="shared" si="334"/>
        <v>0.11232975902399134</v>
      </c>
      <c r="S1816" s="25">
        <f t="shared" si="331"/>
        <v>0.2930480938353075</v>
      </c>
      <c r="T1816" s="25">
        <f t="shared" ref="T1816:T1879" si="346">((L1816/L835)^(1/4))-1</f>
        <v>0.14042393507725603</v>
      </c>
      <c r="U1816" s="25">
        <f t="shared" si="343"/>
        <v>0.11914263348959109</v>
      </c>
      <c r="X1816">
        <f t="shared" si="338"/>
        <v>0</v>
      </c>
      <c r="Y1816">
        <f t="shared" si="335"/>
        <v>0</v>
      </c>
      <c r="Z1816">
        <f t="shared" si="332"/>
        <v>0</v>
      </c>
      <c r="AA1816">
        <f t="shared" ref="AA1816:AA1879" si="347">IF(H1816&gt;T1816,1,0)</f>
        <v>0</v>
      </c>
      <c r="AB1816">
        <f t="shared" si="344"/>
        <v>0</v>
      </c>
    </row>
    <row r="1817" spans="1:28">
      <c r="A1817" s="27">
        <v>45062</v>
      </c>
      <c r="B1817" s="24">
        <v>1259.47</v>
      </c>
      <c r="C1817" s="25">
        <f t="shared" si="340"/>
        <v>-1.8861195863215769E-3</v>
      </c>
      <c r="E1817" s="25">
        <f t="shared" si="336"/>
        <v>0.11725465496899656</v>
      </c>
      <c r="F1817" s="25">
        <f t="shared" si="333"/>
        <v>8.638363307100061E-2</v>
      </c>
      <c r="G1817" s="25">
        <f t="shared" si="330"/>
        <v>0.27052410748495159</v>
      </c>
      <c r="H1817" s="25">
        <f t="shared" si="345"/>
        <v>0.13274355026622797</v>
      </c>
      <c r="I1817" s="25">
        <f t="shared" si="342"/>
        <v>0.10830710176701741</v>
      </c>
      <c r="K1817" s="29">
        <v>45062</v>
      </c>
      <c r="L1817" s="24">
        <v>24100.95</v>
      </c>
      <c r="M1817" s="25">
        <f t="shared" si="341"/>
        <v>-2.3426462442351493E-3</v>
      </c>
      <c r="O1817" t="b">
        <f t="shared" si="339"/>
        <v>1</v>
      </c>
      <c r="Q1817" s="25">
        <f t="shared" si="337"/>
        <v>0.1256350713512413</v>
      </c>
      <c r="R1817" s="25">
        <f t="shared" si="334"/>
        <v>0.11233311540337443</v>
      </c>
      <c r="S1817" s="25">
        <f t="shared" si="331"/>
        <v>0.29154774231883351</v>
      </c>
      <c r="T1817" s="25">
        <f t="shared" si="346"/>
        <v>0.14110910625367845</v>
      </c>
      <c r="U1817" s="25">
        <f t="shared" si="343"/>
        <v>0.11951050310331834</v>
      </c>
      <c r="X1817">
        <f t="shared" si="338"/>
        <v>0</v>
      </c>
      <c r="Y1817">
        <f t="shared" si="335"/>
        <v>0</v>
      </c>
      <c r="Z1817">
        <f t="shared" si="332"/>
        <v>0</v>
      </c>
      <c r="AA1817">
        <f t="shared" si="347"/>
        <v>0</v>
      </c>
      <c r="AB1817">
        <f t="shared" si="344"/>
        <v>0</v>
      </c>
    </row>
    <row r="1818" spans="1:28">
      <c r="A1818" s="26">
        <v>45063</v>
      </c>
      <c r="B1818" s="23">
        <v>1253.42</v>
      </c>
      <c r="C1818" s="25">
        <f t="shared" si="340"/>
        <v>-4.8036078668010785E-3</v>
      </c>
      <c r="E1818" s="25">
        <f t="shared" si="336"/>
        <v>0.14533475881100566</v>
      </c>
      <c r="F1818" s="25">
        <f t="shared" si="333"/>
        <v>8.6247544279919319E-2</v>
      </c>
      <c r="G1818" s="25">
        <f t="shared" si="330"/>
        <v>0.25918477439030951</v>
      </c>
      <c r="H1818" s="25">
        <f t="shared" si="345"/>
        <v>0.12487565074484408</v>
      </c>
      <c r="I1818" s="25">
        <f t="shared" si="342"/>
        <v>0.10765531732202116</v>
      </c>
      <c r="K1818" s="28">
        <v>45063</v>
      </c>
      <c r="L1818" s="23">
        <v>23998.15</v>
      </c>
      <c r="M1818" s="25">
        <f t="shared" si="341"/>
        <v>-4.2836635323972583E-3</v>
      </c>
      <c r="O1818" t="b">
        <f t="shared" si="339"/>
        <v>1</v>
      </c>
      <c r="Q1818" s="25">
        <f t="shared" si="337"/>
        <v>0.15121678603466382</v>
      </c>
      <c r="R1818" s="25">
        <f t="shared" si="334"/>
        <v>0.11311603583564445</v>
      </c>
      <c r="S1818" s="25">
        <f t="shared" si="331"/>
        <v>0.27995338330571262</v>
      </c>
      <c r="T1818" s="25">
        <f t="shared" si="346"/>
        <v>0.13489066396257487</v>
      </c>
      <c r="U1818" s="25">
        <f t="shared" si="343"/>
        <v>0.11913108852540244</v>
      </c>
      <c r="X1818">
        <f t="shared" si="338"/>
        <v>0</v>
      </c>
      <c r="Y1818">
        <f t="shared" si="335"/>
        <v>0</v>
      </c>
      <c r="Z1818">
        <f t="shared" si="332"/>
        <v>0</v>
      </c>
      <c r="AA1818">
        <f t="shared" si="347"/>
        <v>0</v>
      </c>
      <c r="AB1818">
        <f t="shared" si="344"/>
        <v>0</v>
      </c>
    </row>
    <row r="1819" spans="1:28">
      <c r="A1819" s="27">
        <v>45064</v>
      </c>
      <c r="B1819" s="24">
        <v>1252.97</v>
      </c>
      <c r="C1819" s="25">
        <f t="shared" si="340"/>
        <v>-3.590177274976029E-4</v>
      </c>
      <c r="E1819" s="25">
        <f t="shared" si="336"/>
        <v>0.11698789380783436</v>
      </c>
      <c r="F1819" s="25">
        <f t="shared" si="333"/>
        <v>7.9246663695414554E-2</v>
      </c>
      <c r="G1819" s="25">
        <f t="shared" si="330"/>
        <v>0.25249794519088353</v>
      </c>
      <c r="H1819" s="25">
        <f t="shared" si="345"/>
        <v>0.12230625854425448</v>
      </c>
      <c r="I1819" s="25">
        <f t="shared" si="342"/>
        <v>0.1095517260855563</v>
      </c>
      <c r="K1819" s="29">
        <v>45064</v>
      </c>
      <c r="L1819" s="24">
        <v>23897.439999999999</v>
      </c>
      <c r="M1819" s="25">
        <f t="shared" si="341"/>
        <v>-4.2142589331745483E-3</v>
      </c>
      <c r="O1819" t="b">
        <f t="shared" si="339"/>
        <v>1</v>
      </c>
      <c r="Q1819" s="25">
        <f t="shared" si="337"/>
        <v>0.11798639840227776</v>
      </c>
      <c r="R1819" s="25">
        <f t="shared" si="334"/>
        <v>0.10295206268715762</v>
      </c>
      <c r="S1819" s="25">
        <f t="shared" si="331"/>
        <v>0.2705840236410002</v>
      </c>
      <c r="T1819" s="25">
        <f t="shared" si="346"/>
        <v>0.13129213068392431</v>
      </c>
      <c r="U1819" s="25">
        <f t="shared" si="343"/>
        <v>0.12049307276568122</v>
      </c>
      <c r="X1819">
        <f t="shared" si="338"/>
        <v>0</v>
      </c>
      <c r="Y1819">
        <f t="shared" si="335"/>
        <v>0</v>
      </c>
      <c r="Z1819">
        <f t="shared" si="332"/>
        <v>0</v>
      </c>
      <c r="AA1819">
        <f t="shared" si="347"/>
        <v>0</v>
      </c>
      <c r="AB1819">
        <f t="shared" si="344"/>
        <v>0</v>
      </c>
    </row>
    <row r="1820" spans="1:28">
      <c r="A1820" s="26">
        <v>45065</v>
      </c>
      <c r="B1820" s="23">
        <v>1258.45</v>
      </c>
      <c r="C1820" s="25">
        <f t="shared" si="340"/>
        <v>4.3736083066633824E-3</v>
      </c>
      <c r="E1820" s="25">
        <f t="shared" si="336"/>
        <v>0.12808813510703154</v>
      </c>
      <c r="F1820" s="25">
        <f t="shared" si="333"/>
        <v>7.9713846184838788E-2</v>
      </c>
      <c r="G1820" s="25">
        <f t="shared" si="330"/>
        <v>0.24934522168410966</v>
      </c>
      <c r="H1820" s="25">
        <f t="shared" si="345"/>
        <v>0.12347804097326787</v>
      </c>
      <c r="I1820" s="25">
        <f t="shared" si="342"/>
        <v>0.1132744760071307</v>
      </c>
      <c r="K1820" s="28">
        <v>45065</v>
      </c>
      <c r="L1820" s="23">
        <v>23970.65</v>
      </c>
      <c r="M1820" s="25">
        <f t="shared" si="341"/>
        <v>3.0541516396093873E-3</v>
      </c>
      <c r="O1820" t="b">
        <f t="shared" si="339"/>
        <v>1</v>
      </c>
      <c r="Q1820" s="25">
        <f t="shared" si="337"/>
        <v>0.12619581650976164</v>
      </c>
      <c r="R1820" s="25">
        <f t="shared" si="334"/>
        <v>0.10273720266059239</v>
      </c>
      <c r="S1820" s="25">
        <f t="shared" si="331"/>
        <v>0.26671427527155989</v>
      </c>
      <c r="T1820" s="25">
        <f t="shared" si="346"/>
        <v>0.13184002375460135</v>
      </c>
      <c r="U1820" s="25">
        <f t="shared" si="343"/>
        <v>0.12364173765356723</v>
      </c>
      <c r="X1820">
        <f t="shared" si="338"/>
        <v>1</v>
      </c>
      <c r="Y1820">
        <f t="shared" si="335"/>
        <v>0</v>
      </c>
      <c r="Z1820">
        <f t="shared" si="332"/>
        <v>0</v>
      </c>
      <c r="AA1820">
        <f t="shared" si="347"/>
        <v>0</v>
      </c>
      <c r="AB1820">
        <f t="shared" si="344"/>
        <v>0</v>
      </c>
    </row>
    <row r="1821" spans="1:28">
      <c r="A1821" s="27">
        <v>45068</v>
      </c>
      <c r="B1821" s="24">
        <v>1264.7</v>
      </c>
      <c r="C1821" s="25">
        <f t="shared" si="340"/>
        <v>4.9664269537923631E-3</v>
      </c>
      <c r="E1821" s="25">
        <f t="shared" si="336"/>
        <v>0.14164236904106375</v>
      </c>
      <c r="F1821" s="25">
        <f t="shared" si="333"/>
        <v>8.167047155707885E-2</v>
      </c>
      <c r="G1821" s="25">
        <f t="shared" si="330"/>
        <v>0.24281622577375095</v>
      </c>
      <c r="H1821" s="25">
        <f t="shared" si="345"/>
        <v>0.12734035223157658</v>
      </c>
      <c r="I1821" s="25">
        <f t="shared" si="342"/>
        <v>0.11314351306539816</v>
      </c>
      <c r="K1821" s="29">
        <v>45068</v>
      </c>
      <c r="L1821" s="24">
        <v>24120.68</v>
      </c>
      <c r="M1821" s="25">
        <f t="shared" si="341"/>
        <v>6.2199738979165945E-3</v>
      </c>
      <c r="O1821" t="b">
        <f t="shared" si="339"/>
        <v>1</v>
      </c>
      <c r="Q1821" s="25">
        <f t="shared" si="337"/>
        <v>0.14054396550093617</v>
      </c>
      <c r="R1821" s="25">
        <f t="shared" si="334"/>
        <v>0.10604083528964647</v>
      </c>
      <c r="S1821" s="25">
        <f t="shared" si="331"/>
        <v>0.25881944748377506</v>
      </c>
      <c r="T1821" s="25">
        <f t="shared" si="346"/>
        <v>0.13529695102471062</v>
      </c>
      <c r="U1821" s="25">
        <f t="shared" si="343"/>
        <v>0.12413335384670288</v>
      </c>
      <c r="X1821">
        <f t="shared" si="338"/>
        <v>1</v>
      </c>
      <c r="Y1821">
        <f t="shared" si="335"/>
        <v>0</v>
      </c>
      <c r="Z1821">
        <f t="shared" si="332"/>
        <v>0</v>
      </c>
      <c r="AA1821">
        <f t="shared" si="347"/>
        <v>0</v>
      </c>
      <c r="AB1821">
        <f t="shared" si="344"/>
        <v>0</v>
      </c>
    </row>
    <row r="1822" spans="1:28">
      <c r="A1822" s="26">
        <v>45069</v>
      </c>
      <c r="B1822" s="23">
        <v>1265.18</v>
      </c>
      <c r="C1822" s="25">
        <f t="shared" si="340"/>
        <v>3.7953664900768416E-4</v>
      </c>
      <c r="E1822" s="25">
        <f t="shared" si="336"/>
        <v>0.15177612293574638</v>
      </c>
      <c r="F1822" s="25">
        <f t="shared" si="333"/>
        <v>7.9635730687159123E-2</v>
      </c>
      <c r="G1822" s="25">
        <f t="shared" si="330"/>
        <v>0.23815600109648116</v>
      </c>
      <c r="H1822" s="25">
        <f t="shared" si="345"/>
        <v>0.12659219379256026</v>
      </c>
      <c r="I1822" s="25">
        <f t="shared" si="342"/>
        <v>0.11571473690739342</v>
      </c>
      <c r="K1822" s="28">
        <v>45069</v>
      </c>
      <c r="L1822" s="23">
        <v>24184.07</v>
      </c>
      <c r="M1822" s="25">
        <f t="shared" si="341"/>
        <v>2.6211468954563653E-3</v>
      </c>
      <c r="O1822" t="b">
        <f t="shared" si="339"/>
        <v>1</v>
      </c>
      <c r="Q1822" s="25">
        <f t="shared" si="337"/>
        <v>0.15641489468019132</v>
      </c>
      <c r="R1822" s="25">
        <f t="shared" si="334"/>
        <v>0.10497259693079797</v>
      </c>
      <c r="S1822" s="25">
        <f t="shared" si="331"/>
        <v>0.25383579728943828</v>
      </c>
      <c r="T1822" s="25">
        <f t="shared" si="346"/>
        <v>0.1343507643963946</v>
      </c>
      <c r="U1822" s="25">
        <f t="shared" si="343"/>
        <v>0.1265963196454194</v>
      </c>
      <c r="X1822">
        <f t="shared" si="338"/>
        <v>0</v>
      </c>
      <c r="Y1822">
        <f t="shared" si="335"/>
        <v>0</v>
      </c>
      <c r="Z1822">
        <f t="shared" si="332"/>
        <v>0</v>
      </c>
      <c r="AA1822">
        <f t="shared" si="347"/>
        <v>0</v>
      </c>
      <c r="AB1822">
        <f t="shared" si="344"/>
        <v>0</v>
      </c>
    </row>
    <row r="1823" spans="1:28">
      <c r="A1823" s="27">
        <v>45070</v>
      </c>
      <c r="B1823" s="24">
        <v>1262.33</v>
      </c>
      <c r="C1823" s="25">
        <f t="shared" si="340"/>
        <v>-2.2526438925687541E-3</v>
      </c>
      <c r="E1823" s="25">
        <f t="shared" si="336"/>
        <v>0.13533178637598264</v>
      </c>
      <c r="F1823" s="25">
        <f t="shared" si="333"/>
        <v>7.7312923527673272E-2</v>
      </c>
      <c r="G1823" s="25">
        <f t="shared" si="330"/>
        <v>0.23474825205827821</v>
      </c>
      <c r="H1823" s="25">
        <f t="shared" si="345"/>
        <v>0.12661764064776637</v>
      </c>
      <c r="I1823" s="25">
        <f t="shared" si="342"/>
        <v>0.11464557518643304</v>
      </c>
      <c r="K1823" s="29">
        <v>45070</v>
      </c>
      <c r="L1823" s="24">
        <v>24139.55</v>
      </c>
      <c r="M1823" s="25">
        <f t="shared" si="341"/>
        <v>-1.844276301753779E-3</v>
      </c>
      <c r="O1823" t="b">
        <f t="shared" si="339"/>
        <v>1</v>
      </c>
      <c r="Q1823" s="25">
        <f t="shared" si="337"/>
        <v>0.14235720860238454</v>
      </c>
      <c r="R1823" s="25">
        <f t="shared" si="334"/>
        <v>0.10209351233495845</v>
      </c>
      <c r="S1823" s="25">
        <f t="shared" si="331"/>
        <v>0.24967314727487455</v>
      </c>
      <c r="T1823" s="25">
        <f t="shared" si="346"/>
        <v>0.13412507784919359</v>
      </c>
      <c r="U1823" s="25">
        <f t="shared" si="343"/>
        <v>0.12504813306557749</v>
      </c>
      <c r="X1823">
        <f t="shared" si="338"/>
        <v>0</v>
      </c>
      <c r="Y1823">
        <f t="shared" si="335"/>
        <v>0</v>
      </c>
      <c r="Z1823">
        <f t="shared" si="332"/>
        <v>0</v>
      </c>
      <c r="AA1823">
        <f t="shared" si="347"/>
        <v>0</v>
      </c>
      <c r="AB1823">
        <f t="shared" si="344"/>
        <v>0</v>
      </c>
    </row>
    <row r="1824" spans="1:28">
      <c r="A1824" s="26">
        <v>45071</v>
      </c>
      <c r="B1824" s="23">
        <v>1265.1500000000001</v>
      </c>
      <c r="C1824" s="25">
        <f t="shared" si="340"/>
        <v>2.2339641773547044E-3</v>
      </c>
      <c r="E1824" s="25">
        <f t="shared" si="336"/>
        <v>0.12188525317016952</v>
      </c>
      <c r="F1824" s="25">
        <f t="shared" si="333"/>
        <v>7.8451143129216971E-2</v>
      </c>
      <c r="G1824" s="25">
        <f t="shared" si="330"/>
        <v>0.23526189258677488</v>
      </c>
      <c r="H1824" s="25">
        <f t="shared" si="345"/>
        <v>0.12420267366456472</v>
      </c>
      <c r="I1824" s="25">
        <f t="shared" si="342"/>
        <v>0.1119304748954526</v>
      </c>
      <c r="K1824" s="28">
        <v>45071</v>
      </c>
      <c r="L1824" s="23">
        <v>24200.87</v>
      </c>
      <c r="M1824" s="25">
        <f t="shared" si="341"/>
        <v>2.5337932066078496E-3</v>
      </c>
      <c r="O1824" t="b">
        <f t="shared" si="339"/>
        <v>1</v>
      </c>
      <c r="Q1824" s="25">
        <f t="shared" si="337"/>
        <v>0.13282186548457986</v>
      </c>
      <c r="R1824" s="25">
        <f t="shared" si="334"/>
        <v>0.10133417322843186</v>
      </c>
      <c r="S1824" s="25">
        <f t="shared" si="331"/>
        <v>0.25160054556191458</v>
      </c>
      <c r="T1824" s="25">
        <f t="shared" si="346"/>
        <v>0.13145375530894809</v>
      </c>
      <c r="U1824" s="25">
        <f t="shared" si="343"/>
        <v>0.12300677224233292</v>
      </c>
      <c r="X1824">
        <f t="shared" si="338"/>
        <v>0</v>
      </c>
      <c r="Y1824">
        <f t="shared" si="335"/>
        <v>0</v>
      </c>
      <c r="Z1824">
        <f t="shared" si="332"/>
        <v>0</v>
      </c>
      <c r="AA1824">
        <f t="shared" si="347"/>
        <v>0</v>
      </c>
      <c r="AB1824">
        <f t="shared" si="344"/>
        <v>0</v>
      </c>
    </row>
    <row r="1825" spans="1:28">
      <c r="A1825" s="27">
        <v>45072</v>
      </c>
      <c r="B1825" s="24">
        <v>1277.98</v>
      </c>
      <c r="C1825" s="25">
        <f t="shared" si="340"/>
        <v>1.014108998932927E-2</v>
      </c>
      <c r="E1825" s="25">
        <f t="shared" si="336"/>
        <v>0.11298062268669717</v>
      </c>
      <c r="F1825" s="25">
        <f t="shared" si="333"/>
        <v>7.9252559863065564E-2</v>
      </c>
      <c r="G1825" s="25">
        <f t="shared" si="330"/>
        <v>0.23303327720611344</v>
      </c>
      <c r="H1825" s="25">
        <f t="shared" si="345"/>
        <v>0.12876679731088614</v>
      </c>
      <c r="I1825" s="25">
        <f t="shared" si="342"/>
        <v>0.11276887344024966</v>
      </c>
      <c r="K1825" s="29">
        <v>45072</v>
      </c>
      <c r="L1825" s="24">
        <v>24420.97</v>
      </c>
      <c r="M1825" s="25">
        <f t="shared" si="341"/>
        <v>9.0127460129553489E-3</v>
      </c>
      <c r="O1825" t="b">
        <f t="shared" si="339"/>
        <v>1</v>
      </c>
      <c r="Q1825" s="25">
        <f t="shared" si="337"/>
        <v>0.12036931264264994</v>
      </c>
      <c r="R1825" s="25">
        <f t="shared" si="334"/>
        <v>0.10121522840367292</v>
      </c>
      <c r="S1825" s="25">
        <f t="shared" si="331"/>
        <v>0.2496378671104782</v>
      </c>
      <c r="T1825" s="25">
        <f t="shared" si="346"/>
        <v>0.13525544907809417</v>
      </c>
      <c r="U1825" s="25">
        <f t="shared" si="343"/>
        <v>0.12280921972592007</v>
      </c>
      <c r="X1825">
        <f t="shared" si="338"/>
        <v>0</v>
      </c>
      <c r="Y1825">
        <f t="shared" si="335"/>
        <v>0</v>
      </c>
      <c r="Z1825">
        <f t="shared" si="332"/>
        <v>0</v>
      </c>
      <c r="AA1825">
        <f t="shared" si="347"/>
        <v>0</v>
      </c>
      <c r="AB1825">
        <f t="shared" si="344"/>
        <v>0</v>
      </c>
    </row>
    <row r="1826" spans="1:28">
      <c r="A1826" s="26">
        <v>45075</v>
      </c>
      <c r="B1826" s="23">
        <v>1284.97</v>
      </c>
      <c r="C1826" s="25">
        <f t="shared" si="340"/>
        <v>5.4695691638366869E-3</v>
      </c>
      <c r="E1826" s="25">
        <f t="shared" si="336"/>
        <v>0.12357909831765235</v>
      </c>
      <c r="F1826" s="25">
        <f t="shared" si="333"/>
        <v>8.4034384927861527E-2</v>
      </c>
      <c r="G1826" s="25">
        <f t="shared" si="330"/>
        <v>0.23462560281766565</v>
      </c>
      <c r="H1826" s="25">
        <f t="shared" si="345"/>
        <v>0.13573796706749719</v>
      </c>
      <c r="I1826" s="25">
        <f t="shared" si="342"/>
        <v>0.1150544084491758</v>
      </c>
      <c r="K1826" s="28">
        <v>45075</v>
      </c>
      <c r="L1826" s="23">
        <v>24538.66</v>
      </c>
      <c r="M1826" s="25">
        <f t="shared" si="341"/>
        <v>4.7961054108088498E-3</v>
      </c>
      <c r="O1826" t="b">
        <f t="shared" si="339"/>
        <v>1</v>
      </c>
      <c r="Q1826" s="25">
        <f t="shared" si="337"/>
        <v>0.12739423554913154</v>
      </c>
      <c r="R1826" s="25">
        <f t="shared" si="334"/>
        <v>0.10453241524791435</v>
      </c>
      <c r="S1826" s="25">
        <f t="shared" si="331"/>
        <v>0.2504079827214345</v>
      </c>
      <c r="T1826" s="25">
        <f t="shared" si="346"/>
        <v>0.14105595699490014</v>
      </c>
      <c r="U1826" s="25">
        <f t="shared" si="343"/>
        <v>0.12477744903035348</v>
      </c>
      <c r="X1826">
        <f t="shared" si="338"/>
        <v>0</v>
      </c>
      <c r="Y1826">
        <f t="shared" si="335"/>
        <v>0</v>
      </c>
      <c r="Z1826">
        <f t="shared" si="332"/>
        <v>0</v>
      </c>
      <c r="AA1826">
        <f t="shared" si="347"/>
        <v>0</v>
      </c>
      <c r="AB1826">
        <f t="shared" si="344"/>
        <v>0</v>
      </c>
    </row>
    <row r="1827" spans="1:28">
      <c r="A1827" s="27">
        <v>45076</v>
      </c>
      <c r="B1827" s="24">
        <v>1285.9100000000001</v>
      </c>
      <c r="C1827" s="25">
        <f t="shared" si="340"/>
        <v>7.3153458835619085E-4</v>
      </c>
      <c r="E1827" s="25">
        <f t="shared" si="336"/>
        <v>0.13094756468663715</v>
      </c>
      <c r="F1827" s="25">
        <f t="shared" si="333"/>
        <v>8.3148798895214204E-2</v>
      </c>
      <c r="G1827" s="25">
        <f t="shared" si="330"/>
        <v>0.23824817144621346</v>
      </c>
      <c r="H1827" s="25">
        <f t="shared" si="345"/>
        <v>0.13515639295965554</v>
      </c>
      <c r="I1827" s="25">
        <f t="shared" si="342"/>
        <v>0.11548998210443751</v>
      </c>
      <c r="K1827" s="29">
        <v>45076</v>
      </c>
      <c r="L1827" s="24">
        <v>24580.880000000001</v>
      </c>
      <c r="M1827" s="25">
        <f t="shared" si="341"/>
        <v>1.7175951389861209E-3</v>
      </c>
      <c r="O1827" t="b">
        <f t="shared" si="339"/>
        <v>1</v>
      </c>
      <c r="Q1827" s="25">
        <f t="shared" si="337"/>
        <v>0.13226427705118815</v>
      </c>
      <c r="R1827" s="25">
        <f t="shared" si="334"/>
        <v>0.10282072663713904</v>
      </c>
      <c r="S1827" s="25">
        <f t="shared" si="331"/>
        <v>0.25545331792297521</v>
      </c>
      <c r="T1827" s="25">
        <f t="shared" si="346"/>
        <v>0.14115425072524879</v>
      </c>
      <c r="U1827" s="25">
        <f t="shared" si="343"/>
        <v>0.12554333590669131</v>
      </c>
      <c r="X1827">
        <f t="shared" si="338"/>
        <v>0</v>
      </c>
      <c r="Y1827">
        <f t="shared" si="335"/>
        <v>0</v>
      </c>
      <c r="Z1827">
        <f t="shared" si="332"/>
        <v>0</v>
      </c>
      <c r="AA1827">
        <f t="shared" si="347"/>
        <v>0</v>
      </c>
      <c r="AB1827">
        <f t="shared" si="344"/>
        <v>0</v>
      </c>
    </row>
    <row r="1828" spans="1:28">
      <c r="A1828" s="26">
        <v>45077</v>
      </c>
      <c r="B1828" s="23">
        <v>1287.6099999999999</v>
      </c>
      <c r="C1828" s="25">
        <f t="shared" si="340"/>
        <v>1.3220209812504903E-3</v>
      </c>
      <c r="E1828" s="25">
        <f t="shared" si="336"/>
        <v>0.12545451367037264</v>
      </c>
      <c r="F1828" s="25">
        <f t="shared" si="333"/>
        <v>8.0552222135311435E-2</v>
      </c>
      <c r="G1828" s="25">
        <f t="shared" ref="G1828:G1891" si="348">((B1828/B1091)^(1/3))-1</f>
        <v>0.23733991706188085</v>
      </c>
      <c r="H1828" s="25">
        <f t="shared" si="345"/>
        <v>0.13431034361830263</v>
      </c>
      <c r="I1828" s="25">
        <f t="shared" si="342"/>
        <v>0.11497128690244773</v>
      </c>
      <c r="K1828" s="28">
        <v>45077</v>
      </c>
      <c r="L1828" s="23">
        <v>24538.09</v>
      </c>
      <c r="M1828" s="25">
        <f t="shared" si="341"/>
        <v>-1.7438195067342598E-3</v>
      </c>
      <c r="O1828" t="b">
        <f t="shared" si="339"/>
        <v>1</v>
      </c>
      <c r="Q1828" s="25">
        <f t="shared" si="337"/>
        <v>0.12347924743923855</v>
      </c>
      <c r="R1828" s="25">
        <f t="shared" si="334"/>
        <v>9.7386010639947118E-2</v>
      </c>
      <c r="S1828" s="25">
        <f t="shared" ref="S1828:S1891" si="349">((L1828/L1091)^(1/3))-1</f>
        <v>0.25193290924021716</v>
      </c>
      <c r="T1828" s="25">
        <f t="shared" si="346"/>
        <v>0.13977979507498595</v>
      </c>
      <c r="U1828" s="25">
        <f t="shared" si="343"/>
        <v>0.12353967670563915</v>
      </c>
      <c r="X1828">
        <f t="shared" si="338"/>
        <v>1</v>
      </c>
      <c r="Y1828">
        <f t="shared" si="335"/>
        <v>0</v>
      </c>
      <c r="Z1828">
        <f t="shared" ref="Z1828:Z1891" si="350">IF(G1828&gt;S1828,1,0)</f>
        <v>0</v>
      </c>
      <c r="AA1828">
        <f t="shared" si="347"/>
        <v>0</v>
      </c>
      <c r="AB1828">
        <f t="shared" si="344"/>
        <v>0</v>
      </c>
    </row>
    <row r="1829" spans="1:28">
      <c r="A1829" s="27">
        <v>45078</v>
      </c>
      <c r="B1829" s="24">
        <v>1287.32</v>
      </c>
      <c r="C1829" s="25">
        <f t="shared" si="340"/>
        <v>-2.252234760525032E-4</v>
      </c>
      <c r="E1829" s="25">
        <f t="shared" si="336"/>
        <v>0.13254623194270931</v>
      </c>
      <c r="F1829" s="25">
        <f t="shared" si="333"/>
        <v>7.9549858192535128E-2</v>
      </c>
      <c r="G1829" s="25">
        <f t="shared" si="348"/>
        <v>0.24533041356299146</v>
      </c>
      <c r="H1829" s="25">
        <f t="shared" si="345"/>
        <v>0.13252130340337853</v>
      </c>
      <c r="I1829" s="25">
        <f t="shared" si="342"/>
        <v>0.11638903108288168</v>
      </c>
      <c r="K1829" s="29">
        <v>45078</v>
      </c>
      <c r="L1829" s="24">
        <v>24528.9</v>
      </c>
      <c r="M1829" s="25">
        <f t="shared" si="341"/>
        <v>-3.7466009482686502E-4</v>
      </c>
      <c r="O1829" t="b">
        <f t="shared" si="339"/>
        <v>1</v>
      </c>
      <c r="Q1829" s="25">
        <f t="shared" si="337"/>
        <v>0.13022967776181438</v>
      </c>
      <c r="R1829" s="25">
        <f t="shared" si="334"/>
        <v>9.6628179696786942E-2</v>
      </c>
      <c r="S1829" s="25">
        <f t="shared" si="349"/>
        <v>0.25972831980965916</v>
      </c>
      <c r="T1829" s="25">
        <f t="shared" si="346"/>
        <v>0.13853055623767441</v>
      </c>
      <c r="U1829" s="25">
        <f t="shared" si="343"/>
        <v>0.12491054400928681</v>
      </c>
      <c r="X1829">
        <f t="shared" si="338"/>
        <v>1</v>
      </c>
      <c r="Y1829">
        <f t="shared" si="335"/>
        <v>0</v>
      </c>
      <c r="Z1829">
        <f t="shared" si="350"/>
        <v>0</v>
      </c>
      <c r="AA1829">
        <f t="shared" si="347"/>
        <v>0</v>
      </c>
      <c r="AB1829">
        <f t="shared" si="344"/>
        <v>0</v>
      </c>
    </row>
    <row r="1830" spans="1:28">
      <c r="A1830" s="26">
        <v>45079</v>
      </c>
      <c r="B1830" s="23">
        <v>1293.19</v>
      </c>
      <c r="C1830" s="25">
        <f t="shared" si="340"/>
        <v>4.5598607960725523E-3</v>
      </c>
      <c r="E1830" s="25">
        <f t="shared" si="336"/>
        <v>0.14108356128121424</v>
      </c>
      <c r="F1830" s="25">
        <f t="shared" si="333"/>
        <v>7.6998649657126217E-2</v>
      </c>
      <c r="G1830" s="25">
        <f t="shared" si="348"/>
        <v>0.24401233352815388</v>
      </c>
      <c r="H1830" s="25">
        <f t="shared" si="345"/>
        <v>0.13537672609777607</v>
      </c>
      <c r="I1830" s="25">
        <f t="shared" si="342"/>
        <v>0.11902896269926555</v>
      </c>
      <c r="K1830" s="28">
        <v>45079</v>
      </c>
      <c r="L1830" s="23">
        <v>24622.76</v>
      </c>
      <c r="M1830" s="25">
        <f t="shared" si="341"/>
        <v>3.8119203533639994E-3</v>
      </c>
      <c r="O1830" t="b">
        <f t="shared" si="339"/>
        <v>1</v>
      </c>
      <c r="Q1830" s="25">
        <f t="shared" si="337"/>
        <v>0.13646112810893674</v>
      </c>
      <c r="R1830" s="25">
        <f t="shared" si="334"/>
        <v>9.5223537422381321E-2</v>
      </c>
      <c r="S1830" s="25">
        <f t="shared" si="349"/>
        <v>0.25827363341236698</v>
      </c>
      <c r="T1830" s="25">
        <f t="shared" si="346"/>
        <v>0.14122491991884178</v>
      </c>
      <c r="U1830" s="25">
        <f t="shared" si="343"/>
        <v>0.12769264850641671</v>
      </c>
      <c r="X1830">
        <f t="shared" si="338"/>
        <v>1</v>
      </c>
      <c r="Y1830">
        <f t="shared" si="335"/>
        <v>0</v>
      </c>
      <c r="Z1830">
        <f t="shared" si="350"/>
        <v>0</v>
      </c>
      <c r="AA1830">
        <f t="shared" si="347"/>
        <v>0</v>
      </c>
      <c r="AB1830">
        <f t="shared" si="344"/>
        <v>0</v>
      </c>
    </row>
    <row r="1831" spans="1:28">
      <c r="A1831" s="27">
        <v>45082</v>
      </c>
      <c r="B1831" s="24">
        <v>1299.3599999999999</v>
      </c>
      <c r="C1831" s="25">
        <f t="shared" si="340"/>
        <v>4.7711473178727376E-3</v>
      </c>
      <c r="E1831" s="25">
        <f t="shared" si="336"/>
        <v>0.16046405701578093</v>
      </c>
      <c r="F1831" s="25">
        <f t="shared" si="333"/>
        <v>7.7253183454668584E-2</v>
      </c>
      <c r="G1831" s="25">
        <f t="shared" si="348"/>
        <v>0.25135722447735942</v>
      </c>
      <c r="H1831" s="25">
        <f t="shared" si="345"/>
        <v>0.13723672508656981</v>
      </c>
      <c r="I1831" s="25">
        <f t="shared" si="342"/>
        <v>0.1215043835705476</v>
      </c>
      <c r="K1831" s="29">
        <v>45082</v>
      </c>
      <c r="L1831" s="24">
        <v>24698.02</v>
      </c>
      <c r="M1831" s="25">
        <f t="shared" si="341"/>
        <v>3.0472078328546998E-3</v>
      </c>
      <c r="O1831" t="b">
        <f t="shared" si="339"/>
        <v>1</v>
      </c>
      <c r="Q1831" s="25">
        <f t="shared" si="337"/>
        <v>0.14962203727494461</v>
      </c>
      <c r="R1831" s="25">
        <f t="shared" si="334"/>
        <v>9.6208705197387223E-2</v>
      </c>
      <c r="S1831" s="25">
        <f t="shared" si="349"/>
        <v>0.26523763339368767</v>
      </c>
      <c r="T1831" s="25">
        <f t="shared" si="346"/>
        <v>0.14199331570495333</v>
      </c>
      <c r="U1831" s="25">
        <f t="shared" si="343"/>
        <v>0.1299967251932268</v>
      </c>
      <c r="X1831">
        <f t="shared" si="338"/>
        <v>1</v>
      </c>
      <c r="Y1831">
        <f t="shared" si="335"/>
        <v>0</v>
      </c>
      <c r="Z1831">
        <f t="shared" si="350"/>
        <v>0</v>
      </c>
      <c r="AA1831">
        <f t="shared" si="347"/>
        <v>0</v>
      </c>
      <c r="AB1831">
        <f t="shared" si="344"/>
        <v>0</v>
      </c>
    </row>
    <row r="1832" spans="1:28">
      <c r="A1832" s="26">
        <v>45083</v>
      </c>
      <c r="B1832" s="23">
        <v>1298.6600000000001</v>
      </c>
      <c r="C1832" s="25">
        <f t="shared" si="340"/>
        <v>-5.3872675778830975E-4</v>
      </c>
      <c r="E1832" s="25">
        <f t="shared" si="336"/>
        <v>0.1606266701223491</v>
      </c>
      <c r="F1832" s="25">
        <f t="shared" si="333"/>
        <v>8.1585390620273923E-2</v>
      </c>
      <c r="G1832" s="25">
        <f t="shared" si="348"/>
        <v>0.24771106840385415</v>
      </c>
      <c r="H1832" s="25">
        <f t="shared" si="345"/>
        <v>0.13967441764481481</v>
      </c>
      <c r="I1832" s="25">
        <f t="shared" si="342"/>
        <v>0.11942471493783846</v>
      </c>
      <c r="K1832" s="28">
        <v>45083</v>
      </c>
      <c r="L1832" s="23">
        <v>24727.42</v>
      </c>
      <c r="M1832" s="25">
        <f t="shared" si="341"/>
        <v>1.1889635069084368E-3</v>
      </c>
      <c r="O1832" t="b">
        <f t="shared" si="339"/>
        <v>1</v>
      </c>
      <c r="Q1832" s="25">
        <f t="shared" si="337"/>
        <v>0.15502598495740472</v>
      </c>
      <c r="R1832" s="25">
        <f t="shared" si="334"/>
        <v>0.10095220255940407</v>
      </c>
      <c r="S1832" s="25">
        <f t="shared" si="349"/>
        <v>0.26232392932460735</v>
      </c>
      <c r="T1832" s="25">
        <f t="shared" si="346"/>
        <v>0.14460372736638694</v>
      </c>
      <c r="U1832" s="25">
        <f t="shared" si="343"/>
        <v>0.12791315747750454</v>
      </c>
      <c r="X1832">
        <f t="shared" si="338"/>
        <v>1</v>
      </c>
      <c r="Y1832">
        <f t="shared" si="335"/>
        <v>0</v>
      </c>
      <c r="Z1832">
        <f t="shared" si="350"/>
        <v>0</v>
      </c>
      <c r="AA1832">
        <f t="shared" si="347"/>
        <v>0</v>
      </c>
      <c r="AB1832">
        <f t="shared" si="344"/>
        <v>0</v>
      </c>
    </row>
    <row r="1833" spans="1:28">
      <c r="A1833" s="27">
        <v>45084</v>
      </c>
      <c r="B1833" s="24">
        <v>1309.3</v>
      </c>
      <c r="C1833" s="25">
        <f t="shared" si="340"/>
        <v>8.1930605393250519E-3</v>
      </c>
      <c r="E1833" s="25">
        <f t="shared" si="336"/>
        <v>0.16209715355871723</v>
      </c>
      <c r="F1833" s="25">
        <f t="shared" si="333"/>
        <v>7.9838263177691049E-2</v>
      </c>
      <c r="G1833" s="25">
        <f t="shared" si="348"/>
        <v>0.25067922703059153</v>
      </c>
      <c r="H1833" s="25">
        <f t="shared" si="345"/>
        <v>0.14656039012205269</v>
      </c>
      <c r="I1833" s="25">
        <f t="shared" si="342"/>
        <v>0.11918529165687231</v>
      </c>
      <c r="K1833" s="29">
        <v>45084</v>
      </c>
      <c r="L1833" s="24">
        <v>24927.81</v>
      </c>
      <c r="M1833" s="25">
        <f t="shared" si="341"/>
        <v>8.0388128760610356E-3</v>
      </c>
      <c r="O1833" t="b">
        <f t="shared" si="339"/>
        <v>1</v>
      </c>
      <c r="Q1833" s="25">
        <f t="shared" si="337"/>
        <v>0.15668924875875834</v>
      </c>
      <c r="R1833" s="25">
        <f t="shared" si="334"/>
        <v>0.10012966046299243</v>
      </c>
      <c r="S1833" s="25">
        <f t="shared" si="349"/>
        <v>0.266336879964294</v>
      </c>
      <c r="T1833" s="25">
        <f t="shared" si="346"/>
        <v>0.15069184895954746</v>
      </c>
      <c r="U1833" s="25">
        <f t="shared" si="343"/>
        <v>0.12743376814470553</v>
      </c>
      <c r="X1833">
        <f t="shared" si="338"/>
        <v>1</v>
      </c>
      <c r="Y1833">
        <f t="shared" si="335"/>
        <v>0</v>
      </c>
      <c r="Z1833">
        <f t="shared" si="350"/>
        <v>0</v>
      </c>
      <c r="AA1833">
        <f t="shared" si="347"/>
        <v>0</v>
      </c>
      <c r="AB1833">
        <f t="shared" si="344"/>
        <v>0</v>
      </c>
    </row>
    <row r="1834" spans="1:28">
      <c r="A1834" s="26">
        <v>45085</v>
      </c>
      <c r="B1834" s="23">
        <v>1299.54</v>
      </c>
      <c r="C1834" s="25">
        <f t="shared" si="340"/>
        <v>-7.4543649278240214E-3</v>
      </c>
      <c r="E1834" s="25">
        <f t="shared" si="336"/>
        <v>0.16864056977904873</v>
      </c>
      <c r="F1834" s="25">
        <f t="shared" si="333"/>
        <v>7.3423451432830245E-2</v>
      </c>
      <c r="G1834" s="25">
        <f t="shared" si="348"/>
        <v>0.24238766399547695</v>
      </c>
      <c r="H1834" s="25">
        <f t="shared" si="345"/>
        <v>0.14369752118469137</v>
      </c>
      <c r="I1834" s="25">
        <f t="shared" si="342"/>
        <v>0.11751772594873167</v>
      </c>
      <c r="K1834" s="28">
        <v>45085</v>
      </c>
      <c r="L1834" s="23">
        <v>24794.46</v>
      </c>
      <c r="M1834" s="25">
        <f t="shared" si="341"/>
        <v>-5.3782175534374289E-3</v>
      </c>
      <c r="O1834" t="b">
        <f t="shared" si="339"/>
        <v>1</v>
      </c>
      <c r="Q1834" s="25">
        <f t="shared" si="337"/>
        <v>0.16678054730469949</v>
      </c>
      <c r="R1834" s="25">
        <f t="shared" si="334"/>
        <v>9.5172707978116389E-2</v>
      </c>
      <c r="S1834" s="25">
        <f t="shared" si="349"/>
        <v>0.25674026103494096</v>
      </c>
      <c r="T1834" s="25">
        <f t="shared" si="346"/>
        <v>0.14891680814936015</v>
      </c>
      <c r="U1834" s="25">
        <f t="shared" si="343"/>
        <v>0.1258319703038473</v>
      </c>
      <c r="X1834">
        <f t="shared" si="338"/>
        <v>1</v>
      </c>
      <c r="Y1834">
        <f t="shared" si="335"/>
        <v>0</v>
      </c>
      <c r="Z1834">
        <f t="shared" si="350"/>
        <v>0</v>
      </c>
      <c r="AA1834">
        <f t="shared" si="347"/>
        <v>0</v>
      </c>
      <c r="AB1834">
        <f t="shared" si="344"/>
        <v>0</v>
      </c>
    </row>
    <row r="1835" spans="1:28">
      <c r="A1835" s="27">
        <v>45086</v>
      </c>
      <c r="B1835" s="24">
        <v>1294.68</v>
      </c>
      <c r="C1835" s="25">
        <f t="shared" si="340"/>
        <v>-3.7397848469457656E-3</v>
      </c>
      <c r="E1835" s="25">
        <f t="shared" si="336"/>
        <v>0.19732546633250414</v>
      </c>
      <c r="F1835" s="25">
        <f t="shared" si="333"/>
        <v>7.1599677169347897E-2</v>
      </c>
      <c r="G1835" s="25">
        <f t="shared" si="348"/>
        <v>0.23584211495564977</v>
      </c>
      <c r="H1835" s="25">
        <f t="shared" si="345"/>
        <v>0.14381828805326013</v>
      </c>
      <c r="I1835" s="25">
        <f t="shared" si="342"/>
        <v>0.11619600932824348</v>
      </c>
      <c r="K1835" s="29">
        <v>45086</v>
      </c>
      <c r="L1835" s="24">
        <v>24728.83</v>
      </c>
      <c r="M1835" s="25">
        <f t="shared" si="341"/>
        <v>-2.6539872691104826E-3</v>
      </c>
      <c r="O1835" t="b">
        <f t="shared" si="339"/>
        <v>1</v>
      </c>
      <c r="Q1835" s="25">
        <f t="shared" si="337"/>
        <v>0.19533396494552369</v>
      </c>
      <c r="R1835" s="25">
        <f t="shared" si="334"/>
        <v>9.4022945926610202E-2</v>
      </c>
      <c r="S1835" s="25">
        <f t="shared" si="349"/>
        <v>0.24956494798681672</v>
      </c>
      <c r="T1835" s="25">
        <f t="shared" si="346"/>
        <v>0.14890454642619488</v>
      </c>
      <c r="U1835" s="25">
        <f t="shared" si="343"/>
        <v>0.12484583881916178</v>
      </c>
      <c r="X1835">
        <f t="shared" si="338"/>
        <v>1</v>
      </c>
      <c r="Y1835">
        <f t="shared" si="335"/>
        <v>0</v>
      </c>
      <c r="Z1835">
        <f t="shared" si="350"/>
        <v>0</v>
      </c>
      <c r="AA1835">
        <f t="shared" si="347"/>
        <v>0</v>
      </c>
      <c r="AB1835">
        <f t="shared" si="344"/>
        <v>0</v>
      </c>
    </row>
    <row r="1836" spans="1:28">
      <c r="A1836" s="26">
        <v>45089</v>
      </c>
      <c r="B1836" s="23">
        <v>1299.28</v>
      </c>
      <c r="C1836" s="25">
        <f t="shared" si="340"/>
        <v>3.5530015138875311E-3</v>
      </c>
      <c r="E1836" s="25">
        <f t="shared" si="336"/>
        <v>0.19968236966999675</v>
      </c>
      <c r="F1836" s="25">
        <f t="shared" si="333"/>
        <v>7.0194033089706842E-2</v>
      </c>
      <c r="G1836" s="25">
        <f t="shared" si="348"/>
        <v>0.23246568596203798</v>
      </c>
      <c r="H1836" s="25">
        <f t="shared" si="345"/>
        <v>0.1406002446915382</v>
      </c>
      <c r="I1836" s="25">
        <f t="shared" si="342"/>
        <v>0.11616176125715727</v>
      </c>
      <c r="K1836" s="28">
        <v>45089</v>
      </c>
      <c r="L1836" s="23">
        <v>24809.86</v>
      </c>
      <c r="M1836" s="25">
        <f t="shared" si="341"/>
        <v>3.2660401953093984E-3</v>
      </c>
      <c r="O1836" t="b">
        <f t="shared" si="339"/>
        <v>1</v>
      </c>
      <c r="Q1836" s="25">
        <f t="shared" si="337"/>
        <v>0.20178180537612689</v>
      </c>
      <c r="R1836" s="25">
        <f t="shared" si="334"/>
        <v>9.3651593937113642E-2</v>
      </c>
      <c r="S1836" s="25">
        <f t="shared" si="349"/>
        <v>0.24683624454820552</v>
      </c>
      <c r="T1836" s="25">
        <f t="shared" si="346"/>
        <v>0.14607877422991922</v>
      </c>
      <c r="U1836" s="25">
        <f t="shared" si="343"/>
        <v>0.12428197195271906</v>
      </c>
      <c r="X1836">
        <f t="shared" si="338"/>
        <v>0</v>
      </c>
      <c r="Y1836">
        <f t="shared" si="335"/>
        <v>0</v>
      </c>
      <c r="Z1836">
        <f t="shared" si="350"/>
        <v>0</v>
      </c>
      <c r="AA1836">
        <f t="shared" si="347"/>
        <v>0</v>
      </c>
      <c r="AB1836">
        <f t="shared" si="344"/>
        <v>0</v>
      </c>
    </row>
    <row r="1837" spans="1:28">
      <c r="A1837" s="27">
        <v>45090</v>
      </c>
      <c r="B1837" s="24">
        <v>1309.9000000000001</v>
      </c>
      <c r="C1837" s="25">
        <f t="shared" si="340"/>
        <v>8.1737577735362041E-3</v>
      </c>
      <c r="E1837" s="25">
        <f t="shared" si="336"/>
        <v>0.20586962725657543</v>
      </c>
      <c r="F1837" s="25">
        <f t="shared" si="333"/>
        <v>7.7283004975678082E-2</v>
      </c>
      <c r="G1837" s="25">
        <f t="shared" si="348"/>
        <v>0.23037835816868313</v>
      </c>
      <c r="H1837" s="25">
        <f t="shared" si="345"/>
        <v>0.14414426047328055</v>
      </c>
      <c r="I1837" s="25">
        <f t="shared" si="342"/>
        <v>0.11828480684593234</v>
      </c>
      <c r="K1837" s="29">
        <v>45090</v>
      </c>
      <c r="L1837" s="24">
        <v>24995.38</v>
      </c>
      <c r="M1837" s="25">
        <f t="shared" si="341"/>
        <v>7.4221716173148971E-3</v>
      </c>
      <c r="O1837" t="b">
        <f t="shared" si="339"/>
        <v>1</v>
      </c>
      <c r="Q1837" s="25">
        <f t="shared" si="337"/>
        <v>0.21061938501760813</v>
      </c>
      <c r="R1837" s="25">
        <f t="shared" si="334"/>
        <v>0.10166219548482491</v>
      </c>
      <c r="S1837" s="25">
        <f t="shared" si="349"/>
        <v>0.24338880363386384</v>
      </c>
      <c r="T1837" s="25">
        <f t="shared" si="346"/>
        <v>0.15014045431064749</v>
      </c>
      <c r="U1837" s="25">
        <f t="shared" si="343"/>
        <v>0.12595755239733686</v>
      </c>
      <c r="X1837">
        <f t="shared" si="338"/>
        <v>0</v>
      </c>
      <c r="Y1837">
        <f t="shared" si="335"/>
        <v>0</v>
      </c>
      <c r="Z1837">
        <f t="shared" si="350"/>
        <v>0</v>
      </c>
      <c r="AA1837">
        <f t="shared" si="347"/>
        <v>0</v>
      </c>
      <c r="AB1837">
        <f t="shared" si="344"/>
        <v>0</v>
      </c>
    </row>
    <row r="1838" spans="1:28">
      <c r="A1838" s="26">
        <v>45091</v>
      </c>
      <c r="B1838" s="23">
        <v>1311.6</v>
      </c>
      <c r="C1838" s="25">
        <f t="shared" si="340"/>
        <v>1.2978089930527658E-3</v>
      </c>
      <c r="E1838" s="25">
        <f t="shared" si="336"/>
        <v>0.23601752815341825</v>
      </c>
      <c r="F1838" s="25">
        <f t="shared" si="333"/>
        <v>8.1484820420715698E-2</v>
      </c>
      <c r="G1838" s="25">
        <f t="shared" si="348"/>
        <v>0.23936824765275655</v>
      </c>
      <c r="H1838" s="25">
        <f t="shared" si="345"/>
        <v>0.14522762094285158</v>
      </c>
      <c r="I1838" s="25">
        <f t="shared" si="342"/>
        <v>0.11887384868370177</v>
      </c>
      <c r="K1838" s="28">
        <v>45091</v>
      </c>
      <c r="L1838" s="23">
        <v>25051.74</v>
      </c>
      <c r="M1838" s="25">
        <f t="shared" si="341"/>
        <v>2.2497439299625725E-3</v>
      </c>
      <c r="O1838" t="b">
        <f t="shared" si="339"/>
        <v>1</v>
      </c>
      <c r="Q1838" s="25">
        <f t="shared" si="337"/>
        <v>0.240369361786404</v>
      </c>
      <c r="R1838" s="25">
        <f t="shared" si="334"/>
        <v>0.10625636717445475</v>
      </c>
      <c r="S1838" s="25">
        <f t="shared" si="349"/>
        <v>0.25038651238885934</v>
      </c>
      <c r="T1838" s="25">
        <f t="shared" si="346"/>
        <v>0.15131371734826127</v>
      </c>
      <c r="U1838" s="25">
        <f t="shared" si="343"/>
        <v>0.12696466180989052</v>
      </c>
      <c r="X1838">
        <f t="shared" si="338"/>
        <v>0</v>
      </c>
      <c r="Y1838">
        <f t="shared" si="335"/>
        <v>0</v>
      </c>
      <c r="Z1838">
        <f t="shared" si="350"/>
        <v>0</v>
      </c>
      <c r="AA1838">
        <f t="shared" si="347"/>
        <v>0</v>
      </c>
      <c r="AB1838">
        <f t="shared" si="344"/>
        <v>0</v>
      </c>
    </row>
    <row r="1839" spans="1:28">
      <c r="A1839" s="27">
        <v>45092</v>
      </c>
      <c r="B1839" s="24">
        <v>1310.6500000000001</v>
      </c>
      <c r="C1839" s="25">
        <f t="shared" si="340"/>
        <v>-7.2430619091172477E-4</v>
      </c>
      <c r="E1839" s="25">
        <f t="shared" si="336"/>
        <v>0.24138094336048499</v>
      </c>
      <c r="F1839" s="25">
        <f t="shared" ref="F1839:F1902" si="351">((B1839/B1347)^(1/2))-1</f>
        <v>8.1720268552950781E-2</v>
      </c>
      <c r="G1839" s="25">
        <f t="shared" si="348"/>
        <v>0.23811724040661097</v>
      </c>
      <c r="H1839" s="25">
        <f t="shared" si="345"/>
        <v>0.14290510936895506</v>
      </c>
      <c r="I1839" s="25">
        <f t="shared" si="342"/>
        <v>0.11913996003680838</v>
      </c>
      <c r="K1839" s="29">
        <v>45092</v>
      </c>
      <c r="L1839" s="24">
        <v>25016.49</v>
      </c>
      <c r="M1839" s="25">
        <f t="shared" si="341"/>
        <v>-1.4090705770473794E-3</v>
      </c>
      <c r="O1839" t="b">
        <f t="shared" si="339"/>
        <v>1</v>
      </c>
      <c r="Q1839" s="25">
        <f t="shared" si="337"/>
        <v>0.24756025858341646</v>
      </c>
      <c r="R1839" s="25">
        <f t="shared" ref="R1839:R1902" si="352">((L1839/L1347)^(1/2))-1</f>
        <v>0.10706730420328681</v>
      </c>
      <c r="S1839" s="25">
        <f t="shared" si="349"/>
        <v>0.24962134142134995</v>
      </c>
      <c r="T1839" s="25">
        <f t="shared" si="346"/>
        <v>0.14884971414817594</v>
      </c>
      <c r="U1839" s="25">
        <f t="shared" si="343"/>
        <v>0.12695923528420705</v>
      </c>
      <c r="X1839">
        <f t="shared" si="338"/>
        <v>0</v>
      </c>
      <c r="Y1839">
        <f t="shared" ref="Y1839:Y1902" si="353">IF(F1839&gt;R1839,1,0)</f>
        <v>0</v>
      </c>
      <c r="Z1839">
        <f t="shared" si="350"/>
        <v>0</v>
      </c>
      <c r="AA1839">
        <f t="shared" si="347"/>
        <v>0</v>
      </c>
      <c r="AB1839">
        <f t="shared" si="344"/>
        <v>0</v>
      </c>
    </row>
    <row r="1840" spans="1:28">
      <c r="A1840" s="26">
        <v>45093</v>
      </c>
      <c r="B1840" s="23">
        <v>1321.35</v>
      </c>
      <c r="C1840" s="25">
        <f t="shared" si="340"/>
        <v>8.1638881471024442E-3</v>
      </c>
      <c r="E1840" s="25">
        <f t="shared" si="336"/>
        <v>0.25489097401610694</v>
      </c>
      <c r="F1840" s="25">
        <f t="shared" si="351"/>
        <v>8.4236059641255689E-2</v>
      </c>
      <c r="G1840" s="25">
        <f t="shared" si="348"/>
        <v>0.2406395629820961</v>
      </c>
      <c r="H1840" s="25">
        <f t="shared" si="345"/>
        <v>0.1425921147199698</v>
      </c>
      <c r="I1840" s="25">
        <f t="shared" si="342"/>
        <v>0.12168042841776971</v>
      </c>
      <c r="K1840" s="28">
        <v>45093</v>
      </c>
      <c r="L1840" s="23">
        <v>25210.05</v>
      </c>
      <c r="M1840" s="25">
        <f t="shared" si="341"/>
        <v>7.6778903651519006E-3</v>
      </c>
      <c r="O1840" t="b">
        <f t="shared" si="339"/>
        <v>1</v>
      </c>
      <c r="Q1840" s="25">
        <f t="shared" si="337"/>
        <v>0.261395568062188</v>
      </c>
      <c r="R1840" s="25">
        <f t="shared" si="352"/>
        <v>0.10845636092724109</v>
      </c>
      <c r="S1840" s="25">
        <f t="shared" si="349"/>
        <v>0.24993465745995547</v>
      </c>
      <c r="T1840" s="25">
        <f t="shared" si="346"/>
        <v>0.14957848722559097</v>
      </c>
      <c r="U1840" s="25">
        <f t="shared" si="343"/>
        <v>0.12930189221582289</v>
      </c>
      <c r="X1840">
        <f t="shared" si="338"/>
        <v>0</v>
      </c>
      <c r="Y1840">
        <f t="shared" si="353"/>
        <v>0</v>
      </c>
      <c r="Z1840">
        <f t="shared" si="350"/>
        <v>0</v>
      </c>
      <c r="AA1840">
        <f t="shared" si="347"/>
        <v>0</v>
      </c>
      <c r="AB1840">
        <f t="shared" si="344"/>
        <v>0</v>
      </c>
    </row>
    <row r="1841" spans="1:28">
      <c r="A1841" s="27">
        <v>45096</v>
      </c>
      <c r="B1841" s="24">
        <v>1317.88</v>
      </c>
      <c r="C1841" s="25">
        <f t="shared" si="340"/>
        <v>-2.6261020925567036E-3</v>
      </c>
      <c r="E1841" s="25">
        <f t="shared" si="336"/>
        <v>0.22608315424190861</v>
      </c>
      <c r="F1841" s="25">
        <f t="shared" si="351"/>
        <v>8.2012773143075979E-2</v>
      </c>
      <c r="G1841" s="25">
        <f t="shared" si="348"/>
        <v>0.24307765339577037</v>
      </c>
      <c r="H1841" s="25">
        <f t="shared" si="345"/>
        <v>0.1413924619878193</v>
      </c>
      <c r="I1841" s="25">
        <f t="shared" si="342"/>
        <v>0.12291031671907304</v>
      </c>
      <c r="K1841" s="29">
        <v>45096</v>
      </c>
      <c r="L1841" s="24">
        <v>25152.76</v>
      </c>
      <c r="M1841" s="25">
        <f t="shared" si="341"/>
        <v>-2.2776824491626715E-3</v>
      </c>
      <c r="O1841" t="b">
        <f t="shared" si="339"/>
        <v>1</v>
      </c>
      <c r="Q1841" s="25">
        <f t="shared" si="337"/>
        <v>0.23083653446208796</v>
      </c>
      <c r="R1841" s="25">
        <f t="shared" si="352"/>
        <v>0.10575898451321875</v>
      </c>
      <c r="S1841" s="25">
        <f t="shared" si="349"/>
        <v>0.25243386225023956</v>
      </c>
      <c r="T1841" s="25">
        <f t="shared" si="346"/>
        <v>0.14863628307522014</v>
      </c>
      <c r="U1841" s="25">
        <f t="shared" si="343"/>
        <v>0.13083071750923914</v>
      </c>
      <c r="X1841">
        <f t="shared" si="338"/>
        <v>0</v>
      </c>
      <c r="Y1841">
        <f t="shared" si="353"/>
        <v>0</v>
      </c>
      <c r="Z1841">
        <f t="shared" si="350"/>
        <v>0</v>
      </c>
      <c r="AA1841">
        <f t="shared" si="347"/>
        <v>0</v>
      </c>
      <c r="AB1841">
        <f t="shared" si="344"/>
        <v>0</v>
      </c>
    </row>
    <row r="1842" spans="1:28">
      <c r="A1842" s="26">
        <v>45097</v>
      </c>
      <c r="B1842" s="23">
        <v>1322.04</v>
      </c>
      <c r="C1842" s="25">
        <f t="shared" si="340"/>
        <v>3.1565848180409857E-3</v>
      </c>
      <c r="E1842" s="25">
        <f t="shared" si="336"/>
        <v>0.24806706505423537</v>
      </c>
      <c r="F1842" s="25">
        <f t="shared" si="351"/>
        <v>8.5456246406269587E-2</v>
      </c>
      <c r="G1842" s="25">
        <f t="shared" si="348"/>
        <v>0.24374404645957459</v>
      </c>
      <c r="H1842" s="25">
        <f t="shared" si="345"/>
        <v>0.14367915478045301</v>
      </c>
      <c r="I1842" s="25">
        <f t="shared" si="342"/>
        <v>0.1230286562160301</v>
      </c>
      <c r="K1842" s="28">
        <v>45097</v>
      </c>
      <c r="L1842" s="23">
        <v>25242.91</v>
      </c>
      <c r="M1842" s="25">
        <f t="shared" si="341"/>
        <v>3.5712998224056362E-3</v>
      </c>
      <c r="O1842" t="b">
        <f t="shared" si="339"/>
        <v>1</v>
      </c>
      <c r="Q1842" s="25">
        <f t="shared" si="337"/>
        <v>0.25359597544744839</v>
      </c>
      <c r="R1842" s="25">
        <f t="shared" si="352"/>
        <v>0.11053166019657579</v>
      </c>
      <c r="S1842" s="25">
        <f t="shared" si="349"/>
        <v>0.25457640061085618</v>
      </c>
      <c r="T1842" s="25">
        <f t="shared" si="346"/>
        <v>0.15067659587666515</v>
      </c>
      <c r="U1842" s="25">
        <f t="shared" si="343"/>
        <v>0.13061281141934189</v>
      </c>
      <c r="X1842">
        <f t="shared" si="338"/>
        <v>0</v>
      </c>
      <c r="Y1842">
        <f t="shared" si="353"/>
        <v>0</v>
      </c>
      <c r="Z1842">
        <f t="shared" si="350"/>
        <v>0</v>
      </c>
      <c r="AA1842">
        <f t="shared" si="347"/>
        <v>0</v>
      </c>
      <c r="AB1842">
        <f t="shared" si="344"/>
        <v>0</v>
      </c>
    </row>
    <row r="1843" spans="1:28">
      <c r="A1843" s="27">
        <v>45098</v>
      </c>
      <c r="B1843" s="24">
        <v>1325.66</v>
      </c>
      <c r="C1843" s="25">
        <f t="shared" si="340"/>
        <v>2.7381924903937234E-3</v>
      </c>
      <c r="E1843" s="25">
        <f t="shared" si="336"/>
        <v>0.23684235078978566</v>
      </c>
      <c r="F1843" s="25">
        <f t="shared" si="351"/>
        <v>8.4373727845965085E-2</v>
      </c>
      <c r="G1843" s="25">
        <f t="shared" si="348"/>
        <v>0.24223240905256227</v>
      </c>
      <c r="H1843" s="25">
        <f t="shared" si="345"/>
        <v>0.14290772392036422</v>
      </c>
      <c r="I1843" s="25">
        <f t="shared" si="342"/>
        <v>0.12479125571120453</v>
      </c>
      <c r="K1843" s="29">
        <v>45098</v>
      </c>
      <c r="L1843" s="24">
        <v>25307.38</v>
      </c>
      <c r="M1843" s="25">
        <f t="shared" si="341"/>
        <v>2.5474782454762666E-3</v>
      </c>
      <c r="O1843" t="b">
        <f t="shared" si="339"/>
        <v>1</v>
      </c>
      <c r="Q1843" s="25">
        <f t="shared" si="337"/>
        <v>0.24426930328946872</v>
      </c>
      <c r="R1843" s="25">
        <f t="shared" si="352"/>
        <v>0.11006640412004032</v>
      </c>
      <c r="S1843" s="25">
        <f t="shared" si="349"/>
        <v>0.2517186213935767</v>
      </c>
      <c r="T1843" s="25">
        <f t="shared" si="346"/>
        <v>0.14977095483669256</v>
      </c>
      <c r="U1843" s="25">
        <f t="shared" si="343"/>
        <v>0.13203523457211452</v>
      </c>
      <c r="X1843">
        <f t="shared" si="338"/>
        <v>0</v>
      </c>
      <c r="Y1843">
        <f t="shared" si="353"/>
        <v>0</v>
      </c>
      <c r="Z1843">
        <f t="shared" si="350"/>
        <v>0</v>
      </c>
      <c r="AA1843">
        <f t="shared" si="347"/>
        <v>0</v>
      </c>
      <c r="AB1843">
        <f t="shared" si="344"/>
        <v>0</v>
      </c>
    </row>
    <row r="1844" spans="1:28">
      <c r="A1844" s="26">
        <v>45099</v>
      </c>
      <c r="B1844" s="23">
        <v>1318.24</v>
      </c>
      <c r="C1844" s="25">
        <f t="shared" si="340"/>
        <v>-5.5972119547999279E-3</v>
      </c>
      <c r="E1844" s="25">
        <f t="shared" si="336"/>
        <v>0.21738006187375913</v>
      </c>
      <c r="F1844" s="25">
        <f t="shared" si="351"/>
        <v>7.6641657155569032E-2</v>
      </c>
      <c r="G1844" s="25">
        <f t="shared" si="348"/>
        <v>0.23672936736704964</v>
      </c>
      <c r="H1844" s="25">
        <f t="shared" si="345"/>
        <v>0.14083549349289681</v>
      </c>
      <c r="I1844" s="25">
        <f t="shared" si="342"/>
        <v>0.12242175203113481</v>
      </c>
      <c r="K1844" s="28">
        <v>45099</v>
      </c>
      <c r="L1844" s="23">
        <v>25151.71</v>
      </c>
      <c r="M1844" s="25">
        <f t="shared" si="341"/>
        <v>-6.1892412086495072E-3</v>
      </c>
      <c r="O1844" t="b">
        <f t="shared" si="339"/>
        <v>1</v>
      </c>
      <c r="Q1844" s="25">
        <f t="shared" si="337"/>
        <v>0.22327151084916985</v>
      </c>
      <c r="R1844" s="25">
        <f t="shared" si="352"/>
        <v>0.10373482399720801</v>
      </c>
      <c r="S1844" s="25">
        <f t="shared" si="349"/>
        <v>0.24444493661389344</v>
      </c>
      <c r="T1844" s="25">
        <f t="shared" si="346"/>
        <v>0.14705750346924074</v>
      </c>
      <c r="U1844" s="25">
        <f t="shared" si="343"/>
        <v>0.12926375221408559</v>
      </c>
      <c r="X1844">
        <f t="shared" si="338"/>
        <v>0</v>
      </c>
      <c r="Y1844">
        <f t="shared" si="353"/>
        <v>0</v>
      </c>
      <c r="Z1844">
        <f t="shared" si="350"/>
        <v>0</v>
      </c>
      <c r="AA1844">
        <f t="shared" si="347"/>
        <v>0</v>
      </c>
      <c r="AB1844">
        <f t="shared" si="344"/>
        <v>0</v>
      </c>
    </row>
    <row r="1845" spans="1:28">
      <c r="A1845" s="27">
        <v>45100</v>
      </c>
      <c r="B1845" s="24">
        <v>1309.6199999999999</v>
      </c>
      <c r="C1845" s="25">
        <f t="shared" si="340"/>
        <v>-6.5390217259377031E-3</v>
      </c>
      <c r="E1845" s="25">
        <f t="shared" si="336"/>
        <v>0.19748729015032351</v>
      </c>
      <c r="F1845" s="25">
        <f t="shared" si="351"/>
        <v>7.2220480408470067E-2</v>
      </c>
      <c r="G1845" s="25">
        <f t="shared" si="348"/>
        <v>0.23195124262796507</v>
      </c>
      <c r="H1845" s="25">
        <f t="shared" si="345"/>
        <v>0.13860397420999981</v>
      </c>
      <c r="I1845" s="25">
        <f t="shared" si="342"/>
        <v>0.12163900395877492</v>
      </c>
      <c r="K1845" s="29">
        <v>45100</v>
      </c>
      <c r="L1845" s="24">
        <v>24951.37</v>
      </c>
      <c r="M1845" s="25">
        <f t="shared" si="341"/>
        <v>-8.0292184357011326E-3</v>
      </c>
      <c r="O1845" t="b">
        <f t="shared" si="339"/>
        <v>1</v>
      </c>
      <c r="Q1845" s="25">
        <f t="shared" si="337"/>
        <v>0.20251043403664681</v>
      </c>
      <c r="R1845" s="25">
        <f t="shared" si="352"/>
        <v>9.9587270111955561E-2</v>
      </c>
      <c r="S1845" s="25">
        <f t="shared" si="349"/>
        <v>0.23882463416117505</v>
      </c>
      <c r="T1845" s="25">
        <f t="shared" si="346"/>
        <v>0.14439685833830418</v>
      </c>
      <c r="U1845" s="25">
        <f t="shared" si="343"/>
        <v>0.12897421298900325</v>
      </c>
      <c r="X1845">
        <f t="shared" si="338"/>
        <v>0</v>
      </c>
      <c r="Y1845">
        <f t="shared" si="353"/>
        <v>0</v>
      </c>
      <c r="Z1845">
        <f t="shared" si="350"/>
        <v>0</v>
      </c>
      <c r="AA1845">
        <f t="shared" si="347"/>
        <v>0</v>
      </c>
      <c r="AB1845">
        <f t="shared" si="344"/>
        <v>0</v>
      </c>
    </row>
    <row r="1846" spans="1:28">
      <c r="A1846" s="26">
        <v>45103</v>
      </c>
      <c r="B1846" s="23">
        <v>1314.06</v>
      </c>
      <c r="C1846" s="25">
        <f t="shared" si="340"/>
        <v>3.3902964218628724E-3</v>
      </c>
      <c r="E1846" s="25">
        <f t="shared" si="336"/>
        <v>0.20046042955153776</v>
      </c>
      <c r="F1846" s="25">
        <f t="shared" si="351"/>
        <v>7.633499438423974E-2</v>
      </c>
      <c r="G1846" s="25">
        <f t="shared" si="348"/>
        <v>0.22854883725005082</v>
      </c>
      <c r="H1846" s="25">
        <f t="shared" si="345"/>
        <v>0.13931201307149399</v>
      </c>
      <c r="I1846" s="25">
        <f t="shared" si="342"/>
        <v>0.12205497277411981</v>
      </c>
      <c r="K1846" s="28">
        <v>45103</v>
      </c>
      <c r="L1846" s="23">
        <v>25036.52</v>
      </c>
      <c r="M1846" s="25">
        <f t="shared" si="341"/>
        <v>3.4010317727863719E-3</v>
      </c>
      <c r="O1846" t="b">
        <f t="shared" si="339"/>
        <v>1</v>
      </c>
      <c r="Q1846" s="25">
        <f t="shared" si="337"/>
        <v>0.20484198206730353</v>
      </c>
      <c r="R1846" s="25">
        <f t="shared" si="352"/>
        <v>0.10338388590427816</v>
      </c>
      <c r="S1846" s="25">
        <f t="shared" si="349"/>
        <v>0.23459057993247301</v>
      </c>
      <c r="T1846" s="25">
        <f t="shared" si="346"/>
        <v>0.14474885099933732</v>
      </c>
      <c r="U1846" s="25">
        <f t="shared" si="343"/>
        <v>0.12980684304598245</v>
      </c>
      <c r="X1846">
        <f t="shared" si="338"/>
        <v>0</v>
      </c>
      <c r="Y1846">
        <f t="shared" si="353"/>
        <v>0</v>
      </c>
      <c r="Z1846">
        <f t="shared" si="350"/>
        <v>0</v>
      </c>
      <c r="AA1846">
        <f t="shared" si="347"/>
        <v>0</v>
      </c>
      <c r="AB1846">
        <f t="shared" si="344"/>
        <v>0</v>
      </c>
    </row>
    <row r="1847" spans="1:28">
      <c r="A1847" s="27">
        <v>45104</v>
      </c>
      <c r="B1847" s="24">
        <v>1325.05</v>
      </c>
      <c r="C1847" s="25">
        <f t="shared" si="340"/>
        <v>8.3633928435535732E-3</v>
      </c>
      <c r="E1847" s="25">
        <f t="shared" si="336"/>
        <v>0.21767538458710867</v>
      </c>
      <c r="F1847" s="25">
        <f t="shared" si="351"/>
        <v>8.1393935863568911E-2</v>
      </c>
      <c r="G1847" s="25">
        <f t="shared" si="348"/>
        <v>0.22933887160541166</v>
      </c>
      <c r="H1847" s="25">
        <f t="shared" si="345"/>
        <v>0.14507865206868287</v>
      </c>
      <c r="I1847" s="25">
        <f t="shared" si="342"/>
        <v>0.12546526368869571</v>
      </c>
      <c r="K1847" s="29">
        <v>45104</v>
      </c>
      <c r="L1847" s="24">
        <v>25188.25</v>
      </c>
      <c r="M1847" s="25">
        <f t="shared" si="341"/>
        <v>6.0238404811767217E-3</v>
      </c>
      <c r="O1847" t="b">
        <f t="shared" si="339"/>
        <v>1</v>
      </c>
      <c r="Q1847" s="25">
        <f t="shared" si="337"/>
        <v>0.21633419981234603</v>
      </c>
      <c r="R1847" s="25">
        <f t="shared" si="352"/>
        <v>0.10705663408100174</v>
      </c>
      <c r="S1847" s="25">
        <f t="shared" si="349"/>
        <v>0.23546408012761755</v>
      </c>
      <c r="T1847" s="25">
        <f t="shared" si="346"/>
        <v>0.14999987399817227</v>
      </c>
      <c r="U1847" s="25">
        <f t="shared" si="343"/>
        <v>0.13362726534095493</v>
      </c>
      <c r="X1847">
        <f t="shared" si="338"/>
        <v>1</v>
      </c>
      <c r="Y1847">
        <f t="shared" si="353"/>
        <v>0</v>
      </c>
      <c r="Z1847">
        <f t="shared" si="350"/>
        <v>0</v>
      </c>
      <c r="AA1847">
        <f t="shared" si="347"/>
        <v>0</v>
      </c>
      <c r="AB1847">
        <f t="shared" si="344"/>
        <v>0</v>
      </c>
    </row>
    <row r="1848" spans="1:28">
      <c r="A1848" s="26">
        <v>45105</v>
      </c>
      <c r="B1848" s="23">
        <v>1332.74</v>
      </c>
      <c r="C1848" s="25">
        <f t="shared" si="340"/>
        <v>5.8035545828459718E-3</v>
      </c>
      <c r="E1848" s="25">
        <f t="shared" ref="E1848:E1911" si="354">(B1848/B1603)-1</f>
        <v>0.227483306470182</v>
      </c>
      <c r="F1848" s="25">
        <f t="shared" si="351"/>
        <v>8.4393385588619196E-2</v>
      </c>
      <c r="G1848" s="25">
        <f t="shared" si="348"/>
        <v>0.23356591646302682</v>
      </c>
      <c r="H1848" s="25">
        <f t="shared" si="345"/>
        <v>0.15356209419791789</v>
      </c>
      <c r="I1848" s="25">
        <f t="shared" si="342"/>
        <v>0.12900841933665874</v>
      </c>
      <c r="K1848" s="28">
        <v>45105</v>
      </c>
      <c r="L1848" s="23">
        <v>25365.599999999999</v>
      </c>
      <c r="M1848" s="25">
        <f t="shared" si="341"/>
        <v>6.9917526098337334E-3</v>
      </c>
      <c r="O1848" t="b">
        <f t="shared" si="339"/>
        <v>1</v>
      </c>
      <c r="Q1848" s="25">
        <f t="shared" ref="Q1848:Q1911" si="355">(L1848/L1603)-1</f>
        <v>0.22733191176193079</v>
      </c>
      <c r="R1848" s="25">
        <f t="shared" si="352"/>
        <v>0.11170770226561011</v>
      </c>
      <c r="S1848" s="25">
        <f t="shared" si="349"/>
        <v>0.2414151031444034</v>
      </c>
      <c r="T1848" s="25">
        <f t="shared" si="346"/>
        <v>0.15833143673417327</v>
      </c>
      <c r="U1848" s="25">
        <f t="shared" si="343"/>
        <v>0.13751940157350817</v>
      </c>
      <c r="X1848">
        <f t="shared" ref="X1848:X1911" si="356">IF(E1848&gt;Q1848,1,0)</f>
        <v>1</v>
      </c>
      <c r="Y1848">
        <f t="shared" si="353"/>
        <v>0</v>
      </c>
      <c r="Z1848">
        <f t="shared" si="350"/>
        <v>0</v>
      </c>
      <c r="AA1848">
        <f t="shared" si="347"/>
        <v>0</v>
      </c>
      <c r="AB1848">
        <f t="shared" si="344"/>
        <v>0</v>
      </c>
    </row>
    <row r="1849" spans="1:28">
      <c r="A1849" s="27">
        <v>45107</v>
      </c>
      <c r="B1849" s="24">
        <v>1346.33</v>
      </c>
      <c r="C1849" s="25">
        <f t="shared" si="340"/>
        <v>1.0197037681768325E-2</v>
      </c>
      <c r="E1849" s="25">
        <f t="shared" si="354"/>
        <v>0.23513114317954553</v>
      </c>
      <c r="F1849" s="25">
        <f t="shared" si="351"/>
        <v>8.7425987864481858E-2</v>
      </c>
      <c r="G1849" s="25">
        <f t="shared" si="348"/>
        <v>0.23421435953643499</v>
      </c>
      <c r="H1849" s="25">
        <f t="shared" si="345"/>
        <v>0.15540704747914269</v>
      </c>
      <c r="I1849" s="25">
        <f t="shared" si="342"/>
        <v>0.12931587932506017</v>
      </c>
      <c r="K1849" s="29">
        <v>45107</v>
      </c>
      <c r="L1849" s="24">
        <v>25605.81</v>
      </c>
      <c r="M1849" s="25">
        <f t="shared" si="341"/>
        <v>9.3810740609261232E-3</v>
      </c>
      <c r="O1849" t="b">
        <f t="shared" si="339"/>
        <v>1</v>
      </c>
      <c r="Q1849" s="25">
        <f t="shared" si="355"/>
        <v>0.23830694145684705</v>
      </c>
      <c r="R1849" s="25">
        <f t="shared" si="352"/>
        <v>0.11528811067836453</v>
      </c>
      <c r="S1849" s="25">
        <f t="shared" si="349"/>
        <v>0.24195343811307235</v>
      </c>
      <c r="T1849" s="25">
        <f t="shared" si="346"/>
        <v>0.16081432340561208</v>
      </c>
      <c r="U1849" s="25">
        <f t="shared" si="343"/>
        <v>0.13652707126396324</v>
      </c>
      <c r="X1849">
        <f t="shared" si="356"/>
        <v>0</v>
      </c>
      <c r="Y1849">
        <f t="shared" si="353"/>
        <v>0</v>
      </c>
      <c r="Z1849">
        <f t="shared" si="350"/>
        <v>0</v>
      </c>
      <c r="AA1849">
        <f t="shared" si="347"/>
        <v>0</v>
      </c>
      <c r="AB1849">
        <f t="shared" si="344"/>
        <v>0</v>
      </c>
    </row>
    <row r="1850" spans="1:28">
      <c r="A1850" s="26">
        <v>45110</v>
      </c>
      <c r="B1850" s="23">
        <v>1354.08</v>
      </c>
      <c r="C1850" s="25">
        <f t="shared" si="340"/>
        <v>5.7563895924476168E-3</v>
      </c>
      <c r="E1850" s="25">
        <f t="shared" si="354"/>
        <v>0.23422446245134942</v>
      </c>
      <c r="F1850" s="25">
        <f t="shared" si="351"/>
        <v>8.7005515675115941E-2</v>
      </c>
      <c r="G1850" s="25">
        <f t="shared" si="348"/>
        <v>0.23873830484315905</v>
      </c>
      <c r="H1850" s="25">
        <f t="shared" si="345"/>
        <v>0.1586106161596641</v>
      </c>
      <c r="I1850" s="25">
        <f t="shared" si="342"/>
        <v>0.13218994629178238</v>
      </c>
      <c r="K1850" s="28">
        <v>45110</v>
      </c>
      <c r="L1850" s="23">
        <v>25758.55</v>
      </c>
      <c r="M1850" s="25">
        <f t="shared" si="341"/>
        <v>5.9296816008664295E-3</v>
      </c>
      <c r="O1850" t="b">
        <f t="shared" si="339"/>
        <v>1</v>
      </c>
      <c r="Q1850" s="25">
        <f t="shared" si="355"/>
        <v>0.23822692843308846</v>
      </c>
      <c r="R1850" s="25">
        <f t="shared" si="352"/>
        <v>0.11480383499992719</v>
      </c>
      <c r="S1850" s="25">
        <f t="shared" si="349"/>
        <v>0.24618191734879602</v>
      </c>
      <c r="T1850" s="25">
        <f t="shared" si="346"/>
        <v>0.16424555549501418</v>
      </c>
      <c r="U1850" s="25">
        <f t="shared" si="343"/>
        <v>0.13921160328460536</v>
      </c>
      <c r="X1850">
        <f t="shared" si="356"/>
        <v>0</v>
      </c>
      <c r="Y1850">
        <f t="shared" si="353"/>
        <v>0</v>
      </c>
      <c r="Z1850">
        <f t="shared" si="350"/>
        <v>0</v>
      </c>
      <c r="AA1850">
        <f t="shared" si="347"/>
        <v>0</v>
      </c>
      <c r="AB1850">
        <f t="shared" si="344"/>
        <v>0</v>
      </c>
    </row>
    <row r="1851" spans="1:28">
      <c r="A1851" s="27">
        <v>45111</v>
      </c>
      <c r="B1851" s="24">
        <v>1358.98</v>
      </c>
      <c r="C1851" s="25">
        <f t="shared" si="340"/>
        <v>3.6186931348222346E-3</v>
      </c>
      <c r="E1851" s="25">
        <f t="shared" si="354"/>
        <v>0.23959464020213272</v>
      </c>
      <c r="F1851" s="25">
        <f t="shared" si="351"/>
        <v>8.8139996569264412E-2</v>
      </c>
      <c r="G1851" s="25">
        <f t="shared" si="348"/>
        <v>0.23878904520071464</v>
      </c>
      <c r="H1851" s="25">
        <f t="shared" si="345"/>
        <v>0.15681598657859541</v>
      </c>
      <c r="I1851" s="25">
        <f t="shared" si="342"/>
        <v>0.13212297226720637</v>
      </c>
      <c r="K1851" s="29">
        <v>45111</v>
      </c>
      <c r="L1851" s="24">
        <v>25802.39</v>
      </c>
      <c r="M1851" s="25">
        <f t="shared" si="341"/>
        <v>1.6990674119723075E-3</v>
      </c>
      <c r="O1851" t="b">
        <f t="shared" si="339"/>
        <v>1</v>
      </c>
      <c r="Q1851" s="25">
        <f t="shared" si="355"/>
        <v>0.24125979085266658</v>
      </c>
      <c r="R1851" s="25">
        <f t="shared" si="352"/>
        <v>0.11620565163604257</v>
      </c>
      <c r="S1851" s="25">
        <f t="shared" si="349"/>
        <v>0.24591262683405812</v>
      </c>
      <c r="T1851" s="25">
        <f t="shared" si="346"/>
        <v>0.16262326686506778</v>
      </c>
      <c r="U1851" s="25">
        <f t="shared" si="343"/>
        <v>0.13858806706302995</v>
      </c>
      <c r="X1851">
        <f t="shared" si="356"/>
        <v>0</v>
      </c>
      <c r="Y1851">
        <f t="shared" si="353"/>
        <v>0</v>
      </c>
      <c r="Z1851">
        <f t="shared" si="350"/>
        <v>0</v>
      </c>
      <c r="AA1851">
        <f t="shared" si="347"/>
        <v>0</v>
      </c>
      <c r="AB1851">
        <f t="shared" si="344"/>
        <v>0</v>
      </c>
    </row>
    <row r="1852" spans="1:28">
      <c r="A1852" s="26">
        <v>45112</v>
      </c>
      <c r="B1852" s="23">
        <v>1361.54</v>
      </c>
      <c r="C1852" s="25">
        <f t="shared" si="340"/>
        <v>1.8837657655005559E-3</v>
      </c>
      <c r="E1852" s="25">
        <f t="shared" si="354"/>
        <v>0.227132209133597</v>
      </c>
      <c r="F1852" s="25">
        <f t="shared" si="351"/>
        <v>8.6559393612019919E-2</v>
      </c>
      <c r="G1852" s="25">
        <f t="shared" si="348"/>
        <v>0.24493598268071293</v>
      </c>
      <c r="H1852" s="25">
        <f t="shared" si="345"/>
        <v>0.1568348150787342</v>
      </c>
      <c r="I1852" s="25">
        <f t="shared" si="342"/>
        <v>0.13159374835630189</v>
      </c>
      <c r="K1852" s="28">
        <v>45112</v>
      </c>
      <c r="L1852" s="23">
        <v>25866.77</v>
      </c>
      <c r="M1852" s="25">
        <f t="shared" si="341"/>
        <v>2.4889075829723239E-3</v>
      </c>
      <c r="O1852" t="b">
        <f t="shared" si="339"/>
        <v>1</v>
      </c>
      <c r="Q1852" s="25">
        <f t="shared" si="355"/>
        <v>0.22888647652258176</v>
      </c>
      <c r="R1852" s="25">
        <f t="shared" si="352"/>
        <v>0.11526417183619886</v>
      </c>
      <c r="S1852" s="25">
        <f t="shared" si="349"/>
        <v>0.25362883098519329</v>
      </c>
      <c r="T1852" s="25">
        <f t="shared" si="346"/>
        <v>0.16360599872754378</v>
      </c>
      <c r="U1852" s="25">
        <f t="shared" si="343"/>
        <v>0.13801709820818497</v>
      </c>
      <c r="X1852">
        <f t="shared" si="356"/>
        <v>0</v>
      </c>
      <c r="Y1852">
        <f t="shared" si="353"/>
        <v>0</v>
      </c>
      <c r="Z1852">
        <f t="shared" si="350"/>
        <v>0</v>
      </c>
      <c r="AA1852">
        <f t="shared" si="347"/>
        <v>0</v>
      </c>
      <c r="AB1852">
        <f t="shared" si="344"/>
        <v>0</v>
      </c>
    </row>
    <row r="1853" spans="1:28">
      <c r="A1853" s="27">
        <v>45113</v>
      </c>
      <c r="B1853" s="24">
        <v>1366.58</v>
      </c>
      <c r="C1853" s="25">
        <f t="shared" si="340"/>
        <v>3.701690732552818E-3</v>
      </c>
      <c r="E1853" s="25">
        <f t="shared" si="354"/>
        <v>0.21911575792178128</v>
      </c>
      <c r="F1853" s="25">
        <f t="shared" si="351"/>
        <v>9.2535730742045796E-2</v>
      </c>
      <c r="G1853" s="25">
        <f t="shared" si="348"/>
        <v>0.24615830346502698</v>
      </c>
      <c r="H1853" s="25">
        <f t="shared" si="345"/>
        <v>0.15806006344305046</v>
      </c>
      <c r="I1853" s="25">
        <f t="shared" si="342"/>
        <v>0.13298665859310788</v>
      </c>
      <c r="K1853" s="29">
        <v>45113</v>
      </c>
      <c r="L1853" s="24">
        <v>26019.5</v>
      </c>
      <c r="M1853" s="25">
        <f t="shared" si="341"/>
        <v>5.8698283979323031E-3</v>
      </c>
      <c r="O1853" t="b">
        <f t="shared" si="339"/>
        <v>1</v>
      </c>
      <c r="Q1853" s="25">
        <f t="shared" si="355"/>
        <v>0.22399835542641067</v>
      </c>
      <c r="R1853" s="25">
        <f t="shared" si="352"/>
        <v>0.12246533216260436</v>
      </c>
      <c r="S1853" s="25">
        <f t="shared" si="349"/>
        <v>0.25622530535129751</v>
      </c>
      <c r="T1853" s="25">
        <f t="shared" si="346"/>
        <v>0.16493651819348965</v>
      </c>
      <c r="U1853" s="25">
        <f t="shared" si="343"/>
        <v>0.13998098585219831</v>
      </c>
      <c r="X1853">
        <f t="shared" si="356"/>
        <v>0</v>
      </c>
      <c r="Y1853">
        <f t="shared" si="353"/>
        <v>0</v>
      </c>
      <c r="Z1853">
        <f t="shared" si="350"/>
        <v>0</v>
      </c>
      <c r="AA1853">
        <f t="shared" si="347"/>
        <v>0</v>
      </c>
      <c r="AB1853">
        <f t="shared" si="344"/>
        <v>0</v>
      </c>
    </row>
    <row r="1854" spans="1:28">
      <c r="A1854" s="26">
        <v>45114</v>
      </c>
      <c r="B1854" s="23">
        <v>1355.97</v>
      </c>
      <c r="C1854" s="25">
        <f t="shared" si="340"/>
        <v>-7.7639069794669174E-3</v>
      </c>
      <c r="E1854" s="25">
        <f t="shared" si="354"/>
        <v>0.20433249549253496</v>
      </c>
      <c r="F1854" s="25">
        <f t="shared" si="351"/>
        <v>8.6328682668552981E-2</v>
      </c>
      <c r="G1854" s="25">
        <f t="shared" si="348"/>
        <v>0.23866556264753713</v>
      </c>
      <c r="H1854" s="25">
        <f t="shared" si="345"/>
        <v>0.15371223592432948</v>
      </c>
      <c r="I1854" s="25">
        <f t="shared" si="342"/>
        <v>0.13080817992677485</v>
      </c>
      <c r="K1854" s="28">
        <v>45114</v>
      </c>
      <c r="L1854" s="23">
        <v>25819.68</v>
      </c>
      <c r="M1854" s="25">
        <f t="shared" si="341"/>
        <v>-7.7390579588902612E-3</v>
      </c>
      <c r="O1854" t="b">
        <f t="shared" si="339"/>
        <v>1</v>
      </c>
      <c r="Q1854" s="25">
        <f t="shared" si="355"/>
        <v>0.20904575981179496</v>
      </c>
      <c r="R1854" s="25">
        <f t="shared" si="352"/>
        <v>0.11832406007565521</v>
      </c>
      <c r="S1854" s="25">
        <f t="shared" si="349"/>
        <v>0.2492622680851726</v>
      </c>
      <c r="T1854" s="25">
        <f t="shared" si="346"/>
        <v>0.16079467938813963</v>
      </c>
      <c r="U1854" s="25">
        <f t="shared" si="343"/>
        <v>0.1375196969124679</v>
      </c>
      <c r="X1854">
        <f t="shared" si="356"/>
        <v>0</v>
      </c>
      <c r="Y1854">
        <f t="shared" si="353"/>
        <v>0</v>
      </c>
      <c r="Z1854">
        <f t="shared" si="350"/>
        <v>0</v>
      </c>
      <c r="AA1854">
        <f t="shared" si="347"/>
        <v>0</v>
      </c>
      <c r="AB1854">
        <f t="shared" si="344"/>
        <v>0</v>
      </c>
    </row>
    <row r="1855" spans="1:28">
      <c r="A1855" s="27">
        <v>45117</v>
      </c>
      <c r="B1855" s="24">
        <v>1352.34</v>
      </c>
      <c r="C1855" s="25">
        <f t="shared" si="340"/>
        <v>-2.6770503772208156E-3</v>
      </c>
      <c r="E1855" s="25">
        <f t="shared" si="354"/>
        <v>0.2004154239454623</v>
      </c>
      <c r="F1855" s="25">
        <f t="shared" si="351"/>
        <v>8.4449001495368714E-2</v>
      </c>
      <c r="G1855" s="25">
        <f t="shared" si="348"/>
        <v>0.23252415447075703</v>
      </c>
      <c r="H1855" s="25">
        <f t="shared" si="345"/>
        <v>0.15174856537480963</v>
      </c>
      <c r="I1855" s="25">
        <f t="shared" si="342"/>
        <v>0.12816950467485677</v>
      </c>
      <c r="K1855" s="29">
        <v>45117</v>
      </c>
      <c r="L1855" s="24">
        <v>25802.98</v>
      </c>
      <c r="M1855" s="25">
        <f t="shared" si="341"/>
        <v>-6.4721206620323418E-4</v>
      </c>
      <c r="O1855" t="b">
        <f t="shared" si="339"/>
        <v>1</v>
      </c>
      <c r="Q1855" s="25">
        <f t="shared" si="355"/>
        <v>0.20311617729273235</v>
      </c>
      <c r="R1855" s="25">
        <f t="shared" si="352"/>
        <v>0.11708665404515095</v>
      </c>
      <c r="S1855" s="25">
        <f t="shared" si="349"/>
        <v>0.24292697914681138</v>
      </c>
      <c r="T1855" s="25">
        <f t="shared" si="346"/>
        <v>0.16017784708529348</v>
      </c>
      <c r="U1855" s="25">
        <f t="shared" si="343"/>
        <v>0.13529872630654127</v>
      </c>
      <c r="X1855">
        <f t="shared" si="356"/>
        <v>0</v>
      </c>
      <c r="Y1855">
        <f t="shared" si="353"/>
        <v>0</v>
      </c>
      <c r="Z1855">
        <f t="shared" si="350"/>
        <v>0</v>
      </c>
      <c r="AA1855">
        <f t="shared" si="347"/>
        <v>0</v>
      </c>
      <c r="AB1855">
        <f t="shared" si="344"/>
        <v>0</v>
      </c>
    </row>
    <row r="1856" spans="1:28">
      <c r="A1856" s="26">
        <v>45118</v>
      </c>
      <c r="B1856" s="23">
        <v>1355.96</v>
      </c>
      <c r="C1856" s="25">
        <f t="shared" si="340"/>
        <v>2.676841622668943E-3</v>
      </c>
      <c r="E1856" s="25">
        <f t="shared" si="354"/>
        <v>0.21682789812804004</v>
      </c>
      <c r="F1856" s="25">
        <f t="shared" si="351"/>
        <v>8.3536954479569214E-2</v>
      </c>
      <c r="G1856" s="25">
        <f t="shared" si="348"/>
        <v>0.22973065507815504</v>
      </c>
      <c r="H1856" s="25">
        <f t="shared" si="345"/>
        <v>0.15546538142295652</v>
      </c>
      <c r="I1856" s="25">
        <f t="shared" si="342"/>
        <v>0.12715070238074588</v>
      </c>
      <c r="K1856" s="28">
        <v>45118</v>
      </c>
      <c r="L1856" s="23">
        <v>25951.75</v>
      </c>
      <c r="M1856" s="25">
        <f t="shared" si="341"/>
        <v>5.7325613879603667E-3</v>
      </c>
      <c r="O1856" t="b">
        <f t="shared" si="339"/>
        <v>1</v>
      </c>
      <c r="Q1856" s="25">
        <f t="shared" si="355"/>
        <v>0.21947695249999422</v>
      </c>
      <c r="R1856" s="25">
        <f t="shared" si="352"/>
        <v>0.11701355394150381</v>
      </c>
      <c r="S1856" s="25">
        <f t="shared" si="349"/>
        <v>0.24114335840501289</v>
      </c>
      <c r="T1856" s="25">
        <f t="shared" si="346"/>
        <v>0.16445056782583967</v>
      </c>
      <c r="U1856" s="25">
        <f t="shared" si="343"/>
        <v>0.13461448473587923</v>
      </c>
      <c r="X1856">
        <f t="shared" si="356"/>
        <v>0</v>
      </c>
      <c r="Y1856">
        <f t="shared" si="353"/>
        <v>0</v>
      </c>
      <c r="Z1856">
        <f t="shared" si="350"/>
        <v>0</v>
      </c>
      <c r="AA1856">
        <f t="shared" si="347"/>
        <v>0</v>
      </c>
      <c r="AB1856">
        <f t="shared" si="344"/>
        <v>0</v>
      </c>
    </row>
    <row r="1857" spans="1:28">
      <c r="A1857" s="27">
        <v>45119</v>
      </c>
      <c r="B1857" s="24">
        <v>1357.97</v>
      </c>
      <c r="C1857" s="25">
        <f t="shared" si="340"/>
        <v>1.4823446119354485E-3</v>
      </c>
      <c r="E1857" s="25">
        <f t="shared" si="354"/>
        <v>0.22209722997174164</v>
      </c>
      <c r="F1857" s="25">
        <f t="shared" si="351"/>
        <v>8.2920147649063969E-2</v>
      </c>
      <c r="G1857" s="25">
        <f t="shared" si="348"/>
        <v>0.228733561096224</v>
      </c>
      <c r="H1857" s="25">
        <f t="shared" si="345"/>
        <v>0.16106762645451234</v>
      </c>
      <c r="I1857" s="25">
        <f t="shared" si="342"/>
        <v>0.12904626763494953</v>
      </c>
      <c r="K1857" s="29">
        <v>45119</v>
      </c>
      <c r="L1857" s="24">
        <v>25941.03</v>
      </c>
      <c r="M1857" s="25">
        <f t="shared" si="341"/>
        <v>-4.1324496367342253E-4</v>
      </c>
      <c r="O1857" t="b">
        <f t="shared" si="339"/>
        <v>1</v>
      </c>
      <c r="Q1857" s="25">
        <f t="shared" si="355"/>
        <v>0.22358327747870721</v>
      </c>
      <c r="R1857" s="25">
        <f t="shared" si="352"/>
        <v>0.11543354923663185</v>
      </c>
      <c r="S1857" s="25">
        <f t="shared" si="349"/>
        <v>0.23705990418835787</v>
      </c>
      <c r="T1857" s="25">
        <f t="shared" si="346"/>
        <v>0.16889064763083539</v>
      </c>
      <c r="U1857" s="25">
        <f t="shared" si="343"/>
        <v>0.13486020713130453</v>
      </c>
      <c r="X1857">
        <f t="shared" si="356"/>
        <v>0</v>
      </c>
      <c r="Y1857">
        <f t="shared" si="353"/>
        <v>0</v>
      </c>
      <c r="Z1857">
        <f t="shared" si="350"/>
        <v>0</v>
      </c>
      <c r="AA1857">
        <f t="shared" si="347"/>
        <v>0</v>
      </c>
      <c r="AB1857">
        <f t="shared" si="344"/>
        <v>0</v>
      </c>
    </row>
    <row r="1858" spans="1:28">
      <c r="A1858" s="26">
        <v>45120</v>
      </c>
      <c r="B1858" s="23">
        <v>1358.72</v>
      </c>
      <c r="C1858" s="25">
        <f t="shared" si="340"/>
        <v>5.5229496969741595E-4</v>
      </c>
      <c r="E1858" s="25">
        <f t="shared" si="354"/>
        <v>0.2239507796524669</v>
      </c>
      <c r="F1858" s="25">
        <f t="shared" si="351"/>
        <v>8.1092612253534702E-2</v>
      </c>
      <c r="G1858" s="25">
        <f t="shared" si="348"/>
        <v>0.23004171154177522</v>
      </c>
      <c r="H1858" s="25">
        <f t="shared" si="345"/>
        <v>0.1617685578100172</v>
      </c>
      <c r="I1858" s="25">
        <f t="shared" si="342"/>
        <v>0.12886304309923213</v>
      </c>
      <c r="K1858" s="28">
        <v>45120</v>
      </c>
      <c r="L1858" s="23">
        <v>25915.16</v>
      </c>
      <c r="M1858" s="25">
        <f t="shared" si="341"/>
        <v>-9.9825739065469718E-4</v>
      </c>
      <c r="O1858" t="b">
        <f t="shared" si="339"/>
        <v>1</v>
      </c>
      <c r="Q1858" s="25">
        <f t="shared" si="355"/>
        <v>0.22407668156584504</v>
      </c>
      <c r="R1858" s="25">
        <f t="shared" si="352"/>
        <v>0.11236346931552466</v>
      </c>
      <c r="S1858" s="25">
        <f t="shared" si="349"/>
        <v>0.23773581910263153</v>
      </c>
      <c r="T1858" s="25">
        <f t="shared" si="346"/>
        <v>0.17035085747721035</v>
      </c>
      <c r="U1858" s="25">
        <f t="shared" si="343"/>
        <v>0.1337043605581183</v>
      </c>
      <c r="X1858">
        <f t="shared" si="356"/>
        <v>0</v>
      </c>
      <c r="Y1858">
        <f t="shared" si="353"/>
        <v>0</v>
      </c>
      <c r="Z1858">
        <f t="shared" si="350"/>
        <v>0</v>
      </c>
      <c r="AA1858">
        <f t="shared" si="347"/>
        <v>0</v>
      </c>
      <c r="AB1858">
        <f t="shared" si="344"/>
        <v>0</v>
      </c>
    </row>
    <row r="1859" spans="1:28">
      <c r="A1859" s="27">
        <v>45121</v>
      </c>
      <c r="B1859" s="24">
        <v>1374.22</v>
      </c>
      <c r="C1859" s="25">
        <f t="shared" si="340"/>
        <v>1.1407795572303344E-2</v>
      </c>
      <c r="E1859" s="25">
        <f t="shared" si="354"/>
        <v>0.23506520351946203</v>
      </c>
      <c r="F1859" s="25">
        <f t="shared" si="351"/>
        <v>8.6872336624716162E-2</v>
      </c>
      <c r="G1859" s="25">
        <f t="shared" si="348"/>
        <v>0.23164985336514676</v>
      </c>
      <c r="H1859" s="25">
        <f t="shared" si="345"/>
        <v>0.16606965500779713</v>
      </c>
      <c r="I1859" s="25">
        <f t="shared" si="342"/>
        <v>0.13312287009742074</v>
      </c>
      <c r="K1859" s="29">
        <v>45121</v>
      </c>
      <c r="L1859" s="24">
        <v>26140.06</v>
      </c>
      <c r="M1859" s="25">
        <f t="shared" si="341"/>
        <v>8.6036527842706344E-3</v>
      </c>
      <c r="O1859" t="b">
        <f t="shared" ref="O1859:O1922" si="357">K1859=A1859</f>
        <v>1</v>
      </c>
      <c r="Q1859" s="25">
        <f t="shared" si="355"/>
        <v>0.22683313511935554</v>
      </c>
      <c r="R1859" s="25">
        <f t="shared" si="352"/>
        <v>0.1162783240111942</v>
      </c>
      <c r="S1859" s="25">
        <f t="shared" si="349"/>
        <v>0.23819633233648041</v>
      </c>
      <c r="T1859" s="25">
        <f t="shared" si="346"/>
        <v>0.17330440593263052</v>
      </c>
      <c r="U1859" s="25">
        <f t="shared" si="343"/>
        <v>0.13642862469567985</v>
      </c>
      <c r="X1859">
        <f t="shared" si="356"/>
        <v>1</v>
      </c>
      <c r="Y1859">
        <f t="shared" si="353"/>
        <v>0</v>
      </c>
      <c r="Z1859">
        <f t="shared" si="350"/>
        <v>0</v>
      </c>
      <c r="AA1859">
        <f t="shared" si="347"/>
        <v>0</v>
      </c>
      <c r="AB1859">
        <f t="shared" si="344"/>
        <v>0</v>
      </c>
    </row>
    <row r="1860" spans="1:28">
      <c r="A1860" s="26">
        <v>45124</v>
      </c>
      <c r="B1860" s="23">
        <v>1382.61</v>
      </c>
      <c r="C1860" s="25">
        <f t="shared" ref="C1860:C1923" si="358">(B1860-B1859)/B1859</f>
        <v>6.1052815415289204E-3</v>
      </c>
      <c r="E1860" s="25">
        <f t="shared" si="354"/>
        <v>0.22269386888812237</v>
      </c>
      <c r="F1860" s="25">
        <f t="shared" si="351"/>
        <v>9.442684348435848E-2</v>
      </c>
      <c r="G1860" s="25">
        <f t="shared" si="348"/>
        <v>0.23564265459991085</v>
      </c>
      <c r="H1860" s="25">
        <f t="shared" si="345"/>
        <v>0.17065498750184305</v>
      </c>
      <c r="I1860" s="25">
        <f t="shared" si="342"/>
        <v>0.1388585882840252</v>
      </c>
      <c r="K1860" s="28">
        <v>45124</v>
      </c>
      <c r="L1860" s="23">
        <v>26306.400000000001</v>
      </c>
      <c r="M1860" s="25">
        <f t="shared" ref="M1860:M1923" si="359">(L1860-L1859)/L1860</f>
        <v>6.3231761092357808E-3</v>
      </c>
      <c r="O1860" t="b">
        <f t="shared" si="357"/>
        <v>1</v>
      </c>
      <c r="Q1860" s="25">
        <f t="shared" si="355"/>
        <v>0.21749489401346511</v>
      </c>
      <c r="R1860" s="25">
        <f t="shared" si="352"/>
        <v>0.12482044895382893</v>
      </c>
      <c r="S1860" s="25">
        <f t="shared" si="349"/>
        <v>0.24209363326686528</v>
      </c>
      <c r="T1860" s="25">
        <f t="shared" si="346"/>
        <v>0.17739241665086913</v>
      </c>
      <c r="U1860" s="25">
        <f t="shared" si="343"/>
        <v>0.14073651778843543</v>
      </c>
      <c r="X1860">
        <f t="shared" si="356"/>
        <v>1</v>
      </c>
      <c r="Y1860">
        <f t="shared" si="353"/>
        <v>0</v>
      </c>
      <c r="Z1860">
        <f t="shared" si="350"/>
        <v>0</v>
      </c>
      <c r="AA1860">
        <f t="shared" si="347"/>
        <v>0</v>
      </c>
      <c r="AB1860">
        <f t="shared" si="344"/>
        <v>0</v>
      </c>
    </row>
    <row r="1861" spans="1:28">
      <c r="A1861" s="27">
        <v>45125</v>
      </c>
      <c r="B1861" s="24">
        <v>1382.86</v>
      </c>
      <c r="C1861" s="25">
        <f t="shared" si="358"/>
        <v>1.8081743948040302E-4</v>
      </c>
      <c r="E1861" s="25">
        <f t="shared" si="354"/>
        <v>0.21787453653553146</v>
      </c>
      <c r="F1861" s="25">
        <f t="shared" si="351"/>
        <v>0.10180889733980902</v>
      </c>
      <c r="G1861" s="25">
        <f t="shared" si="348"/>
        <v>0.2398361751834488</v>
      </c>
      <c r="H1861" s="25">
        <f t="shared" si="345"/>
        <v>0.17008456137382288</v>
      </c>
      <c r="I1861" s="25">
        <f t="shared" si="342"/>
        <v>0.13699356459208967</v>
      </c>
      <c r="K1861" s="29">
        <v>45125</v>
      </c>
      <c r="L1861" s="24">
        <v>26306.44</v>
      </c>
      <c r="M1861" s="25">
        <f t="shared" si="359"/>
        <v>1.5205402174233813E-6</v>
      </c>
      <c r="O1861" t="b">
        <f t="shared" si="357"/>
        <v>1</v>
      </c>
      <c r="Q1861" s="25">
        <f t="shared" si="355"/>
        <v>0.21148836127594195</v>
      </c>
      <c r="R1861" s="25">
        <f t="shared" si="352"/>
        <v>0.12997261014405659</v>
      </c>
      <c r="S1861" s="25">
        <f t="shared" si="349"/>
        <v>0.24488664107507274</v>
      </c>
      <c r="T1861" s="25">
        <f t="shared" si="346"/>
        <v>0.17737329793894863</v>
      </c>
      <c r="U1861" s="25">
        <f t="shared" si="343"/>
        <v>0.13865342344220899</v>
      </c>
      <c r="X1861">
        <f t="shared" si="356"/>
        <v>1</v>
      </c>
      <c r="Y1861">
        <f t="shared" si="353"/>
        <v>0</v>
      </c>
      <c r="Z1861">
        <f t="shared" si="350"/>
        <v>0</v>
      </c>
      <c r="AA1861">
        <f t="shared" si="347"/>
        <v>0</v>
      </c>
      <c r="AB1861">
        <f t="shared" si="344"/>
        <v>0</v>
      </c>
    </row>
    <row r="1862" spans="1:28">
      <c r="A1862" s="26">
        <v>45126</v>
      </c>
      <c r="B1862" s="23">
        <v>1387.47</v>
      </c>
      <c r="C1862" s="25">
        <f t="shared" si="358"/>
        <v>3.3336707982009224E-3</v>
      </c>
      <c r="E1862" s="25">
        <f t="shared" si="354"/>
        <v>0.21587373918834829</v>
      </c>
      <c r="F1862" s="25">
        <f t="shared" si="351"/>
        <v>9.5163362587501688E-2</v>
      </c>
      <c r="G1862" s="25">
        <f t="shared" si="348"/>
        <v>0.23615612572689426</v>
      </c>
      <c r="H1862" s="25">
        <f t="shared" si="345"/>
        <v>0.16923621829507285</v>
      </c>
      <c r="I1862" s="25">
        <f t="shared" si="342"/>
        <v>0.13984137324381507</v>
      </c>
      <c r="K1862" s="28">
        <v>45126</v>
      </c>
      <c r="L1862" s="23">
        <v>26433.69</v>
      </c>
      <c r="M1862" s="25">
        <f t="shared" si="359"/>
        <v>4.8139325232307711E-3</v>
      </c>
      <c r="O1862" t="b">
        <f t="shared" si="357"/>
        <v>1</v>
      </c>
      <c r="Q1862" s="25">
        <f t="shared" si="355"/>
        <v>0.20762713606637129</v>
      </c>
      <c r="R1862" s="25">
        <f t="shared" si="352"/>
        <v>0.12539876669721917</v>
      </c>
      <c r="S1862" s="25">
        <f t="shared" si="349"/>
        <v>0.24155218360229846</v>
      </c>
      <c r="T1862" s="25">
        <f t="shared" si="346"/>
        <v>0.17771636661543977</v>
      </c>
      <c r="U1862" s="25">
        <f t="shared" si="343"/>
        <v>0.1408518769477205</v>
      </c>
      <c r="X1862">
        <f t="shared" si="356"/>
        <v>1</v>
      </c>
      <c r="Y1862">
        <f t="shared" si="353"/>
        <v>0</v>
      </c>
      <c r="Z1862">
        <f t="shared" si="350"/>
        <v>0</v>
      </c>
      <c r="AA1862">
        <f t="shared" si="347"/>
        <v>0</v>
      </c>
      <c r="AB1862">
        <f t="shared" si="344"/>
        <v>0</v>
      </c>
    </row>
    <row r="1863" spans="1:28">
      <c r="A1863" s="27">
        <v>45127</v>
      </c>
      <c r="B1863" s="24">
        <v>1394.33</v>
      </c>
      <c r="C1863" s="25">
        <f t="shared" si="358"/>
        <v>4.9442510468694096E-3</v>
      </c>
      <c r="E1863" s="25">
        <f t="shared" si="354"/>
        <v>0.21259794585474889</v>
      </c>
      <c r="F1863" s="25">
        <f t="shared" si="351"/>
        <v>9.5139627854300635E-2</v>
      </c>
      <c r="G1863" s="25">
        <f t="shared" si="348"/>
        <v>0.23798223119875228</v>
      </c>
      <c r="H1863" s="25">
        <f t="shared" si="345"/>
        <v>0.17310805104619176</v>
      </c>
      <c r="I1863" s="25">
        <f t="shared" si="342"/>
        <v>0.14154626491143962</v>
      </c>
      <c r="K1863" s="29">
        <v>45127</v>
      </c>
      <c r="L1863" s="24">
        <v>26576.66</v>
      </c>
      <c r="M1863" s="25">
        <f t="shared" si="359"/>
        <v>5.3795322662818111E-3</v>
      </c>
      <c r="O1863" t="b">
        <f t="shared" si="357"/>
        <v>1</v>
      </c>
      <c r="Q1863" s="25">
        <f t="shared" si="355"/>
        <v>0.20448061462517497</v>
      </c>
      <c r="R1863" s="25">
        <f t="shared" si="352"/>
        <v>0.12764010066490883</v>
      </c>
      <c r="S1863" s="25">
        <f t="shared" si="349"/>
        <v>0.2458546243653994</v>
      </c>
      <c r="T1863" s="25">
        <f t="shared" si="346"/>
        <v>0.18198096268464314</v>
      </c>
      <c r="U1863" s="25">
        <f t="shared" si="343"/>
        <v>0.14274359682938487</v>
      </c>
      <c r="X1863">
        <f t="shared" si="356"/>
        <v>1</v>
      </c>
      <c r="Y1863">
        <f t="shared" si="353"/>
        <v>0</v>
      </c>
      <c r="Z1863">
        <f t="shared" si="350"/>
        <v>0</v>
      </c>
      <c r="AA1863">
        <f t="shared" si="347"/>
        <v>0</v>
      </c>
      <c r="AB1863">
        <f t="shared" si="344"/>
        <v>0</v>
      </c>
    </row>
    <row r="1864" spans="1:28">
      <c r="A1864" s="26">
        <v>45128</v>
      </c>
      <c r="B1864" s="23">
        <v>1386.75</v>
      </c>
      <c r="C1864" s="25">
        <f t="shared" si="358"/>
        <v>-5.4363027403842188E-3</v>
      </c>
      <c r="E1864" s="25">
        <f t="shared" si="354"/>
        <v>0.19989097799659095</v>
      </c>
      <c r="F1864" s="25">
        <f t="shared" si="351"/>
        <v>9.1970980627826826E-2</v>
      </c>
      <c r="G1864" s="25">
        <f t="shared" si="348"/>
        <v>0.23669476288795877</v>
      </c>
      <c r="H1864" s="25">
        <f t="shared" si="345"/>
        <v>0.1757088586816109</v>
      </c>
      <c r="I1864" s="25">
        <f t="shared" si="342"/>
        <v>0.13865761740009308</v>
      </c>
      <c r="K1864" s="28">
        <v>45128</v>
      </c>
      <c r="L1864" s="23">
        <v>26363.759999999998</v>
      </c>
      <c r="M1864" s="25">
        <f t="shared" si="359"/>
        <v>-8.0754793701657678E-3</v>
      </c>
      <c r="O1864" t="b">
        <f t="shared" si="357"/>
        <v>1</v>
      </c>
      <c r="Q1864" s="25">
        <f t="shared" si="355"/>
        <v>0.1894255478878526</v>
      </c>
      <c r="R1864" s="25">
        <f t="shared" si="352"/>
        <v>0.12360100173137956</v>
      </c>
      <c r="S1864" s="25">
        <f t="shared" si="349"/>
        <v>0.24538933324343271</v>
      </c>
      <c r="T1864" s="25">
        <f t="shared" si="346"/>
        <v>0.18301807196333053</v>
      </c>
      <c r="U1864" s="25">
        <f t="shared" si="343"/>
        <v>0.13967292805876563</v>
      </c>
      <c r="X1864">
        <f t="shared" si="356"/>
        <v>1</v>
      </c>
      <c r="Y1864">
        <f t="shared" si="353"/>
        <v>0</v>
      </c>
      <c r="Z1864">
        <f t="shared" si="350"/>
        <v>0</v>
      </c>
      <c r="AA1864">
        <f t="shared" si="347"/>
        <v>0</v>
      </c>
      <c r="AB1864">
        <f t="shared" si="344"/>
        <v>0</v>
      </c>
    </row>
    <row r="1865" spans="1:28">
      <c r="A1865" s="27">
        <v>45131</v>
      </c>
      <c r="B1865" s="24">
        <v>1383.61</v>
      </c>
      <c r="C1865" s="25">
        <f t="shared" si="358"/>
        <v>-2.2642870019831261E-3</v>
      </c>
      <c r="E1865" s="25">
        <f t="shared" si="354"/>
        <v>0.19727767538052809</v>
      </c>
      <c r="F1865" s="25">
        <f t="shared" si="351"/>
        <v>9.5506083285898935E-2</v>
      </c>
      <c r="G1865" s="25">
        <f t="shared" si="348"/>
        <v>0.23581683466644976</v>
      </c>
      <c r="H1865" s="25">
        <f t="shared" si="345"/>
        <v>0.17268678407790428</v>
      </c>
      <c r="I1865" s="25">
        <f t="shared" si="342"/>
        <v>0.13538420455528821</v>
      </c>
      <c r="K1865" s="29">
        <v>45131</v>
      </c>
      <c r="L1865" s="24">
        <v>26302.9</v>
      </c>
      <c r="M1865" s="25">
        <f t="shared" si="359"/>
        <v>-2.3138133057570434E-3</v>
      </c>
      <c r="O1865" t="b">
        <f t="shared" si="357"/>
        <v>1</v>
      </c>
      <c r="Q1865" s="25">
        <f t="shared" si="355"/>
        <v>0.19140939062278473</v>
      </c>
      <c r="R1865" s="25">
        <f t="shared" si="352"/>
        <v>0.1249125402673803</v>
      </c>
      <c r="S1865" s="25">
        <f t="shared" si="349"/>
        <v>0.24424585548050093</v>
      </c>
      <c r="T1865" s="25">
        <f t="shared" si="346"/>
        <v>0.18097273882124632</v>
      </c>
      <c r="U1865" s="25">
        <f t="shared" si="343"/>
        <v>0.13723340035330467</v>
      </c>
      <c r="X1865">
        <f t="shared" si="356"/>
        <v>1</v>
      </c>
      <c r="Y1865">
        <f t="shared" si="353"/>
        <v>0</v>
      </c>
      <c r="Z1865">
        <f t="shared" si="350"/>
        <v>0</v>
      </c>
      <c r="AA1865">
        <f t="shared" si="347"/>
        <v>0</v>
      </c>
      <c r="AB1865">
        <f t="shared" si="344"/>
        <v>0</v>
      </c>
    </row>
    <row r="1866" spans="1:28">
      <c r="A1866" s="26">
        <v>45132</v>
      </c>
      <c r="B1866" s="23">
        <v>1386.46</v>
      </c>
      <c r="C1866" s="25">
        <f t="shared" si="358"/>
        <v>2.0598289980559093E-3</v>
      </c>
      <c r="E1866" s="25">
        <f t="shared" si="354"/>
        <v>0.21389297471457591</v>
      </c>
      <c r="F1866" s="25">
        <f t="shared" si="351"/>
        <v>9.6139484405808995E-2</v>
      </c>
      <c r="G1866" s="25">
        <f t="shared" si="348"/>
        <v>0.24074585306141061</v>
      </c>
      <c r="H1866" s="25">
        <f t="shared" si="345"/>
        <v>0.17744417928416967</v>
      </c>
      <c r="I1866" s="25">
        <f t="shared" si="342"/>
        <v>0.13355154750602538</v>
      </c>
      <c r="K1866" s="28">
        <v>45132</v>
      </c>
      <c r="L1866" s="23">
        <v>26352.58</v>
      </c>
      <c r="M1866" s="25">
        <f t="shared" si="359"/>
        <v>1.8852044088282925E-3</v>
      </c>
      <c r="O1866" t="b">
        <f t="shared" si="357"/>
        <v>1</v>
      </c>
      <c r="Q1866" s="25">
        <f t="shared" si="355"/>
        <v>0.20528719387673422</v>
      </c>
      <c r="R1866" s="25">
        <f t="shared" si="352"/>
        <v>0.12713678618120605</v>
      </c>
      <c r="S1866" s="25">
        <f t="shared" si="349"/>
        <v>0.24979843973868565</v>
      </c>
      <c r="T1866" s="25">
        <f t="shared" si="346"/>
        <v>0.18505161970835737</v>
      </c>
      <c r="U1866" s="25">
        <f t="shared" si="343"/>
        <v>0.13556728321666522</v>
      </c>
      <c r="X1866">
        <f t="shared" si="356"/>
        <v>1</v>
      </c>
      <c r="Y1866">
        <f t="shared" si="353"/>
        <v>0</v>
      </c>
      <c r="Z1866">
        <f t="shared" si="350"/>
        <v>0</v>
      </c>
      <c r="AA1866">
        <f t="shared" si="347"/>
        <v>0</v>
      </c>
      <c r="AB1866">
        <f t="shared" si="344"/>
        <v>0</v>
      </c>
    </row>
    <row r="1867" spans="1:28">
      <c r="A1867" s="27">
        <v>45133</v>
      </c>
      <c r="B1867" s="24">
        <v>1390.7</v>
      </c>
      <c r="C1867" s="25">
        <f t="shared" si="358"/>
        <v>3.058148089378712E-3</v>
      </c>
      <c r="E1867" s="25">
        <f t="shared" si="354"/>
        <v>0.2069534124835104</v>
      </c>
      <c r="F1867" s="25">
        <f t="shared" si="351"/>
        <v>9.2435967985660561E-2</v>
      </c>
      <c r="G1867" s="25">
        <f t="shared" si="348"/>
        <v>0.23568073502447118</v>
      </c>
      <c r="H1867" s="25">
        <f t="shared" si="345"/>
        <v>0.17884210091348285</v>
      </c>
      <c r="I1867" s="25">
        <f t="shared" si="342"/>
        <v>0.13456582083791147</v>
      </c>
      <c r="K1867" s="29">
        <v>45133</v>
      </c>
      <c r="L1867" s="24">
        <v>26474.86</v>
      </c>
      <c r="M1867" s="25">
        <f t="shared" si="359"/>
        <v>4.6187213076858136E-3</v>
      </c>
      <c r="O1867" t="b">
        <f t="shared" si="357"/>
        <v>1</v>
      </c>
      <c r="Q1867" s="25">
        <f t="shared" si="355"/>
        <v>0.20047357175763869</v>
      </c>
      <c r="R1867" s="25">
        <f t="shared" si="352"/>
        <v>0.12697456762631543</v>
      </c>
      <c r="S1867" s="25">
        <f t="shared" si="349"/>
        <v>0.24512011123327704</v>
      </c>
      <c r="T1867" s="25">
        <f t="shared" si="346"/>
        <v>0.18604444215405369</v>
      </c>
      <c r="U1867" s="25">
        <f t="shared" si="343"/>
        <v>0.13662487493887077</v>
      </c>
      <c r="X1867">
        <f t="shared" si="356"/>
        <v>1</v>
      </c>
      <c r="Y1867">
        <f t="shared" si="353"/>
        <v>0</v>
      </c>
      <c r="Z1867">
        <f t="shared" si="350"/>
        <v>0</v>
      </c>
      <c r="AA1867">
        <f t="shared" si="347"/>
        <v>0</v>
      </c>
      <c r="AB1867">
        <f t="shared" si="344"/>
        <v>0</v>
      </c>
    </row>
    <row r="1868" spans="1:28">
      <c r="A1868" s="26">
        <v>45134</v>
      </c>
      <c r="B1868" s="23">
        <v>1389.94</v>
      </c>
      <c r="C1868" s="25">
        <f t="shared" si="358"/>
        <v>-5.4648738045587895E-4</v>
      </c>
      <c r="E1868" s="25">
        <f t="shared" si="354"/>
        <v>0.18948755690959507</v>
      </c>
      <c r="F1868" s="25">
        <f t="shared" si="351"/>
        <v>9.1505359934358266E-2</v>
      </c>
      <c r="G1868" s="25">
        <f t="shared" si="348"/>
        <v>0.23253619112229806</v>
      </c>
      <c r="H1868" s="25">
        <f t="shared" si="345"/>
        <v>0.18206045842830743</v>
      </c>
      <c r="I1868" s="25">
        <f t="shared" si="342"/>
        <v>0.13349947598604128</v>
      </c>
      <c r="K1868" s="28">
        <v>45134</v>
      </c>
      <c r="L1868" s="23">
        <v>26390.080000000002</v>
      </c>
      <c r="M1868" s="25">
        <f t="shared" si="359"/>
        <v>-3.2125707841734025E-3</v>
      </c>
      <c r="O1868" t="b">
        <f t="shared" si="357"/>
        <v>1</v>
      </c>
      <c r="Q1868" s="25">
        <f t="shared" si="355"/>
        <v>0.17948076187343354</v>
      </c>
      <c r="R1868" s="25">
        <f t="shared" si="352"/>
        <v>0.12432137759199557</v>
      </c>
      <c r="S1868" s="25">
        <f t="shared" si="349"/>
        <v>0.24308184955847123</v>
      </c>
      <c r="T1868" s="25">
        <f t="shared" si="346"/>
        <v>0.18882619016569291</v>
      </c>
      <c r="U1868" s="25">
        <f t="shared" si="343"/>
        <v>0.13493035287980937</v>
      </c>
      <c r="X1868">
        <f t="shared" si="356"/>
        <v>1</v>
      </c>
      <c r="Y1868">
        <f t="shared" si="353"/>
        <v>0</v>
      </c>
      <c r="Z1868">
        <f t="shared" si="350"/>
        <v>0</v>
      </c>
      <c r="AA1868">
        <f t="shared" si="347"/>
        <v>0</v>
      </c>
      <c r="AB1868">
        <f t="shared" si="344"/>
        <v>0</v>
      </c>
    </row>
    <row r="1869" spans="1:28">
      <c r="A1869" s="27">
        <v>45135</v>
      </c>
      <c r="B1869" s="24">
        <v>1392.43</v>
      </c>
      <c r="C1869" s="25">
        <f t="shared" si="358"/>
        <v>1.7914442350029562E-3</v>
      </c>
      <c r="E1869" s="25">
        <f t="shared" si="354"/>
        <v>0.17664506206745023</v>
      </c>
      <c r="F1869" s="25">
        <f t="shared" si="351"/>
        <v>8.9396189807128712E-2</v>
      </c>
      <c r="G1869" s="25">
        <f t="shared" si="348"/>
        <v>0.22962735312372451</v>
      </c>
      <c r="H1869" s="25">
        <f t="shared" si="345"/>
        <v>0.17821993503928635</v>
      </c>
      <c r="I1869" s="25">
        <f t="shared" si="342"/>
        <v>0.1310811959170215</v>
      </c>
      <c r="K1869" s="29">
        <v>45135</v>
      </c>
      <c r="L1869" s="24">
        <v>26439.89</v>
      </c>
      <c r="M1869" s="25">
        <f t="shared" si="359"/>
        <v>1.8838958861023126E-3</v>
      </c>
      <c r="O1869" t="b">
        <f t="shared" si="357"/>
        <v>1</v>
      </c>
      <c r="Q1869" s="25">
        <f t="shared" si="355"/>
        <v>0.16586788510068429</v>
      </c>
      <c r="R1869" s="25">
        <f t="shared" si="352"/>
        <v>0.12046599198896923</v>
      </c>
      <c r="S1869" s="25">
        <f t="shared" si="349"/>
        <v>0.24013998618431143</v>
      </c>
      <c r="T1869" s="25">
        <f t="shared" si="346"/>
        <v>0.18648418979373638</v>
      </c>
      <c r="U1869" s="25">
        <f t="shared" si="343"/>
        <v>0.13317941471739503</v>
      </c>
      <c r="X1869">
        <f t="shared" si="356"/>
        <v>1</v>
      </c>
      <c r="Y1869">
        <f t="shared" si="353"/>
        <v>0</v>
      </c>
      <c r="Z1869">
        <f t="shared" si="350"/>
        <v>0</v>
      </c>
      <c r="AA1869">
        <f t="shared" si="347"/>
        <v>0</v>
      </c>
      <c r="AB1869">
        <f t="shared" si="344"/>
        <v>0</v>
      </c>
    </row>
    <row r="1870" spans="1:28">
      <c r="A1870" s="26">
        <v>45138</v>
      </c>
      <c r="B1870" s="23">
        <v>1401.27</v>
      </c>
      <c r="C1870" s="25">
        <f t="shared" si="358"/>
        <v>6.348613574829555E-3</v>
      </c>
      <c r="E1870" s="25">
        <f t="shared" si="354"/>
        <v>0.17269919910286124</v>
      </c>
      <c r="F1870" s="25">
        <f t="shared" si="351"/>
        <v>8.8340695458869245E-2</v>
      </c>
      <c r="G1870" s="25">
        <f t="shared" si="348"/>
        <v>0.23083961535452957</v>
      </c>
      <c r="H1870" s="25">
        <f t="shared" si="345"/>
        <v>0.18191361725911226</v>
      </c>
      <c r="I1870" s="25">
        <f t="shared" si="342"/>
        <v>0.13196043571331439</v>
      </c>
      <c r="K1870" s="28">
        <v>45138</v>
      </c>
      <c r="L1870" s="23">
        <v>26612.52</v>
      </c>
      <c r="M1870" s="25">
        <f t="shared" si="359"/>
        <v>6.4867964401718065E-3</v>
      </c>
      <c r="O1870" t="b">
        <f t="shared" si="357"/>
        <v>1</v>
      </c>
      <c r="Q1870" s="25">
        <f t="shared" si="355"/>
        <v>0.15905411673500858</v>
      </c>
      <c r="R1870" s="25">
        <f t="shared" si="352"/>
        <v>0.11782545961467239</v>
      </c>
      <c r="S1870" s="25">
        <f t="shared" si="349"/>
        <v>0.24150018635453208</v>
      </c>
      <c r="T1870" s="25">
        <f t="shared" si="346"/>
        <v>0.1905510365403551</v>
      </c>
      <c r="U1870" s="25">
        <f t="shared" si="343"/>
        <v>0.13370891863695711</v>
      </c>
      <c r="X1870">
        <f t="shared" si="356"/>
        <v>1</v>
      </c>
      <c r="Y1870">
        <f t="shared" si="353"/>
        <v>0</v>
      </c>
      <c r="Z1870">
        <f t="shared" si="350"/>
        <v>0</v>
      </c>
      <c r="AA1870">
        <f t="shared" si="347"/>
        <v>0</v>
      </c>
      <c r="AB1870">
        <f t="shared" si="344"/>
        <v>0</v>
      </c>
    </row>
    <row r="1871" spans="1:28">
      <c r="A1871" s="27">
        <v>45139</v>
      </c>
      <c r="B1871" s="24">
        <v>1404.07</v>
      </c>
      <c r="C1871" s="25">
        <f t="shared" si="358"/>
        <v>1.9981873586103708E-3</v>
      </c>
      <c r="E1871" s="25">
        <f t="shared" si="354"/>
        <v>0.17670672633713802</v>
      </c>
      <c r="F1871" s="25">
        <f t="shared" si="351"/>
        <v>8.9017943573524549E-2</v>
      </c>
      <c r="G1871" s="25">
        <f t="shared" si="348"/>
        <v>0.22714671827894906</v>
      </c>
      <c r="H1871" s="25">
        <f t="shared" si="345"/>
        <v>0.17890827599060843</v>
      </c>
      <c r="I1871" s="25">
        <f t="shared" si="342"/>
        <v>0.13107451126115932</v>
      </c>
      <c r="K1871" s="29">
        <v>45139</v>
      </c>
      <c r="L1871" s="24">
        <v>26600.66</v>
      </c>
      <c r="M1871" s="25">
        <f t="shared" si="359"/>
        <v>-4.4585359912124672E-4</v>
      </c>
      <c r="O1871" t="b">
        <f t="shared" si="357"/>
        <v>1</v>
      </c>
      <c r="Q1871" s="25">
        <f t="shared" si="355"/>
        <v>0.15611261996000647</v>
      </c>
      <c r="R1871" s="25">
        <f t="shared" si="352"/>
        <v>0.11635938328744744</v>
      </c>
      <c r="S1871" s="25">
        <f t="shared" si="349"/>
        <v>0.23818561383236658</v>
      </c>
      <c r="T1871" s="25">
        <f t="shared" si="346"/>
        <v>0.18618970303255944</v>
      </c>
      <c r="U1871" s="25">
        <f t="shared" si="343"/>
        <v>0.13285083910520079</v>
      </c>
      <c r="X1871">
        <f t="shared" si="356"/>
        <v>1</v>
      </c>
      <c r="Y1871">
        <f t="shared" si="353"/>
        <v>0</v>
      </c>
      <c r="Z1871">
        <f t="shared" si="350"/>
        <v>0</v>
      </c>
      <c r="AA1871">
        <f t="shared" si="347"/>
        <v>0</v>
      </c>
      <c r="AB1871">
        <f t="shared" si="344"/>
        <v>0</v>
      </c>
    </row>
    <row r="1872" spans="1:28">
      <c r="A1872" s="26">
        <v>45140</v>
      </c>
      <c r="B1872" s="23">
        <v>1384.13</v>
      </c>
      <c r="C1872" s="25">
        <f t="shared" si="358"/>
        <v>-1.4201571146737577E-2</v>
      </c>
      <c r="E1872" s="25">
        <f t="shared" si="354"/>
        <v>0.1589272556768706</v>
      </c>
      <c r="F1872" s="25">
        <f t="shared" si="351"/>
        <v>8.0618670127304615E-2</v>
      </c>
      <c r="G1872" s="25">
        <f t="shared" si="348"/>
        <v>0.22230808601486052</v>
      </c>
      <c r="H1872" s="25">
        <f t="shared" si="345"/>
        <v>0.1729934022458155</v>
      </c>
      <c r="I1872" s="25">
        <f t="shared" si="342"/>
        <v>0.12814709417921022</v>
      </c>
      <c r="K1872" s="28">
        <v>45140</v>
      </c>
      <c r="L1872" s="23">
        <v>26308.16</v>
      </c>
      <c r="M1872" s="25">
        <f t="shared" si="359"/>
        <v>-1.1118223395326773E-2</v>
      </c>
      <c r="O1872" t="b">
        <f t="shared" si="357"/>
        <v>1</v>
      </c>
      <c r="Q1872" s="25">
        <f t="shared" si="355"/>
        <v>0.14320378435174375</v>
      </c>
      <c r="R1872" s="25">
        <f t="shared" si="352"/>
        <v>0.10965089887429924</v>
      </c>
      <c r="S1872" s="25">
        <f t="shared" si="349"/>
        <v>0.23263646798359594</v>
      </c>
      <c r="T1872" s="25">
        <f t="shared" si="346"/>
        <v>0.18071973917916262</v>
      </c>
      <c r="U1872" s="25">
        <f t="shared" si="343"/>
        <v>0.1303188002788751</v>
      </c>
      <c r="X1872">
        <f t="shared" si="356"/>
        <v>1</v>
      </c>
      <c r="Y1872">
        <f t="shared" si="353"/>
        <v>0</v>
      </c>
      <c r="Z1872">
        <f t="shared" si="350"/>
        <v>0</v>
      </c>
      <c r="AA1872">
        <f t="shared" si="347"/>
        <v>0</v>
      </c>
      <c r="AB1872">
        <f t="shared" si="344"/>
        <v>0</v>
      </c>
    </row>
    <row r="1873" spans="1:28">
      <c r="A1873" s="27">
        <v>45141</v>
      </c>
      <c r="B1873" s="24">
        <v>1376.52</v>
      </c>
      <c r="C1873" s="25">
        <f t="shared" si="358"/>
        <v>-5.4980384790446896E-3</v>
      </c>
      <c r="E1873" s="25">
        <f t="shared" si="354"/>
        <v>0.14946598415071022</v>
      </c>
      <c r="F1873" s="25">
        <f t="shared" si="351"/>
        <v>7.8599829161529078E-2</v>
      </c>
      <c r="G1873" s="25">
        <f t="shared" si="348"/>
        <v>0.21940460095556236</v>
      </c>
      <c r="H1873" s="25">
        <f t="shared" si="345"/>
        <v>0.17799904610819328</v>
      </c>
      <c r="I1873" s="25">
        <f t="shared" si="342"/>
        <v>0.12786441940483884</v>
      </c>
      <c r="K1873" s="29">
        <v>45141</v>
      </c>
      <c r="L1873" s="24">
        <v>26176.98</v>
      </c>
      <c r="M1873" s="25">
        <f t="shared" si="359"/>
        <v>-5.0112732637607659E-3</v>
      </c>
      <c r="O1873" t="b">
        <f t="shared" si="357"/>
        <v>1</v>
      </c>
      <c r="Q1873" s="25">
        <f t="shared" si="355"/>
        <v>0.13635240886318223</v>
      </c>
      <c r="R1873" s="25">
        <f t="shared" si="352"/>
        <v>0.10794136762585604</v>
      </c>
      <c r="S1873" s="25">
        <f t="shared" si="349"/>
        <v>0.23085774133459114</v>
      </c>
      <c r="T1873" s="25">
        <f t="shared" si="346"/>
        <v>0.18434448612428</v>
      </c>
      <c r="U1873" s="25">
        <f t="shared" si="343"/>
        <v>0.1306230780753157</v>
      </c>
      <c r="X1873">
        <f t="shared" si="356"/>
        <v>1</v>
      </c>
      <c r="Y1873">
        <f t="shared" si="353"/>
        <v>0</v>
      </c>
      <c r="Z1873">
        <f t="shared" si="350"/>
        <v>0</v>
      </c>
      <c r="AA1873">
        <f t="shared" si="347"/>
        <v>0</v>
      </c>
      <c r="AB1873">
        <f t="shared" si="344"/>
        <v>0</v>
      </c>
    </row>
    <row r="1874" spans="1:28">
      <c r="A1874" s="26">
        <v>45142</v>
      </c>
      <c r="B1874" s="23">
        <v>1386.61</v>
      </c>
      <c r="C1874" s="25">
        <f t="shared" si="358"/>
        <v>7.3300787493097942E-3</v>
      </c>
      <c r="E1874" s="25">
        <f t="shared" si="354"/>
        <v>0.15467119671571439</v>
      </c>
      <c r="F1874" s="25">
        <f t="shared" si="351"/>
        <v>8.3796757090738305E-2</v>
      </c>
      <c r="G1874" s="25">
        <f t="shared" si="348"/>
        <v>0.22080291018713716</v>
      </c>
      <c r="H1874" s="25">
        <f t="shared" si="345"/>
        <v>0.17676296432328265</v>
      </c>
      <c r="I1874" s="25">
        <f t="shared" ref="I1874:I1937" si="360">((B1874/B643)^(1/5))-1</f>
        <v>0.12742506665123177</v>
      </c>
      <c r="K1874" s="28">
        <v>45142</v>
      </c>
      <c r="L1874" s="23">
        <v>26362.94</v>
      </c>
      <c r="M1874" s="25">
        <f t="shared" si="359"/>
        <v>7.0538414911234916E-3</v>
      </c>
      <c r="O1874" t="b">
        <f t="shared" si="357"/>
        <v>1</v>
      </c>
      <c r="Q1874" s="25">
        <f t="shared" si="355"/>
        <v>0.14381227951203357</v>
      </c>
      <c r="R1874" s="25">
        <f t="shared" si="352"/>
        <v>0.11261717651323822</v>
      </c>
      <c r="S1874" s="25">
        <f t="shared" si="349"/>
        <v>0.23261134867954758</v>
      </c>
      <c r="T1874" s="25">
        <f t="shared" si="346"/>
        <v>0.18367470685395038</v>
      </c>
      <c r="U1874" s="25">
        <f t="shared" ref="U1874:U1937" si="361">((L1874/L643)^(1/5))-1</f>
        <v>0.1299472161763211</v>
      </c>
      <c r="X1874">
        <f t="shared" si="356"/>
        <v>1</v>
      </c>
      <c r="Y1874">
        <f t="shared" si="353"/>
        <v>0</v>
      </c>
      <c r="Z1874">
        <f t="shared" si="350"/>
        <v>0</v>
      </c>
      <c r="AA1874">
        <f t="shared" si="347"/>
        <v>0</v>
      </c>
      <c r="AB1874">
        <f t="shared" ref="AB1874:AB1937" si="362">IF(I1874&gt;U1874,1,0)</f>
        <v>0</v>
      </c>
    </row>
    <row r="1875" spans="1:28">
      <c r="A1875" s="27">
        <v>45145</v>
      </c>
      <c r="B1875" s="24">
        <v>1391.52</v>
      </c>
      <c r="C1875" s="25">
        <f t="shared" si="358"/>
        <v>3.5410100893546724E-3</v>
      </c>
      <c r="E1875" s="25">
        <f t="shared" si="354"/>
        <v>0.15251205088704456</v>
      </c>
      <c r="F1875" s="25">
        <f t="shared" si="351"/>
        <v>8.7262368988562766E-2</v>
      </c>
      <c r="G1875" s="25">
        <f t="shared" si="348"/>
        <v>0.22666291719629061</v>
      </c>
      <c r="H1875" s="25">
        <f t="shared" si="345"/>
        <v>0.17726235369660714</v>
      </c>
      <c r="I1875" s="25">
        <f t="shared" si="360"/>
        <v>0.12770436058521595</v>
      </c>
      <c r="K1875" s="29">
        <v>45145</v>
      </c>
      <c r="L1875" s="24">
        <v>26465.57</v>
      </c>
      <c r="M1875" s="25">
        <f t="shared" si="359"/>
        <v>3.8778684910244147E-3</v>
      </c>
      <c r="O1875" t="b">
        <f t="shared" si="357"/>
        <v>1</v>
      </c>
      <c r="Q1875" s="25">
        <f t="shared" si="355"/>
        <v>0.14075880270534835</v>
      </c>
      <c r="R1875" s="25">
        <f t="shared" si="352"/>
        <v>0.11646462916943623</v>
      </c>
      <c r="S1875" s="25">
        <f t="shared" si="349"/>
        <v>0.23836462017393711</v>
      </c>
      <c r="T1875" s="25">
        <f t="shared" si="346"/>
        <v>0.18422872077796826</v>
      </c>
      <c r="U1875" s="25">
        <f t="shared" si="361"/>
        <v>0.13025948017240951</v>
      </c>
      <c r="X1875">
        <f t="shared" si="356"/>
        <v>1</v>
      </c>
      <c r="Y1875">
        <f t="shared" si="353"/>
        <v>0</v>
      </c>
      <c r="Z1875">
        <f t="shared" si="350"/>
        <v>0</v>
      </c>
      <c r="AA1875">
        <f t="shared" si="347"/>
        <v>0</v>
      </c>
      <c r="AB1875">
        <f t="shared" si="362"/>
        <v>0</v>
      </c>
    </row>
    <row r="1876" spans="1:28">
      <c r="A1876" s="26">
        <v>45146</v>
      </c>
      <c r="B1876" s="23">
        <v>1392.72</v>
      </c>
      <c r="C1876" s="25">
        <f t="shared" si="358"/>
        <v>8.6236633321838381E-4</v>
      </c>
      <c r="E1876" s="25">
        <f t="shared" si="354"/>
        <v>0.1512080609031321</v>
      </c>
      <c r="F1876" s="25">
        <f t="shared" si="351"/>
        <v>8.8660949860252858E-2</v>
      </c>
      <c r="G1876" s="25">
        <f t="shared" si="348"/>
        <v>0.22613780283342977</v>
      </c>
      <c r="H1876" s="25">
        <f t="shared" si="345"/>
        <v>0.17696813222632923</v>
      </c>
      <c r="I1876" s="25">
        <f t="shared" si="360"/>
        <v>0.12775693095630336</v>
      </c>
      <c r="K1876" s="28">
        <v>45146</v>
      </c>
      <c r="L1876" s="23">
        <v>26454.63</v>
      </c>
      <c r="M1876" s="25">
        <f t="shared" si="359"/>
        <v>-4.1353819728337499E-4</v>
      </c>
      <c r="O1876" t="b">
        <f t="shared" si="357"/>
        <v>1</v>
      </c>
      <c r="Q1876" s="25">
        <f t="shared" si="355"/>
        <v>0.14069386892724545</v>
      </c>
      <c r="R1876" s="25">
        <f t="shared" si="352"/>
        <v>0.11686052373822475</v>
      </c>
      <c r="S1876" s="25">
        <f t="shared" si="349"/>
        <v>0.23579958942203239</v>
      </c>
      <c r="T1876" s="25">
        <f t="shared" si="346"/>
        <v>0.18373110557981831</v>
      </c>
      <c r="U1876" s="25">
        <f t="shared" si="361"/>
        <v>0.13027160144780758</v>
      </c>
      <c r="X1876">
        <f t="shared" si="356"/>
        <v>1</v>
      </c>
      <c r="Y1876">
        <f t="shared" si="353"/>
        <v>0</v>
      </c>
      <c r="Z1876">
        <f t="shared" si="350"/>
        <v>0</v>
      </c>
      <c r="AA1876">
        <f t="shared" si="347"/>
        <v>0</v>
      </c>
      <c r="AB1876">
        <f t="shared" si="362"/>
        <v>0</v>
      </c>
    </row>
    <row r="1877" spans="1:28">
      <c r="A1877" s="27">
        <v>45147</v>
      </c>
      <c r="B1877" s="24">
        <v>1397.58</v>
      </c>
      <c r="C1877" s="25">
        <f t="shared" si="358"/>
        <v>3.4895743580905707E-3</v>
      </c>
      <c r="E1877" s="25">
        <f t="shared" si="354"/>
        <v>0.14632785970898454</v>
      </c>
      <c r="F1877" s="25">
        <f t="shared" si="351"/>
        <v>8.6195436186124352E-2</v>
      </c>
      <c r="G1877" s="25">
        <f t="shared" si="348"/>
        <v>0.22197559465127203</v>
      </c>
      <c r="H1877" s="25">
        <f t="shared" si="345"/>
        <v>0.1799166191267394</v>
      </c>
      <c r="I1877" s="25">
        <f t="shared" si="360"/>
        <v>0.12788184479855147</v>
      </c>
      <c r="K1877" s="29">
        <v>45147</v>
      </c>
      <c r="L1877" s="24">
        <v>26551.16</v>
      </c>
      <c r="M1877" s="25">
        <f t="shared" si="359"/>
        <v>3.63562269972381E-3</v>
      </c>
      <c r="O1877" t="b">
        <f t="shared" si="357"/>
        <v>1</v>
      </c>
      <c r="Q1877" s="25">
        <f t="shared" si="355"/>
        <v>0.13615604068416287</v>
      </c>
      <c r="R1877" s="25">
        <f t="shared" si="352"/>
        <v>0.11502222091373282</v>
      </c>
      <c r="S1877" s="25">
        <f t="shared" si="349"/>
        <v>0.23225784682690476</v>
      </c>
      <c r="T1877" s="25">
        <f t="shared" si="346"/>
        <v>0.18612220930009737</v>
      </c>
      <c r="U1877" s="25">
        <f t="shared" si="361"/>
        <v>0.13016075063239563</v>
      </c>
      <c r="X1877">
        <f t="shared" si="356"/>
        <v>1</v>
      </c>
      <c r="Y1877">
        <f t="shared" si="353"/>
        <v>0</v>
      </c>
      <c r="Z1877">
        <f t="shared" si="350"/>
        <v>0</v>
      </c>
      <c r="AA1877">
        <f t="shared" si="347"/>
        <v>0</v>
      </c>
      <c r="AB1877">
        <f t="shared" si="362"/>
        <v>0</v>
      </c>
    </row>
    <row r="1878" spans="1:28">
      <c r="A1878" s="26">
        <v>45148</v>
      </c>
      <c r="B1878" s="23">
        <v>1391.36</v>
      </c>
      <c r="C1878" s="25">
        <f t="shared" si="358"/>
        <v>-4.4505502368379826E-3</v>
      </c>
      <c r="E1878" s="25">
        <f t="shared" si="354"/>
        <v>0.13988907185751387</v>
      </c>
      <c r="F1878" s="25">
        <f t="shared" si="351"/>
        <v>8.0691896613389824E-2</v>
      </c>
      <c r="G1878" s="25">
        <f t="shared" si="348"/>
        <v>0.21809612264354783</v>
      </c>
      <c r="H1878" s="25">
        <f t="shared" si="345"/>
        <v>0.18189768605649959</v>
      </c>
      <c r="I1878" s="25">
        <f t="shared" si="360"/>
        <v>0.12614756876647548</v>
      </c>
      <c r="K1878" s="28">
        <v>45148</v>
      </c>
      <c r="L1878" s="23">
        <v>26451.46</v>
      </c>
      <c r="M1878" s="25">
        <f t="shared" si="359"/>
        <v>-3.769168129093847E-3</v>
      </c>
      <c r="O1878" t="b">
        <f t="shared" si="357"/>
        <v>1</v>
      </c>
      <c r="Q1878" s="25">
        <f t="shared" si="355"/>
        <v>0.12845648045958269</v>
      </c>
      <c r="R1878" s="25">
        <f t="shared" si="352"/>
        <v>0.10921593037771204</v>
      </c>
      <c r="S1878" s="25">
        <f t="shared" si="349"/>
        <v>0.22935369526506966</v>
      </c>
      <c r="T1878" s="25">
        <f t="shared" si="346"/>
        <v>0.18805695118329235</v>
      </c>
      <c r="U1878" s="25">
        <f t="shared" si="361"/>
        <v>0.12872598199207652</v>
      </c>
      <c r="X1878">
        <f t="shared" si="356"/>
        <v>1</v>
      </c>
      <c r="Y1878">
        <f t="shared" si="353"/>
        <v>0</v>
      </c>
      <c r="Z1878">
        <f t="shared" si="350"/>
        <v>0</v>
      </c>
      <c r="AA1878">
        <f t="shared" si="347"/>
        <v>0</v>
      </c>
      <c r="AB1878">
        <f t="shared" si="362"/>
        <v>0</v>
      </c>
    </row>
    <row r="1879" spans="1:28">
      <c r="A1879" s="27">
        <v>45149</v>
      </c>
      <c r="B1879" s="24">
        <v>1386.05</v>
      </c>
      <c r="C1879" s="25">
        <f t="shared" si="358"/>
        <v>-3.8164098436062168E-3</v>
      </c>
      <c r="E1879" s="25">
        <f t="shared" si="354"/>
        <v>0.12994741776382823</v>
      </c>
      <c r="F1879" s="25">
        <f t="shared" si="351"/>
        <v>7.9076191459740874E-2</v>
      </c>
      <c r="G1879" s="25">
        <f t="shared" si="348"/>
        <v>0.21807601114902964</v>
      </c>
      <c r="H1879" s="25">
        <f t="shared" si="345"/>
        <v>0.18554402687654781</v>
      </c>
      <c r="I1879" s="25">
        <f t="shared" si="360"/>
        <v>0.12593527961990381</v>
      </c>
      <c r="K1879" s="29">
        <v>45149</v>
      </c>
      <c r="L1879" s="24">
        <v>26335.87</v>
      </c>
      <c r="M1879" s="25">
        <f t="shared" si="359"/>
        <v>-4.3890708755776877E-3</v>
      </c>
      <c r="O1879" t="b">
        <f t="shared" si="357"/>
        <v>1</v>
      </c>
      <c r="Q1879" s="25">
        <f t="shared" si="355"/>
        <v>0.11323794225810535</v>
      </c>
      <c r="R1879" s="25">
        <f t="shared" si="352"/>
        <v>0.10657431503153192</v>
      </c>
      <c r="S1879" s="25">
        <f t="shared" si="349"/>
        <v>0.22946315902561576</v>
      </c>
      <c r="T1879" s="25">
        <f t="shared" si="346"/>
        <v>0.19161303605754343</v>
      </c>
      <c r="U1879" s="25">
        <f t="shared" si="361"/>
        <v>0.12877070496432208</v>
      </c>
      <c r="X1879">
        <f t="shared" si="356"/>
        <v>1</v>
      </c>
      <c r="Y1879">
        <f t="shared" si="353"/>
        <v>0</v>
      </c>
      <c r="Z1879">
        <f t="shared" si="350"/>
        <v>0</v>
      </c>
      <c r="AA1879">
        <f t="shared" si="347"/>
        <v>0</v>
      </c>
      <c r="AB1879">
        <f t="shared" si="362"/>
        <v>0</v>
      </c>
    </row>
    <row r="1880" spans="1:28">
      <c r="A1880" s="26">
        <v>45152</v>
      </c>
      <c r="B1880" s="23">
        <v>1382.57</v>
      </c>
      <c r="C1880" s="25">
        <f t="shared" si="358"/>
        <v>-2.5107319360773554E-3</v>
      </c>
      <c r="E1880" s="25">
        <f t="shared" si="354"/>
        <v>0.11750822428244634</v>
      </c>
      <c r="F1880" s="25">
        <f t="shared" si="351"/>
        <v>7.5675850376413667E-2</v>
      </c>
      <c r="G1880" s="25">
        <f t="shared" si="348"/>
        <v>0.2150995515388423</v>
      </c>
      <c r="H1880" s="25">
        <f t="shared" ref="H1880:H1943" si="363">((B1880/B899)^(1/4))-1</f>
        <v>0.1825680556682745</v>
      </c>
      <c r="I1880" s="25">
        <f t="shared" si="360"/>
        <v>0.12698059973677345</v>
      </c>
      <c r="K1880" s="28">
        <v>45152</v>
      </c>
      <c r="L1880" s="23">
        <v>26285.200000000001</v>
      </c>
      <c r="M1880" s="25">
        <f t="shared" si="359"/>
        <v>-1.9277007593626167E-3</v>
      </c>
      <c r="O1880" t="b">
        <f t="shared" si="357"/>
        <v>1</v>
      </c>
      <c r="Q1880" s="25">
        <f t="shared" si="355"/>
        <v>0.1039586391403593</v>
      </c>
      <c r="R1880" s="25">
        <f t="shared" si="352"/>
        <v>0.10381974077264489</v>
      </c>
      <c r="S1880" s="25">
        <f t="shared" si="349"/>
        <v>0.22627436973111115</v>
      </c>
      <c r="T1880" s="25">
        <f t="shared" ref="T1880:T1943" si="364">((L1880/L899)^(1/4))-1</f>
        <v>0.18861427351792215</v>
      </c>
      <c r="U1880" s="25">
        <f t="shared" si="361"/>
        <v>0.12990265645665899</v>
      </c>
      <c r="X1880">
        <f t="shared" si="356"/>
        <v>1</v>
      </c>
      <c r="Y1880">
        <f t="shared" si="353"/>
        <v>0</v>
      </c>
      <c r="Z1880">
        <f t="shared" si="350"/>
        <v>0</v>
      </c>
      <c r="AA1880">
        <f t="shared" ref="AA1880:AA1943" si="365">IF(H1880&gt;T1880,1,0)</f>
        <v>0</v>
      </c>
      <c r="AB1880">
        <f t="shared" si="362"/>
        <v>0</v>
      </c>
    </row>
    <row r="1881" spans="1:28">
      <c r="A1881" s="27">
        <v>45154</v>
      </c>
      <c r="B1881" s="24">
        <v>1381.19</v>
      </c>
      <c r="C1881" s="25">
        <f t="shared" si="358"/>
        <v>-9.981411429438522E-4</v>
      </c>
      <c r="E1881" s="25">
        <f t="shared" si="354"/>
        <v>0.11651913827250326</v>
      </c>
      <c r="F1881" s="25">
        <f t="shared" si="351"/>
        <v>7.5066902363524868E-2</v>
      </c>
      <c r="G1881" s="25">
        <f t="shared" si="348"/>
        <v>0.21124193463657059</v>
      </c>
      <c r="H1881" s="25">
        <f t="shared" si="363"/>
        <v>0.17656435566560846</v>
      </c>
      <c r="I1881" s="25">
        <f t="shared" si="360"/>
        <v>0.12434718994045846</v>
      </c>
      <c r="K1881" s="29">
        <v>45154</v>
      </c>
      <c r="L1881" s="24">
        <v>26328.16</v>
      </c>
      <c r="M1881" s="25">
        <f t="shared" si="359"/>
        <v>1.6317129643696759E-3</v>
      </c>
      <c r="O1881" t="b">
        <f t="shared" si="357"/>
        <v>1</v>
      </c>
      <c r="Q1881" s="25">
        <f t="shared" si="355"/>
        <v>0.10350030617672235</v>
      </c>
      <c r="R1881" s="25">
        <f t="shared" si="352"/>
        <v>0.10538976119341403</v>
      </c>
      <c r="S1881" s="25">
        <f t="shared" si="349"/>
        <v>0.22371411399495789</v>
      </c>
      <c r="T1881" s="25">
        <f t="shared" si="364"/>
        <v>0.18328191235173619</v>
      </c>
      <c r="U1881" s="25">
        <f t="shared" si="361"/>
        <v>0.12854101116870198</v>
      </c>
      <c r="X1881">
        <f t="shared" si="356"/>
        <v>1</v>
      </c>
      <c r="Y1881">
        <f t="shared" si="353"/>
        <v>0</v>
      </c>
      <c r="Z1881">
        <f t="shared" si="350"/>
        <v>0</v>
      </c>
      <c r="AA1881">
        <f t="shared" si="365"/>
        <v>0</v>
      </c>
      <c r="AB1881">
        <f t="shared" si="362"/>
        <v>0</v>
      </c>
    </row>
    <row r="1882" spans="1:28">
      <c r="A1882" s="26">
        <v>45155</v>
      </c>
      <c r="B1882" s="23">
        <v>1377.76</v>
      </c>
      <c r="C1882" s="25">
        <f t="shared" si="358"/>
        <v>-2.4833657932652737E-3</v>
      </c>
      <c r="E1882" s="25">
        <f t="shared" si="354"/>
        <v>0.12808168144563714</v>
      </c>
      <c r="F1882" s="25">
        <f t="shared" si="351"/>
        <v>8.3097793053472868E-2</v>
      </c>
      <c r="G1882" s="25">
        <f t="shared" si="348"/>
        <v>0.20963697963546779</v>
      </c>
      <c r="H1882" s="25">
        <f t="shared" si="363"/>
        <v>0.17426013014906405</v>
      </c>
      <c r="I1882" s="25">
        <f t="shared" si="360"/>
        <v>0.12414525779985741</v>
      </c>
      <c r="K1882" s="28">
        <v>45155</v>
      </c>
      <c r="L1882" s="23">
        <v>26249.46</v>
      </c>
      <c r="M1882" s="25">
        <f t="shared" si="359"/>
        <v>-2.9981569144660776E-3</v>
      </c>
      <c r="O1882" t="b">
        <f t="shared" si="357"/>
        <v>1</v>
      </c>
      <c r="Q1882" s="25">
        <f t="shared" si="355"/>
        <v>0.11215168281544119</v>
      </c>
      <c r="R1882" s="25">
        <f t="shared" si="352"/>
        <v>0.10971617235277442</v>
      </c>
      <c r="S1882" s="25">
        <f t="shared" si="349"/>
        <v>0.22202653328545408</v>
      </c>
      <c r="T1882" s="25">
        <f t="shared" si="364"/>
        <v>0.18050537084692353</v>
      </c>
      <c r="U1882" s="25">
        <f t="shared" si="361"/>
        <v>0.12880639072662659</v>
      </c>
      <c r="X1882">
        <f t="shared" si="356"/>
        <v>1</v>
      </c>
      <c r="Y1882">
        <f t="shared" si="353"/>
        <v>0</v>
      </c>
      <c r="Z1882">
        <f t="shared" si="350"/>
        <v>0</v>
      </c>
      <c r="AA1882">
        <f t="shared" si="365"/>
        <v>0</v>
      </c>
      <c r="AB1882">
        <f t="shared" si="362"/>
        <v>0</v>
      </c>
    </row>
    <row r="1883" spans="1:28">
      <c r="A1883" s="27">
        <v>45156</v>
      </c>
      <c r="B1883" s="24">
        <v>1371.45</v>
      </c>
      <c r="C1883" s="25">
        <f t="shared" si="358"/>
        <v>-4.5798978051329303E-3</v>
      </c>
      <c r="E1883" s="25">
        <f t="shared" si="354"/>
        <v>0.14237996868023872</v>
      </c>
      <c r="F1883" s="25">
        <f t="shared" si="351"/>
        <v>8.1204050654188675E-2</v>
      </c>
      <c r="G1883" s="25">
        <f t="shared" si="348"/>
        <v>0.20628616199853589</v>
      </c>
      <c r="H1883" s="25">
        <f t="shared" si="363"/>
        <v>0.17517816096010641</v>
      </c>
      <c r="I1883" s="25">
        <f t="shared" si="360"/>
        <v>0.12020089733817829</v>
      </c>
      <c r="K1883" s="29">
        <v>45156</v>
      </c>
      <c r="L1883" s="24">
        <v>26183.37</v>
      </c>
      <c r="M1883" s="25">
        <f t="shared" si="359"/>
        <v>-2.5241212265648062E-3</v>
      </c>
      <c r="O1883" t="b">
        <f t="shared" si="357"/>
        <v>1</v>
      </c>
      <c r="Q1883" s="25">
        <f t="shared" si="355"/>
        <v>0.12670630142786687</v>
      </c>
      <c r="R1883" s="25">
        <f t="shared" si="352"/>
        <v>0.10882689751608488</v>
      </c>
      <c r="S1883" s="25">
        <f t="shared" si="349"/>
        <v>0.21846013490837568</v>
      </c>
      <c r="T1883" s="25">
        <f t="shared" si="364"/>
        <v>0.18144502043747446</v>
      </c>
      <c r="U1883" s="25">
        <f t="shared" si="361"/>
        <v>0.12627863675737316</v>
      </c>
      <c r="X1883">
        <f t="shared" si="356"/>
        <v>1</v>
      </c>
      <c r="Y1883">
        <f t="shared" si="353"/>
        <v>0</v>
      </c>
      <c r="Z1883">
        <f t="shared" si="350"/>
        <v>0</v>
      </c>
      <c r="AA1883">
        <f t="shared" si="365"/>
        <v>0</v>
      </c>
      <c r="AB1883">
        <f t="shared" si="362"/>
        <v>0</v>
      </c>
    </row>
    <row r="1884" spans="1:28">
      <c r="A1884" s="26">
        <v>45159</v>
      </c>
      <c r="B1884" s="23">
        <v>1380.29</v>
      </c>
      <c r="C1884" s="25">
        <f t="shared" si="358"/>
        <v>6.4457326187611049E-3</v>
      </c>
      <c r="E1884" s="25">
        <f t="shared" si="354"/>
        <v>0.14151856231960758</v>
      </c>
      <c r="F1884" s="25">
        <f t="shared" si="351"/>
        <v>7.9291665250522891E-2</v>
      </c>
      <c r="G1884" s="25">
        <f t="shared" si="348"/>
        <v>0.20744718175940879</v>
      </c>
      <c r="H1884" s="25">
        <f t="shared" si="363"/>
        <v>0.17873883863326223</v>
      </c>
      <c r="I1884" s="25">
        <f t="shared" si="360"/>
        <v>0.12077771442324958</v>
      </c>
      <c r="K1884" s="28">
        <v>45159</v>
      </c>
      <c r="L1884" s="23">
        <v>26337.03</v>
      </c>
      <c r="M1884" s="25">
        <f t="shared" si="359"/>
        <v>5.834370845915423E-3</v>
      </c>
      <c r="O1884" t="b">
        <f t="shared" si="357"/>
        <v>1</v>
      </c>
      <c r="Q1884" s="25">
        <f t="shared" si="355"/>
        <v>0.12664315307434149</v>
      </c>
      <c r="R1884" s="25">
        <f t="shared" si="352"/>
        <v>0.10681304560095461</v>
      </c>
      <c r="S1884" s="25">
        <f t="shared" si="349"/>
        <v>0.22025816826983702</v>
      </c>
      <c r="T1884" s="25">
        <f t="shared" si="364"/>
        <v>0.18531788656349346</v>
      </c>
      <c r="U1884" s="25">
        <f t="shared" si="361"/>
        <v>0.12597596687866708</v>
      </c>
      <c r="X1884">
        <f t="shared" si="356"/>
        <v>1</v>
      </c>
      <c r="Y1884">
        <f t="shared" si="353"/>
        <v>0</v>
      </c>
      <c r="Z1884">
        <f t="shared" si="350"/>
        <v>0</v>
      </c>
      <c r="AA1884">
        <f t="shared" si="365"/>
        <v>0</v>
      </c>
      <c r="AB1884">
        <f t="shared" si="362"/>
        <v>0</v>
      </c>
    </row>
    <row r="1885" spans="1:28">
      <c r="A1885" s="27">
        <v>45160</v>
      </c>
      <c r="B1885" s="24">
        <v>1385.38</v>
      </c>
      <c r="C1885" s="25">
        <f t="shared" si="358"/>
        <v>3.6876308601816615E-3</v>
      </c>
      <c r="E1885" s="25">
        <f t="shared" si="354"/>
        <v>0.14238358717253097</v>
      </c>
      <c r="F1885" s="25">
        <f t="shared" si="351"/>
        <v>8.2216403548427408E-2</v>
      </c>
      <c r="G1885" s="25">
        <f t="shared" si="348"/>
        <v>0.20495734835994228</v>
      </c>
      <c r="H1885" s="25">
        <f t="shared" si="363"/>
        <v>0.17696199802733359</v>
      </c>
      <c r="I1885" s="25">
        <f t="shared" si="360"/>
        <v>0.12113808147093486</v>
      </c>
      <c r="K1885" s="29">
        <v>45160</v>
      </c>
      <c r="L1885" s="24">
        <v>26420.68</v>
      </c>
      <c r="M1885" s="25">
        <f t="shared" si="359"/>
        <v>3.1660805096614263E-3</v>
      </c>
      <c r="O1885" t="b">
        <f t="shared" si="357"/>
        <v>1</v>
      </c>
      <c r="Q1885" s="25">
        <f t="shared" si="355"/>
        <v>0.12648977849824261</v>
      </c>
      <c r="R1885" s="25">
        <f t="shared" si="352"/>
        <v>0.10737294447548673</v>
      </c>
      <c r="S1885" s="25">
        <f t="shared" si="349"/>
        <v>0.21898712964505673</v>
      </c>
      <c r="T1885" s="25">
        <f t="shared" si="364"/>
        <v>0.18388925112902621</v>
      </c>
      <c r="U1885" s="25">
        <f t="shared" si="361"/>
        <v>0.12616609895603803</v>
      </c>
      <c r="X1885">
        <f t="shared" si="356"/>
        <v>1</v>
      </c>
      <c r="Y1885">
        <f t="shared" si="353"/>
        <v>0</v>
      </c>
      <c r="Z1885">
        <f t="shared" si="350"/>
        <v>0</v>
      </c>
      <c r="AA1885">
        <f t="shared" si="365"/>
        <v>0</v>
      </c>
      <c r="AB1885">
        <f t="shared" si="362"/>
        <v>0</v>
      </c>
    </row>
    <row r="1886" spans="1:28">
      <c r="A1886" s="26">
        <v>45161</v>
      </c>
      <c r="B1886" s="23">
        <v>1391.56</v>
      </c>
      <c r="C1886" s="25">
        <f t="shared" si="358"/>
        <v>4.4608699418208983E-3</v>
      </c>
      <c r="E1886" s="25">
        <f t="shared" si="354"/>
        <v>0.14890068609076867</v>
      </c>
      <c r="F1886" s="25">
        <f t="shared" si="351"/>
        <v>8.5876721270004674E-2</v>
      </c>
      <c r="G1886" s="25">
        <f t="shared" si="348"/>
        <v>0.21958725432435444</v>
      </c>
      <c r="H1886" s="25">
        <f t="shared" si="363"/>
        <v>0.18356602067658501</v>
      </c>
      <c r="I1886" s="25">
        <f t="shared" si="360"/>
        <v>0.12180112420598399</v>
      </c>
      <c r="K1886" s="28">
        <v>45161</v>
      </c>
      <c r="L1886" s="23">
        <v>26491.09</v>
      </c>
      <c r="M1886" s="25">
        <f t="shared" si="359"/>
        <v>2.6578747797844429E-3</v>
      </c>
      <c r="O1886" t="b">
        <f t="shared" si="357"/>
        <v>1</v>
      </c>
      <c r="Q1886" s="25">
        <f t="shared" si="355"/>
        <v>0.13245066518586346</v>
      </c>
      <c r="R1886" s="25">
        <f t="shared" si="352"/>
        <v>0.10831009101127931</v>
      </c>
      <c r="S1886" s="25">
        <f t="shared" si="349"/>
        <v>0.23163286906891245</v>
      </c>
      <c r="T1886" s="25">
        <f t="shared" si="364"/>
        <v>0.19052843533407215</v>
      </c>
      <c r="U1886" s="25">
        <f t="shared" si="361"/>
        <v>0.12652683580334445</v>
      </c>
      <c r="X1886">
        <f t="shared" si="356"/>
        <v>1</v>
      </c>
      <c r="Y1886">
        <f t="shared" si="353"/>
        <v>0</v>
      </c>
      <c r="Z1886">
        <f t="shared" si="350"/>
        <v>0</v>
      </c>
      <c r="AA1886">
        <f t="shared" si="365"/>
        <v>0</v>
      </c>
      <c r="AB1886">
        <f t="shared" si="362"/>
        <v>0</v>
      </c>
    </row>
    <row r="1887" spans="1:28">
      <c r="A1887" s="27">
        <v>45162</v>
      </c>
      <c r="B1887" s="24">
        <v>1392.25</v>
      </c>
      <c r="C1887" s="25">
        <f t="shared" si="358"/>
        <v>4.9584638822620269E-4</v>
      </c>
      <c r="E1887" s="25">
        <f t="shared" si="354"/>
        <v>0.14702708046696711</v>
      </c>
      <c r="F1887" s="25">
        <f t="shared" si="351"/>
        <v>8.2478606413480815E-2</v>
      </c>
      <c r="G1887" s="25">
        <f t="shared" si="348"/>
        <v>0.21554121325980358</v>
      </c>
      <c r="H1887" s="25">
        <f t="shared" si="363"/>
        <v>0.18209493356203765</v>
      </c>
      <c r="I1887" s="25">
        <f t="shared" si="360"/>
        <v>0.12275644921862305</v>
      </c>
      <c r="K1887" s="29">
        <v>45162</v>
      </c>
      <c r="L1887" s="24">
        <v>26459.919999999998</v>
      </c>
      <c r="M1887" s="25">
        <f t="shared" si="359"/>
        <v>-1.1780080967743627E-3</v>
      </c>
      <c r="O1887" t="b">
        <f t="shared" si="357"/>
        <v>1</v>
      </c>
      <c r="Q1887" s="25">
        <f t="shared" si="355"/>
        <v>0.12761763844787155</v>
      </c>
      <c r="R1887" s="25">
        <f t="shared" si="352"/>
        <v>0.10431002859200111</v>
      </c>
      <c r="S1887" s="25">
        <f t="shared" si="349"/>
        <v>0.22809092006859699</v>
      </c>
      <c r="T1887" s="25">
        <f t="shared" si="364"/>
        <v>0.18914038294797653</v>
      </c>
      <c r="U1887" s="25">
        <f t="shared" si="361"/>
        <v>0.1267239059306613</v>
      </c>
      <c r="X1887">
        <f t="shared" si="356"/>
        <v>1</v>
      </c>
      <c r="Y1887">
        <f t="shared" si="353"/>
        <v>0</v>
      </c>
      <c r="Z1887">
        <f t="shared" si="350"/>
        <v>0</v>
      </c>
      <c r="AA1887">
        <f t="shared" si="365"/>
        <v>0</v>
      </c>
      <c r="AB1887">
        <f t="shared" si="362"/>
        <v>0</v>
      </c>
    </row>
    <row r="1888" spans="1:28">
      <c r="A1888" s="26">
        <v>45163</v>
      </c>
      <c r="B1888" s="23">
        <v>1385.14</v>
      </c>
      <c r="C1888" s="25">
        <f t="shared" si="358"/>
        <v>-5.1068414437061595E-3</v>
      </c>
      <c r="E1888" s="25">
        <f t="shared" si="354"/>
        <v>0.15674140882709087</v>
      </c>
      <c r="F1888" s="25">
        <f t="shared" si="351"/>
        <v>7.094089858416619E-2</v>
      </c>
      <c r="G1888" s="25">
        <f t="shared" si="348"/>
        <v>0.21049325855981382</v>
      </c>
      <c r="H1888" s="25">
        <f t="shared" si="363"/>
        <v>0.17983068573550742</v>
      </c>
      <c r="I1888" s="25">
        <f t="shared" si="360"/>
        <v>0.11896990523488049</v>
      </c>
      <c r="K1888" s="28">
        <v>45163</v>
      </c>
      <c r="L1888" s="23">
        <v>26289.91</v>
      </c>
      <c r="M1888" s="25">
        <f t="shared" si="359"/>
        <v>-6.4667395209796613E-3</v>
      </c>
      <c r="O1888" t="b">
        <f t="shared" si="357"/>
        <v>1</v>
      </c>
      <c r="Q1888" s="25">
        <f t="shared" si="355"/>
        <v>0.13345057336670885</v>
      </c>
      <c r="R1888" s="25">
        <f t="shared" si="352"/>
        <v>9.2877552884373937E-2</v>
      </c>
      <c r="S1888" s="25">
        <f t="shared" si="349"/>
        <v>0.22211548588906949</v>
      </c>
      <c r="T1888" s="25">
        <f t="shared" si="364"/>
        <v>0.18678062011147767</v>
      </c>
      <c r="U1888" s="25">
        <f t="shared" si="361"/>
        <v>0.12282059925688782</v>
      </c>
      <c r="X1888">
        <f t="shared" si="356"/>
        <v>1</v>
      </c>
      <c r="Y1888">
        <f t="shared" si="353"/>
        <v>0</v>
      </c>
      <c r="Z1888">
        <f t="shared" si="350"/>
        <v>0</v>
      </c>
      <c r="AA1888">
        <f t="shared" si="365"/>
        <v>0</v>
      </c>
      <c r="AB1888">
        <f t="shared" si="362"/>
        <v>0</v>
      </c>
    </row>
    <row r="1889" spans="1:28">
      <c r="A1889" s="27">
        <v>45166</v>
      </c>
      <c r="B1889" s="24">
        <v>1390.49</v>
      </c>
      <c r="C1889" s="25">
        <f t="shared" si="358"/>
        <v>3.8624254587983227E-3</v>
      </c>
      <c r="E1889" s="25">
        <f t="shared" si="354"/>
        <v>0.13803884337428296</v>
      </c>
      <c r="F1889" s="25">
        <f t="shared" si="351"/>
        <v>6.6518473760961205E-2</v>
      </c>
      <c r="G1889" s="25">
        <f t="shared" si="348"/>
        <v>0.21225157385076154</v>
      </c>
      <c r="H1889" s="25">
        <f t="shared" si="363"/>
        <v>0.1781886295465489</v>
      </c>
      <c r="I1889" s="25">
        <f t="shared" si="360"/>
        <v>0.11978474629809766</v>
      </c>
      <c r="K1889" s="29">
        <v>45166</v>
      </c>
      <c r="L1889" s="24">
        <v>26374.959999999999</v>
      </c>
      <c r="M1889" s="25">
        <f t="shared" si="359"/>
        <v>3.2246494402266117E-3</v>
      </c>
      <c r="O1889" t="b">
        <f t="shared" si="357"/>
        <v>1</v>
      </c>
      <c r="Q1889" s="25">
        <f t="shared" si="355"/>
        <v>0.11097510274692435</v>
      </c>
      <c r="R1889" s="25">
        <f t="shared" si="352"/>
        <v>8.866852872615727E-2</v>
      </c>
      <c r="S1889" s="25">
        <f t="shared" si="349"/>
        <v>0.22272660316489534</v>
      </c>
      <c r="T1889" s="25">
        <f t="shared" si="364"/>
        <v>0.18526100985959149</v>
      </c>
      <c r="U1889" s="25">
        <f t="shared" si="361"/>
        <v>0.12293515187806836</v>
      </c>
      <c r="X1889">
        <f t="shared" si="356"/>
        <v>1</v>
      </c>
      <c r="Y1889">
        <f t="shared" si="353"/>
        <v>0</v>
      </c>
      <c r="Z1889">
        <f t="shared" si="350"/>
        <v>0</v>
      </c>
      <c r="AA1889">
        <f t="shared" si="365"/>
        <v>0</v>
      </c>
      <c r="AB1889">
        <f t="shared" si="362"/>
        <v>0</v>
      </c>
    </row>
    <row r="1890" spans="1:28">
      <c r="A1890" s="26">
        <v>45167</v>
      </c>
      <c r="B1890" s="23">
        <v>1393.98</v>
      </c>
      <c r="C1890" s="25">
        <f t="shared" si="358"/>
        <v>2.5099065796949341E-3</v>
      </c>
      <c r="E1890" s="25">
        <f t="shared" si="354"/>
        <v>0.14874575600751561</v>
      </c>
      <c r="F1890" s="25">
        <f t="shared" si="351"/>
        <v>6.6748398896447902E-2</v>
      </c>
      <c r="G1890" s="25">
        <f t="shared" si="348"/>
        <v>0.21965289408545208</v>
      </c>
      <c r="H1890" s="25">
        <f t="shared" si="363"/>
        <v>0.17693436025245113</v>
      </c>
      <c r="I1890" s="25">
        <f t="shared" si="360"/>
        <v>0.120420075126219</v>
      </c>
      <c r="K1890" s="28">
        <v>45167</v>
      </c>
      <c r="L1890" s="23">
        <v>26456.41</v>
      </c>
      <c r="M1890" s="25">
        <f t="shared" si="359"/>
        <v>3.0786489928150015E-3</v>
      </c>
      <c r="O1890" t="b">
        <f t="shared" si="357"/>
        <v>1</v>
      </c>
      <c r="Q1890" s="25">
        <f t="shared" si="355"/>
        <v>0.12271363522557044</v>
      </c>
      <c r="R1890" s="25">
        <f t="shared" si="352"/>
        <v>9.0516073891417692E-2</v>
      </c>
      <c r="S1890" s="25">
        <f t="shared" si="349"/>
        <v>0.23076369697276289</v>
      </c>
      <c r="T1890" s="25">
        <f t="shared" si="364"/>
        <v>0.18444984253232688</v>
      </c>
      <c r="U1890" s="25">
        <f t="shared" si="361"/>
        <v>0.12389961772694758</v>
      </c>
      <c r="X1890">
        <f t="shared" si="356"/>
        <v>1</v>
      </c>
      <c r="Y1890">
        <f t="shared" si="353"/>
        <v>0</v>
      </c>
      <c r="Z1890">
        <f t="shared" si="350"/>
        <v>0</v>
      </c>
      <c r="AA1890">
        <f t="shared" si="365"/>
        <v>0</v>
      </c>
      <c r="AB1890">
        <f t="shared" si="362"/>
        <v>0</v>
      </c>
    </row>
    <row r="1891" spans="1:28">
      <c r="A1891" s="27">
        <v>45168</v>
      </c>
      <c r="B1891" s="24">
        <v>1399.04</v>
      </c>
      <c r="C1891" s="25">
        <f t="shared" si="358"/>
        <v>3.6298942596019639E-3</v>
      </c>
      <c r="E1891" s="25">
        <f t="shared" si="354"/>
        <v>0.15402826009848969</v>
      </c>
      <c r="F1891" s="25">
        <f t="shared" si="351"/>
        <v>6.4149092328604107E-2</v>
      </c>
      <c r="G1891" s="25">
        <f t="shared" si="348"/>
        <v>0.22223077474040775</v>
      </c>
      <c r="H1891" s="25">
        <f t="shared" si="363"/>
        <v>0.17620800266937708</v>
      </c>
      <c r="I1891" s="25">
        <f t="shared" si="360"/>
        <v>0.12089743564597288</v>
      </c>
      <c r="K1891" s="29">
        <v>45168</v>
      </c>
      <c r="L1891" s="24">
        <v>26521.52</v>
      </c>
      <c r="M1891" s="25">
        <f t="shared" si="359"/>
        <v>2.4549874969458981E-3</v>
      </c>
      <c r="O1891" t="b">
        <f t="shared" si="357"/>
        <v>1</v>
      </c>
      <c r="Q1891" s="25">
        <f t="shared" si="355"/>
        <v>0.1261758457618174</v>
      </c>
      <c r="R1891" s="25">
        <f t="shared" si="352"/>
        <v>8.68552025218845E-2</v>
      </c>
      <c r="S1891" s="25">
        <f t="shared" si="349"/>
        <v>0.23172073157118867</v>
      </c>
      <c r="T1891" s="25">
        <f t="shared" si="364"/>
        <v>0.18375582331397</v>
      </c>
      <c r="U1891" s="25">
        <f t="shared" si="361"/>
        <v>0.12441278806599887</v>
      </c>
      <c r="X1891">
        <f t="shared" si="356"/>
        <v>1</v>
      </c>
      <c r="Y1891">
        <f t="shared" si="353"/>
        <v>0</v>
      </c>
      <c r="Z1891">
        <f t="shared" si="350"/>
        <v>0</v>
      </c>
      <c r="AA1891">
        <f t="shared" si="365"/>
        <v>0</v>
      </c>
      <c r="AB1891">
        <f t="shared" si="362"/>
        <v>0</v>
      </c>
    </row>
    <row r="1892" spans="1:28">
      <c r="A1892" s="26">
        <v>45169</v>
      </c>
      <c r="B1892" s="23">
        <v>1398.19</v>
      </c>
      <c r="C1892" s="25">
        <f t="shared" si="358"/>
        <v>-6.075594693503467E-4</v>
      </c>
      <c r="E1892" s="25">
        <f t="shared" si="354"/>
        <v>0.14370434597671999</v>
      </c>
      <c r="F1892" s="25">
        <f t="shared" si="351"/>
        <v>6.1602558370871252E-2</v>
      </c>
      <c r="G1892" s="25">
        <f t="shared" ref="G1892:G1955" si="366">((B1892/B1155)^(1/3))-1</f>
        <v>0.22579709000560833</v>
      </c>
      <c r="H1892" s="25">
        <f t="shared" si="363"/>
        <v>0.17538663354901396</v>
      </c>
      <c r="I1892" s="25">
        <f t="shared" si="360"/>
        <v>0.12003686461081653</v>
      </c>
      <c r="K1892" s="28">
        <v>45169</v>
      </c>
      <c r="L1892" s="23">
        <v>26451.77</v>
      </c>
      <c r="M1892" s="25">
        <f t="shared" si="359"/>
        <v>-2.6368745834399738E-3</v>
      </c>
      <c r="O1892" t="b">
        <f t="shared" si="357"/>
        <v>1</v>
      </c>
      <c r="Q1892" s="25">
        <f t="shared" si="355"/>
        <v>0.11640096413448409</v>
      </c>
      <c r="R1892" s="25">
        <f t="shared" si="352"/>
        <v>8.2664314478369194E-2</v>
      </c>
      <c r="S1892" s="25">
        <f t="shared" ref="S1892:S1955" si="367">((L1892/L1155)^(1/3))-1</f>
        <v>0.23280086539097855</v>
      </c>
      <c r="T1892" s="25">
        <f t="shared" si="364"/>
        <v>0.1840538597311967</v>
      </c>
      <c r="U1892" s="25">
        <f t="shared" si="361"/>
        <v>0.12341113958832306</v>
      </c>
      <c r="X1892">
        <f t="shared" si="356"/>
        <v>1</v>
      </c>
      <c r="Y1892">
        <f t="shared" si="353"/>
        <v>0</v>
      </c>
      <c r="Z1892">
        <f t="shared" ref="Z1892:Z1955" si="368">IF(G1892&gt;S1892,1,0)</f>
        <v>0</v>
      </c>
      <c r="AA1892">
        <f t="shared" si="365"/>
        <v>0</v>
      </c>
      <c r="AB1892">
        <f t="shared" si="362"/>
        <v>0</v>
      </c>
    </row>
    <row r="1893" spans="1:28">
      <c r="A1893" s="27">
        <v>45170</v>
      </c>
      <c r="B1893" s="24">
        <v>1410.93</v>
      </c>
      <c r="C1893" s="25">
        <f t="shared" si="358"/>
        <v>9.1117802301547059E-3</v>
      </c>
      <c r="E1893" s="25">
        <f t="shared" si="354"/>
        <v>0.15209935818921161</v>
      </c>
      <c r="F1893" s="25">
        <f t="shared" si="351"/>
        <v>6.4867123204833677E-2</v>
      </c>
      <c r="G1893" s="25">
        <f t="shared" si="366"/>
        <v>0.23157820411305408</v>
      </c>
      <c r="H1893" s="25">
        <f t="shared" si="363"/>
        <v>0.17604539024340671</v>
      </c>
      <c r="I1893" s="25">
        <f t="shared" si="360"/>
        <v>0.12337079918872762</v>
      </c>
      <c r="K1893" s="29">
        <v>45170</v>
      </c>
      <c r="L1893" s="24">
        <v>26687.23</v>
      </c>
      <c r="M1893" s="25">
        <f t="shared" si="359"/>
        <v>8.8229464054530617E-3</v>
      </c>
      <c r="O1893" t="b">
        <f t="shared" si="357"/>
        <v>1</v>
      </c>
      <c r="Q1893" s="25">
        <f t="shared" si="355"/>
        <v>0.12496548665814311</v>
      </c>
      <c r="R1893" s="25">
        <f t="shared" si="352"/>
        <v>8.5759846637637027E-2</v>
      </c>
      <c r="S1893" s="25">
        <f t="shared" si="367"/>
        <v>0.23819867106883219</v>
      </c>
      <c r="T1893" s="25">
        <f t="shared" si="364"/>
        <v>0.18440126482610486</v>
      </c>
      <c r="U1893" s="25">
        <f t="shared" si="361"/>
        <v>0.12699578870421258</v>
      </c>
      <c r="X1893">
        <f t="shared" si="356"/>
        <v>1</v>
      </c>
      <c r="Y1893">
        <f t="shared" si="353"/>
        <v>0</v>
      </c>
      <c r="Z1893">
        <f t="shared" si="368"/>
        <v>0</v>
      </c>
      <c r="AA1893">
        <f t="shared" si="365"/>
        <v>0</v>
      </c>
      <c r="AB1893">
        <f t="shared" si="362"/>
        <v>0</v>
      </c>
    </row>
    <row r="1894" spans="1:28">
      <c r="A1894" s="26">
        <v>45173</v>
      </c>
      <c r="B1894" s="23">
        <v>1420.23</v>
      </c>
      <c r="C1894" s="25">
        <f t="shared" si="358"/>
        <v>6.5913971635729301E-3</v>
      </c>
      <c r="E1894" s="25">
        <f t="shared" si="354"/>
        <v>0.1602617518749081</v>
      </c>
      <c r="F1894" s="25">
        <f t="shared" si="351"/>
        <v>6.9079917386468237E-2</v>
      </c>
      <c r="G1894" s="25">
        <f t="shared" si="366"/>
        <v>0.23207996341945236</v>
      </c>
      <c r="H1894" s="25">
        <f t="shared" si="363"/>
        <v>0.17915936794296927</v>
      </c>
      <c r="I1894" s="25">
        <f t="shared" si="360"/>
        <v>0.12810792617986699</v>
      </c>
      <c r="K1894" s="28">
        <v>45173</v>
      </c>
      <c r="L1894" s="23">
        <v>26853.57</v>
      </c>
      <c r="M1894" s="25">
        <f t="shared" si="359"/>
        <v>6.1943346825021834E-3</v>
      </c>
      <c r="O1894" t="b">
        <f t="shared" si="357"/>
        <v>1</v>
      </c>
      <c r="Q1894" s="25">
        <f t="shared" si="355"/>
        <v>0.13149368912709614</v>
      </c>
      <c r="R1894" s="25">
        <f t="shared" si="352"/>
        <v>8.993231246291078E-2</v>
      </c>
      <c r="S1894" s="25">
        <f t="shared" si="367"/>
        <v>0.23502177177139072</v>
      </c>
      <c r="T1894" s="25">
        <f t="shared" si="364"/>
        <v>0.18761059298113625</v>
      </c>
      <c r="U1894" s="25">
        <f t="shared" si="361"/>
        <v>0.13104414333273029</v>
      </c>
      <c r="X1894">
        <f t="shared" si="356"/>
        <v>1</v>
      </c>
      <c r="Y1894">
        <f t="shared" si="353"/>
        <v>0</v>
      </c>
      <c r="Z1894">
        <f t="shared" si="368"/>
        <v>0</v>
      </c>
      <c r="AA1894">
        <f t="shared" si="365"/>
        <v>0</v>
      </c>
      <c r="AB1894">
        <f t="shared" si="362"/>
        <v>0</v>
      </c>
    </row>
    <row r="1895" spans="1:28">
      <c r="A1895" s="27">
        <v>45174</v>
      </c>
      <c r="B1895" s="24">
        <v>1431.19</v>
      </c>
      <c r="C1895" s="25">
        <f t="shared" si="358"/>
        <v>7.7170599128310461E-3</v>
      </c>
      <c r="E1895" s="25">
        <f t="shared" si="354"/>
        <v>0.16065331808708216</v>
      </c>
      <c r="F1895" s="25">
        <f t="shared" si="351"/>
        <v>7.2351682863052824E-2</v>
      </c>
      <c r="G1895" s="25">
        <f t="shared" si="366"/>
        <v>0.23395335830942199</v>
      </c>
      <c r="H1895" s="25">
        <f t="shared" si="363"/>
        <v>0.18682808325326627</v>
      </c>
      <c r="I1895" s="25">
        <f t="shared" si="360"/>
        <v>0.12994548365027381</v>
      </c>
      <c r="K1895" s="29">
        <v>45174</v>
      </c>
      <c r="L1895" s="24">
        <v>26964.77</v>
      </c>
      <c r="M1895" s="25">
        <f t="shared" si="359"/>
        <v>4.1238994436073708E-3</v>
      </c>
      <c r="O1895" t="b">
        <f t="shared" si="357"/>
        <v>1</v>
      </c>
      <c r="Q1895" s="25">
        <f t="shared" si="355"/>
        <v>0.12724259019271766</v>
      </c>
      <c r="R1895" s="25">
        <f t="shared" si="352"/>
        <v>9.1305725530913984E-2</v>
      </c>
      <c r="S1895" s="25">
        <f t="shared" si="367"/>
        <v>0.23557793666902005</v>
      </c>
      <c r="T1895" s="25">
        <f t="shared" si="364"/>
        <v>0.19401381901349635</v>
      </c>
      <c r="U1895" s="25">
        <f t="shared" si="361"/>
        <v>0.13294006649264722</v>
      </c>
      <c r="X1895">
        <f t="shared" si="356"/>
        <v>1</v>
      </c>
      <c r="Y1895">
        <f t="shared" si="353"/>
        <v>0</v>
      </c>
      <c r="Z1895">
        <f t="shared" si="368"/>
        <v>0</v>
      </c>
      <c r="AA1895">
        <f t="shared" si="365"/>
        <v>0</v>
      </c>
      <c r="AB1895">
        <f t="shared" si="362"/>
        <v>0</v>
      </c>
    </row>
    <row r="1896" spans="1:28">
      <c r="A1896" s="26">
        <v>45175</v>
      </c>
      <c r="B1896" s="23">
        <v>1436.27</v>
      </c>
      <c r="C1896" s="25">
        <f t="shared" si="358"/>
        <v>3.5494937779050489E-3</v>
      </c>
      <c r="E1896" s="25">
        <f t="shared" si="354"/>
        <v>0.16066911794415928</v>
      </c>
      <c r="F1896" s="25">
        <f t="shared" si="351"/>
        <v>7.2552485311785819E-2</v>
      </c>
      <c r="G1896" s="25">
        <f t="shared" si="366"/>
        <v>0.23236143189963543</v>
      </c>
      <c r="H1896" s="25">
        <f t="shared" si="363"/>
        <v>0.18702917840650612</v>
      </c>
      <c r="I1896" s="25">
        <f t="shared" si="360"/>
        <v>0.13024653142008868</v>
      </c>
      <c r="K1896" s="28">
        <v>45175</v>
      </c>
      <c r="L1896" s="23">
        <v>27015.63</v>
      </c>
      <c r="M1896" s="25">
        <f t="shared" si="359"/>
        <v>1.8826138794468454E-3</v>
      </c>
      <c r="O1896" t="b">
        <f t="shared" si="357"/>
        <v>1</v>
      </c>
      <c r="Q1896" s="25">
        <f t="shared" si="355"/>
        <v>0.12740718669327489</v>
      </c>
      <c r="R1896" s="25">
        <f t="shared" si="352"/>
        <v>9.1124772586042235E-2</v>
      </c>
      <c r="S1896" s="25">
        <f t="shared" si="367"/>
        <v>0.2342981106437414</v>
      </c>
      <c r="T1896" s="25">
        <f t="shared" si="364"/>
        <v>0.19377213518432934</v>
      </c>
      <c r="U1896" s="25">
        <f t="shared" si="361"/>
        <v>0.1321498620844459</v>
      </c>
      <c r="X1896">
        <f t="shared" si="356"/>
        <v>1</v>
      </c>
      <c r="Y1896">
        <f t="shared" si="353"/>
        <v>0</v>
      </c>
      <c r="Z1896">
        <f t="shared" si="368"/>
        <v>0</v>
      </c>
      <c r="AA1896">
        <f t="shared" si="365"/>
        <v>0</v>
      </c>
      <c r="AB1896">
        <f t="shared" si="362"/>
        <v>0</v>
      </c>
    </row>
    <row r="1897" spans="1:28">
      <c r="A1897" s="27">
        <v>45176</v>
      </c>
      <c r="B1897" s="24">
        <v>1441.09</v>
      </c>
      <c r="C1897" s="25">
        <f t="shared" si="358"/>
        <v>3.3559149742039703E-3</v>
      </c>
      <c r="E1897" s="25">
        <f t="shared" si="354"/>
        <v>0.15134301647412229</v>
      </c>
      <c r="F1897" s="25">
        <f t="shared" si="351"/>
        <v>7.2210160782418376E-2</v>
      </c>
      <c r="G1897" s="25">
        <f t="shared" si="366"/>
        <v>0.22847300218285072</v>
      </c>
      <c r="H1897" s="25">
        <f t="shared" si="363"/>
        <v>0.19234913027821743</v>
      </c>
      <c r="I1897" s="25">
        <f t="shared" si="360"/>
        <v>0.12863707339689889</v>
      </c>
      <c r="K1897" s="29">
        <v>45176</v>
      </c>
      <c r="L1897" s="24">
        <v>27173.35</v>
      </c>
      <c r="M1897" s="25">
        <f t="shared" si="359"/>
        <v>5.8042162633608861E-3</v>
      </c>
      <c r="O1897" t="b">
        <f t="shared" si="357"/>
        <v>1</v>
      </c>
      <c r="Q1897" s="25">
        <f t="shared" si="355"/>
        <v>0.12597702825949209</v>
      </c>
      <c r="R1897" s="25">
        <f t="shared" si="352"/>
        <v>9.3694927536424055E-2</v>
      </c>
      <c r="S1897" s="25">
        <f t="shared" si="367"/>
        <v>0.23322527527299708</v>
      </c>
      <c r="T1897" s="25">
        <f t="shared" si="364"/>
        <v>0.19927314763734727</v>
      </c>
      <c r="U1897" s="25">
        <f t="shared" si="361"/>
        <v>0.13209197203684786</v>
      </c>
      <c r="X1897">
        <f t="shared" si="356"/>
        <v>1</v>
      </c>
      <c r="Y1897">
        <f t="shared" si="353"/>
        <v>0</v>
      </c>
      <c r="Z1897">
        <f t="shared" si="368"/>
        <v>0</v>
      </c>
      <c r="AA1897">
        <f t="shared" si="365"/>
        <v>0</v>
      </c>
      <c r="AB1897">
        <f t="shared" si="362"/>
        <v>0</v>
      </c>
    </row>
    <row r="1898" spans="1:28">
      <c r="A1898" s="26">
        <v>45177</v>
      </c>
      <c r="B1898" s="23">
        <v>1446.27</v>
      </c>
      <c r="C1898" s="25">
        <f t="shared" si="358"/>
        <v>3.594501384368821E-3</v>
      </c>
      <c r="E1898" s="25">
        <f t="shared" si="354"/>
        <v>0.14985927586700387</v>
      </c>
      <c r="F1898" s="25">
        <f t="shared" si="351"/>
        <v>7.1429365167264391E-2</v>
      </c>
      <c r="G1898" s="25">
        <f t="shared" si="366"/>
        <v>0.2262835431678154</v>
      </c>
      <c r="H1898" s="25">
        <f t="shared" si="363"/>
        <v>0.17729481344656683</v>
      </c>
      <c r="I1898" s="25">
        <f t="shared" si="360"/>
        <v>0.1325470857604103</v>
      </c>
      <c r="K1898" s="28">
        <v>45177</v>
      </c>
      <c r="L1898" s="23">
        <v>27333.040000000001</v>
      </c>
      <c r="M1898" s="25">
        <f t="shared" si="359"/>
        <v>5.8423797718805638E-3</v>
      </c>
      <c r="O1898" t="b">
        <f t="shared" si="357"/>
        <v>1</v>
      </c>
      <c r="Q1898" s="25">
        <f t="shared" si="355"/>
        <v>0.12590900964804552</v>
      </c>
      <c r="R1898" s="25">
        <f t="shared" si="352"/>
        <v>9.4969382286866466E-2</v>
      </c>
      <c r="S1898" s="25">
        <f t="shared" si="367"/>
        <v>0.23309338667374946</v>
      </c>
      <c r="T1898" s="25">
        <f t="shared" si="364"/>
        <v>0.18564132902234931</v>
      </c>
      <c r="U1898" s="25">
        <f t="shared" si="361"/>
        <v>0.13652358935201292</v>
      </c>
      <c r="X1898">
        <f t="shared" si="356"/>
        <v>1</v>
      </c>
      <c r="Y1898">
        <f t="shared" si="353"/>
        <v>0</v>
      </c>
      <c r="Z1898">
        <f t="shared" si="368"/>
        <v>0</v>
      </c>
      <c r="AA1898">
        <f t="shared" si="365"/>
        <v>0</v>
      </c>
      <c r="AB1898">
        <f t="shared" si="362"/>
        <v>0</v>
      </c>
    </row>
    <row r="1899" spans="1:28">
      <c r="A1899" s="27">
        <v>45180</v>
      </c>
      <c r="B1899" s="24">
        <v>1457.57</v>
      </c>
      <c r="C1899" s="25">
        <f t="shared" si="358"/>
        <v>7.8132022374798309E-3</v>
      </c>
      <c r="E1899" s="25">
        <f t="shared" si="354"/>
        <v>0.16194735415570527</v>
      </c>
      <c r="F1899" s="25">
        <f t="shared" si="351"/>
        <v>7.0625894619543272E-2</v>
      </c>
      <c r="G1899" s="25">
        <f t="shared" si="366"/>
        <v>0.23042149207120044</v>
      </c>
      <c r="H1899" s="25">
        <f t="shared" si="363"/>
        <v>0.17106750327447773</v>
      </c>
      <c r="I1899" s="25">
        <f t="shared" si="360"/>
        <v>0.13780988633305591</v>
      </c>
      <c r="K1899" s="29">
        <v>45180</v>
      </c>
      <c r="L1899" s="24">
        <v>27592.63</v>
      </c>
      <c r="M1899" s="25">
        <f t="shared" si="359"/>
        <v>9.4079469771457137E-3</v>
      </c>
      <c r="O1899" t="b">
        <f t="shared" si="357"/>
        <v>1</v>
      </c>
      <c r="Q1899" s="25">
        <f t="shared" si="355"/>
        <v>0.13944644451437127</v>
      </c>
      <c r="R1899" s="25">
        <f t="shared" si="352"/>
        <v>9.5889834361747583E-2</v>
      </c>
      <c r="S1899" s="25">
        <f t="shared" si="367"/>
        <v>0.23977710322631318</v>
      </c>
      <c r="T1899" s="25">
        <f t="shared" si="364"/>
        <v>0.18034353817756976</v>
      </c>
      <c r="U1899" s="25">
        <f t="shared" si="361"/>
        <v>0.14179444060512503</v>
      </c>
      <c r="X1899">
        <f t="shared" si="356"/>
        <v>1</v>
      </c>
      <c r="Y1899">
        <f t="shared" si="353"/>
        <v>0</v>
      </c>
      <c r="Z1899">
        <f t="shared" si="368"/>
        <v>0</v>
      </c>
      <c r="AA1899">
        <f t="shared" si="365"/>
        <v>0</v>
      </c>
      <c r="AB1899">
        <f t="shared" si="362"/>
        <v>0</v>
      </c>
    </row>
    <row r="1900" spans="1:28">
      <c r="A1900" s="26">
        <v>45181</v>
      </c>
      <c r="B1900" s="23">
        <v>1443.27</v>
      </c>
      <c r="C1900" s="25">
        <f t="shared" si="358"/>
        <v>-9.8108495646864E-3</v>
      </c>
      <c r="E1900" s="25">
        <f t="shared" si="354"/>
        <v>0.15997042347475943</v>
      </c>
      <c r="F1900" s="25">
        <f t="shared" si="351"/>
        <v>6.4332067656214464E-2</v>
      </c>
      <c r="G1900" s="25">
        <f t="shared" si="366"/>
        <v>0.22521639359306156</v>
      </c>
      <c r="H1900" s="25">
        <f t="shared" si="363"/>
        <v>0.16889032696773532</v>
      </c>
      <c r="I1900" s="25">
        <f t="shared" si="360"/>
        <v>0.13438660382392853</v>
      </c>
      <c r="K1900" s="28">
        <v>45181</v>
      </c>
      <c r="L1900" s="23">
        <v>27291.38</v>
      </c>
      <c r="M1900" s="25">
        <f t="shared" si="359"/>
        <v>-1.1038283883042923E-2</v>
      </c>
      <c r="O1900" t="b">
        <f t="shared" si="357"/>
        <v>1</v>
      </c>
      <c r="Q1900" s="25">
        <f t="shared" si="355"/>
        <v>0.13054879175341783</v>
      </c>
      <c r="R1900" s="25">
        <f t="shared" si="352"/>
        <v>8.6799955395685302E-2</v>
      </c>
      <c r="S1900" s="25">
        <f t="shared" si="367"/>
        <v>0.23555825624242877</v>
      </c>
      <c r="T1900" s="25">
        <f t="shared" si="364"/>
        <v>0.17747465952197783</v>
      </c>
      <c r="U1900" s="25">
        <f t="shared" si="361"/>
        <v>0.13799555164247157</v>
      </c>
      <c r="X1900">
        <f t="shared" si="356"/>
        <v>1</v>
      </c>
      <c r="Y1900">
        <f t="shared" si="353"/>
        <v>0</v>
      </c>
      <c r="Z1900">
        <f t="shared" si="368"/>
        <v>0</v>
      </c>
      <c r="AA1900">
        <f t="shared" si="365"/>
        <v>0</v>
      </c>
      <c r="AB1900">
        <f t="shared" si="362"/>
        <v>0</v>
      </c>
    </row>
    <row r="1901" spans="1:28">
      <c r="A1901" s="27">
        <v>45182</v>
      </c>
      <c r="B1901" s="24">
        <v>1452.69</v>
      </c>
      <c r="C1901" s="25">
        <f t="shared" si="358"/>
        <v>6.5268452888233479E-3</v>
      </c>
      <c r="E1901" s="25">
        <f t="shared" si="354"/>
        <v>0.19236167540814075</v>
      </c>
      <c r="F1901" s="25">
        <f t="shared" si="351"/>
        <v>6.9614699522281498E-2</v>
      </c>
      <c r="G1901" s="25">
        <f t="shared" si="366"/>
        <v>0.241227043388478</v>
      </c>
      <c r="H1901" s="25">
        <f t="shared" si="363"/>
        <v>0.17585983069848243</v>
      </c>
      <c r="I1901" s="25">
        <f t="shared" si="360"/>
        <v>0.13272890466174592</v>
      </c>
      <c r="K1901" s="29">
        <v>45182</v>
      </c>
      <c r="L1901" s="24">
        <v>27394.9</v>
      </c>
      <c r="M1901" s="25">
        <f t="shared" si="359"/>
        <v>3.7788055440976399E-3</v>
      </c>
      <c r="O1901" t="b">
        <f t="shared" si="357"/>
        <v>1</v>
      </c>
      <c r="Q1901" s="25">
        <f t="shared" si="355"/>
        <v>0.15987933315691993</v>
      </c>
      <c r="R1901" s="25">
        <f t="shared" si="352"/>
        <v>9.1657826103625606E-2</v>
      </c>
      <c r="S1901" s="25">
        <f t="shared" si="367"/>
        <v>0.24792711781559706</v>
      </c>
      <c r="T1901" s="25">
        <f t="shared" si="364"/>
        <v>0.18268660732267339</v>
      </c>
      <c r="U1901" s="25">
        <f t="shared" si="361"/>
        <v>0.13576411477531281</v>
      </c>
      <c r="X1901">
        <f t="shared" si="356"/>
        <v>1</v>
      </c>
      <c r="Y1901">
        <f t="shared" si="353"/>
        <v>0</v>
      </c>
      <c r="Z1901">
        <f t="shared" si="368"/>
        <v>0</v>
      </c>
      <c r="AA1901">
        <f t="shared" si="365"/>
        <v>0</v>
      </c>
      <c r="AB1901">
        <f t="shared" si="362"/>
        <v>0</v>
      </c>
    </row>
    <row r="1902" spans="1:28">
      <c r="A1902" s="26">
        <v>45183</v>
      </c>
      <c r="B1902" s="23">
        <v>1461.95</v>
      </c>
      <c r="C1902" s="25">
        <f t="shared" si="358"/>
        <v>6.374381320171537E-3</v>
      </c>
      <c r="E1902" s="25">
        <f t="shared" si="354"/>
        <v>0.19745593342507028</v>
      </c>
      <c r="F1902" s="25">
        <f t="shared" si="351"/>
        <v>8.0610787376333981E-2</v>
      </c>
      <c r="G1902" s="25">
        <f t="shared" si="366"/>
        <v>0.24630263369084893</v>
      </c>
      <c r="H1902" s="25">
        <f t="shared" si="363"/>
        <v>0.17266946292414609</v>
      </c>
      <c r="I1902" s="25">
        <f t="shared" si="360"/>
        <v>0.1360715440865683</v>
      </c>
      <c r="K1902" s="28">
        <v>45183</v>
      </c>
      <c r="L1902" s="23">
        <v>27515.02</v>
      </c>
      <c r="M1902" s="25">
        <f t="shared" si="359"/>
        <v>4.3656155801449163E-3</v>
      </c>
      <c r="O1902" t="b">
        <f t="shared" si="357"/>
        <v>1</v>
      </c>
      <c r="Q1902" s="25">
        <f t="shared" si="355"/>
        <v>0.16113249476404112</v>
      </c>
      <c r="R1902" s="25">
        <f t="shared" si="352"/>
        <v>0.1014017828258551</v>
      </c>
      <c r="S1902" s="25">
        <f t="shared" si="367"/>
        <v>0.25421064986232444</v>
      </c>
      <c r="T1902" s="25">
        <f t="shared" si="364"/>
        <v>0.18084588441020233</v>
      </c>
      <c r="U1902" s="25">
        <f t="shared" si="361"/>
        <v>0.13899463301318682</v>
      </c>
      <c r="X1902">
        <f t="shared" si="356"/>
        <v>1</v>
      </c>
      <c r="Y1902">
        <f t="shared" si="353"/>
        <v>0</v>
      </c>
      <c r="Z1902">
        <f t="shared" si="368"/>
        <v>0</v>
      </c>
      <c r="AA1902">
        <f t="shared" si="365"/>
        <v>0</v>
      </c>
      <c r="AB1902">
        <f t="shared" si="362"/>
        <v>0</v>
      </c>
    </row>
    <row r="1903" spans="1:28">
      <c r="A1903" s="27">
        <v>45184</v>
      </c>
      <c r="B1903" s="24">
        <v>1470.44</v>
      </c>
      <c r="C1903" s="25">
        <f t="shared" si="358"/>
        <v>5.8073121515783777E-3</v>
      </c>
      <c r="E1903" s="25">
        <f t="shared" si="354"/>
        <v>0.18530341136261064</v>
      </c>
      <c r="F1903" s="25">
        <f t="shared" ref="F1903:F1966" si="369">((B1903/B1411)^(1/2))-1</f>
        <v>8.0392275859124673E-2</v>
      </c>
      <c r="G1903" s="25">
        <f t="shared" si="366"/>
        <v>0.25150637119887409</v>
      </c>
      <c r="H1903" s="25">
        <f t="shared" si="363"/>
        <v>0.1767730585364844</v>
      </c>
      <c r="I1903" s="25">
        <f t="shared" si="360"/>
        <v>0.139961329886791</v>
      </c>
      <c r="K1903" s="29">
        <v>45184</v>
      </c>
      <c r="L1903" s="24">
        <v>27612.99</v>
      </c>
      <c r="M1903" s="25">
        <f t="shared" si="359"/>
        <v>3.5479678223908806E-3</v>
      </c>
      <c r="O1903" t="b">
        <f t="shared" si="357"/>
        <v>1</v>
      </c>
      <c r="Q1903" s="25">
        <f t="shared" si="355"/>
        <v>0.15192740264117832</v>
      </c>
      <c r="R1903" s="25">
        <f t="shared" ref="R1903:R1966" si="370">((L1903/L1411)^(1/2))-1</f>
        <v>9.893034359543762E-2</v>
      </c>
      <c r="S1903" s="25">
        <f t="shared" si="367"/>
        <v>0.25658740435090799</v>
      </c>
      <c r="T1903" s="25">
        <f t="shared" si="364"/>
        <v>0.18340878720577836</v>
      </c>
      <c r="U1903" s="25">
        <f t="shared" si="361"/>
        <v>0.14221460595459523</v>
      </c>
      <c r="X1903">
        <f t="shared" si="356"/>
        <v>1</v>
      </c>
      <c r="Y1903">
        <f t="shared" ref="Y1903:Y1966" si="371">IF(F1903&gt;R1903,1,0)</f>
        <v>0</v>
      </c>
      <c r="Z1903">
        <f t="shared" si="368"/>
        <v>0</v>
      </c>
      <c r="AA1903">
        <f t="shared" si="365"/>
        <v>0</v>
      </c>
      <c r="AB1903">
        <f t="shared" si="362"/>
        <v>0</v>
      </c>
    </row>
    <row r="1904" spans="1:28">
      <c r="A1904" s="26">
        <v>45187</v>
      </c>
      <c r="B1904" s="23">
        <v>1461.93</v>
      </c>
      <c r="C1904" s="25">
        <f t="shared" si="358"/>
        <v>-5.7873833682435122E-3</v>
      </c>
      <c r="E1904" s="25">
        <f t="shared" si="354"/>
        <v>0.18448749422716992</v>
      </c>
      <c r="F1904" s="25">
        <f t="shared" si="369"/>
        <v>7.5019420114120994E-2</v>
      </c>
      <c r="G1904" s="25">
        <f t="shared" si="366"/>
        <v>0.25984923971744389</v>
      </c>
      <c r="H1904" s="25">
        <f t="shared" si="363"/>
        <v>0.17755863348812073</v>
      </c>
      <c r="I1904" s="25">
        <f t="shared" si="360"/>
        <v>0.13967016346093564</v>
      </c>
      <c r="K1904" s="28">
        <v>45187</v>
      </c>
      <c r="L1904" s="23">
        <v>27531.77</v>
      </c>
      <c r="M1904" s="25">
        <f t="shared" si="359"/>
        <v>-2.9500464372614315E-3</v>
      </c>
      <c r="O1904" t="b">
        <f t="shared" si="357"/>
        <v>1</v>
      </c>
      <c r="Q1904" s="25">
        <f t="shared" si="355"/>
        <v>0.15668576426890013</v>
      </c>
      <c r="R1904" s="25">
        <f t="shared" si="370"/>
        <v>9.5688979954125619E-2</v>
      </c>
      <c r="S1904" s="25">
        <f t="shared" si="367"/>
        <v>0.26692340024131056</v>
      </c>
      <c r="T1904" s="25">
        <f t="shared" si="364"/>
        <v>0.18426406524455152</v>
      </c>
      <c r="U1904" s="25">
        <f t="shared" si="361"/>
        <v>0.14267676473627811</v>
      </c>
      <c r="X1904">
        <f t="shared" si="356"/>
        <v>1</v>
      </c>
      <c r="Y1904">
        <f t="shared" si="371"/>
        <v>0</v>
      </c>
      <c r="Z1904">
        <f t="shared" si="368"/>
        <v>0</v>
      </c>
      <c r="AA1904">
        <f t="shared" si="365"/>
        <v>0</v>
      </c>
      <c r="AB1904">
        <f t="shared" si="362"/>
        <v>0</v>
      </c>
    </row>
    <row r="1905" spans="1:28">
      <c r="A1905" s="27">
        <v>45189</v>
      </c>
      <c r="B1905" s="24">
        <v>1448.06</v>
      </c>
      <c r="C1905" s="25">
        <f t="shared" si="358"/>
        <v>-9.4874583598394714E-3</v>
      </c>
      <c r="E1905" s="25">
        <f t="shared" si="354"/>
        <v>0.17601292910917476</v>
      </c>
      <c r="F1905" s="25">
        <f t="shared" si="369"/>
        <v>6.3715822048254545E-2</v>
      </c>
      <c r="G1905" s="25">
        <f t="shared" si="366"/>
        <v>0.24514120141042151</v>
      </c>
      <c r="H1905" s="25">
        <f t="shared" si="363"/>
        <v>0.17845804945388055</v>
      </c>
      <c r="I1905" s="25">
        <f t="shared" si="360"/>
        <v>0.14149956746868142</v>
      </c>
      <c r="K1905" s="29">
        <v>45189</v>
      </c>
      <c r="L1905" s="24">
        <v>27275.34</v>
      </c>
      <c r="M1905" s="25">
        <f t="shared" si="359"/>
        <v>-9.4015326665038926E-3</v>
      </c>
      <c r="O1905" t="b">
        <f t="shared" si="357"/>
        <v>1</v>
      </c>
      <c r="Q1905" s="25">
        <f t="shared" si="355"/>
        <v>0.14778584245378612</v>
      </c>
      <c r="R1905" s="25">
        <f t="shared" si="370"/>
        <v>8.2836918711880925E-2</v>
      </c>
      <c r="S1905" s="25">
        <f t="shared" si="367"/>
        <v>0.25318462340641679</v>
      </c>
      <c r="T1905" s="25">
        <f t="shared" si="364"/>
        <v>0.18482499127934915</v>
      </c>
      <c r="U1905" s="25">
        <f t="shared" si="361"/>
        <v>0.14343338275211037</v>
      </c>
      <c r="X1905">
        <f t="shared" si="356"/>
        <v>1</v>
      </c>
      <c r="Y1905">
        <f t="shared" si="371"/>
        <v>0</v>
      </c>
      <c r="Z1905">
        <f t="shared" si="368"/>
        <v>0</v>
      </c>
      <c r="AA1905">
        <f t="shared" si="365"/>
        <v>0</v>
      </c>
      <c r="AB1905">
        <f t="shared" si="362"/>
        <v>0</v>
      </c>
    </row>
    <row r="1906" spans="1:28">
      <c r="A1906" s="26">
        <v>45190</v>
      </c>
      <c r="B1906" s="23">
        <v>1433.63</v>
      </c>
      <c r="C1906" s="25">
        <f t="shared" si="358"/>
        <v>-9.965056696545611E-3</v>
      </c>
      <c r="E1906" s="25">
        <f t="shared" si="354"/>
        <v>0.18573933468975912</v>
      </c>
      <c r="F1906" s="25">
        <f t="shared" si="369"/>
        <v>5.8390152855230637E-2</v>
      </c>
      <c r="G1906" s="25">
        <f t="shared" si="366"/>
        <v>0.2322967877642319</v>
      </c>
      <c r="H1906" s="25">
        <f t="shared" si="363"/>
        <v>0.1771924115338821</v>
      </c>
      <c r="I1906" s="25">
        <f t="shared" si="360"/>
        <v>0.14457188509289676</v>
      </c>
      <c r="K1906" s="28">
        <v>45190</v>
      </c>
      <c r="L1906" s="23">
        <v>27047.52</v>
      </c>
      <c r="M1906" s="25">
        <f t="shared" si="359"/>
        <v>-8.4229533798292674E-3</v>
      </c>
      <c r="O1906" t="b">
        <f t="shared" si="357"/>
        <v>1</v>
      </c>
      <c r="Q1906" s="25">
        <f t="shared" si="355"/>
        <v>0.15918356851274473</v>
      </c>
      <c r="R1906" s="25">
        <f t="shared" si="370"/>
        <v>7.8782262948617232E-2</v>
      </c>
      <c r="S1906" s="25">
        <f t="shared" si="367"/>
        <v>0.24186039173044782</v>
      </c>
      <c r="T1906" s="25">
        <f t="shared" si="364"/>
        <v>0.18356293146900482</v>
      </c>
      <c r="U1906" s="25">
        <f t="shared" si="361"/>
        <v>0.14598619498272769</v>
      </c>
      <c r="X1906">
        <f t="shared" si="356"/>
        <v>1</v>
      </c>
      <c r="Y1906">
        <f t="shared" si="371"/>
        <v>0</v>
      </c>
      <c r="Z1906">
        <f t="shared" si="368"/>
        <v>0</v>
      </c>
      <c r="AA1906">
        <f t="shared" si="365"/>
        <v>0</v>
      </c>
      <c r="AB1906">
        <f t="shared" si="362"/>
        <v>0</v>
      </c>
    </row>
    <row r="1907" spans="1:28">
      <c r="A1907" s="27">
        <v>45191</v>
      </c>
      <c r="B1907" s="24">
        <v>1428.44</v>
      </c>
      <c r="C1907" s="25">
        <f t="shared" si="358"/>
        <v>-3.6201809392939978E-3</v>
      </c>
      <c r="E1907" s="25">
        <f t="shared" si="354"/>
        <v>0.20647308231557959</v>
      </c>
      <c r="F1907" s="25">
        <f t="shared" si="369"/>
        <v>5.8513368932502141E-2</v>
      </c>
      <c r="G1907" s="25">
        <f t="shared" si="366"/>
        <v>0.23233259796892969</v>
      </c>
      <c r="H1907" s="25">
        <f t="shared" si="363"/>
        <v>0.1809120406873268</v>
      </c>
      <c r="I1907" s="25">
        <f t="shared" si="360"/>
        <v>0.14222788194147906</v>
      </c>
      <c r="K1907" s="29">
        <v>45191</v>
      </c>
      <c r="L1907" s="24">
        <v>26981.05</v>
      </c>
      <c r="M1907" s="25">
        <f t="shared" si="359"/>
        <v>-2.4635809206832635E-3</v>
      </c>
      <c r="O1907" t="b">
        <f t="shared" si="357"/>
        <v>1</v>
      </c>
      <c r="Q1907" s="25">
        <f t="shared" si="355"/>
        <v>0.18240079372904971</v>
      </c>
      <c r="R1907" s="25">
        <f t="shared" si="370"/>
        <v>7.7559508130264021E-2</v>
      </c>
      <c r="S1907" s="25">
        <f t="shared" si="367"/>
        <v>0.24131033408238323</v>
      </c>
      <c r="T1907" s="25">
        <f t="shared" si="364"/>
        <v>0.18629194445229347</v>
      </c>
      <c r="U1907" s="25">
        <f t="shared" si="361"/>
        <v>0.14393644806271477</v>
      </c>
      <c r="X1907">
        <f t="shared" si="356"/>
        <v>1</v>
      </c>
      <c r="Y1907">
        <f t="shared" si="371"/>
        <v>0</v>
      </c>
      <c r="Z1907">
        <f t="shared" si="368"/>
        <v>0</v>
      </c>
      <c r="AA1907">
        <f t="shared" si="365"/>
        <v>0</v>
      </c>
      <c r="AB1907">
        <f t="shared" si="362"/>
        <v>0</v>
      </c>
    </row>
    <row r="1908" spans="1:28">
      <c r="A1908" s="26">
        <v>45194</v>
      </c>
      <c r="B1908" s="23">
        <v>1430.63</v>
      </c>
      <c r="C1908" s="25">
        <f t="shared" si="358"/>
        <v>1.533141048976544E-3</v>
      </c>
      <c r="E1908" s="25">
        <f t="shared" si="354"/>
        <v>0.20959982413568623</v>
      </c>
      <c r="F1908" s="25">
        <f t="shared" si="369"/>
        <v>6.4455062461688417E-2</v>
      </c>
      <c r="G1908" s="25">
        <f t="shared" si="366"/>
        <v>0.23227360209045855</v>
      </c>
      <c r="H1908" s="25">
        <f t="shared" si="363"/>
        <v>0.18254954181747918</v>
      </c>
      <c r="I1908" s="25">
        <f t="shared" si="360"/>
        <v>0.14203436152673232</v>
      </c>
      <c r="K1908" s="28">
        <v>45194</v>
      </c>
      <c r="L1908" s="23">
        <v>26999.45</v>
      </c>
      <c r="M1908" s="25">
        <f t="shared" si="359"/>
        <v>6.8149536379450153E-4</v>
      </c>
      <c r="O1908" t="b">
        <f t="shared" si="357"/>
        <v>1</v>
      </c>
      <c r="Q1908" s="25">
        <f t="shared" si="355"/>
        <v>0.18307960140798096</v>
      </c>
      <c r="R1908" s="25">
        <f t="shared" si="370"/>
        <v>8.1236818522922194E-2</v>
      </c>
      <c r="S1908" s="25">
        <f t="shared" si="367"/>
        <v>0.24061612505438235</v>
      </c>
      <c r="T1908" s="25">
        <f t="shared" si="364"/>
        <v>0.18816299739253539</v>
      </c>
      <c r="U1908" s="25">
        <f t="shared" si="361"/>
        <v>0.14411901159218932</v>
      </c>
      <c r="X1908">
        <f t="shared" si="356"/>
        <v>1</v>
      </c>
      <c r="Y1908">
        <f t="shared" si="371"/>
        <v>0</v>
      </c>
      <c r="Z1908">
        <f t="shared" si="368"/>
        <v>0</v>
      </c>
      <c r="AA1908">
        <f t="shared" si="365"/>
        <v>0</v>
      </c>
      <c r="AB1908">
        <f t="shared" si="362"/>
        <v>0</v>
      </c>
    </row>
    <row r="1909" spans="1:28">
      <c r="A1909" s="27">
        <v>45195</v>
      </c>
      <c r="B1909" s="24">
        <v>1426.99</v>
      </c>
      <c r="C1909" s="25">
        <f t="shared" si="358"/>
        <v>-2.5443336152604795E-3</v>
      </c>
      <c r="E1909" s="25">
        <f t="shared" si="354"/>
        <v>0.21211786591011417</v>
      </c>
      <c r="F1909" s="25">
        <f t="shared" si="369"/>
        <v>6.2351465323375432E-2</v>
      </c>
      <c r="G1909" s="25">
        <f t="shared" si="366"/>
        <v>0.22596927777317544</v>
      </c>
      <c r="H1909" s="25">
        <f t="shared" si="363"/>
        <v>0.1755043016090696</v>
      </c>
      <c r="I1909" s="25">
        <f t="shared" si="360"/>
        <v>0.14508296515130037</v>
      </c>
      <c r="K1909" s="29">
        <v>45195</v>
      </c>
      <c r="L1909" s="24">
        <v>27006</v>
      </c>
      <c r="M1909" s="25">
        <f t="shared" si="359"/>
        <v>2.4253869510476459E-4</v>
      </c>
      <c r="O1909" t="b">
        <f t="shared" si="357"/>
        <v>1</v>
      </c>
      <c r="Q1909" s="25">
        <f t="shared" si="355"/>
        <v>0.19200211864406769</v>
      </c>
      <c r="R1909" s="25">
        <f t="shared" si="370"/>
        <v>8.1678065575118586E-2</v>
      </c>
      <c r="S1909" s="25">
        <f t="shared" si="367"/>
        <v>0.23545160564847012</v>
      </c>
      <c r="T1909" s="25">
        <f t="shared" si="364"/>
        <v>0.18376686323893421</v>
      </c>
      <c r="U1909" s="25">
        <f t="shared" si="361"/>
        <v>0.14664897755052153</v>
      </c>
      <c r="X1909">
        <f t="shared" si="356"/>
        <v>1</v>
      </c>
      <c r="Y1909">
        <f t="shared" si="371"/>
        <v>0</v>
      </c>
      <c r="Z1909">
        <f t="shared" si="368"/>
        <v>0</v>
      </c>
      <c r="AA1909">
        <f t="shared" si="365"/>
        <v>0</v>
      </c>
      <c r="AB1909">
        <f t="shared" si="362"/>
        <v>0</v>
      </c>
    </row>
    <row r="1910" spans="1:28">
      <c r="A1910" s="26">
        <v>45196</v>
      </c>
      <c r="B1910" s="23">
        <v>1430.37</v>
      </c>
      <c r="C1910" s="25">
        <f t="shared" si="358"/>
        <v>2.3686220646254577E-3</v>
      </c>
      <c r="E1910" s="25">
        <f t="shared" si="354"/>
        <v>0.21387533415368942</v>
      </c>
      <c r="F1910" s="25">
        <f t="shared" si="369"/>
        <v>6.4645059692163942E-2</v>
      </c>
      <c r="G1910" s="25">
        <f t="shared" si="366"/>
        <v>0.22497819168403432</v>
      </c>
      <c r="H1910" s="25">
        <f t="shared" si="363"/>
        <v>0.17986366246131302</v>
      </c>
      <c r="I1910" s="25">
        <f t="shared" si="360"/>
        <v>0.14867105229966371</v>
      </c>
      <c r="K1910" s="28">
        <v>45196</v>
      </c>
      <c r="L1910" s="23">
        <v>27107.39</v>
      </c>
      <c r="M1910" s="25">
        <f t="shared" si="359"/>
        <v>3.7403084546317228E-3</v>
      </c>
      <c r="O1910" t="b">
        <f t="shared" si="357"/>
        <v>1</v>
      </c>
      <c r="Q1910" s="25">
        <f t="shared" si="355"/>
        <v>0.19795995750390216</v>
      </c>
      <c r="R1910" s="25">
        <f t="shared" si="370"/>
        <v>8.4939591763984801E-2</v>
      </c>
      <c r="S1910" s="25">
        <f t="shared" si="367"/>
        <v>0.2346252801242148</v>
      </c>
      <c r="T1910" s="25">
        <f t="shared" si="364"/>
        <v>0.18699030328747823</v>
      </c>
      <c r="U1910" s="25">
        <f t="shared" si="361"/>
        <v>0.14967438049140092</v>
      </c>
      <c r="X1910">
        <f t="shared" si="356"/>
        <v>1</v>
      </c>
      <c r="Y1910">
        <f t="shared" si="371"/>
        <v>0</v>
      </c>
      <c r="Z1910">
        <f t="shared" si="368"/>
        <v>0</v>
      </c>
      <c r="AA1910">
        <f t="shared" si="365"/>
        <v>0</v>
      </c>
      <c r="AB1910">
        <f t="shared" si="362"/>
        <v>0</v>
      </c>
    </row>
    <row r="1911" spans="1:28">
      <c r="A1911" s="27">
        <v>45198</v>
      </c>
      <c r="B1911" s="24">
        <v>1433.28</v>
      </c>
      <c r="C1911" s="25">
        <f t="shared" si="358"/>
        <v>2.034438641750094E-3</v>
      </c>
      <c r="E1911" s="25">
        <f t="shared" si="354"/>
        <v>0.19596472050933289</v>
      </c>
      <c r="F1911" s="25">
        <f t="shared" si="369"/>
        <v>6.7030425876394961E-2</v>
      </c>
      <c r="G1911" s="25">
        <f t="shared" si="366"/>
        <v>0.22240891613225511</v>
      </c>
      <c r="H1911" s="25">
        <f t="shared" si="363"/>
        <v>0.17836160019015357</v>
      </c>
      <c r="I1911" s="25">
        <f t="shared" si="360"/>
        <v>0.14658146493177826</v>
      </c>
      <c r="K1911" s="29">
        <v>45198</v>
      </c>
      <c r="L1911" s="24">
        <v>27031.74</v>
      </c>
      <c r="M1911" s="25">
        <f t="shared" si="359"/>
        <v>-2.7985619867606677E-3</v>
      </c>
      <c r="O1911" t="b">
        <f t="shared" si="357"/>
        <v>1</v>
      </c>
      <c r="Q1911" s="25">
        <f t="shared" si="355"/>
        <v>0.17634408134224278</v>
      </c>
      <c r="R1911" s="25">
        <f t="shared" si="370"/>
        <v>8.4820358063899315E-2</v>
      </c>
      <c r="S1911" s="25">
        <f t="shared" si="367"/>
        <v>0.22892715459000401</v>
      </c>
      <c r="T1911" s="25">
        <f t="shared" si="364"/>
        <v>0.18458257038989601</v>
      </c>
      <c r="U1911" s="25">
        <f t="shared" si="361"/>
        <v>0.14778757511697194</v>
      </c>
      <c r="X1911">
        <f t="shared" si="356"/>
        <v>1</v>
      </c>
      <c r="Y1911">
        <f t="shared" si="371"/>
        <v>0</v>
      </c>
      <c r="Z1911">
        <f t="shared" si="368"/>
        <v>0</v>
      </c>
      <c r="AA1911">
        <f t="shared" si="365"/>
        <v>0</v>
      </c>
      <c r="AB1911">
        <f t="shared" si="362"/>
        <v>0</v>
      </c>
    </row>
    <row r="1912" spans="1:28">
      <c r="A1912" s="26">
        <v>45202</v>
      </c>
      <c r="B1912" s="23">
        <v>1428.57</v>
      </c>
      <c r="C1912" s="25">
        <f t="shared" si="358"/>
        <v>-3.2861687876758459E-3</v>
      </c>
      <c r="E1912" s="25">
        <f t="shared" ref="E1912:E1975" si="372">(B1912/B1667)-1</f>
        <v>0.20383759733036699</v>
      </c>
      <c r="F1912" s="25">
        <f t="shared" si="369"/>
        <v>5.8839802345409531E-2</v>
      </c>
      <c r="G1912" s="25">
        <f t="shared" si="366"/>
        <v>0.22032755580879337</v>
      </c>
      <c r="H1912" s="25">
        <f t="shared" si="363"/>
        <v>0.17607748413957869</v>
      </c>
      <c r="I1912" s="25">
        <f t="shared" si="360"/>
        <v>0.14809623576484943</v>
      </c>
      <c r="K1912" s="28">
        <v>45202</v>
      </c>
      <c r="L1912" s="23">
        <v>26972.02</v>
      </c>
      <c r="M1912" s="25">
        <f t="shared" si="359"/>
        <v>-2.2141463635278768E-3</v>
      </c>
      <c r="O1912" t="b">
        <f t="shared" si="357"/>
        <v>1</v>
      </c>
      <c r="Q1912" s="25">
        <f t="shared" ref="Q1912:Q1975" si="373">(L1912/L1667)-1</f>
        <v>0.18904537872028282</v>
      </c>
      <c r="R1912" s="25">
        <f t="shared" si="370"/>
        <v>7.7638217696962331E-2</v>
      </c>
      <c r="S1912" s="25">
        <f t="shared" si="367"/>
        <v>0.22665719420785546</v>
      </c>
      <c r="T1912" s="25">
        <f t="shared" si="364"/>
        <v>0.18292110870764122</v>
      </c>
      <c r="U1912" s="25">
        <f t="shared" si="361"/>
        <v>0.15002299901145055</v>
      </c>
      <c r="X1912">
        <f t="shared" ref="X1912:X1975" si="374">IF(E1912&gt;Q1912,1,0)</f>
        <v>1</v>
      </c>
      <c r="Y1912">
        <f t="shared" si="371"/>
        <v>0</v>
      </c>
      <c r="Z1912">
        <f t="shared" si="368"/>
        <v>0</v>
      </c>
      <c r="AA1912">
        <f t="shared" si="365"/>
        <v>0</v>
      </c>
      <c r="AB1912">
        <f t="shared" si="362"/>
        <v>0</v>
      </c>
    </row>
    <row r="1913" spans="1:28">
      <c r="A1913" s="27">
        <v>45203</v>
      </c>
      <c r="B1913" s="24">
        <v>1413.51</v>
      </c>
      <c r="C1913" s="25">
        <f t="shared" si="358"/>
        <v>-1.0542010542010503E-2</v>
      </c>
      <c r="E1913" s="25">
        <f t="shared" si="372"/>
        <v>0.16671481515108999</v>
      </c>
      <c r="F1913" s="25">
        <f t="shared" si="369"/>
        <v>5.1158810862641291E-2</v>
      </c>
      <c r="G1913" s="25">
        <f t="shared" si="366"/>
        <v>0.21351307763416405</v>
      </c>
      <c r="H1913" s="25">
        <f t="shared" si="363"/>
        <v>0.17107256530036641</v>
      </c>
      <c r="I1913" s="25">
        <f t="shared" si="360"/>
        <v>0.14986726466171807</v>
      </c>
      <c r="K1913" s="29">
        <v>45203</v>
      </c>
      <c r="L1913" s="24">
        <v>26766.76</v>
      </c>
      <c r="M1913" s="25">
        <f t="shared" si="359"/>
        <v>-7.668466411325168E-3</v>
      </c>
      <c r="O1913" t="b">
        <f t="shared" si="357"/>
        <v>1</v>
      </c>
      <c r="Q1913" s="25">
        <f t="shared" si="373"/>
        <v>0.1541898887281461</v>
      </c>
      <c r="R1913" s="25">
        <f t="shared" si="370"/>
        <v>7.0046795912030779E-2</v>
      </c>
      <c r="S1913" s="25">
        <f t="shared" si="367"/>
        <v>0.22112488280698894</v>
      </c>
      <c r="T1913" s="25">
        <f t="shared" si="364"/>
        <v>0.17870669294605546</v>
      </c>
      <c r="U1913" s="25">
        <f t="shared" si="361"/>
        <v>0.15345540660047008</v>
      </c>
      <c r="X1913">
        <f t="shared" si="374"/>
        <v>1</v>
      </c>
      <c r="Y1913">
        <f t="shared" si="371"/>
        <v>0</v>
      </c>
      <c r="Z1913">
        <f t="shared" si="368"/>
        <v>0</v>
      </c>
      <c r="AA1913">
        <f t="shared" si="365"/>
        <v>0</v>
      </c>
      <c r="AB1913">
        <f t="shared" si="362"/>
        <v>0</v>
      </c>
    </row>
    <row r="1914" spans="1:28">
      <c r="A1914" s="26">
        <v>45204</v>
      </c>
      <c r="B1914" s="23">
        <v>1419.04</v>
      </c>
      <c r="C1914" s="25">
        <f t="shared" si="358"/>
        <v>3.9122468182043093E-3</v>
      </c>
      <c r="E1914" s="25">
        <f t="shared" si="372"/>
        <v>0.1627091424544842</v>
      </c>
      <c r="F1914" s="25">
        <f t="shared" si="369"/>
        <v>5.7770519654239516E-2</v>
      </c>
      <c r="G1914" s="25">
        <f t="shared" si="366"/>
        <v>0.21291995266906816</v>
      </c>
      <c r="H1914" s="25">
        <f t="shared" si="363"/>
        <v>0.17174882310917949</v>
      </c>
      <c r="I1914" s="25">
        <f t="shared" si="360"/>
        <v>0.15562150618771109</v>
      </c>
      <c r="K1914" s="28">
        <v>45204</v>
      </c>
      <c r="L1914" s="23">
        <v>26880.39</v>
      </c>
      <c r="M1914" s="25">
        <f t="shared" si="359"/>
        <v>4.2272452148202095E-3</v>
      </c>
      <c r="O1914" t="b">
        <f t="shared" si="357"/>
        <v>1</v>
      </c>
      <c r="Q1914" s="25">
        <f t="shared" si="373"/>
        <v>0.1523744442381898</v>
      </c>
      <c r="R1914" s="25">
        <f t="shared" si="370"/>
        <v>7.7461050438366819E-2</v>
      </c>
      <c r="S1914" s="25">
        <f t="shared" si="367"/>
        <v>0.22124689132060715</v>
      </c>
      <c r="T1914" s="25">
        <f t="shared" si="364"/>
        <v>0.1790649377155269</v>
      </c>
      <c r="U1914" s="25">
        <f t="shared" si="361"/>
        <v>0.16052321127825109</v>
      </c>
      <c r="X1914">
        <f t="shared" si="374"/>
        <v>1</v>
      </c>
      <c r="Y1914">
        <f t="shared" si="371"/>
        <v>0</v>
      </c>
      <c r="Z1914">
        <f t="shared" si="368"/>
        <v>0</v>
      </c>
      <c r="AA1914">
        <f t="shared" si="365"/>
        <v>0</v>
      </c>
      <c r="AB1914">
        <f t="shared" si="362"/>
        <v>0</v>
      </c>
    </row>
    <row r="1915" spans="1:28">
      <c r="A1915" s="27">
        <v>45205</v>
      </c>
      <c r="B1915" s="24">
        <v>1428.98</v>
      </c>
      <c r="C1915" s="25">
        <f t="shared" si="358"/>
        <v>7.0047355958958559E-3</v>
      </c>
      <c r="E1915" s="25">
        <f t="shared" si="372"/>
        <v>0.17312207536327073</v>
      </c>
      <c r="F1915" s="25">
        <f t="shared" si="369"/>
        <v>5.5621176310354015E-2</v>
      </c>
      <c r="G1915" s="25">
        <f t="shared" si="366"/>
        <v>0.2161176573270982</v>
      </c>
      <c r="H1915" s="25">
        <f t="shared" si="363"/>
        <v>0.17047428193904435</v>
      </c>
      <c r="I1915" s="25">
        <f t="shared" si="360"/>
        <v>0.15981457813757882</v>
      </c>
      <c r="K1915" s="29">
        <v>45205</v>
      </c>
      <c r="L1915" s="24">
        <v>27033.29</v>
      </c>
      <c r="M1915" s="25">
        <f t="shared" si="359"/>
        <v>5.6559893375908539E-3</v>
      </c>
      <c r="O1915" t="b">
        <f t="shared" si="357"/>
        <v>1</v>
      </c>
      <c r="Q1915" s="25">
        <f t="shared" si="373"/>
        <v>0.16018869762673082</v>
      </c>
      <c r="R1915" s="25">
        <f t="shared" si="370"/>
        <v>7.500775379063862E-2</v>
      </c>
      <c r="S1915" s="25">
        <f t="shared" si="367"/>
        <v>0.22375876916180615</v>
      </c>
      <c r="T1915" s="25">
        <f t="shared" si="364"/>
        <v>0.17708449358997402</v>
      </c>
      <c r="U1915" s="25">
        <f t="shared" si="361"/>
        <v>0.16244319220698067</v>
      </c>
      <c r="X1915">
        <f t="shared" si="374"/>
        <v>1</v>
      </c>
      <c r="Y1915">
        <f t="shared" si="371"/>
        <v>0</v>
      </c>
      <c r="Z1915">
        <f t="shared" si="368"/>
        <v>0</v>
      </c>
      <c r="AA1915">
        <f t="shared" si="365"/>
        <v>0</v>
      </c>
      <c r="AB1915">
        <f t="shared" si="362"/>
        <v>0</v>
      </c>
    </row>
    <row r="1916" spans="1:28">
      <c r="A1916" s="26">
        <v>45208</v>
      </c>
      <c r="B1916" s="23">
        <v>1417.01</v>
      </c>
      <c r="C1916" s="25">
        <f t="shared" si="358"/>
        <v>-8.3766042911727432E-3</v>
      </c>
      <c r="E1916" s="25">
        <f t="shared" si="372"/>
        <v>0.16701256773896</v>
      </c>
      <c r="F1916" s="25">
        <f t="shared" si="369"/>
        <v>4.9371449224995256E-2</v>
      </c>
      <c r="G1916" s="25">
        <f t="shared" si="366"/>
        <v>0.21384410509829244</v>
      </c>
      <c r="H1916" s="25">
        <f t="shared" si="363"/>
        <v>0.16615879460743499</v>
      </c>
      <c r="I1916" s="25">
        <f t="shared" si="360"/>
        <v>0.15776636982799519</v>
      </c>
      <c r="K1916" s="28">
        <v>45208</v>
      </c>
      <c r="L1916" s="23">
        <v>26773.95</v>
      </c>
      <c r="M1916" s="25">
        <f t="shared" si="359"/>
        <v>-9.6862808812297075E-3</v>
      </c>
      <c r="O1916" t="b">
        <f t="shared" si="357"/>
        <v>1</v>
      </c>
      <c r="Q1916" s="25">
        <f t="shared" si="373"/>
        <v>0.15559467874718713</v>
      </c>
      <c r="R1916" s="25">
        <f t="shared" si="370"/>
        <v>6.722423901017005E-2</v>
      </c>
      <c r="S1916" s="25">
        <f t="shared" si="367"/>
        <v>0.22020274890241653</v>
      </c>
      <c r="T1916" s="25">
        <f t="shared" si="364"/>
        <v>0.17151056090801253</v>
      </c>
      <c r="U1916" s="25">
        <f t="shared" si="361"/>
        <v>0.16127702591418336</v>
      </c>
      <c r="X1916">
        <f t="shared" si="374"/>
        <v>1</v>
      </c>
      <c r="Y1916">
        <f t="shared" si="371"/>
        <v>0</v>
      </c>
      <c r="Z1916">
        <f t="shared" si="368"/>
        <v>0</v>
      </c>
      <c r="AA1916">
        <f t="shared" si="365"/>
        <v>0</v>
      </c>
      <c r="AB1916">
        <f t="shared" si="362"/>
        <v>0</v>
      </c>
    </row>
    <row r="1917" spans="1:28">
      <c r="A1917" s="27">
        <v>45209</v>
      </c>
      <c r="B1917" s="24">
        <v>1434.09</v>
      </c>
      <c r="C1917" s="25">
        <f t="shared" si="358"/>
        <v>1.2053549375092574E-2</v>
      </c>
      <c r="E1917" s="25">
        <f t="shared" si="372"/>
        <v>0.20035656890317388</v>
      </c>
      <c r="F1917" s="25">
        <f t="shared" si="369"/>
        <v>5.3183524202754295E-2</v>
      </c>
      <c r="G1917" s="25">
        <f t="shared" si="366"/>
        <v>0.21702454300049445</v>
      </c>
      <c r="H1917" s="25">
        <f t="shared" si="363"/>
        <v>0.17025323020878758</v>
      </c>
      <c r="I1917" s="25">
        <f t="shared" si="360"/>
        <v>0.15493260420624044</v>
      </c>
      <c r="K1917" s="29">
        <v>45209</v>
      </c>
      <c r="L1917" s="24">
        <v>27048.54</v>
      </c>
      <c r="M1917" s="25">
        <f t="shared" si="359"/>
        <v>1.0151749410504231E-2</v>
      </c>
      <c r="O1917" t="b">
        <f t="shared" si="357"/>
        <v>1</v>
      </c>
      <c r="Q1917" s="25">
        <f t="shared" si="373"/>
        <v>0.18566447697758037</v>
      </c>
      <c r="R1917" s="25">
        <f t="shared" si="370"/>
        <v>7.0497237500153798E-2</v>
      </c>
      <c r="S1917" s="25">
        <f t="shared" si="367"/>
        <v>0.22316210963592376</v>
      </c>
      <c r="T1917" s="25">
        <f t="shared" si="364"/>
        <v>0.17546344149259663</v>
      </c>
      <c r="U1917" s="25">
        <f t="shared" si="361"/>
        <v>0.15867114429452589</v>
      </c>
      <c r="X1917">
        <f t="shared" si="374"/>
        <v>1</v>
      </c>
      <c r="Y1917">
        <f t="shared" si="371"/>
        <v>0</v>
      </c>
      <c r="Z1917">
        <f t="shared" si="368"/>
        <v>0</v>
      </c>
      <c r="AA1917">
        <f t="shared" si="365"/>
        <v>0</v>
      </c>
      <c r="AB1917">
        <f t="shared" si="362"/>
        <v>0</v>
      </c>
    </row>
    <row r="1918" spans="1:28">
      <c r="A1918" s="26">
        <v>45210</v>
      </c>
      <c r="B1918" s="23">
        <v>1440.71</v>
      </c>
      <c r="C1918" s="25">
        <f t="shared" si="358"/>
        <v>4.6161677440049922E-3</v>
      </c>
      <c r="E1918" s="25">
        <f t="shared" si="372"/>
        <v>0.19819527611443766</v>
      </c>
      <c r="F1918" s="25">
        <f t="shared" si="369"/>
        <v>5.4527339851838441E-2</v>
      </c>
      <c r="G1918" s="25">
        <f t="shared" si="366"/>
        <v>0.22760741686310704</v>
      </c>
      <c r="H1918" s="25">
        <f t="shared" si="363"/>
        <v>0.17114602553102598</v>
      </c>
      <c r="I1918" s="25">
        <f t="shared" si="360"/>
        <v>0.16092922076173388</v>
      </c>
      <c r="K1918" s="28">
        <v>45210</v>
      </c>
      <c r="L1918" s="23">
        <v>27211.1</v>
      </c>
      <c r="M1918" s="25">
        <f t="shared" si="359"/>
        <v>5.9740326557911174E-3</v>
      </c>
      <c r="O1918" t="b">
        <f t="shared" si="357"/>
        <v>1</v>
      </c>
      <c r="Q1918" s="25">
        <f t="shared" si="373"/>
        <v>0.18410036378827166</v>
      </c>
      <c r="R1918" s="25">
        <f t="shared" si="370"/>
        <v>7.1837679618466543E-2</v>
      </c>
      <c r="S1918" s="25">
        <f t="shared" si="367"/>
        <v>0.23466678302923816</v>
      </c>
      <c r="T1918" s="25">
        <f t="shared" si="364"/>
        <v>0.17674063261841</v>
      </c>
      <c r="U1918" s="25">
        <f t="shared" si="361"/>
        <v>0.16497296736270828</v>
      </c>
      <c r="X1918">
        <f t="shared" si="374"/>
        <v>1</v>
      </c>
      <c r="Y1918">
        <f t="shared" si="371"/>
        <v>0</v>
      </c>
      <c r="Z1918">
        <f t="shared" si="368"/>
        <v>0</v>
      </c>
      <c r="AA1918">
        <f t="shared" si="365"/>
        <v>0</v>
      </c>
      <c r="AB1918">
        <f t="shared" si="362"/>
        <v>0</v>
      </c>
    </row>
    <row r="1919" spans="1:28">
      <c r="A1919" s="27">
        <v>45211</v>
      </c>
      <c r="B1919" s="24">
        <v>1440.72</v>
      </c>
      <c r="C1919" s="25">
        <f t="shared" si="358"/>
        <v>6.9410221349132753E-6</v>
      </c>
      <c r="E1919" s="25">
        <f t="shared" si="372"/>
        <v>0.20400130368290426</v>
      </c>
      <c r="F1919" s="25">
        <f t="shared" si="369"/>
        <v>5.1693662232097592E-2</v>
      </c>
      <c r="G1919" s="25">
        <f t="shared" si="366"/>
        <v>0.22360104050812479</v>
      </c>
      <c r="H1919" s="25">
        <f t="shared" si="363"/>
        <v>0.17169540474153777</v>
      </c>
      <c r="I1919" s="25">
        <f t="shared" si="360"/>
        <v>0.15464175119468515</v>
      </c>
      <c r="K1919" s="29">
        <v>45211</v>
      </c>
      <c r="L1919" s="24">
        <v>27230.45</v>
      </c>
      <c r="M1919" s="25">
        <f t="shared" si="359"/>
        <v>7.1060155083746987E-4</v>
      </c>
      <c r="O1919" t="b">
        <f t="shared" si="357"/>
        <v>1</v>
      </c>
      <c r="Q1919" s="25">
        <f t="shared" si="373"/>
        <v>0.19295863748237752</v>
      </c>
      <c r="R1919" s="25">
        <f t="shared" si="370"/>
        <v>6.7080120163057311E-2</v>
      </c>
      <c r="S1919" s="25">
        <f t="shared" si="367"/>
        <v>0.23169292800973174</v>
      </c>
      <c r="T1919" s="25">
        <f t="shared" si="364"/>
        <v>0.17760067141901259</v>
      </c>
      <c r="U1919" s="25">
        <f t="shared" si="361"/>
        <v>0.1597321535566798</v>
      </c>
      <c r="X1919">
        <f t="shared" si="374"/>
        <v>1</v>
      </c>
      <c r="Y1919">
        <f t="shared" si="371"/>
        <v>0</v>
      </c>
      <c r="Z1919">
        <f t="shared" si="368"/>
        <v>0</v>
      </c>
      <c r="AA1919">
        <f t="shared" si="365"/>
        <v>0</v>
      </c>
      <c r="AB1919">
        <f t="shared" si="362"/>
        <v>0</v>
      </c>
    </row>
    <row r="1920" spans="1:28">
      <c r="A1920" s="26">
        <v>45212</v>
      </c>
      <c r="B1920" s="23">
        <v>1439.71</v>
      </c>
      <c r="C1920" s="25">
        <f t="shared" si="358"/>
        <v>-7.0103836970403059E-4</v>
      </c>
      <c r="E1920" s="25">
        <f t="shared" si="372"/>
        <v>0.19297824033410138</v>
      </c>
      <c r="F1920" s="25">
        <f t="shared" si="369"/>
        <v>4.8859845922601286E-2</v>
      </c>
      <c r="G1920" s="25">
        <f t="shared" si="366"/>
        <v>0.22006063881824844</v>
      </c>
      <c r="H1920" s="25">
        <f t="shared" si="363"/>
        <v>0.17033195211750751</v>
      </c>
      <c r="I1920" s="25">
        <f t="shared" si="360"/>
        <v>0.15339093292821038</v>
      </c>
      <c r="K1920" s="28">
        <v>45212</v>
      </c>
      <c r="L1920" s="23">
        <v>27184.52</v>
      </c>
      <c r="M1920" s="25">
        <f t="shared" si="359"/>
        <v>-1.6895645021504993E-3</v>
      </c>
      <c r="O1920" t="b">
        <f t="shared" si="357"/>
        <v>1</v>
      </c>
      <c r="Q1920" s="25">
        <f t="shared" si="373"/>
        <v>0.18412989635576871</v>
      </c>
      <c r="R1920" s="25">
        <f t="shared" si="370"/>
        <v>6.147639895055157E-2</v>
      </c>
      <c r="S1920" s="25">
        <f t="shared" si="367"/>
        <v>0.22747949972906234</v>
      </c>
      <c r="T1920" s="25">
        <f t="shared" si="364"/>
        <v>0.17730795792505671</v>
      </c>
      <c r="U1920" s="25">
        <f t="shared" si="361"/>
        <v>0.15815670994644382</v>
      </c>
      <c r="X1920">
        <f t="shared" si="374"/>
        <v>1</v>
      </c>
      <c r="Y1920">
        <f t="shared" si="371"/>
        <v>0</v>
      </c>
      <c r="Z1920">
        <f t="shared" si="368"/>
        <v>0</v>
      </c>
      <c r="AA1920">
        <f t="shared" si="365"/>
        <v>0</v>
      </c>
      <c r="AB1920">
        <f t="shared" si="362"/>
        <v>0</v>
      </c>
    </row>
    <row r="1921" spans="1:28">
      <c r="A1921" s="27">
        <v>45215</v>
      </c>
      <c r="B1921" s="24">
        <v>1440.2</v>
      </c>
      <c r="C1921" s="25">
        <f t="shared" si="358"/>
        <v>3.4034631974495496E-4</v>
      </c>
      <c r="E1921" s="25">
        <f t="shared" si="372"/>
        <v>0.18668787027347711</v>
      </c>
      <c r="F1921" s="25">
        <f t="shared" si="369"/>
        <v>4.5794966631436562E-2</v>
      </c>
      <c r="G1921" s="25">
        <f t="shared" si="366"/>
        <v>0.21748672597925922</v>
      </c>
      <c r="H1921" s="25">
        <f t="shared" si="363"/>
        <v>0.1660013128564477</v>
      </c>
      <c r="I1921" s="25">
        <f t="shared" si="360"/>
        <v>0.15163354388223338</v>
      </c>
      <c r="K1921" s="29">
        <v>45215</v>
      </c>
      <c r="L1921" s="24">
        <v>27188.68</v>
      </c>
      <c r="M1921" s="25">
        <f t="shared" si="359"/>
        <v>1.5300485349049143E-4</v>
      </c>
      <c r="O1921" t="b">
        <f t="shared" si="357"/>
        <v>1</v>
      </c>
      <c r="Q1921" s="25">
        <f t="shared" si="373"/>
        <v>0.17699149139724191</v>
      </c>
      <c r="R1921" s="25">
        <f t="shared" si="370"/>
        <v>5.7644746089584586E-2</v>
      </c>
      <c r="S1921" s="25">
        <f t="shared" si="367"/>
        <v>0.2265446311686079</v>
      </c>
      <c r="T1921" s="25">
        <f t="shared" si="364"/>
        <v>0.1721894619254194</v>
      </c>
      <c r="U1921" s="25">
        <f t="shared" si="361"/>
        <v>0.15605459571608482</v>
      </c>
      <c r="X1921">
        <f t="shared" si="374"/>
        <v>1</v>
      </c>
      <c r="Y1921">
        <f t="shared" si="371"/>
        <v>0</v>
      </c>
      <c r="Z1921">
        <f t="shared" si="368"/>
        <v>0</v>
      </c>
      <c r="AA1921">
        <f t="shared" si="365"/>
        <v>0</v>
      </c>
      <c r="AB1921">
        <f t="shared" si="362"/>
        <v>0</v>
      </c>
    </row>
    <row r="1922" spans="1:28">
      <c r="A1922" s="26">
        <v>45216</v>
      </c>
      <c r="B1922" s="23">
        <v>1444.73</v>
      </c>
      <c r="C1922" s="25">
        <f t="shared" si="358"/>
        <v>3.1453964727121042E-3</v>
      </c>
      <c r="E1922" s="25">
        <f t="shared" si="372"/>
        <v>0.18018069533394332</v>
      </c>
      <c r="F1922" s="25">
        <f t="shared" si="369"/>
        <v>5.0871547621632374E-2</v>
      </c>
      <c r="G1922" s="25">
        <f t="shared" si="366"/>
        <v>0.21681840434118516</v>
      </c>
      <c r="H1922" s="25">
        <f t="shared" si="363"/>
        <v>0.16641593979074987</v>
      </c>
      <c r="I1922" s="25">
        <f t="shared" si="360"/>
        <v>0.15584413234129935</v>
      </c>
      <c r="K1922" s="28">
        <v>45216</v>
      </c>
      <c r="L1922" s="23">
        <v>27305.47</v>
      </c>
      <c r="M1922" s="25">
        <f t="shared" si="359"/>
        <v>4.2771649782992515E-3</v>
      </c>
      <c r="O1922" t="b">
        <f t="shared" si="357"/>
        <v>1</v>
      </c>
      <c r="Q1922" s="25">
        <f t="shared" si="373"/>
        <v>0.17024262026977066</v>
      </c>
      <c r="R1922" s="25">
        <f t="shared" si="370"/>
        <v>6.4220736613908702E-2</v>
      </c>
      <c r="S1922" s="25">
        <f t="shared" si="367"/>
        <v>0.22730738826328034</v>
      </c>
      <c r="T1922" s="25">
        <f t="shared" si="364"/>
        <v>0.17193795749146279</v>
      </c>
      <c r="U1922" s="25">
        <f t="shared" si="361"/>
        <v>0.16059552145405909</v>
      </c>
      <c r="X1922">
        <f t="shared" si="374"/>
        <v>1</v>
      </c>
      <c r="Y1922">
        <f t="shared" si="371"/>
        <v>0</v>
      </c>
      <c r="Z1922">
        <f t="shared" si="368"/>
        <v>0</v>
      </c>
      <c r="AA1922">
        <f t="shared" si="365"/>
        <v>0</v>
      </c>
      <c r="AB1922">
        <f t="shared" si="362"/>
        <v>0</v>
      </c>
    </row>
    <row r="1923" spans="1:28">
      <c r="A1923" s="27">
        <v>45217</v>
      </c>
      <c r="B1923" s="24">
        <v>1432.91</v>
      </c>
      <c r="C1923" s="25">
        <f t="shared" si="358"/>
        <v>-8.1814595114657659E-3</v>
      </c>
      <c r="E1923" s="25">
        <f t="shared" si="372"/>
        <v>0.17177904076542516</v>
      </c>
      <c r="F1923" s="25">
        <f t="shared" si="369"/>
        <v>5.1360535188745615E-2</v>
      </c>
      <c r="G1923" s="25">
        <f t="shared" si="366"/>
        <v>0.21364223137567318</v>
      </c>
      <c r="H1923" s="25">
        <f t="shared" si="363"/>
        <v>0.16315572672024969</v>
      </c>
      <c r="I1923" s="25">
        <f t="shared" si="360"/>
        <v>0.1569122516439172</v>
      </c>
      <c r="K1923" s="29">
        <v>45217</v>
      </c>
      <c r="L1923" s="24">
        <v>27112.09</v>
      </c>
      <c r="M1923" s="25">
        <f t="shared" si="359"/>
        <v>-7.1326113184192377E-3</v>
      </c>
      <c r="O1923" t="b">
        <f t="shared" ref="O1923:O1986" si="375">K1923=A1923</f>
        <v>1</v>
      </c>
      <c r="Q1923" s="25">
        <f t="shared" si="373"/>
        <v>0.16091797511433814</v>
      </c>
      <c r="R1923" s="25">
        <f t="shared" si="370"/>
        <v>6.6867831052032978E-2</v>
      </c>
      <c r="S1923" s="25">
        <f t="shared" si="367"/>
        <v>0.2248628080431363</v>
      </c>
      <c r="T1923" s="25">
        <f t="shared" si="364"/>
        <v>0.16857460225450827</v>
      </c>
      <c r="U1923" s="25">
        <f t="shared" si="361"/>
        <v>0.16209413857078703</v>
      </c>
      <c r="X1923">
        <f t="shared" si="374"/>
        <v>1</v>
      </c>
      <c r="Y1923">
        <f t="shared" si="371"/>
        <v>0</v>
      </c>
      <c r="Z1923">
        <f t="shared" si="368"/>
        <v>0</v>
      </c>
      <c r="AA1923">
        <f t="shared" si="365"/>
        <v>0</v>
      </c>
      <c r="AB1923">
        <f t="shared" si="362"/>
        <v>0</v>
      </c>
    </row>
    <row r="1924" spans="1:28">
      <c r="A1924" s="26">
        <v>45218</v>
      </c>
      <c r="B1924" s="23">
        <v>1427.02</v>
      </c>
      <c r="C1924" s="25">
        <f t="shared" ref="C1924:C1987" si="376">(B1924-B1923)/B1923</f>
        <v>-4.1105163618092551E-3</v>
      </c>
      <c r="E1924" s="25">
        <f t="shared" si="372"/>
        <v>0.16451502342054147</v>
      </c>
      <c r="F1924" s="25">
        <f t="shared" si="369"/>
        <v>5.2082576955696958E-2</v>
      </c>
      <c r="G1924" s="25">
        <f t="shared" si="366"/>
        <v>0.21022319451913796</v>
      </c>
      <c r="H1924" s="25">
        <f t="shared" si="363"/>
        <v>0.16001120187332285</v>
      </c>
      <c r="I1924" s="25">
        <f t="shared" si="360"/>
        <v>0.15749384413214207</v>
      </c>
      <c r="K1924" s="28">
        <v>45218</v>
      </c>
      <c r="L1924" s="23">
        <v>27061.52</v>
      </c>
      <c r="M1924" s="25">
        <f t="shared" ref="M1924:M1987" si="377">(L1924-L1923)/L1924</f>
        <v>-1.8687050838238099E-3</v>
      </c>
      <c r="O1924" t="b">
        <f t="shared" si="375"/>
        <v>1</v>
      </c>
      <c r="Q1924" s="25">
        <f t="shared" si="373"/>
        <v>0.15541657558203092</v>
      </c>
      <c r="R1924" s="25">
        <f t="shared" si="370"/>
        <v>6.8603921864508699E-2</v>
      </c>
      <c r="S1924" s="25">
        <f t="shared" si="367"/>
        <v>0.22238070529107645</v>
      </c>
      <c r="T1924" s="25">
        <f t="shared" si="364"/>
        <v>0.16759689266971245</v>
      </c>
      <c r="U1924" s="25">
        <f t="shared" si="361"/>
        <v>0.16338110165753372</v>
      </c>
      <c r="X1924">
        <f t="shared" si="374"/>
        <v>1</v>
      </c>
      <c r="Y1924">
        <f t="shared" si="371"/>
        <v>0</v>
      </c>
      <c r="Z1924">
        <f t="shared" si="368"/>
        <v>0</v>
      </c>
      <c r="AA1924">
        <f t="shared" si="365"/>
        <v>0</v>
      </c>
      <c r="AB1924">
        <f t="shared" si="362"/>
        <v>0</v>
      </c>
    </row>
    <row r="1925" spans="1:28">
      <c r="A1925" s="27">
        <v>45219</v>
      </c>
      <c r="B1925" s="24">
        <v>1415.54</v>
      </c>
      <c r="C1925" s="25">
        <f t="shared" si="376"/>
        <v>-8.0447365839301614E-3</v>
      </c>
      <c r="E1925" s="25">
        <f t="shared" si="372"/>
        <v>0.15455324007993143</v>
      </c>
      <c r="F1925" s="25">
        <f t="shared" si="369"/>
        <v>5.1014108210917231E-2</v>
      </c>
      <c r="G1925" s="25">
        <f t="shared" si="366"/>
        <v>0.21237946330463853</v>
      </c>
      <c r="H1925" s="25">
        <f t="shared" si="363"/>
        <v>0.15638936820844163</v>
      </c>
      <c r="I1925" s="25">
        <f t="shared" si="360"/>
        <v>0.15793772003250472</v>
      </c>
      <c r="K1925" s="29">
        <v>45219</v>
      </c>
      <c r="L1925" s="24">
        <v>26905.17</v>
      </c>
      <c r="M1925" s="25">
        <f t="shared" si="377"/>
        <v>-5.8111507936951219E-3</v>
      </c>
      <c r="O1925" t="b">
        <f t="shared" si="375"/>
        <v>1</v>
      </c>
      <c r="Q1925" s="25">
        <f t="shared" si="373"/>
        <v>0.15110063007440488</v>
      </c>
      <c r="R1925" s="25">
        <f t="shared" si="370"/>
        <v>6.8550879866534409E-2</v>
      </c>
      <c r="S1925" s="25">
        <f t="shared" si="367"/>
        <v>0.22558702484512905</v>
      </c>
      <c r="T1925" s="25">
        <f t="shared" si="364"/>
        <v>0.16504477008162799</v>
      </c>
      <c r="U1925" s="25">
        <f t="shared" si="361"/>
        <v>0.1643897267711385</v>
      </c>
      <c r="X1925">
        <f t="shared" si="374"/>
        <v>1</v>
      </c>
      <c r="Y1925">
        <f t="shared" si="371"/>
        <v>0</v>
      </c>
      <c r="Z1925">
        <f t="shared" si="368"/>
        <v>0</v>
      </c>
      <c r="AA1925">
        <f t="shared" si="365"/>
        <v>0</v>
      </c>
      <c r="AB1925">
        <f t="shared" si="362"/>
        <v>0</v>
      </c>
    </row>
    <row r="1926" spans="1:28">
      <c r="A1926" s="26">
        <v>45222</v>
      </c>
      <c r="B1926" s="23">
        <v>1392.26</v>
      </c>
      <c r="C1926" s="25">
        <f t="shared" si="376"/>
        <v>-1.6446020599912382E-2</v>
      </c>
      <c r="E1926" s="25">
        <f t="shared" si="372"/>
        <v>0.12750949538795453</v>
      </c>
      <c r="F1926" s="25">
        <f t="shared" si="369"/>
        <v>4.1880575478264959E-2</v>
      </c>
      <c r="G1926" s="25">
        <f t="shared" si="366"/>
        <v>0.20084318720362893</v>
      </c>
      <c r="H1926" s="25">
        <f t="shared" si="363"/>
        <v>0.15243233212895069</v>
      </c>
      <c r="I1926" s="25">
        <f t="shared" si="360"/>
        <v>0.15097246422787691</v>
      </c>
      <c r="K1926" s="28">
        <v>45222</v>
      </c>
      <c r="L1926" s="23">
        <v>26404.83</v>
      </c>
      <c r="M1926" s="25">
        <f t="shared" si="377"/>
        <v>-1.8948805957091808E-2</v>
      </c>
      <c r="O1926" t="b">
        <f t="shared" si="375"/>
        <v>1</v>
      </c>
      <c r="Q1926" s="25">
        <f t="shared" si="373"/>
        <v>0.12394697132544019</v>
      </c>
      <c r="R1926" s="25">
        <f t="shared" si="370"/>
        <v>6.0818825389858056E-2</v>
      </c>
      <c r="S1926" s="25">
        <f t="shared" si="367"/>
        <v>0.21373204580416827</v>
      </c>
      <c r="T1926" s="25">
        <f t="shared" si="364"/>
        <v>0.16072922033528148</v>
      </c>
      <c r="U1926" s="25">
        <f t="shared" si="361"/>
        <v>0.15823707904426465</v>
      </c>
      <c r="X1926">
        <f t="shared" si="374"/>
        <v>1</v>
      </c>
      <c r="Y1926">
        <f t="shared" si="371"/>
        <v>0</v>
      </c>
      <c r="Z1926">
        <f t="shared" si="368"/>
        <v>0</v>
      </c>
      <c r="AA1926">
        <f t="shared" si="365"/>
        <v>0</v>
      </c>
      <c r="AB1926">
        <f t="shared" si="362"/>
        <v>0</v>
      </c>
    </row>
    <row r="1927" spans="1:28">
      <c r="A1927" s="27">
        <v>45224</v>
      </c>
      <c r="B1927" s="24">
        <v>1381.78</v>
      </c>
      <c r="C1927" s="25">
        <f t="shared" si="376"/>
        <v>-7.5273296654360666E-3</v>
      </c>
      <c r="E1927" s="25">
        <f t="shared" si="372"/>
        <v>0.10943571956193598</v>
      </c>
      <c r="F1927" s="25">
        <f t="shared" si="369"/>
        <v>3.2277227141584763E-2</v>
      </c>
      <c r="G1927" s="25">
        <f t="shared" si="366"/>
        <v>0.20242646564644562</v>
      </c>
      <c r="H1927" s="25">
        <f t="shared" si="363"/>
        <v>0.14954091677140968</v>
      </c>
      <c r="I1927" s="25">
        <f t="shared" si="360"/>
        <v>0.15142780023932501</v>
      </c>
      <c r="K1927" s="29">
        <v>45224</v>
      </c>
      <c r="L1927" s="24">
        <v>26217.58</v>
      </c>
      <c r="M1927" s="25">
        <f t="shared" si="377"/>
        <v>-7.1421542339148002E-3</v>
      </c>
      <c r="O1927" t="b">
        <f t="shared" si="375"/>
        <v>1</v>
      </c>
      <c r="Q1927" s="25">
        <f t="shared" si="373"/>
        <v>0.10909004764197205</v>
      </c>
      <c r="R1927" s="25">
        <f t="shared" si="370"/>
        <v>5.1069905932838555E-2</v>
      </c>
      <c r="S1927" s="25">
        <f t="shared" si="367"/>
        <v>0.21561643838611189</v>
      </c>
      <c r="T1927" s="25">
        <f t="shared" si="364"/>
        <v>0.15784851330537286</v>
      </c>
      <c r="U1927" s="25">
        <f t="shared" si="361"/>
        <v>0.15867862413756639</v>
      </c>
      <c r="X1927">
        <f t="shared" si="374"/>
        <v>1</v>
      </c>
      <c r="Y1927">
        <f t="shared" si="371"/>
        <v>0</v>
      </c>
      <c r="Z1927">
        <f t="shared" si="368"/>
        <v>0</v>
      </c>
      <c r="AA1927">
        <f t="shared" si="365"/>
        <v>0</v>
      </c>
      <c r="AB1927">
        <f t="shared" si="362"/>
        <v>0</v>
      </c>
    </row>
    <row r="1928" spans="1:28">
      <c r="A1928" s="26">
        <v>45225</v>
      </c>
      <c r="B1928" s="23">
        <v>1365.93</v>
      </c>
      <c r="C1928" s="25">
        <f t="shared" si="376"/>
        <v>-1.1470711690717705E-2</v>
      </c>
      <c r="E1928" s="25">
        <f t="shared" si="372"/>
        <v>0.10176969736077957</v>
      </c>
      <c r="F1928" s="25">
        <f t="shared" si="369"/>
        <v>2.5845350515610432E-2</v>
      </c>
      <c r="G1928" s="25">
        <f t="shared" si="366"/>
        <v>0.19953923526861894</v>
      </c>
      <c r="H1928" s="25">
        <f t="shared" si="363"/>
        <v>0.1448077392690077</v>
      </c>
      <c r="I1928" s="25">
        <f t="shared" si="360"/>
        <v>0.14986749286803214</v>
      </c>
      <c r="K1928" s="28">
        <v>45225</v>
      </c>
      <c r="L1928" s="23">
        <v>25896.34</v>
      </c>
      <c r="M1928" s="25">
        <f t="shared" si="377"/>
        <v>-1.2404841765284268E-2</v>
      </c>
      <c r="O1928" t="b">
        <f t="shared" si="375"/>
        <v>1</v>
      </c>
      <c r="Q1928" s="25">
        <f t="shared" si="373"/>
        <v>9.5685477746190628E-2</v>
      </c>
      <c r="R1928" s="25">
        <f t="shared" si="370"/>
        <v>4.5118430985086277E-2</v>
      </c>
      <c r="S1928" s="25">
        <f t="shared" si="367"/>
        <v>0.21217316344559389</v>
      </c>
      <c r="T1928" s="25">
        <f t="shared" si="364"/>
        <v>0.15298993073445533</v>
      </c>
      <c r="U1928" s="25">
        <f t="shared" si="361"/>
        <v>0.15736519214434486</v>
      </c>
      <c r="X1928">
        <f t="shared" si="374"/>
        <v>1</v>
      </c>
      <c r="Y1928">
        <f t="shared" si="371"/>
        <v>0</v>
      </c>
      <c r="Z1928">
        <f t="shared" si="368"/>
        <v>0</v>
      </c>
      <c r="AA1928">
        <f t="shared" si="365"/>
        <v>0</v>
      </c>
      <c r="AB1928">
        <f t="shared" si="362"/>
        <v>0</v>
      </c>
    </row>
    <row r="1929" spans="1:28">
      <c r="A1929" s="27">
        <v>45226</v>
      </c>
      <c r="B1929" s="24">
        <v>1383.26</v>
      </c>
      <c r="C1929" s="25">
        <f t="shared" si="376"/>
        <v>1.2687326583353413E-2</v>
      </c>
      <c r="E1929" s="25">
        <f t="shared" si="372"/>
        <v>0.10518452233523234</v>
      </c>
      <c r="F1929" s="25">
        <f t="shared" si="369"/>
        <v>4.2088723657774496E-2</v>
      </c>
      <c r="G1929" s="25">
        <f t="shared" si="366"/>
        <v>0.20605572242091075</v>
      </c>
      <c r="H1929" s="25">
        <f t="shared" si="363"/>
        <v>0.15036504101855908</v>
      </c>
      <c r="I1929" s="25">
        <f t="shared" si="360"/>
        <v>0.14743034868303617</v>
      </c>
      <c r="K1929" s="29">
        <v>45226</v>
      </c>
      <c r="L1929" s="24">
        <v>26225.88</v>
      </c>
      <c r="M1929" s="25">
        <f t="shared" si="377"/>
        <v>1.2565450615956484E-2</v>
      </c>
      <c r="O1929" t="b">
        <f t="shared" si="375"/>
        <v>1</v>
      </c>
      <c r="Q1929" s="25">
        <f t="shared" si="373"/>
        <v>9.6410666327755967E-2</v>
      </c>
      <c r="R1929" s="25">
        <f t="shared" si="370"/>
        <v>6.1849076450821938E-2</v>
      </c>
      <c r="S1929" s="25">
        <f t="shared" si="367"/>
        <v>0.21778961272487596</v>
      </c>
      <c r="T1929" s="25">
        <f t="shared" si="364"/>
        <v>0.15905231301022349</v>
      </c>
      <c r="U1929" s="25">
        <f t="shared" si="361"/>
        <v>0.15504423768237707</v>
      </c>
      <c r="X1929">
        <f t="shared" si="374"/>
        <v>1</v>
      </c>
      <c r="Y1929">
        <f t="shared" si="371"/>
        <v>0</v>
      </c>
      <c r="Z1929">
        <f t="shared" si="368"/>
        <v>0</v>
      </c>
      <c r="AA1929">
        <f t="shared" si="365"/>
        <v>0</v>
      </c>
      <c r="AB1929">
        <f t="shared" si="362"/>
        <v>0</v>
      </c>
    </row>
    <row r="1930" spans="1:28">
      <c r="A1930" s="26">
        <v>45229</v>
      </c>
      <c r="B1930" s="23">
        <v>1387.71</v>
      </c>
      <c r="C1930" s="25">
        <f t="shared" si="376"/>
        <v>3.2170380116536626E-3</v>
      </c>
      <c r="E1930" s="25">
        <f t="shared" si="372"/>
        <v>0.10095520682925274</v>
      </c>
      <c r="F1930" s="25">
        <f t="shared" si="369"/>
        <v>4.54104280407297E-2</v>
      </c>
      <c r="G1930" s="25">
        <f t="shared" si="366"/>
        <v>0.20388666698288782</v>
      </c>
      <c r="H1930" s="25">
        <f t="shared" si="363"/>
        <v>0.15011152140919481</v>
      </c>
      <c r="I1930" s="25">
        <f t="shared" si="360"/>
        <v>0.1474492036760795</v>
      </c>
      <c r="K1930" s="28">
        <v>45229</v>
      </c>
      <c r="L1930" s="23">
        <v>26320.74</v>
      </c>
      <c r="M1930" s="25">
        <f t="shared" si="377"/>
        <v>3.6040020151409335E-3</v>
      </c>
      <c r="O1930" t="b">
        <f t="shared" si="375"/>
        <v>1</v>
      </c>
      <c r="Q1930" s="25">
        <f t="shared" si="373"/>
        <v>9.2199458563150927E-2</v>
      </c>
      <c r="R1930" s="25">
        <f t="shared" si="370"/>
        <v>6.7416568172547819E-2</v>
      </c>
      <c r="S1930" s="25">
        <f t="shared" si="367"/>
        <v>0.21864939045835063</v>
      </c>
      <c r="T1930" s="25">
        <f t="shared" si="364"/>
        <v>0.15972327396806385</v>
      </c>
      <c r="U1930" s="25">
        <f t="shared" si="361"/>
        <v>0.15613374401838853</v>
      </c>
      <c r="X1930">
        <f t="shared" si="374"/>
        <v>1</v>
      </c>
      <c r="Y1930">
        <f t="shared" si="371"/>
        <v>0</v>
      </c>
      <c r="Z1930">
        <f t="shared" si="368"/>
        <v>0</v>
      </c>
      <c r="AA1930">
        <f t="shared" si="365"/>
        <v>0</v>
      </c>
      <c r="AB1930">
        <f t="shared" si="362"/>
        <v>0</v>
      </c>
    </row>
    <row r="1931" spans="1:28">
      <c r="A1931" s="27">
        <v>45230</v>
      </c>
      <c r="B1931" s="24">
        <v>1381.45</v>
      </c>
      <c r="C1931" s="25">
        <f t="shared" si="376"/>
        <v>-4.5110289613824149E-3</v>
      </c>
      <c r="E1931" s="25">
        <f t="shared" si="372"/>
        <v>9.9145475955571216E-2</v>
      </c>
      <c r="F1931" s="25">
        <f t="shared" si="369"/>
        <v>3.4694497333207286E-2</v>
      </c>
      <c r="G1931" s="25">
        <f t="shared" si="366"/>
        <v>0.1975584004729487</v>
      </c>
      <c r="H1931" s="25">
        <f t="shared" si="363"/>
        <v>0.15254689813859468</v>
      </c>
      <c r="I1931" s="25">
        <f t="shared" si="360"/>
        <v>0.14290168084369848</v>
      </c>
      <c r="K1931" s="29">
        <v>45230</v>
      </c>
      <c r="L1931" s="24">
        <v>26281.759999999998</v>
      </c>
      <c r="M1931" s="25">
        <f t="shared" si="377"/>
        <v>-1.4831579011452508E-3</v>
      </c>
      <c r="O1931" t="b">
        <f t="shared" si="375"/>
        <v>1</v>
      </c>
      <c r="Q1931" s="25">
        <f t="shared" si="373"/>
        <v>9.3385419591838437E-2</v>
      </c>
      <c r="R1931" s="25">
        <f t="shared" si="370"/>
        <v>5.906572715868541E-2</v>
      </c>
      <c r="S1931" s="25">
        <f t="shared" si="367"/>
        <v>0.21382423999799949</v>
      </c>
      <c r="T1931" s="25">
        <f t="shared" si="364"/>
        <v>0.16114687297321439</v>
      </c>
      <c r="U1931" s="25">
        <f t="shared" si="361"/>
        <v>0.15171592430675407</v>
      </c>
      <c r="X1931">
        <f t="shared" si="374"/>
        <v>1</v>
      </c>
      <c r="Y1931">
        <f t="shared" si="371"/>
        <v>0</v>
      </c>
      <c r="Z1931">
        <f t="shared" si="368"/>
        <v>0</v>
      </c>
      <c r="AA1931">
        <f t="shared" si="365"/>
        <v>0</v>
      </c>
      <c r="AB1931">
        <f t="shared" si="362"/>
        <v>0</v>
      </c>
    </row>
    <row r="1932" spans="1:28">
      <c r="A1932" s="26">
        <v>45231</v>
      </c>
      <c r="B1932" s="23">
        <v>1378.37</v>
      </c>
      <c r="C1932" s="25">
        <f t="shared" si="376"/>
        <v>-2.2295414238663394E-3</v>
      </c>
      <c r="E1932" s="25">
        <f t="shared" si="372"/>
        <v>9.5840422317978735E-2</v>
      </c>
      <c r="F1932" s="25">
        <f t="shared" si="369"/>
        <v>3.4398512600892106E-2</v>
      </c>
      <c r="G1932" s="25">
        <f t="shared" si="366"/>
        <v>0.19413445575001509</v>
      </c>
      <c r="H1932" s="25">
        <f t="shared" si="363"/>
        <v>0.15062010295457462</v>
      </c>
      <c r="I1932" s="25">
        <f t="shared" si="360"/>
        <v>0.14178301092093304</v>
      </c>
      <c r="K1932" s="28">
        <v>45231</v>
      </c>
      <c r="L1932" s="23">
        <v>26176.34</v>
      </c>
      <c r="M1932" s="25">
        <f t="shared" si="377"/>
        <v>-4.0273009901307154E-3</v>
      </c>
      <c r="O1932" t="b">
        <f t="shared" si="375"/>
        <v>1</v>
      </c>
      <c r="Q1932" s="25">
        <f t="shared" si="373"/>
        <v>8.9878410353710469E-2</v>
      </c>
      <c r="R1932" s="25">
        <f t="shared" si="370"/>
        <v>5.6467832678846364E-2</v>
      </c>
      <c r="S1932" s="25">
        <f t="shared" si="367"/>
        <v>0.20924268595185347</v>
      </c>
      <c r="T1932" s="25">
        <f t="shared" si="364"/>
        <v>0.15948143022195271</v>
      </c>
      <c r="U1932" s="25">
        <f t="shared" si="361"/>
        <v>0.150263458996994</v>
      </c>
      <c r="X1932">
        <f t="shared" si="374"/>
        <v>1</v>
      </c>
      <c r="Y1932">
        <f t="shared" si="371"/>
        <v>0</v>
      </c>
      <c r="Z1932">
        <f t="shared" si="368"/>
        <v>0</v>
      </c>
      <c r="AA1932">
        <f t="shared" si="365"/>
        <v>0</v>
      </c>
      <c r="AB1932">
        <f t="shared" si="362"/>
        <v>0</v>
      </c>
    </row>
    <row r="1933" spans="1:28">
      <c r="A1933" s="27">
        <v>45232</v>
      </c>
      <c r="B1933" s="24">
        <v>1394.46</v>
      </c>
      <c r="C1933" s="25">
        <f t="shared" si="376"/>
        <v>1.1673208209697068E-2</v>
      </c>
      <c r="E1933" s="25">
        <f t="shared" si="372"/>
        <v>0.10744379233939805</v>
      </c>
      <c r="F1933" s="25">
        <f t="shared" si="369"/>
        <v>4.4390361914163456E-2</v>
      </c>
      <c r="G1933" s="25">
        <f t="shared" si="366"/>
        <v>0.19166062401273809</v>
      </c>
      <c r="H1933" s="25">
        <f t="shared" si="363"/>
        <v>0.15268292886441093</v>
      </c>
      <c r="I1933" s="25">
        <f t="shared" si="360"/>
        <v>0.14188205556811817</v>
      </c>
      <c r="K1933" s="29">
        <v>45232</v>
      </c>
      <c r="L1933" s="24">
        <v>26428.25</v>
      </c>
      <c r="M1933" s="25">
        <f t="shared" si="377"/>
        <v>9.5318456575823156E-3</v>
      </c>
      <c r="O1933" t="b">
        <f t="shared" si="375"/>
        <v>1</v>
      </c>
      <c r="Q1933" s="25">
        <f t="shared" si="373"/>
        <v>9.7089055241240674E-2</v>
      </c>
      <c r="R1933" s="25">
        <f t="shared" si="370"/>
        <v>6.2640300018040218E-2</v>
      </c>
      <c r="S1933" s="25">
        <f t="shared" si="367"/>
        <v>0.2060995201958995</v>
      </c>
      <c r="T1933" s="25">
        <f t="shared" si="364"/>
        <v>0.16175137266238959</v>
      </c>
      <c r="U1933" s="25">
        <f t="shared" si="361"/>
        <v>0.14916303542881604</v>
      </c>
      <c r="X1933">
        <f t="shared" si="374"/>
        <v>1</v>
      </c>
      <c r="Y1933">
        <f t="shared" si="371"/>
        <v>0</v>
      </c>
      <c r="Z1933">
        <f t="shared" si="368"/>
        <v>0</v>
      </c>
      <c r="AA1933">
        <f t="shared" si="365"/>
        <v>0</v>
      </c>
      <c r="AB1933">
        <f t="shared" si="362"/>
        <v>0</v>
      </c>
    </row>
    <row r="1934" spans="1:28">
      <c r="A1934" s="26">
        <v>45233</v>
      </c>
      <c r="B1934" s="23">
        <v>1402.7</v>
      </c>
      <c r="C1934" s="25">
        <f t="shared" si="376"/>
        <v>5.9090974283952276E-3</v>
      </c>
      <c r="E1934" s="25">
        <f t="shared" si="372"/>
        <v>0.10989784856900964</v>
      </c>
      <c r="F1934" s="25">
        <f t="shared" si="369"/>
        <v>3.8913089415685498E-2</v>
      </c>
      <c r="G1934" s="25">
        <f t="shared" si="366"/>
        <v>0.19146389379351536</v>
      </c>
      <c r="H1934" s="25">
        <f t="shared" si="363"/>
        <v>0.1536305768682571</v>
      </c>
      <c r="I1934" s="25">
        <f t="shared" si="360"/>
        <v>0.14337485880276191</v>
      </c>
      <c r="K1934" s="28">
        <v>45233</v>
      </c>
      <c r="L1934" s="23">
        <v>26603.200000000001</v>
      </c>
      <c r="M1934" s="25">
        <f t="shared" si="377"/>
        <v>6.5762765381608499E-3</v>
      </c>
      <c r="O1934" t="b">
        <f t="shared" si="375"/>
        <v>1</v>
      </c>
      <c r="Q1934" s="25">
        <f t="shared" si="373"/>
        <v>9.838532007061862E-2</v>
      </c>
      <c r="R1934" s="25">
        <f t="shared" si="370"/>
        <v>5.7952883008745237E-2</v>
      </c>
      <c r="S1934" s="25">
        <f t="shared" si="367"/>
        <v>0.20480063590476583</v>
      </c>
      <c r="T1934" s="25">
        <f t="shared" si="364"/>
        <v>0.16361613031713929</v>
      </c>
      <c r="U1934" s="25">
        <f t="shared" si="361"/>
        <v>0.15121434648814658</v>
      </c>
      <c r="X1934">
        <f t="shared" si="374"/>
        <v>1</v>
      </c>
      <c r="Y1934">
        <f t="shared" si="371"/>
        <v>0</v>
      </c>
      <c r="Z1934">
        <f t="shared" si="368"/>
        <v>0</v>
      </c>
      <c r="AA1934">
        <f t="shared" si="365"/>
        <v>0</v>
      </c>
      <c r="AB1934">
        <f t="shared" si="362"/>
        <v>0</v>
      </c>
    </row>
    <row r="1935" spans="1:28">
      <c r="A1935" s="27">
        <v>45236</v>
      </c>
      <c r="B1935" s="24">
        <v>1417.87</v>
      </c>
      <c r="C1935" s="25">
        <f t="shared" si="376"/>
        <v>1.081485706138151E-2</v>
      </c>
      <c r="E1935" s="25">
        <f t="shared" si="372"/>
        <v>0.12766532787211204</v>
      </c>
      <c r="F1935" s="25">
        <f t="shared" si="369"/>
        <v>4.3496590486420628E-2</v>
      </c>
      <c r="G1935" s="25">
        <f t="shared" si="366"/>
        <v>0.18898646490658133</v>
      </c>
      <c r="H1935" s="25">
        <f t="shared" si="363"/>
        <v>0.15541899728072917</v>
      </c>
      <c r="I1935" s="25">
        <f t="shared" si="360"/>
        <v>0.14641283316821063</v>
      </c>
      <c r="K1935" s="29">
        <v>45236</v>
      </c>
      <c r="L1935" s="24">
        <v>26852.91</v>
      </c>
      <c r="M1935" s="25">
        <f t="shared" si="377"/>
        <v>9.2991783758259016E-3</v>
      </c>
      <c r="O1935" t="b">
        <f t="shared" si="375"/>
        <v>1</v>
      </c>
      <c r="Q1935" s="25">
        <f t="shared" si="373"/>
        <v>0.11200093754089324</v>
      </c>
      <c r="R1935" s="25">
        <f t="shared" si="370"/>
        <v>6.2120320190420575E-2</v>
      </c>
      <c r="S1935" s="25">
        <f t="shared" si="367"/>
        <v>0.20287184669233072</v>
      </c>
      <c r="T1935" s="25">
        <f t="shared" si="364"/>
        <v>0.16532197876617105</v>
      </c>
      <c r="U1935" s="25">
        <f t="shared" si="361"/>
        <v>0.15356461098277885</v>
      </c>
      <c r="X1935">
        <f t="shared" si="374"/>
        <v>1</v>
      </c>
      <c r="Y1935">
        <f t="shared" si="371"/>
        <v>0</v>
      </c>
      <c r="Z1935">
        <f t="shared" si="368"/>
        <v>0</v>
      </c>
      <c r="AA1935">
        <f t="shared" si="365"/>
        <v>0</v>
      </c>
      <c r="AB1935">
        <f t="shared" si="362"/>
        <v>0</v>
      </c>
    </row>
    <row r="1936" spans="1:28">
      <c r="A1936" s="26">
        <v>45237</v>
      </c>
      <c r="B1936" s="23">
        <v>1420.46</v>
      </c>
      <c r="C1936" s="25">
        <f t="shared" si="376"/>
        <v>1.8266836875031884E-3</v>
      </c>
      <c r="E1936" s="25">
        <f t="shared" si="372"/>
        <v>0.137824415251522</v>
      </c>
      <c r="F1936" s="25">
        <f t="shared" si="369"/>
        <v>4.5650445701677755E-2</v>
      </c>
      <c r="G1936" s="25">
        <f t="shared" si="366"/>
        <v>0.18870562071194796</v>
      </c>
      <c r="H1936" s="25">
        <f t="shared" si="363"/>
        <v>0.15371226603665522</v>
      </c>
      <c r="I1936" s="25">
        <f t="shared" si="360"/>
        <v>0.14476364040922673</v>
      </c>
      <c r="K1936" s="28">
        <v>45237</v>
      </c>
      <c r="L1936" s="23">
        <v>26897.88</v>
      </c>
      <c r="M1936" s="25">
        <f t="shared" si="377"/>
        <v>1.6718789733615126E-3</v>
      </c>
      <c r="O1936" t="b">
        <f t="shared" si="375"/>
        <v>1</v>
      </c>
      <c r="Q1936" s="25">
        <f t="shared" si="373"/>
        <v>0.12304068232812582</v>
      </c>
      <c r="R1936" s="25">
        <f t="shared" si="370"/>
        <v>6.3716711768918577E-2</v>
      </c>
      <c r="S1936" s="25">
        <f t="shared" si="367"/>
        <v>0.19990911708757753</v>
      </c>
      <c r="T1936" s="25">
        <f t="shared" si="364"/>
        <v>0.16452711547913101</v>
      </c>
      <c r="U1936" s="25">
        <f t="shared" si="361"/>
        <v>0.1519761481355042</v>
      </c>
      <c r="X1936">
        <f t="shared" si="374"/>
        <v>1</v>
      </c>
      <c r="Y1936">
        <f t="shared" si="371"/>
        <v>0</v>
      </c>
      <c r="Z1936">
        <f t="shared" si="368"/>
        <v>0</v>
      </c>
      <c r="AA1936">
        <f t="shared" si="365"/>
        <v>0</v>
      </c>
      <c r="AB1936">
        <f t="shared" si="362"/>
        <v>0</v>
      </c>
    </row>
    <row r="1937" spans="1:28">
      <c r="A1937" s="27">
        <v>45238</v>
      </c>
      <c r="B1937" s="24">
        <v>1422.94</v>
      </c>
      <c r="C1937" s="25">
        <f t="shared" si="376"/>
        <v>1.7459132956929573E-3</v>
      </c>
      <c r="E1937" s="25">
        <f t="shared" si="372"/>
        <v>0.12474705956747201</v>
      </c>
      <c r="F1937" s="25">
        <f t="shared" si="369"/>
        <v>5.1822405952949069E-2</v>
      </c>
      <c r="G1937" s="25">
        <f t="shared" si="366"/>
        <v>0.18478704286496783</v>
      </c>
      <c r="H1937" s="25">
        <f t="shared" si="363"/>
        <v>0.15491117078164063</v>
      </c>
      <c r="I1937" s="25">
        <f t="shared" si="360"/>
        <v>0.14708097985535362</v>
      </c>
      <c r="K1937" s="29">
        <v>45238</v>
      </c>
      <c r="L1937" s="24">
        <v>27010.76</v>
      </c>
      <c r="M1937" s="25">
        <f t="shared" si="377"/>
        <v>4.1790753018425761E-3</v>
      </c>
      <c r="O1937" t="b">
        <f t="shared" si="375"/>
        <v>1</v>
      </c>
      <c r="Q1937" s="25">
        <f t="shared" si="373"/>
        <v>0.11268170165892433</v>
      </c>
      <c r="R1937" s="25">
        <f t="shared" si="370"/>
        <v>6.963494895443767E-2</v>
      </c>
      <c r="S1937" s="25">
        <f t="shared" si="367"/>
        <v>0.19818445667675788</v>
      </c>
      <c r="T1937" s="25">
        <f t="shared" si="364"/>
        <v>0.166707990723866</v>
      </c>
      <c r="U1937" s="25">
        <f t="shared" si="361"/>
        <v>0.15519352607378756</v>
      </c>
      <c r="X1937">
        <f t="shared" si="374"/>
        <v>1</v>
      </c>
      <c r="Y1937">
        <f t="shared" si="371"/>
        <v>0</v>
      </c>
      <c r="Z1937">
        <f t="shared" si="368"/>
        <v>0</v>
      </c>
      <c r="AA1937">
        <f t="shared" si="365"/>
        <v>0</v>
      </c>
      <c r="AB1937">
        <f t="shared" si="362"/>
        <v>0</v>
      </c>
    </row>
    <row r="1938" spans="1:28">
      <c r="A1938" s="26">
        <v>45239</v>
      </c>
      <c r="B1938" s="23">
        <v>1422.22</v>
      </c>
      <c r="C1938" s="25">
        <f t="shared" si="376"/>
        <v>-5.0599463083476979E-4</v>
      </c>
      <c r="E1938" s="25">
        <f t="shared" si="372"/>
        <v>0.12326343640169002</v>
      </c>
      <c r="F1938" s="25">
        <f t="shared" si="369"/>
        <v>4.7027673115987545E-2</v>
      </c>
      <c r="G1938" s="25">
        <f t="shared" si="366"/>
        <v>0.1857756357446716</v>
      </c>
      <c r="H1938" s="25">
        <f t="shared" si="363"/>
        <v>0.15599553327846238</v>
      </c>
      <c r="I1938" s="25">
        <f t="shared" ref="I1938:I2001" si="378">((B1938/B707)^(1/5))-1</f>
        <v>0.14544696754883635</v>
      </c>
      <c r="K1938" s="28">
        <v>45239</v>
      </c>
      <c r="L1938" s="23">
        <v>26947.4</v>
      </c>
      <c r="M1938" s="25">
        <f t="shared" si="377"/>
        <v>-2.3512472446320216E-3</v>
      </c>
      <c r="O1938" t="b">
        <f t="shared" si="375"/>
        <v>1</v>
      </c>
      <c r="Q1938" s="25">
        <f t="shared" si="373"/>
        <v>0.10999162997917389</v>
      </c>
      <c r="R1938" s="25">
        <f t="shared" si="370"/>
        <v>6.2605312522905354E-2</v>
      </c>
      <c r="S1938" s="25">
        <f t="shared" si="367"/>
        <v>0.19776602797601739</v>
      </c>
      <c r="T1938" s="25">
        <f t="shared" si="364"/>
        <v>0.167016341356784</v>
      </c>
      <c r="U1938" s="25">
        <f t="shared" ref="U1938:U2001" si="379">((L1938/L707)^(1/5))-1</f>
        <v>0.15297294081454482</v>
      </c>
      <c r="X1938">
        <f t="shared" si="374"/>
        <v>1</v>
      </c>
      <c r="Y1938">
        <f t="shared" si="371"/>
        <v>0</v>
      </c>
      <c r="Z1938">
        <f t="shared" si="368"/>
        <v>0</v>
      </c>
      <c r="AA1938">
        <f t="shared" si="365"/>
        <v>0</v>
      </c>
      <c r="AB1938">
        <f t="shared" ref="AB1938:AB2001" si="380">IF(I1938&gt;U1938,1,0)</f>
        <v>0</v>
      </c>
    </row>
    <row r="1939" spans="1:28">
      <c r="A1939" s="27">
        <v>45240</v>
      </c>
      <c r="B1939" s="24">
        <v>1421.15</v>
      </c>
      <c r="C1939" s="25">
        <f t="shared" si="376"/>
        <v>-7.5234492553890133E-4</v>
      </c>
      <c r="E1939" s="25">
        <f t="shared" si="372"/>
        <v>0.11737927130344561</v>
      </c>
      <c r="F1939" s="25">
        <f t="shared" si="369"/>
        <v>4.6456294000343901E-2</v>
      </c>
      <c r="G1939" s="25">
        <f t="shared" si="366"/>
        <v>0.18250063170344544</v>
      </c>
      <c r="H1939" s="25">
        <f t="shared" si="363"/>
        <v>0.15205322692556189</v>
      </c>
      <c r="I1939" s="25">
        <f t="shared" si="378"/>
        <v>0.14432104369690757</v>
      </c>
      <c r="K1939" s="29">
        <v>45240</v>
      </c>
      <c r="L1939" s="24">
        <v>27007.31</v>
      </c>
      <c r="M1939" s="25">
        <f t="shared" si="377"/>
        <v>2.2182883078692346E-3</v>
      </c>
      <c r="O1939" t="b">
        <f t="shared" si="375"/>
        <v>1</v>
      </c>
      <c r="Q1939" s="25">
        <f t="shared" si="373"/>
        <v>0.10935665692613927</v>
      </c>
      <c r="R1939" s="25">
        <f t="shared" si="370"/>
        <v>6.3320144609131823E-2</v>
      </c>
      <c r="S1939" s="25">
        <f t="shared" si="367"/>
        <v>0.19693154679423652</v>
      </c>
      <c r="T1939" s="25">
        <f t="shared" si="364"/>
        <v>0.16399113510894647</v>
      </c>
      <c r="U1939" s="25">
        <f t="shared" si="379"/>
        <v>0.15353800752788871</v>
      </c>
      <c r="X1939">
        <f t="shared" si="374"/>
        <v>1</v>
      </c>
      <c r="Y1939">
        <f t="shared" si="371"/>
        <v>0</v>
      </c>
      <c r="Z1939">
        <f t="shared" si="368"/>
        <v>0</v>
      </c>
      <c r="AA1939">
        <f t="shared" si="365"/>
        <v>0</v>
      </c>
      <c r="AB1939">
        <f t="shared" si="380"/>
        <v>0</v>
      </c>
    </row>
    <row r="1940" spans="1:28">
      <c r="A1940" s="26">
        <v>45243</v>
      </c>
      <c r="B1940" s="23">
        <v>1421.04</v>
      </c>
      <c r="C1940" s="25">
        <f t="shared" si="376"/>
        <v>-7.74021039300055E-5</v>
      </c>
      <c r="E1940" s="25">
        <f t="shared" si="372"/>
        <v>0.12149886748376204</v>
      </c>
      <c r="F1940" s="25">
        <f t="shared" si="369"/>
        <v>5.0197673397028186E-2</v>
      </c>
      <c r="G1940" s="25">
        <f t="shared" si="366"/>
        <v>0.17678809477592661</v>
      </c>
      <c r="H1940" s="25">
        <f t="shared" si="363"/>
        <v>0.15300040887801369</v>
      </c>
      <c r="I1940" s="25">
        <f t="shared" si="378"/>
        <v>0.14269229654977966</v>
      </c>
      <c r="K1940" s="28">
        <v>45243</v>
      </c>
      <c r="L1940" s="23">
        <v>27105.14</v>
      </c>
      <c r="M1940" s="25">
        <f t="shared" si="377"/>
        <v>3.6092785353625959E-3</v>
      </c>
      <c r="O1940" t="b">
        <f t="shared" si="375"/>
        <v>1</v>
      </c>
      <c r="Q1940" s="25">
        <f t="shared" si="373"/>
        <v>0.11554574207793755</v>
      </c>
      <c r="R1940" s="25">
        <f t="shared" si="370"/>
        <v>6.7547066061545591E-2</v>
      </c>
      <c r="S1940" s="25">
        <f t="shared" si="367"/>
        <v>0.19315700794497115</v>
      </c>
      <c r="T1940" s="25">
        <f t="shared" si="364"/>
        <v>0.1662117783687751</v>
      </c>
      <c r="U1940" s="25">
        <f t="shared" si="379"/>
        <v>0.15348790171851934</v>
      </c>
      <c r="X1940">
        <f t="shared" si="374"/>
        <v>1</v>
      </c>
      <c r="Y1940">
        <f t="shared" si="371"/>
        <v>0</v>
      </c>
      <c r="Z1940">
        <f t="shared" si="368"/>
        <v>0</v>
      </c>
      <c r="AA1940">
        <f t="shared" si="365"/>
        <v>0</v>
      </c>
      <c r="AB1940">
        <f t="shared" si="380"/>
        <v>0</v>
      </c>
    </row>
    <row r="1941" spans="1:28">
      <c r="A1941" s="27">
        <v>45245</v>
      </c>
      <c r="B1941" s="24">
        <v>1437</v>
      </c>
      <c r="C1941" s="25">
        <f t="shared" si="376"/>
        <v>1.1231210944097307E-2</v>
      </c>
      <c r="E1941" s="25">
        <f t="shared" si="372"/>
        <v>0.13952658498869996</v>
      </c>
      <c r="F1941" s="25">
        <f t="shared" si="369"/>
        <v>5.8653615189271369E-2</v>
      </c>
      <c r="G1941" s="25">
        <f t="shared" si="366"/>
        <v>0.17989773339083692</v>
      </c>
      <c r="H1941" s="25">
        <f t="shared" si="363"/>
        <v>0.15495156073574701</v>
      </c>
      <c r="I1941" s="25">
        <f t="shared" si="378"/>
        <v>0.14452670310644211</v>
      </c>
      <c r="K1941" s="29">
        <v>45245</v>
      </c>
      <c r="L1941" s="24">
        <v>27402.22</v>
      </c>
      <c r="M1941" s="25">
        <f t="shared" si="377"/>
        <v>1.0841457370972196E-2</v>
      </c>
      <c r="O1941" t="b">
        <f t="shared" si="375"/>
        <v>1</v>
      </c>
      <c r="Q1941" s="25">
        <f t="shared" si="373"/>
        <v>0.13253045908817196</v>
      </c>
      <c r="R1941" s="25">
        <f t="shared" si="370"/>
        <v>7.5789586912571316E-2</v>
      </c>
      <c r="S1941" s="25">
        <f t="shared" si="367"/>
        <v>0.19505114722066974</v>
      </c>
      <c r="T1941" s="25">
        <f t="shared" si="364"/>
        <v>0.16780993625096641</v>
      </c>
      <c r="U1941" s="25">
        <f t="shared" si="379"/>
        <v>0.15501233924258973</v>
      </c>
      <c r="X1941">
        <f t="shared" si="374"/>
        <v>1</v>
      </c>
      <c r="Y1941">
        <f t="shared" si="371"/>
        <v>0</v>
      </c>
      <c r="Z1941">
        <f t="shared" si="368"/>
        <v>0</v>
      </c>
      <c r="AA1941">
        <f t="shared" si="365"/>
        <v>0</v>
      </c>
      <c r="AB1941">
        <f t="shared" si="380"/>
        <v>0</v>
      </c>
    </row>
    <row r="1942" spans="1:28">
      <c r="A1942" s="26">
        <v>45246</v>
      </c>
      <c r="B1942" s="23">
        <v>1446.62</v>
      </c>
      <c r="C1942" s="25">
        <f t="shared" si="376"/>
        <v>6.6945024356297083E-3</v>
      </c>
      <c r="E1942" s="25">
        <f t="shared" si="372"/>
        <v>0.14930602451755393</v>
      </c>
      <c r="F1942" s="25">
        <f t="shared" si="369"/>
        <v>6.9307935730513526E-2</v>
      </c>
      <c r="G1942" s="25">
        <f t="shared" si="366"/>
        <v>0.18648013336257985</v>
      </c>
      <c r="H1942" s="25">
        <f t="shared" si="363"/>
        <v>0.15508888140347854</v>
      </c>
      <c r="I1942" s="25">
        <f t="shared" si="378"/>
        <v>0.1446536305352879</v>
      </c>
      <c r="K1942" s="28">
        <v>45246</v>
      </c>
      <c r="L1942" s="23">
        <v>27539.17</v>
      </c>
      <c r="M1942" s="25">
        <f t="shared" si="377"/>
        <v>4.9729167582028468E-3</v>
      </c>
      <c r="O1942" t="b">
        <f t="shared" si="375"/>
        <v>1</v>
      </c>
      <c r="Q1942" s="25">
        <f t="shared" si="373"/>
        <v>0.14155312278490984</v>
      </c>
      <c r="R1942" s="25">
        <f t="shared" si="370"/>
        <v>8.3831552675979193E-2</v>
      </c>
      <c r="S1942" s="25">
        <f t="shared" si="367"/>
        <v>0.2012366440912432</v>
      </c>
      <c r="T1942" s="25">
        <f t="shared" si="364"/>
        <v>0.16766847014331843</v>
      </c>
      <c r="U1942" s="25">
        <f t="shared" si="379"/>
        <v>0.15463929382218278</v>
      </c>
      <c r="X1942">
        <f t="shared" si="374"/>
        <v>1</v>
      </c>
      <c r="Y1942">
        <f t="shared" si="371"/>
        <v>0</v>
      </c>
      <c r="Z1942">
        <f t="shared" si="368"/>
        <v>0</v>
      </c>
      <c r="AA1942">
        <f t="shared" si="365"/>
        <v>0</v>
      </c>
      <c r="AB1942">
        <f t="shared" si="380"/>
        <v>0</v>
      </c>
    </row>
    <row r="1943" spans="1:28">
      <c r="A1943" s="27">
        <v>45247</v>
      </c>
      <c r="B1943" s="24">
        <v>1444.66</v>
      </c>
      <c r="C1943" s="25">
        <f t="shared" si="376"/>
        <v>-1.3548824155616603E-3</v>
      </c>
      <c r="E1943" s="25">
        <f t="shared" si="372"/>
        <v>0.15155476552972047</v>
      </c>
      <c r="F1943" s="25">
        <f t="shared" si="369"/>
        <v>7.9892370444468952E-2</v>
      </c>
      <c r="G1943" s="25">
        <f t="shared" si="366"/>
        <v>0.18194548687877976</v>
      </c>
      <c r="H1943" s="25">
        <f t="shared" si="363"/>
        <v>0.1564088793813907</v>
      </c>
      <c r="I1943" s="25">
        <f t="shared" si="378"/>
        <v>0.14740191681752246</v>
      </c>
      <c r="K1943" s="29">
        <v>45247</v>
      </c>
      <c r="L1943" s="24">
        <v>27551.74</v>
      </c>
      <c r="M1943" s="25">
        <f t="shared" si="377"/>
        <v>4.5623252832682602E-4</v>
      </c>
      <c r="O1943" t="b">
        <f t="shared" si="375"/>
        <v>1</v>
      </c>
      <c r="Q1943" s="25">
        <f t="shared" si="373"/>
        <v>0.14923512908578385</v>
      </c>
      <c r="R1943" s="25">
        <f t="shared" si="370"/>
        <v>9.5706985838692082E-2</v>
      </c>
      <c r="S1943" s="25">
        <f t="shared" si="367"/>
        <v>0.19826058077140862</v>
      </c>
      <c r="T1943" s="25">
        <f t="shared" si="364"/>
        <v>0.16946779456843819</v>
      </c>
      <c r="U1943" s="25">
        <f t="shared" si="379"/>
        <v>0.15711377780455926</v>
      </c>
      <c r="X1943">
        <f t="shared" si="374"/>
        <v>1</v>
      </c>
      <c r="Y1943">
        <f t="shared" si="371"/>
        <v>0</v>
      </c>
      <c r="Z1943">
        <f t="shared" si="368"/>
        <v>0</v>
      </c>
      <c r="AA1943">
        <f t="shared" si="365"/>
        <v>0</v>
      </c>
      <c r="AB1943">
        <f t="shared" si="380"/>
        <v>0</v>
      </c>
    </row>
    <row r="1944" spans="1:28">
      <c r="A1944" s="26">
        <v>45250</v>
      </c>
      <c r="B1944" s="23">
        <v>1443.5</v>
      </c>
      <c r="C1944" s="25">
        <f t="shared" si="376"/>
        <v>-8.0295709717170946E-4</v>
      </c>
      <c r="E1944" s="25">
        <f t="shared" si="372"/>
        <v>0.14634456250694883</v>
      </c>
      <c r="F1944" s="25">
        <f t="shared" si="369"/>
        <v>7.3770412588860967E-2</v>
      </c>
      <c r="G1944" s="25">
        <f t="shared" si="366"/>
        <v>0.17885996598135412</v>
      </c>
      <c r="H1944" s="25">
        <f t="shared" ref="H1944:H2007" si="381">((B1944/B963)^(1/4))-1</f>
        <v>0.15746476597375247</v>
      </c>
      <c r="I1944" s="25">
        <f t="shared" si="378"/>
        <v>0.14657118569930661</v>
      </c>
      <c r="K1944" s="28">
        <v>45250</v>
      </c>
      <c r="L1944" s="23">
        <v>27510.09</v>
      </c>
      <c r="M1944" s="25">
        <f t="shared" si="377"/>
        <v>-1.5139899578664213E-3</v>
      </c>
      <c r="O1944" t="b">
        <f t="shared" si="375"/>
        <v>1</v>
      </c>
      <c r="Q1944" s="25">
        <f t="shared" si="373"/>
        <v>0.14337150100787599</v>
      </c>
      <c r="R1944" s="25">
        <f t="shared" si="370"/>
        <v>9.0103163907065964E-2</v>
      </c>
      <c r="S1944" s="25">
        <f t="shared" si="367"/>
        <v>0.19478765809991283</v>
      </c>
      <c r="T1944" s="25">
        <f t="shared" ref="T1944:T2007" si="382">((L1944/L963)^(1/4))-1</f>
        <v>0.16949151089846271</v>
      </c>
      <c r="U1944" s="25">
        <f t="shared" si="379"/>
        <v>0.15727667810369539</v>
      </c>
      <c r="X1944">
        <f t="shared" si="374"/>
        <v>1</v>
      </c>
      <c r="Y1944">
        <f t="shared" si="371"/>
        <v>0</v>
      </c>
      <c r="Z1944">
        <f t="shared" si="368"/>
        <v>0</v>
      </c>
      <c r="AA1944">
        <f t="shared" ref="AA1944:AA2007" si="383">IF(H1944&gt;T1944,1,0)</f>
        <v>0</v>
      </c>
      <c r="AB1944">
        <f t="shared" si="380"/>
        <v>0</v>
      </c>
    </row>
    <row r="1945" spans="1:28">
      <c r="A1945" s="27">
        <v>45251</v>
      </c>
      <c r="B1945" s="24">
        <v>1449.01</v>
      </c>
      <c r="C1945" s="25">
        <f t="shared" si="376"/>
        <v>3.8171111880845104E-3</v>
      </c>
      <c r="E1945" s="25">
        <f t="shared" si="372"/>
        <v>0.1465319428399614</v>
      </c>
      <c r="F1945" s="25">
        <f t="shared" si="369"/>
        <v>7.6122992496424846E-2</v>
      </c>
      <c r="G1945" s="25">
        <f t="shared" si="366"/>
        <v>0.17555242380179292</v>
      </c>
      <c r="H1945" s="25">
        <f t="shared" si="381"/>
        <v>0.16037184979395347</v>
      </c>
      <c r="I1945" s="25">
        <f t="shared" si="378"/>
        <v>0.1492588539317885</v>
      </c>
      <c r="K1945" s="29">
        <v>45251</v>
      </c>
      <c r="L1945" s="24">
        <v>27594.87</v>
      </c>
      <c r="M1945" s="25">
        <f t="shared" si="377"/>
        <v>3.0723101793919969E-3</v>
      </c>
      <c r="O1945" t="b">
        <f t="shared" si="375"/>
        <v>1</v>
      </c>
      <c r="Q1945" s="25">
        <f t="shared" si="373"/>
        <v>0.14475695112804421</v>
      </c>
      <c r="R1945" s="25">
        <f t="shared" si="370"/>
        <v>9.3970282969812358E-2</v>
      </c>
      <c r="S1945" s="25">
        <f t="shared" si="367"/>
        <v>0.19237224872401404</v>
      </c>
      <c r="T1945" s="25">
        <f t="shared" si="382"/>
        <v>0.1720336965728082</v>
      </c>
      <c r="U1945" s="25">
        <f t="shared" si="379"/>
        <v>0.15958418363477911</v>
      </c>
      <c r="X1945">
        <f t="shared" si="374"/>
        <v>1</v>
      </c>
      <c r="Y1945">
        <f t="shared" si="371"/>
        <v>0</v>
      </c>
      <c r="Z1945">
        <f t="shared" si="368"/>
        <v>0</v>
      </c>
      <c r="AA1945">
        <f t="shared" si="383"/>
        <v>0</v>
      </c>
      <c r="AB1945">
        <f t="shared" si="380"/>
        <v>0</v>
      </c>
    </row>
    <row r="1946" spans="1:28">
      <c r="A1946" s="26">
        <v>45252</v>
      </c>
      <c r="B1946" s="23">
        <v>1449.1</v>
      </c>
      <c r="C1946" s="25">
        <f t="shared" si="376"/>
        <v>6.2111372592265162E-5</v>
      </c>
      <c r="E1946" s="25">
        <f t="shared" si="372"/>
        <v>0.13424494556156508</v>
      </c>
      <c r="F1946" s="25">
        <f t="shared" si="369"/>
        <v>7.4282092658261467E-2</v>
      </c>
      <c r="G1946" s="25">
        <f t="shared" si="366"/>
        <v>0.18250222391760551</v>
      </c>
      <c r="H1946" s="25">
        <f t="shared" si="381"/>
        <v>0.15799582784959254</v>
      </c>
      <c r="I1946" s="25">
        <f t="shared" si="378"/>
        <v>0.14777787174843082</v>
      </c>
      <c r="K1946" s="28">
        <v>45252</v>
      </c>
      <c r="L1946" s="23">
        <v>27595.66</v>
      </c>
      <c r="M1946" s="25">
        <f t="shared" si="377"/>
        <v>2.862769000635872E-5</v>
      </c>
      <c r="O1946" t="b">
        <f t="shared" si="375"/>
        <v>1</v>
      </c>
      <c r="Q1946" s="25">
        <f t="shared" si="373"/>
        <v>0.13436859376599308</v>
      </c>
      <c r="R1946" s="25">
        <f t="shared" si="370"/>
        <v>9.0219338824895745E-2</v>
      </c>
      <c r="S1946" s="25">
        <f t="shared" si="367"/>
        <v>0.1983165547172836</v>
      </c>
      <c r="T1946" s="25">
        <f t="shared" si="382"/>
        <v>0.17087428473076249</v>
      </c>
      <c r="U1946" s="25">
        <f t="shared" si="379"/>
        <v>0.15792531107413077</v>
      </c>
      <c r="X1946">
        <f t="shared" si="374"/>
        <v>0</v>
      </c>
      <c r="Y1946">
        <f t="shared" si="371"/>
        <v>0</v>
      </c>
      <c r="Z1946">
        <f t="shared" si="368"/>
        <v>0</v>
      </c>
      <c r="AA1946">
        <f t="shared" si="383"/>
        <v>0</v>
      </c>
      <c r="AB1946">
        <f t="shared" si="380"/>
        <v>0</v>
      </c>
    </row>
    <row r="1947" spans="1:28">
      <c r="A1947" s="27">
        <v>45253</v>
      </c>
      <c r="B1947" s="24">
        <v>1449.49</v>
      </c>
      <c r="C1947" s="25">
        <f t="shared" si="376"/>
        <v>2.6913256504043891E-4</v>
      </c>
      <c r="E1947" s="25">
        <f t="shared" si="372"/>
        <v>0.13213102974256441</v>
      </c>
      <c r="F1947" s="25">
        <f t="shared" si="369"/>
        <v>9.0114705769999137E-2</v>
      </c>
      <c r="G1947" s="25">
        <f t="shared" si="366"/>
        <v>0.17787842080204497</v>
      </c>
      <c r="H1947" s="25">
        <f t="shared" si="381"/>
        <v>0.15888708162229603</v>
      </c>
      <c r="I1947" s="25">
        <f t="shared" si="378"/>
        <v>0.14641540980195988</v>
      </c>
      <c r="K1947" s="29">
        <v>45253</v>
      </c>
      <c r="L1947" s="24">
        <v>27614.05</v>
      </c>
      <c r="M1947" s="25">
        <f t="shared" si="377"/>
        <v>6.6596533286495166E-4</v>
      </c>
      <c r="O1947" t="b">
        <f t="shared" si="375"/>
        <v>1</v>
      </c>
      <c r="Q1947" s="25">
        <f t="shared" si="373"/>
        <v>0.13177391940869487</v>
      </c>
      <c r="R1947" s="25">
        <f t="shared" si="370"/>
        <v>0.10689936153255308</v>
      </c>
      <c r="S1947" s="25">
        <f t="shared" si="367"/>
        <v>0.19486177962890627</v>
      </c>
      <c r="T1947" s="25">
        <f t="shared" si="382"/>
        <v>0.17180284597637963</v>
      </c>
      <c r="U1947" s="25">
        <f t="shared" si="379"/>
        <v>0.15702267873235876</v>
      </c>
      <c r="X1947">
        <f t="shared" si="374"/>
        <v>1</v>
      </c>
      <c r="Y1947">
        <f t="shared" si="371"/>
        <v>0</v>
      </c>
      <c r="Z1947">
        <f t="shared" si="368"/>
        <v>0</v>
      </c>
      <c r="AA1947">
        <f t="shared" si="383"/>
        <v>0</v>
      </c>
      <c r="AB1947">
        <f t="shared" si="380"/>
        <v>0</v>
      </c>
    </row>
    <row r="1948" spans="1:28">
      <c r="A1948" s="26">
        <v>45254</v>
      </c>
      <c r="B1948" s="23">
        <v>1447.99</v>
      </c>
      <c r="C1948" s="25">
        <f t="shared" si="376"/>
        <v>-1.0348467391979247E-3</v>
      </c>
      <c r="E1948" s="25">
        <f t="shared" si="372"/>
        <v>0.12948618943985513</v>
      </c>
      <c r="F1948" s="25">
        <f t="shared" si="369"/>
        <v>9.0821153519445863E-2</v>
      </c>
      <c r="G1948" s="25">
        <f t="shared" si="366"/>
        <v>0.17565009084218985</v>
      </c>
      <c r="H1948" s="25">
        <f t="shared" si="381"/>
        <v>0.16096733105213379</v>
      </c>
      <c r="I1948" s="25">
        <f t="shared" si="378"/>
        <v>0.14666720592962434</v>
      </c>
      <c r="K1948" s="28">
        <v>45254</v>
      </c>
      <c r="L1948" s="23">
        <v>27621.9</v>
      </c>
      <c r="M1948" s="25">
        <f t="shared" si="377"/>
        <v>2.8419478746944207E-4</v>
      </c>
      <c r="O1948" t="b">
        <f t="shared" si="375"/>
        <v>1</v>
      </c>
      <c r="Q1948" s="25">
        <f t="shared" si="373"/>
        <v>0.12799401167038216</v>
      </c>
      <c r="R1948" s="25">
        <f t="shared" si="370"/>
        <v>0.10897289523447196</v>
      </c>
      <c r="S1948" s="25">
        <f t="shared" si="367"/>
        <v>0.19330099681462576</v>
      </c>
      <c r="T1948" s="25">
        <f t="shared" si="382"/>
        <v>0.17454908464113439</v>
      </c>
      <c r="U1948" s="25">
        <f t="shared" si="379"/>
        <v>0.15684741130682811</v>
      </c>
      <c r="X1948">
        <f t="shared" si="374"/>
        <v>1</v>
      </c>
      <c r="Y1948">
        <f t="shared" si="371"/>
        <v>0</v>
      </c>
      <c r="Z1948">
        <f t="shared" si="368"/>
        <v>0</v>
      </c>
      <c r="AA1948">
        <f t="shared" si="383"/>
        <v>0</v>
      </c>
      <c r="AB1948">
        <f t="shared" si="380"/>
        <v>0</v>
      </c>
    </row>
    <row r="1949" spans="1:28">
      <c r="A1949" s="27">
        <v>45258</v>
      </c>
      <c r="B1949" s="24">
        <v>1453.66</v>
      </c>
      <c r="C1949" s="25">
        <f t="shared" si="376"/>
        <v>3.9157728989841593E-3</v>
      </c>
      <c r="E1949" s="25">
        <f t="shared" si="372"/>
        <v>0.13167564537726162</v>
      </c>
      <c r="F1949" s="25">
        <f t="shared" si="369"/>
        <v>9.224593090736577E-2</v>
      </c>
      <c r="G1949" s="25">
        <f t="shared" si="366"/>
        <v>0.17275545155807404</v>
      </c>
      <c r="H1949" s="25">
        <f t="shared" si="381"/>
        <v>0.16224803323329096</v>
      </c>
      <c r="I1949" s="25">
        <f t="shared" si="378"/>
        <v>0.14526506995702215</v>
      </c>
      <c r="K1949" s="29">
        <v>45258</v>
      </c>
      <c r="L1949" s="24">
        <v>27775.75</v>
      </c>
      <c r="M1949" s="25">
        <f t="shared" si="377"/>
        <v>5.5390043473173018E-3</v>
      </c>
      <c r="O1949" t="b">
        <f t="shared" si="375"/>
        <v>1</v>
      </c>
      <c r="Q1949" s="25">
        <f t="shared" si="373"/>
        <v>0.13226541133653447</v>
      </c>
      <c r="R1949" s="25">
        <f t="shared" si="370"/>
        <v>0.11236313018901201</v>
      </c>
      <c r="S1949" s="25">
        <f t="shared" si="367"/>
        <v>0.19122456181863057</v>
      </c>
      <c r="T1949" s="25">
        <f t="shared" si="382"/>
        <v>0.17611981622856332</v>
      </c>
      <c r="U1949" s="25">
        <f t="shared" si="379"/>
        <v>0.15586516918485649</v>
      </c>
      <c r="X1949">
        <f t="shared" si="374"/>
        <v>0</v>
      </c>
      <c r="Y1949">
        <f t="shared" si="371"/>
        <v>0</v>
      </c>
      <c r="Z1949">
        <f t="shared" si="368"/>
        <v>0</v>
      </c>
      <c r="AA1949">
        <f t="shared" si="383"/>
        <v>0</v>
      </c>
      <c r="AB1949">
        <f t="shared" si="380"/>
        <v>0</v>
      </c>
    </row>
    <row r="1950" spans="1:28">
      <c r="A1950" s="26">
        <v>45259</v>
      </c>
      <c r="B1950" s="23">
        <v>1468.2</v>
      </c>
      <c r="C1950" s="25">
        <f t="shared" si="376"/>
        <v>1.000233892381985E-2</v>
      </c>
      <c r="E1950" s="25">
        <f t="shared" si="372"/>
        <v>0.13523544421247968</v>
      </c>
      <c r="F1950" s="25">
        <f t="shared" si="369"/>
        <v>9.6094812046482181E-2</v>
      </c>
      <c r="G1950" s="25">
        <f t="shared" si="366"/>
        <v>0.17591802006186441</v>
      </c>
      <c r="H1950" s="25">
        <f t="shared" si="381"/>
        <v>0.16693098887267865</v>
      </c>
      <c r="I1950" s="25">
        <f t="shared" si="378"/>
        <v>0.14688867569259001</v>
      </c>
      <c r="K1950" s="28">
        <v>45259</v>
      </c>
      <c r="L1950" s="23">
        <v>28029.82</v>
      </c>
      <c r="M1950" s="25">
        <f t="shared" si="377"/>
        <v>9.0642751184274364E-3</v>
      </c>
      <c r="O1950" t="b">
        <f t="shared" si="375"/>
        <v>1</v>
      </c>
      <c r="Q1950" s="25">
        <f t="shared" si="373"/>
        <v>0.1330449029023193</v>
      </c>
      <c r="R1950" s="25">
        <f t="shared" si="370"/>
        <v>0.11227386177780208</v>
      </c>
      <c r="S1950" s="25">
        <f t="shared" si="367"/>
        <v>0.19400069201815739</v>
      </c>
      <c r="T1950" s="25">
        <f t="shared" si="382"/>
        <v>0.181119588994054</v>
      </c>
      <c r="U1950" s="25">
        <f t="shared" si="379"/>
        <v>0.15727780034722305</v>
      </c>
      <c r="X1950">
        <f t="shared" si="374"/>
        <v>1</v>
      </c>
      <c r="Y1950">
        <f t="shared" si="371"/>
        <v>0</v>
      </c>
      <c r="Z1950">
        <f t="shared" si="368"/>
        <v>0</v>
      </c>
      <c r="AA1950">
        <f t="shared" si="383"/>
        <v>0</v>
      </c>
      <c r="AB1950">
        <f t="shared" si="380"/>
        <v>0</v>
      </c>
    </row>
    <row r="1951" spans="1:28">
      <c r="A1951" s="27">
        <v>45260</v>
      </c>
      <c r="B1951" s="24">
        <v>1475.53</v>
      </c>
      <c r="C1951" s="25">
        <f t="shared" si="376"/>
        <v>4.9925078327202879E-3</v>
      </c>
      <c r="E1951" s="25">
        <f t="shared" si="372"/>
        <v>0.13523265833692366</v>
      </c>
      <c r="F1951" s="25">
        <f t="shared" si="369"/>
        <v>9.2109921766231118E-2</v>
      </c>
      <c r="G1951" s="25">
        <f t="shared" si="366"/>
        <v>0.17690794870772897</v>
      </c>
      <c r="H1951" s="25">
        <f t="shared" si="381"/>
        <v>0.1679756154440557</v>
      </c>
      <c r="I1951" s="25">
        <f t="shared" si="378"/>
        <v>0.14698556106034544</v>
      </c>
      <c r="K1951" s="29">
        <v>45260</v>
      </c>
      <c r="L1951" s="24">
        <v>28161.16</v>
      </c>
      <c r="M1951" s="25">
        <f t="shared" si="377"/>
        <v>4.6638703803394514E-3</v>
      </c>
      <c r="O1951" t="b">
        <f t="shared" si="375"/>
        <v>1</v>
      </c>
      <c r="Q1951" s="25">
        <f t="shared" si="373"/>
        <v>0.13424044665322232</v>
      </c>
      <c r="R1951" s="25">
        <f t="shared" si="370"/>
        <v>0.10780942701880925</v>
      </c>
      <c r="S1951" s="25">
        <f t="shared" si="367"/>
        <v>0.19456484856212963</v>
      </c>
      <c r="T1951" s="25">
        <f t="shared" si="382"/>
        <v>0.18124567521165469</v>
      </c>
      <c r="U1951" s="25">
        <f t="shared" si="379"/>
        <v>0.15790858050624301</v>
      </c>
      <c r="X1951">
        <f t="shared" si="374"/>
        <v>1</v>
      </c>
      <c r="Y1951">
        <f t="shared" si="371"/>
        <v>0</v>
      </c>
      <c r="Z1951">
        <f t="shared" si="368"/>
        <v>0</v>
      </c>
      <c r="AA1951">
        <f t="shared" si="383"/>
        <v>0</v>
      </c>
      <c r="AB1951">
        <f t="shared" si="380"/>
        <v>0</v>
      </c>
    </row>
    <row r="1952" spans="1:28">
      <c r="A1952" s="26">
        <v>45261</v>
      </c>
      <c r="B1952" s="23">
        <v>1485.23</v>
      </c>
      <c r="C1952" s="25">
        <f t="shared" si="376"/>
        <v>6.5739090360752038E-3</v>
      </c>
      <c r="E1952" s="25">
        <f t="shared" si="372"/>
        <v>0.14018670064946037</v>
      </c>
      <c r="F1952" s="25">
        <f t="shared" si="369"/>
        <v>9.9446060127912128E-2</v>
      </c>
      <c r="G1952" s="25">
        <f t="shared" si="366"/>
        <v>0.17550346806759198</v>
      </c>
      <c r="H1952" s="25">
        <f t="shared" si="381"/>
        <v>0.16815582965120268</v>
      </c>
      <c r="I1952" s="25">
        <f t="shared" si="378"/>
        <v>0.14865040930488016</v>
      </c>
      <c r="K1952" s="28">
        <v>45261</v>
      </c>
      <c r="L1952" s="23">
        <v>28360.55</v>
      </c>
      <c r="M1952" s="25">
        <f t="shared" si="377"/>
        <v>7.0305406629984054E-3</v>
      </c>
      <c r="O1952" t="b">
        <f t="shared" si="375"/>
        <v>1</v>
      </c>
      <c r="Q1952" s="25">
        <f t="shared" si="373"/>
        <v>0.14516640931879277</v>
      </c>
      <c r="R1952" s="25">
        <f t="shared" si="370"/>
        <v>0.11611660956674563</v>
      </c>
      <c r="S1952" s="25">
        <f t="shared" si="367"/>
        <v>0.19426917710833758</v>
      </c>
      <c r="T1952" s="25">
        <f t="shared" si="382"/>
        <v>0.18165271033709196</v>
      </c>
      <c r="U1952" s="25">
        <f t="shared" si="379"/>
        <v>0.15980898324957193</v>
      </c>
      <c r="X1952">
        <f t="shared" si="374"/>
        <v>0</v>
      </c>
      <c r="Y1952">
        <f t="shared" si="371"/>
        <v>0</v>
      </c>
      <c r="Z1952">
        <f t="shared" si="368"/>
        <v>0</v>
      </c>
      <c r="AA1952">
        <f t="shared" si="383"/>
        <v>0</v>
      </c>
      <c r="AB1952">
        <f t="shared" si="380"/>
        <v>0</v>
      </c>
    </row>
    <row r="1953" spans="1:28">
      <c r="A1953" s="27">
        <v>45264</v>
      </c>
      <c r="B1953" s="24">
        <v>1509.14</v>
      </c>
      <c r="C1953" s="25">
        <f t="shared" si="376"/>
        <v>1.609851672804891E-2</v>
      </c>
      <c r="E1953" s="25">
        <f t="shared" si="372"/>
        <v>0.15878220140515231</v>
      </c>
      <c r="F1953" s="25">
        <f t="shared" si="369"/>
        <v>0.1177895911168938</v>
      </c>
      <c r="G1953" s="25">
        <f t="shared" si="366"/>
        <v>0.17890115359366843</v>
      </c>
      <c r="H1953" s="25">
        <f t="shared" si="381"/>
        <v>0.1706665515753274</v>
      </c>
      <c r="I1953" s="25">
        <f t="shared" si="378"/>
        <v>0.15542799957246367</v>
      </c>
      <c r="K1953" s="29">
        <v>45264</v>
      </c>
      <c r="L1953" s="24">
        <v>28882.17</v>
      </c>
      <c r="M1953" s="25">
        <f t="shared" si="377"/>
        <v>1.8060277326807473E-2</v>
      </c>
      <c r="O1953" t="b">
        <f t="shared" si="375"/>
        <v>1</v>
      </c>
      <c r="Q1953" s="25">
        <f t="shared" si="373"/>
        <v>0.16595999782004456</v>
      </c>
      <c r="R1953" s="25">
        <f t="shared" si="370"/>
        <v>0.13546396287400553</v>
      </c>
      <c r="S1953" s="25">
        <f t="shared" si="367"/>
        <v>0.19823161513457843</v>
      </c>
      <c r="T1953" s="25">
        <f t="shared" si="382"/>
        <v>0.18423430181576683</v>
      </c>
      <c r="U1953" s="25">
        <f t="shared" si="379"/>
        <v>0.16627890027744718</v>
      </c>
      <c r="X1953">
        <f t="shared" si="374"/>
        <v>0</v>
      </c>
      <c r="Y1953">
        <f t="shared" si="371"/>
        <v>0</v>
      </c>
      <c r="Z1953">
        <f t="shared" si="368"/>
        <v>0</v>
      </c>
      <c r="AA1953">
        <f t="shared" si="383"/>
        <v>0</v>
      </c>
      <c r="AB1953">
        <f t="shared" si="380"/>
        <v>0</v>
      </c>
    </row>
    <row r="1954" spans="1:28">
      <c r="A1954" s="26">
        <v>45265</v>
      </c>
      <c r="B1954" s="23">
        <v>1516.29</v>
      </c>
      <c r="C1954" s="25">
        <f t="shared" si="376"/>
        <v>4.7377976860992774E-3</v>
      </c>
      <c r="E1954" s="25">
        <f t="shared" si="372"/>
        <v>0.17360815486187975</v>
      </c>
      <c r="F1954" s="25">
        <f t="shared" si="369"/>
        <v>0.11277713668719547</v>
      </c>
      <c r="G1954" s="25">
        <f t="shared" si="366"/>
        <v>0.18070020208411819</v>
      </c>
      <c r="H1954" s="25">
        <f t="shared" si="381"/>
        <v>0.17292751480360291</v>
      </c>
      <c r="I1954" s="25">
        <f t="shared" si="378"/>
        <v>0.16027187253247344</v>
      </c>
      <c r="K1954" s="28">
        <v>45265</v>
      </c>
      <c r="L1954" s="23">
        <v>29101.4</v>
      </c>
      <c r="M1954" s="25">
        <f t="shared" si="377"/>
        <v>7.5333145484410783E-3</v>
      </c>
      <c r="O1954" t="b">
        <f t="shared" si="375"/>
        <v>1</v>
      </c>
      <c r="Q1954" s="25">
        <f t="shared" si="373"/>
        <v>0.17808177032477879</v>
      </c>
      <c r="R1954" s="25">
        <f t="shared" si="370"/>
        <v>0.13143128492086786</v>
      </c>
      <c r="S1954" s="25">
        <f t="shared" si="367"/>
        <v>0.20059027998121803</v>
      </c>
      <c r="T1954" s="25">
        <f t="shared" si="382"/>
        <v>0.18740429473445341</v>
      </c>
      <c r="U1954" s="25">
        <f t="shared" si="379"/>
        <v>0.17186475784505006</v>
      </c>
      <c r="X1954">
        <f t="shared" si="374"/>
        <v>0</v>
      </c>
      <c r="Y1954">
        <f t="shared" si="371"/>
        <v>0</v>
      </c>
      <c r="Z1954">
        <f t="shared" si="368"/>
        <v>0</v>
      </c>
      <c r="AA1954">
        <f t="shared" si="383"/>
        <v>0</v>
      </c>
      <c r="AB1954">
        <f t="shared" si="380"/>
        <v>0</v>
      </c>
    </row>
    <row r="1955" spans="1:28">
      <c r="A1955" s="27">
        <v>45266</v>
      </c>
      <c r="B1955" s="24">
        <v>1518.39</v>
      </c>
      <c r="C1955" s="25">
        <f t="shared" si="376"/>
        <v>1.3849593415508489E-3</v>
      </c>
      <c r="E1955" s="25">
        <f t="shared" si="372"/>
        <v>0.18261120154525567</v>
      </c>
      <c r="F1955" s="25">
        <f t="shared" si="369"/>
        <v>0.10405804837097565</v>
      </c>
      <c r="G1955" s="25">
        <f t="shared" si="366"/>
        <v>0.1784543835270862</v>
      </c>
      <c r="H1955" s="25">
        <f t="shared" si="381"/>
        <v>0.17088568213304423</v>
      </c>
      <c r="I1955" s="25">
        <f t="shared" si="378"/>
        <v>0.15983808153614465</v>
      </c>
      <c r="K1955" s="29">
        <v>45266</v>
      </c>
      <c r="L1955" s="24">
        <v>29244.57</v>
      </c>
      <c r="M1955" s="25">
        <f t="shared" si="377"/>
        <v>4.8956096807030586E-3</v>
      </c>
      <c r="O1955" t="b">
        <f t="shared" si="375"/>
        <v>1</v>
      </c>
      <c r="Q1955" s="25">
        <f t="shared" si="373"/>
        <v>0.18841718140442132</v>
      </c>
      <c r="R1955" s="25">
        <f t="shared" si="370"/>
        <v>0.12519262427314115</v>
      </c>
      <c r="S1955" s="25">
        <f t="shared" si="367"/>
        <v>0.19922861882996634</v>
      </c>
      <c r="T1955" s="25">
        <f t="shared" si="382"/>
        <v>0.18648695561170259</v>
      </c>
      <c r="U1955" s="25">
        <f t="shared" si="379"/>
        <v>0.17150543509150196</v>
      </c>
      <c r="X1955">
        <f t="shared" si="374"/>
        <v>0</v>
      </c>
      <c r="Y1955">
        <f t="shared" si="371"/>
        <v>0</v>
      </c>
      <c r="Z1955">
        <f t="shared" si="368"/>
        <v>0</v>
      </c>
      <c r="AA1955">
        <f t="shared" si="383"/>
        <v>0</v>
      </c>
      <c r="AB1955">
        <f t="shared" si="380"/>
        <v>0</v>
      </c>
    </row>
    <row r="1956" spans="1:28">
      <c r="A1956" s="26">
        <v>45267</v>
      </c>
      <c r="B1956" s="23">
        <v>1514.63</v>
      </c>
      <c r="C1956" s="25">
        <f t="shared" si="376"/>
        <v>-2.4763071411165712E-3</v>
      </c>
      <c r="E1956" s="25">
        <f t="shared" si="372"/>
        <v>0.17511560065791509</v>
      </c>
      <c r="F1956" s="25">
        <f t="shared" si="369"/>
        <v>0.10126334247678503</v>
      </c>
      <c r="G1956" s="25">
        <f t="shared" ref="G1956:G2019" si="384">((B1956/B1219)^(1/3))-1</f>
        <v>0.1802649061505619</v>
      </c>
      <c r="H1956" s="25">
        <f t="shared" si="381"/>
        <v>0.16898618006706578</v>
      </c>
      <c r="I1956" s="25">
        <f t="shared" si="378"/>
        <v>0.16256655830703015</v>
      </c>
      <c r="K1956" s="28">
        <v>45267</v>
      </c>
      <c r="L1956" s="23">
        <v>29281.91</v>
      </c>
      <c r="M1956" s="25">
        <f t="shared" si="377"/>
        <v>1.2751900405403931E-3</v>
      </c>
      <c r="O1956" t="b">
        <f t="shared" si="375"/>
        <v>1</v>
      </c>
      <c r="Q1956" s="25">
        <f t="shared" si="373"/>
        <v>0.18626221328802495</v>
      </c>
      <c r="R1956" s="25">
        <f t="shared" si="370"/>
        <v>0.12392387255734483</v>
      </c>
      <c r="S1956" s="25">
        <f t="shared" ref="S1956:S2019" si="385">((L1956/L1219)^(1/3))-1</f>
        <v>0.20116859077260796</v>
      </c>
      <c r="T1956" s="25">
        <f t="shared" si="382"/>
        <v>0.18586528138469993</v>
      </c>
      <c r="U1956" s="25">
        <f t="shared" si="379"/>
        <v>0.17634040336866419</v>
      </c>
      <c r="X1956">
        <f t="shared" si="374"/>
        <v>0</v>
      </c>
      <c r="Y1956">
        <f t="shared" si="371"/>
        <v>0</v>
      </c>
      <c r="Z1956">
        <f t="shared" ref="Z1956:Z2019" si="386">IF(G1956&gt;S1956,1,0)</f>
        <v>0</v>
      </c>
      <c r="AA1956">
        <f t="shared" si="383"/>
        <v>0</v>
      </c>
      <c r="AB1956">
        <f t="shared" si="380"/>
        <v>0</v>
      </c>
    </row>
    <row r="1957" spans="1:28">
      <c r="A1957" s="27">
        <v>45268</v>
      </c>
      <c r="B1957" s="24">
        <v>1518.55</v>
      </c>
      <c r="C1957" s="25">
        <f t="shared" si="376"/>
        <v>2.5880908208604381E-3</v>
      </c>
      <c r="E1957" s="25">
        <f t="shared" si="372"/>
        <v>0.18651550193774225</v>
      </c>
      <c r="F1957" s="25">
        <f t="shared" si="369"/>
        <v>0.10322206994988958</v>
      </c>
      <c r="G1957" s="25">
        <f t="shared" si="384"/>
        <v>0.18069724159600864</v>
      </c>
      <c r="H1957" s="25">
        <f t="shared" si="381"/>
        <v>0.16963727264869943</v>
      </c>
      <c r="I1957" s="25">
        <f t="shared" si="378"/>
        <v>0.16177666386382805</v>
      </c>
      <c r="K1957" s="29">
        <v>45268</v>
      </c>
      <c r="L1957" s="24">
        <v>29281.34</v>
      </c>
      <c r="M1957" s="25">
        <f t="shared" si="377"/>
        <v>-1.9466322237975069E-5</v>
      </c>
      <c r="O1957" t="b">
        <f t="shared" si="375"/>
        <v>1</v>
      </c>
      <c r="Q1957" s="25">
        <f t="shared" si="373"/>
        <v>0.19361623896016655</v>
      </c>
      <c r="R1957" s="25">
        <f t="shared" si="370"/>
        <v>0.12285986734108034</v>
      </c>
      <c r="S1957" s="25">
        <f t="shared" si="385"/>
        <v>0.20008144776518533</v>
      </c>
      <c r="T1957" s="25">
        <f t="shared" si="382"/>
        <v>0.18501786425320543</v>
      </c>
      <c r="U1957" s="25">
        <f t="shared" si="379"/>
        <v>0.17431820195049186</v>
      </c>
      <c r="X1957">
        <f t="shared" si="374"/>
        <v>0</v>
      </c>
      <c r="Y1957">
        <f t="shared" si="371"/>
        <v>0</v>
      </c>
      <c r="Z1957">
        <f t="shared" si="386"/>
        <v>0</v>
      </c>
      <c r="AA1957">
        <f t="shared" si="383"/>
        <v>0</v>
      </c>
      <c r="AB1957">
        <f t="shared" si="380"/>
        <v>0</v>
      </c>
    </row>
    <row r="1958" spans="1:28">
      <c r="A1958" s="26">
        <v>45271</v>
      </c>
      <c r="B1958" s="23">
        <v>1527.06</v>
      </c>
      <c r="C1958" s="25">
        <f t="shared" si="376"/>
        <v>5.6040301603503288E-3</v>
      </c>
      <c r="E1958" s="25">
        <f t="shared" si="372"/>
        <v>0.19380838838291048</v>
      </c>
      <c r="F1958" s="25">
        <f t="shared" si="369"/>
        <v>0.10862609029913495</v>
      </c>
      <c r="G1958" s="25">
        <f t="shared" si="384"/>
        <v>0.18076524041769093</v>
      </c>
      <c r="H1958" s="25">
        <f t="shared" si="381"/>
        <v>0.17032169658531204</v>
      </c>
      <c r="I1958" s="25">
        <f t="shared" si="378"/>
        <v>0.15881124547536674</v>
      </c>
      <c r="K1958" s="28">
        <v>45271</v>
      </c>
      <c r="L1958" s="23">
        <v>29385.81</v>
      </c>
      <c r="M1958" s="25">
        <f t="shared" si="377"/>
        <v>3.5551172487673869E-3</v>
      </c>
      <c r="O1958" t="b">
        <f t="shared" si="375"/>
        <v>1</v>
      </c>
      <c r="Q1958" s="25">
        <f t="shared" si="373"/>
        <v>0.19671916176175341</v>
      </c>
      <c r="R1958" s="25">
        <f t="shared" si="370"/>
        <v>0.12824306016322651</v>
      </c>
      <c r="S1958" s="25">
        <f t="shared" si="385"/>
        <v>0.19993948709793008</v>
      </c>
      <c r="T1958" s="25">
        <f t="shared" si="382"/>
        <v>0.18568215736032645</v>
      </c>
      <c r="U1958" s="25">
        <f t="shared" si="379"/>
        <v>0.1705215834191196</v>
      </c>
      <c r="X1958">
        <f t="shared" si="374"/>
        <v>0</v>
      </c>
      <c r="Y1958">
        <f t="shared" si="371"/>
        <v>0</v>
      </c>
      <c r="Z1958">
        <f t="shared" si="386"/>
        <v>0</v>
      </c>
      <c r="AA1958">
        <f t="shared" si="383"/>
        <v>0</v>
      </c>
      <c r="AB1958">
        <f t="shared" si="380"/>
        <v>0</v>
      </c>
    </row>
    <row r="1959" spans="1:28">
      <c r="A1959" s="27">
        <v>45272</v>
      </c>
      <c r="B1959" s="24">
        <v>1517.79</v>
      </c>
      <c r="C1959" s="25">
        <f t="shared" si="376"/>
        <v>-6.0704883894542334E-3</v>
      </c>
      <c r="E1959" s="25">
        <f t="shared" si="372"/>
        <v>0.18122387990007227</v>
      </c>
      <c r="F1959" s="25">
        <f t="shared" si="369"/>
        <v>0.10667314399299466</v>
      </c>
      <c r="G1959" s="25">
        <f t="shared" si="384"/>
        <v>0.17851512142636095</v>
      </c>
      <c r="H1959" s="25">
        <f t="shared" si="381"/>
        <v>0.16848770717339856</v>
      </c>
      <c r="I1959" s="25">
        <f t="shared" si="378"/>
        <v>0.15625135769200837</v>
      </c>
      <c r="K1959" s="29">
        <v>45272</v>
      </c>
      <c r="L1959" s="24">
        <v>29255.200000000001</v>
      </c>
      <c r="M1959" s="25">
        <f t="shared" si="377"/>
        <v>-4.4645054554404203E-3</v>
      </c>
      <c r="O1959" t="b">
        <f t="shared" si="375"/>
        <v>1</v>
      </c>
      <c r="Q1959" s="25">
        <f t="shared" si="373"/>
        <v>0.18566960592915849</v>
      </c>
      <c r="R1959" s="25">
        <f t="shared" si="370"/>
        <v>0.12651837898318963</v>
      </c>
      <c r="S1959" s="25">
        <f t="shared" si="385"/>
        <v>0.19785114701924589</v>
      </c>
      <c r="T1959" s="25">
        <f t="shared" si="382"/>
        <v>0.1845909911706376</v>
      </c>
      <c r="U1959" s="25">
        <f t="shared" si="379"/>
        <v>0.16804076365032916</v>
      </c>
      <c r="X1959">
        <f t="shared" si="374"/>
        <v>0</v>
      </c>
      <c r="Y1959">
        <f t="shared" si="371"/>
        <v>0</v>
      </c>
      <c r="Z1959">
        <f t="shared" si="386"/>
        <v>0</v>
      </c>
      <c r="AA1959">
        <f t="shared" si="383"/>
        <v>0</v>
      </c>
      <c r="AB1959">
        <f t="shared" si="380"/>
        <v>0</v>
      </c>
    </row>
    <row r="1960" spans="1:28">
      <c r="A1960" s="26">
        <v>45273</v>
      </c>
      <c r="B1960" s="23">
        <v>1524.42</v>
      </c>
      <c r="C1960" s="25">
        <f t="shared" si="376"/>
        <v>4.3681932283122895E-3</v>
      </c>
      <c r="E1960" s="25">
        <f t="shared" si="372"/>
        <v>0.18223414815733974</v>
      </c>
      <c r="F1960" s="25">
        <f t="shared" si="369"/>
        <v>0.11295596923011542</v>
      </c>
      <c r="G1960" s="25">
        <f t="shared" si="384"/>
        <v>0.17805170598474418</v>
      </c>
      <c r="H1960" s="25">
        <f t="shared" si="381"/>
        <v>0.17030827155929251</v>
      </c>
      <c r="I1960" s="25">
        <f t="shared" si="378"/>
        <v>0.15694485536462155</v>
      </c>
      <c r="K1960" s="28">
        <v>45273</v>
      </c>
      <c r="L1960" s="23">
        <v>29356.39</v>
      </c>
      <c r="M1960" s="25">
        <f t="shared" si="377"/>
        <v>3.4469497100971438E-3</v>
      </c>
      <c r="O1960" t="b">
        <f t="shared" si="375"/>
        <v>1</v>
      </c>
      <c r="Q1960" s="25">
        <f t="shared" si="373"/>
        <v>0.18535095911772537</v>
      </c>
      <c r="R1960" s="25">
        <f t="shared" si="370"/>
        <v>0.13186150272955932</v>
      </c>
      <c r="S1960" s="25">
        <f t="shared" si="385"/>
        <v>0.19582457529463215</v>
      </c>
      <c r="T1960" s="25">
        <f t="shared" si="382"/>
        <v>0.18649225176758932</v>
      </c>
      <c r="U1960" s="25">
        <f t="shared" si="379"/>
        <v>0.16848751218970826</v>
      </c>
      <c r="X1960">
        <f t="shared" si="374"/>
        <v>0</v>
      </c>
      <c r="Y1960">
        <f t="shared" si="371"/>
        <v>0</v>
      </c>
      <c r="Z1960">
        <f t="shared" si="386"/>
        <v>0</v>
      </c>
      <c r="AA1960">
        <f t="shared" si="383"/>
        <v>0</v>
      </c>
      <c r="AB1960">
        <f t="shared" si="380"/>
        <v>0</v>
      </c>
    </row>
    <row r="1961" spans="1:28">
      <c r="A1961" s="27">
        <v>45274</v>
      </c>
      <c r="B1961" s="24">
        <v>1545.29</v>
      </c>
      <c r="C1961" s="25">
        <f t="shared" si="376"/>
        <v>1.3690452762362006E-2</v>
      </c>
      <c r="E1961" s="25">
        <f t="shared" si="372"/>
        <v>0.21156454584656381</v>
      </c>
      <c r="F1961" s="25">
        <f t="shared" si="369"/>
        <v>0.12129586734039166</v>
      </c>
      <c r="G1961" s="25">
        <f t="shared" si="384"/>
        <v>0.18311583823058863</v>
      </c>
      <c r="H1961" s="25">
        <f t="shared" si="381"/>
        <v>0.17569561318011195</v>
      </c>
      <c r="I1961" s="25">
        <f t="shared" si="378"/>
        <v>0.15805560366255023</v>
      </c>
      <c r="K1961" s="29">
        <v>45274</v>
      </c>
      <c r="L1961" s="24">
        <v>29704.91</v>
      </c>
      <c r="M1961" s="25">
        <f t="shared" si="377"/>
        <v>1.1732740479604228E-2</v>
      </c>
      <c r="O1961" t="b">
        <f t="shared" si="375"/>
        <v>1</v>
      </c>
      <c r="Q1961" s="25">
        <f t="shared" si="373"/>
        <v>0.21309889409804472</v>
      </c>
      <c r="R1961" s="25">
        <f t="shared" si="370"/>
        <v>0.13919520788486395</v>
      </c>
      <c r="S1961" s="25">
        <f t="shared" si="385"/>
        <v>0.19954384497595212</v>
      </c>
      <c r="T1961" s="25">
        <f t="shared" si="382"/>
        <v>0.19154584645382999</v>
      </c>
      <c r="U1961" s="25">
        <f t="shared" si="379"/>
        <v>0.16964076199260902</v>
      </c>
      <c r="X1961">
        <f t="shared" si="374"/>
        <v>0</v>
      </c>
      <c r="Y1961">
        <f t="shared" si="371"/>
        <v>0</v>
      </c>
      <c r="Z1961">
        <f t="shared" si="386"/>
        <v>0</v>
      </c>
      <c r="AA1961">
        <f t="shared" si="383"/>
        <v>0</v>
      </c>
      <c r="AB1961">
        <f t="shared" si="380"/>
        <v>0</v>
      </c>
    </row>
    <row r="1962" spans="1:28">
      <c r="A1962" s="26">
        <v>45275</v>
      </c>
      <c r="B1962" s="23">
        <v>1558.44</v>
      </c>
      <c r="C1962" s="25">
        <f t="shared" si="376"/>
        <v>8.5097295653243678E-3</v>
      </c>
      <c r="E1962" s="25">
        <f t="shared" si="372"/>
        <v>0.23656272316115223</v>
      </c>
      <c r="F1962" s="25">
        <f t="shared" si="369"/>
        <v>0.13484879739078459</v>
      </c>
      <c r="G1962" s="25">
        <f t="shared" si="384"/>
        <v>0.18526530726817936</v>
      </c>
      <c r="H1962" s="25">
        <f t="shared" si="381"/>
        <v>0.17539761223205641</v>
      </c>
      <c r="I1962" s="25">
        <f t="shared" si="378"/>
        <v>0.15937989560815935</v>
      </c>
      <c r="K1962" s="28">
        <v>45275</v>
      </c>
      <c r="L1962" s="23">
        <v>29972.97</v>
      </c>
      <c r="M1962" s="25">
        <f t="shared" si="377"/>
        <v>8.9433913289207346E-3</v>
      </c>
      <c r="O1962" t="b">
        <f t="shared" si="375"/>
        <v>1</v>
      </c>
      <c r="Q1962" s="25">
        <f t="shared" si="373"/>
        <v>0.23559114518921587</v>
      </c>
      <c r="R1962" s="25">
        <f t="shared" si="370"/>
        <v>0.15445502155990432</v>
      </c>
      <c r="S1962" s="25">
        <f t="shared" si="385"/>
        <v>0.20283712620985583</v>
      </c>
      <c r="T1962" s="25">
        <f t="shared" si="382"/>
        <v>0.19145913203648579</v>
      </c>
      <c r="U1962" s="25">
        <f t="shared" si="379"/>
        <v>0.17114581578027654</v>
      </c>
      <c r="X1962">
        <f t="shared" si="374"/>
        <v>1</v>
      </c>
      <c r="Y1962">
        <f t="shared" si="371"/>
        <v>0</v>
      </c>
      <c r="Z1962">
        <f t="shared" si="386"/>
        <v>0</v>
      </c>
      <c r="AA1962">
        <f t="shared" si="383"/>
        <v>0</v>
      </c>
      <c r="AB1962">
        <f t="shared" si="380"/>
        <v>0</v>
      </c>
    </row>
    <row r="1963" spans="1:28">
      <c r="A1963" s="27">
        <v>45278</v>
      </c>
      <c r="B1963" s="24">
        <v>1559.37</v>
      </c>
      <c r="C1963" s="25">
        <f t="shared" si="376"/>
        <v>5.9675059675049164E-4</v>
      </c>
      <c r="E1963" s="25">
        <f t="shared" si="372"/>
        <v>0.22997136794945616</v>
      </c>
      <c r="F1963" s="25">
        <f t="shared" si="369"/>
        <v>0.14907347585891939</v>
      </c>
      <c r="G1963" s="25">
        <f t="shared" si="384"/>
        <v>0.19995709343188817</v>
      </c>
      <c r="H1963" s="25">
        <f t="shared" si="381"/>
        <v>0.17534627041380624</v>
      </c>
      <c r="I1963" s="25">
        <f t="shared" si="378"/>
        <v>0.15807420870702171</v>
      </c>
      <c r="K1963" s="29">
        <v>45278</v>
      </c>
      <c r="L1963" s="24">
        <v>29989.39</v>
      </c>
      <c r="M1963" s="25">
        <f t="shared" si="377"/>
        <v>5.4752697537356555E-4</v>
      </c>
      <c r="O1963" t="b">
        <f t="shared" si="375"/>
        <v>1</v>
      </c>
      <c r="Q1963" s="25">
        <f t="shared" si="373"/>
        <v>0.22694230267265292</v>
      </c>
      <c r="R1963" s="25">
        <f t="shared" si="370"/>
        <v>0.16971106803557712</v>
      </c>
      <c r="S1963" s="25">
        <f t="shared" si="385"/>
        <v>0.21718048011757363</v>
      </c>
      <c r="T1963" s="25">
        <f t="shared" si="382"/>
        <v>0.19114125868317955</v>
      </c>
      <c r="U1963" s="25">
        <f t="shared" si="379"/>
        <v>0.16950939006060994</v>
      </c>
      <c r="X1963">
        <f t="shared" si="374"/>
        <v>1</v>
      </c>
      <c r="Y1963">
        <f t="shared" si="371"/>
        <v>0</v>
      </c>
      <c r="Z1963">
        <f t="shared" si="386"/>
        <v>0</v>
      </c>
      <c r="AA1963">
        <f t="shared" si="383"/>
        <v>0</v>
      </c>
      <c r="AB1963">
        <f t="shared" si="380"/>
        <v>0</v>
      </c>
    </row>
    <row r="1964" spans="1:28">
      <c r="A1964" s="26">
        <v>45279</v>
      </c>
      <c r="B1964" s="23">
        <v>1559.21</v>
      </c>
      <c r="C1964" s="25">
        <f t="shared" si="376"/>
        <v>-1.0260553941646593E-4</v>
      </c>
      <c r="E1964" s="25">
        <f t="shared" si="372"/>
        <v>0.23259656279150653</v>
      </c>
      <c r="F1964" s="25">
        <f t="shared" si="369"/>
        <v>0.14101876214527787</v>
      </c>
      <c r="G1964" s="25">
        <f t="shared" si="384"/>
        <v>0.19516320572148738</v>
      </c>
      <c r="H1964" s="25">
        <f t="shared" si="381"/>
        <v>0.17655276335260806</v>
      </c>
      <c r="I1964" s="25">
        <f t="shared" si="378"/>
        <v>0.15835077351480131</v>
      </c>
      <c r="K1964" s="28">
        <v>45279</v>
      </c>
      <c r="L1964" s="23">
        <v>30010.85</v>
      </c>
      <c r="M1964" s="25">
        <f t="shared" si="377"/>
        <v>7.1507471464484103E-4</v>
      </c>
      <c r="O1964" t="b">
        <f t="shared" si="375"/>
        <v>1</v>
      </c>
      <c r="Q1964" s="25">
        <f t="shared" si="373"/>
        <v>0.23008192662836757</v>
      </c>
      <c r="R1964" s="25">
        <f t="shared" si="370"/>
        <v>0.16361023753877935</v>
      </c>
      <c r="S1964" s="25">
        <f t="shared" si="385"/>
        <v>0.2133722719262976</v>
      </c>
      <c r="T1964" s="25">
        <f t="shared" si="382"/>
        <v>0.19292385920245203</v>
      </c>
      <c r="U1964" s="25">
        <f t="shared" si="379"/>
        <v>0.16998980103336581</v>
      </c>
      <c r="X1964">
        <f t="shared" si="374"/>
        <v>1</v>
      </c>
      <c r="Y1964">
        <f t="shared" si="371"/>
        <v>0</v>
      </c>
      <c r="Z1964">
        <f t="shared" si="386"/>
        <v>0</v>
      </c>
      <c r="AA1964">
        <f t="shared" si="383"/>
        <v>0</v>
      </c>
      <c r="AB1964">
        <f t="shared" si="380"/>
        <v>0</v>
      </c>
    </row>
    <row r="1965" spans="1:28">
      <c r="A1965" s="27">
        <v>45280</v>
      </c>
      <c r="B1965" s="24">
        <v>1528.62</v>
      </c>
      <c r="C1965" s="25">
        <f t="shared" si="376"/>
        <v>-1.9618909576003325E-2</v>
      </c>
      <c r="E1965" s="25">
        <f t="shared" si="372"/>
        <v>0.21722858371422649</v>
      </c>
      <c r="F1965" s="25">
        <f t="shared" si="369"/>
        <v>0.12139801266149708</v>
      </c>
      <c r="G1965" s="25">
        <f t="shared" si="384"/>
        <v>0.18062438759258059</v>
      </c>
      <c r="H1965" s="25">
        <f t="shared" si="381"/>
        <v>0.17081829241719526</v>
      </c>
      <c r="I1965" s="25">
        <f t="shared" si="378"/>
        <v>0.15752186090178233</v>
      </c>
      <c r="K1965" s="29">
        <v>45280</v>
      </c>
      <c r="L1965" s="24">
        <v>29400.59</v>
      </c>
      <c r="M1965" s="25">
        <f t="shared" si="377"/>
        <v>-2.0756726310594394E-2</v>
      </c>
      <c r="O1965" t="b">
        <f t="shared" si="375"/>
        <v>1</v>
      </c>
      <c r="Q1965" s="25">
        <f t="shared" si="373"/>
        <v>0.2204869146917523</v>
      </c>
      <c r="R1965" s="25">
        <f t="shared" si="370"/>
        <v>0.14455916005219027</v>
      </c>
      <c r="S1965" s="25">
        <f t="shared" si="385"/>
        <v>0.19970463574378083</v>
      </c>
      <c r="T1965" s="25">
        <f t="shared" si="382"/>
        <v>0.18633260950699793</v>
      </c>
      <c r="U1965" s="25">
        <f t="shared" si="379"/>
        <v>0.16900922977990174</v>
      </c>
      <c r="X1965">
        <f t="shared" si="374"/>
        <v>0</v>
      </c>
      <c r="Y1965">
        <f t="shared" si="371"/>
        <v>0</v>
      </c>
      <c r="Z1965">
        <f t="shared" si="386"/>
        <v>0</v>
      </c>
      <c r="AA1965">
        <f t="shared" si="383"/>
        <v>0</v>
      </c>
      <c r="AB1965">
        <f t="shared" si="380"/>
        <v>0</v>
      </c>
    </row>
    <row r="1966" spans="1:28">
      <c r="A1966" s="26">
        <v>45281</v>
      </c>
      <c r="B1966" s="23">
        <v>1540.9</v>
      </c>
      <c r="C1966" s="25">
        <f t="shared" si="376"/>
        <v>8.0333895932280103E-3</v>
      </c>
      <c r="E1966" s="25">
        <f t="shared" si="372"/>
        <v>0.23251293782644522</v>
      </c>
      <c r="F1966" s="25">
        <f t="shared" si="369"/>
        <v>0.12156055927981479</v>
      </c>
      <c r="G1966" s="25">
        <f t="shared" si="384"/>
        <v>0.18048662077034527</v>
      </c>
      <c r="H1966" s="25">
        <f t="shared" si="381"/>
        <v>0.17049544309456777</v>
      </c>
      <c r="I1966" s="25">
        <f t="shared" si="378"/>
        <v>0.16139406799297462</v>
      </c>
      <c r="K1966" s="28">
        <v>45281</v>
      </c>
      <c r="L1966" s="23">
        <v>29654.71</v>
      </c>
      <c r="M1966" s="25">
        <f t="shared" si="377"/>
        <v>8.5692964119358783E-3</v>
      </c>
      <c r="O1966" t="b">
        <f t="shared" si="375"/>
        <v>1</v>
      </c>
      <c r="Q1966" s="25">
        <f t="shared" si="373"/>
        <v>0.2387003773572296</v>
      </c>
      <c r="R1966" s="25">
        <f t="shared" si="370"/>
        <v>0.14513454033830797</v>
      </c>
      <c r="S1966" s="25">
        <f t="shared" si="385"/>
        <v>0.19961031772993643</v>
      </c>
      <c r="T1966" s="25">
        <f t="shared" si="382"/>
        <v>0.18615529857586943</v>
      </c>
      <c r="U1966" s="25">
        <f t="shared" si="379"/>
        <v>0.17309966567100732</v>
      </c>
      <c r="X1966">
        <f t="shared" si="374"/>
        <v>0</v>
      </c>
      <c r="Y1966">
        <f t="shared" si="371"/>
        <v>0</v>
      </c>
      <c r="Z1966">
        <f t="shared" si="386"/>
        <v>0</v>
      </c>
      <c r="AA1966">
        <f t="shared" si="383"/>
        <v>0</v>
      </c>
      <c r="AB1966">
        <f t="shared" si="380"/>
        <v>0</v>
      </c>
    </row>
    <row r="1967" spans="1:28">
      <c r="A1967" s="27">
        <v>45282</v>
      </c>
      <c r="B1967" s="24">
        <v>1553.97</v>
      </c>
      <c r="C1967" s="25">
        <f t="shared" si="376"/>
        <v>8.4820559413329461E-3</v>
      </c>
      <c r="E1967" s="25">
        <f t="shared" si="372"/>
        <v>0.26998798636820576</v>
      </c>
      <c r="F1967" s="25">
        <f t="shared" ref="F1967:F2030" si="387">((B1967/B1475)^(1/2))-1</f>
        <v>0.12859426761848147</v>
      </c>
      <c r="G1967" s="25">
        <f t="shared" si="384"/>
        <v>0.18014314490874939</v>
      </c>
      <c r="H1967" s="25">
        <f t="shared" si="381"/>
        <v>0.17422323828272113</v>
      </c>
      <c r="I1967" s="25">
        <f t="shared" si="378"/>
        <v>0.162377409511961</v>
      </c>
      <c r="K1967" s="29">
        <v>45282</v>
      </c>
      <c r="L1967" s="24">
        <v>29831.49</v>
      </c>
      <c r="M1967" s="25">
        <f t="shared" si="377"/>
        <v>5.9259527432254464E-3</v>
      </c>
      <c r="O1967" t="b">
        <f t="shared" si="375"/>
        <v>1</v>
      </c>
      <c r="Q1967" s="25">
        <f t="shared" si="373"/>
        <v>0.27801061856822828</v>
      </c>
      <c r="R1967" s="25">
        <f t="shared" ref="R1967:R2030" si="388">((L1967/L1475)^(1/2))-1</f>
        <v>0.15193101769638462</v>
      </c>
      <c r="S1967" s="25">
        <f t="shared" si="385"/>
        <v>0.19814343009588176</v>
      </c>
      <c r="T1967" s="25">
        <f t="shared" si="382"/>
        <v>0.18906275092783553</v>
      </c>
      <c r="U1967" s="25">
        <f t="shared" si="379"/>
        <v>0.17347432298428567</v>
      </c>
      <c r="X1967">
        <f t="shared" si="374"/>
        <v>0</v>
      </c>
      <c r="Y1967">
        <f t="shared" ref="Y1967:Y2030" si="389">IF(F1967&gt;R1967,1,0)</f>
        <v>0</v>
      </c>
      <c r="Z1967">
        <f t="shared" si="386"/>
        <v>0</v>
      </c>
      <c r="AA1967">
        <f t="shared" si="383"/>
        <v>0</v>
      </c>
      <c r="AB1967">
        <f t="shared" si="380"/>
        <v>0</v>
      </c>
    </row>
    <row r="1968" spans="1:28">
      <c r="A1968" s="26">
        <v>45286</v>
      </c>
      <c r="B1968" s="23">
        <v>1562.65</v>
      </c>
      <c r="C1968" s="25">
        <f t="shared" si="376"/>
        <v>5.5856934175048832E-3</v>
      </c>
      <c r="E1968" s="25">
        <f t="shared" si="372"/>
        <v>0.26091341886548869</v>
      </c>
      <c r="F1968" s="25">
        <f t="shared" si="387"/>
        <v>0.12916719864166759</v>
      </c>
      <c r="G1968" s="25">
        <f t="shared" si="384"/>
        <v>0.18161193959903366</v>
      </c>
      <c r="H1968" s="25">
        <f t="shared" si="381"/>
        <v>0.18151185513810519</v>
      </c>
      <c r="I1968" s="25">
        <f t="shared" si="378"/>
        <v>0.163212791048017</v>
      </c>
      <c r="K1968" s="28">
        <v>45286</v>
      </c>
      <c r="L1968" s="23">
        <v>29978.9</v>
      </c>
      <c r="M1968" s="25">
        <f t="shared" si="377"/>
        <v>4.9171250446147074E-3</v>
      </c>
      <c r="O1968" t="b">
        <f t="shared" si="375"/>
        <v>1</v>
      </c>
      <c r="Q1968" s="25">
        <f t="shared" si="373"/>
        <v>0.26312201456393525</v>
      </c>
      <c r="R1968" s="25">
        <f t="shared" si="388"/>
        <v>0.15230901475291359</v>
      </c>
      <c r="S1968" s="25">
        <f t="shared" si="385"/>
        <v>0.19898587030395998</v>
      </c>
      <c r="T1968" s="25">
        <f t="shared" si="382"/>
        <v>0.19641645721861223</v>
      </c>
      <c r="U1968" s="25">
        <f t="shared" si="379"/>
        <v>0.17367032817489081</v>
      </c>
      <c r="X1968">
        <f t="shared" si="374"/>
        <v>0</v>
      </c>
      <c r="Y1968">
        <f t="shared" si="389"/>
        <v>0</v>
      </c>
      <c r="Z1968">
        <f t="shared" si="386"/>
        <v>0</v>
      </c>
      <c r="AA1968">
        <f t="shared" si="383"/>
        <v>0</v>
      </c>
      <c r="AB1968">
        <f t="shared" si="380"/>
        <v>0</v>
      </c>
    </row>
    <row r="1969" spans="1:28">
      <c r="A1969" s="27">
        <v>45287</v>
      </c>
      <c r="B1969" s="24">
        <v>1576.79</v>
      </c>
      <c r="C1969" s="25">
        <f t="shared" si="376"/>
        <v>9.0487313217930253E-3</v>
      </c>
      <c r="E1969" s="25">
        <f t="shared" si="372"/>
        <v>0.26399031640039428</v>
      </c>
      <c r="F1969" s="25">
        <f t="shared" si="387"/>
        <v>0.12869272074432581</v>
      </c>
      <c r="G1969" s="25">
        <f t="shared" si="384"/>
        <v>0.18387928806508902</v>
      </c>
      <c r="H1969" s="25">
        <f t="shared" si="381"/>
        <v>0.18265210654738495</v>
      </c>
      <c r="I1969" s="25">
        <f t="shared" si="378"/>
        <v>0.16304940431695414</v>
      </c>
      <c r="K1969" s="29">
        <v>45287</v>
      </c>
      <c r="L1969" s="24">
        <v>30210.78</v>
      </c>
      <c r="M1969" s="25">
        <f t="shared" si="377"/>
        <v>7.6754059312602119E-3</v>
      </c>
      <c r="O1969" t="b">
        <f t="shared" si="375"/>
        <v>1</v>
      </c>
      <c r="Q1969" s="25">
        <f t="shared" si="373"/>
        <v>0.26300250712693773</v>
      </c>
      <c r="R1969" s="25">
        <f t="shared" si="388"/>
        <v>0.15128663499861883</v>
      </c>
      <c r="S1969" s="25">
        <f t="shared" si="385"/>
        <v>0.20058261977071967</v>
      </c>
      <c r="T1969" s="25">
        <f t="shared" si="382"/>
        <v>0.19694671683446363</v>
      </c>
      <c r="U1969" s="25">
        <f t="shared" si="379"/>
        <v>0.17353418741799231</v>
      </c>
      <c r="X1969">
        <f t="shared" si="374"/>
        <v>1</v>
      </c>
      <c r="Y1969">
        <f t="shared" si="389"/>
        <v>0</v>
      </c>
      <c r="Z1969">
        <f t="shared" si="386"/>
        <v>0</v>
      </c>
      <c r="AA1969">
        <f t="shared" si="383"/>
        <v>0</v>
      </c>
      <c r="AB1969">
        <f t="shared" si="380"/>
        <v>0</v>
      </c>
    </row>
    <row r="1970" spans="1:28">
      <c r="A1970" s="26">
        <v>45288</v>
      </c>
      <c r="B1970" s="23">
        <v>1583.88</v>
      </c>
      <c r="C1970" s="25">
        <f t="shared" si="376"/>
        <v>4.4964770197681017E-3</v>
      </c>
      <c r="E1970" s="25">
        <f t="shared" si="372"/>
        <v>0.27100853822944093</v>
      </c>
      <c r="F1970" s="25">
        <f t="shared" si="387"/>
        <v>0.13082095174208663</v>
      </c>
      <c r="G1970" s="25">
        <f t="shared" si="384"/>
        <v>0.18454269871671469</v>
      </c>
      <c r="H1970" s="25">
        <f t="shared" si="381"/>
        <v>0.18394626433166095</v>
      </c>
      <c r="I1970" s="25">
        <f t="shared" si="378"/>
        <v>0.16347542395128212</v>
      </c>
      <c r="K1970" s="28">
        <v>45288</v>
      </c>
      <c r="L1970" s="23">
        <v>30370.94</v>
      </c>
      <c r="M1970" s="25">
        <f t="shared" si="377"/>
        <v>5.2734620660407567E-3</v>
      </c>
      <c r="O1970" t="b">
        <f t="shared" si="375"/>
        <v>1</v>
      </c>
      <c r="Q1970" s="25">
        <f t="shared" si="373"/>
        <v>0.26850924078500626</v>
      </c>
      <c r="R1970" s="25">
        <f t="shared" si="388"/>
        <v>0.15450681231250574</v>
      </c>
      <c r="S1970" s="25">
        <f t="shared" si="385"/>
        <v>0.20239888108892767</v>
      </c>
      <c r="T1970" s="25">
        <f t="shared" si="382"/>
        <v>0.19893377900889053</v>
      </c>
      <c r="U1970" s="25">
        <f t="shared" si="379"/>
        <v>0.17432801516857621</v>
      </c>
      <c r="X1970">
        <f t="shared" si="374"/>
        <v>1</v>
      </c>
      <c r="Y1970">
        <f t="shared" si="389"/>
        <v>0</v>
      </c>
      <c r="Z1970">
        <f t="shared" si="386"/>
        <v>0</v>
      </c>
      <c r="AA1970">
        <f t="shared" si="383"/>
        <v>0</v>
      </c>
      <c r="AB1970">
        <f t="shared" si="380"/>
        <v>0</v>
      </c>
    </row>
    <row r="1971" spans="1:28">
      <c r="A1971" s="27">
        <v>45289</v>
      </c>
      <c r="B1971" s="24">
        <v>1585.57</v>
      </c>
      <c r="C1971" s="25">
        <f t="shared" si="376"/>
        <v>1.0670000252543292E-3</v>
      </c>
      <c r="E1971" s="25">
        <f t="shared" si="372"/>
        <v>0.26726983543403371</v>
      </c>
      <c r="F1971" s="25">
        <f t="shared" si="387"/>
        <v>0.13114101670712075</v>
      </c>
      <c r="G1971" s="25">
        <f t="shared" si="384"/>
        <v>0.18345069180816065</v>
      </c>
      <c r="H1971" s="25">
        <f t="shared" si="381"/>
        <v>0.17954210764139766</v>
      </c>
      <c r="I1971" s="25">
        <f t="shared" si="378"/>
        <v>0.16348877999979972</v>
      </c>
      <c r="K1971" s="29">
        <v>45289</v>
      </c>
      <c r="L1971" s="24">
        <v>30417.8</v>
      </c>
      <c r="M1971" s="25">
        <f t="shared" si="377"/>
        <v>1.5405453385846637E-3</v>
      </c>
      <c r="O1971" t="b">
        <f t="shared" si="375"/>
        <v>1</v>
      </c>
      <c r="Q1971" s="25">
        <f t="shared" si="373"/>
        <v>0.26616696214086777</v>
      </c>
      <c r="R1971" s="25">
        <f t="shared" si="388"/>
        <v>0.15619074363018415</v>
      </c>
      <c r="S1971" s="25">
        <f t="shared" si="385"/>
        <v>0.20105471273590725</v>
      </c>
      <c r="T1971" s="25">
        <f t="shared" si="382"/>
        <v>0.19479340679712931</v>
      </c>
      <c r="U1971" s="25">
        <f t="shared" si="379"/>
        <v>0.17397745475756743</v>
      </c>
      <c r="X1971">
        <f t="shared" si="374"/>
        <v>1</v>
      </c>
      <c r="Y1971">
        <f t="shared" si="389"/>
        <v>0</v>
      </c>
      <c r="Z1971">
        <f t="shared" si="386"/>
        <v>0</v>
      </c>
      <c r="AA1971">
        <f t="shared" si="383"/>
        <v>0</v>
      </c>
      <c r="AB1971">
        <f t="shared" si="380"/>
        <v>0</v>
      </c>
    </row>
    <row r="1972" spans="1:28">
      <c r="A1972" s="26">
        <v>45292</v>
      </c>
      <c r="B1972" s="23">
        <v>1588.8</v>
      </c>
      <c r="C1972" s="25">
        <f t="shared" si="376"/>
        <v>2.0371222967134964E-3</v>
      </c>
      <c r="E1972" s="25">
        <f t="shared" si="372"/>
        <v>0.27250592682770547</v>
      </c>
      <c r="F1972" s="25">
        <f t="shared" si="387"/>
        <v>0.1265167521928281</v>
      </c>
      <c r="G1972" s="25">
        <f t="shared" si="384"/>
        <v>0.1787063898472383</v>
      </c>
      <c r="H1972" s="25">
        <f t="shared" si="381"/>
        <v>0.17901404368295792</v>
      </c>
      <c r="I1972" s="25">
        <f t="shared" si="378"/>
        <v>0.16668925112342992</v>
      </c>
      <c r="K1972" s="28">
        <v>45292</v>
      </c>
      <c r="L1972" s="23">
        <v>30480.99</v>
      </c>
      <c r="M1972" s="25">
        <f t="shared" si="377"/>
        <v>2.0730953948675003E-3</v>
      </c>
      <c r="O1972" t="b">
        <f t="shared" si="375"/>
        <v>1</v>
      </c>
      <c r="Q1972" s="25">
        <f t="shared" si="373"/>
        <v>0.27178359352312675</v>
      </c>
      <c r="R1972" s="25">
        <f t="shared" si="388"/>
        <v>0.15142786912932027</v>
      </c>
      <c r="S1972" s="25">
        <f t="shared" si="385"/>
        <v>0.1978649650636719</v>
      </c>
      <c r="T1972" s="25">
        <f t="shared" si="382"/>
        <v>0.19439131744100657</v>
      </c>
      <c r="U1972" s="25">
        <f t="shared" si="379"/>
        <v>0.1768934067136938</v>
      </c>
      <c r="X1972">
        <f t="shared" si="374"/>
        <v>1</v>
      </c>
      <c r="Y1972">
        <f t="shared" si="389"/>
        <v>0</v>
      </c>
      <c r="Z1972">
        <f t="shared" si="386"/>
        <v>0</v>
      </c>
      <c r="AA1972">
        <f t="shared" si="383"/>
        <v>0</v>
      </c>
      <c r="AB1972">
        <f t="shared" si="380"/>
        <v>0</v>
      </c>
    </row>
    <row r="1973" spans="1:28">
      <c r="A1973" s="27">
        <v>45293</v>
      </c>
      <c r="B1973" s="24">
        <v>1586.05</v>
      </c>
      <c r="C1973" s="25">
        <f t="shared" si="376"/>
        <v>-1.7308660624370594E-3</v>
      </c>
      <c r="E1973" s="25">
        <f t="shared" si="372"/>
        <v>0.26243691994205398</v>
      </c>
      <c r="F1973" s="25">
        <f t="shared" si="387"/>
        <v>0.11871750362037159</v>
      </c>
      <c r="G1973" s="25">
        <f t="shared" si="384"/>
        <v>0.17502593230762353</v>
      </c>
      <c r="H1973" s="25">
        <f t="shared" si="381"/>
        <v>0.17635268085045097</v>
      </c>
      <c r="I1973" s="25">
        <f t="shared" si="378"/>
        <v>0.16852255328856636</v>
      </c>
      <c r="K1973" s="29">
        <v>45293</v>
      </c>
      <c r="L1973" s="24">
        <v>30400.92</v>
      </c>
      <c r="M1973" s="25">
        <f t="shared" si="377"/>
        <v>-2.6338018717855694E-3</v>
      </c>
      <c r="O1973" t="b">
        <f t="shared" si="375"/>
        <v>1</v>
      </c>
      <c r="Q1973" s="25">
        <f t="shared" si="373"/>
        <v>0.26233207131628178</v>
      </c>
      <c r="R1973" s="25">
        <f t="shared" si="388"/>
        <v>0.1420067913305576</v>
      </c>
      <c r="S1973" s="25">
        <f t="shared" si="385"/>
        <v>0.19425912904214648</v>
      </c>
      <c r="T1973" s="25">
        <f t="shared" si="382"/>
        <v>0.19168535125227137</v>
      </c>
      <c r="U1973" s="25">
        <f t="shared" si="379"/>
        <v>0.17857749885912577</v>
      </c>
      <c r="X1973">
        <f t="shared" si="374"/>
        <v>1</v>
      </c>
      <c r="Y1973">
        <f t="shared" si="389"/>
        <v>0</v>
      </c>
      <c r="Z1973">
        <f t="shared" si="386"/>
        <v>0</v>
      </c>
      <c r="AA1973">
        <f t="shared" si="383"/>
        <v>0</v>
      </c>
      <c r="AB1973">
        <f t="shared" si="380"/>
        <v>0</v>
      </c>
    </row>
    <row r="1974" spans="1:28">
      <c r="A1974" s="26">
        <v>45294</v>
      </c>
      <c r="B1974" s="23">
        <v>1579.15</v>
      </c>
      <c r="C1974" s="25">
        <f t="shared" si="376"/>
        <v>-4.3504303143027416E-3</v>
      </c>
      <c r="E1974" s="25">
        <f t="shared" si="372"/>
        <v>0.25195227335791026</v>
      </c>
      <c r="F1974" s="25">
        <f t="shared" si="387"/>
        <v>0.11394571324565383</v>
      </c>
      <c r="G1974" s="25">
        <f t="shared" si="384"/>
        <v>0.17251648754704996</v>
      </c>
      <c r="H1974" s="25">
        <f t="shared" si="381"/>
        <v>0.17394952233478</v>
      </c>
      <c r="I1974" s="25">
        <f t="shared" si="378"/>
        <v>0.16657931875909493</v>
      </c>
      <c r="K1974" s="28">
        <v>45294</v>
      </c>
      <c r="L1974" s="23">
        <v>30320.7</v>
      </c>
      <c r="M1974" s="25">
        <f t="shared" si="377"/>
        <v>-2.6457172822526367E-3</v>
      </c>
      <c r="O1974" t="b">
        <f t="shared" si="375"/>
        <v>1</v>
      </c>
      <c r="Q1974" s="25">
        <f t="shared" si="373"/>
        <v>0.25620266820898707</v>
      </c>
      <c r="R1974" s="25">
        <f t="shared" si="388"/>
        <v>0.13624218289270762</v>
      </c>
      <c r="S1974" s="25">
        <f t="shared" si="385"/>
        <v>0.19419302366933699</v>
      </c>
      <c r="T1974" s="25">
        <f t="shared" si="382"/>
        <v>0.18991178175869883</v>
      </c>
      <c r="U1974" s="25">
        <f t="shared" si="379"/>
        <v>0.17690876366010921</v>
      </c>
      <c r="X1974">
        <f t="shared" si="374"/>
        <v>0</v>
      </c>
      <c r="Y1974">
        <f t="shared" si="389"/>
        <v>0</v>
      </c>
      <c r="Z1974">
        <f t="shared" si="386"/>
        <v>0</v>
      </c>
      <c r="AA1974">
        <f t="shared" si="383"/>
        <v>0</v>
      </c>
      <c r="AB1974">
        <f t="shared" si="380"/>
        <v>0</v>
      </c>
    </row>
    <row r="1975" spans="1:28">
      <c r="A1975" s="27">
        <v>45295</v>
      </c>
      <c r="B1975" s="24">
        <v>1598.19</v>
      </c>
      <c r="C1975" s="25">
        <f t="shared" si="376"/>
        <v>1.2057119336351811E-2</v>
      </c>
      <c r="E1975" s="25">
        <f t="shared" si="372"/>
        <v>0.28010861207227999</v>
      </c>
      <c r="F1975" s="25">
        <f t="shared" si="387"/>
        <v>0.11839356243828258</v>
      </c>
      <c r="G1975" s="25">
        <f t="shared" si="384"/>
        <v>0.1754449017211388</v>
      </c>
      <c r="H1975" s="25">
        <f t="shared" si="381"/>
        <v>0.17740498680431549</v>
      </c>
      <c r="I1975" s="25">
        <f t="shared" si="378"/>
        <v>0.16903687967293335</v>
      </c>
      <c r="K1975" s="29">
        <v>45295</v>
      </c>
      <c r="L1975" s="24">
        <v>30593.27</v>
      </c>
      <c r="M1975" s="25">
        <f t="shared" si="377"/>
        <v>8.90947584223588E-3</v>
      </c>
      <c r="O1975" t="b">
        <f t="shared" si="375"/>
        <v>1</v>
      </c>
      <c r="Q1975" s="25">
        <f t="shared" si="373"/>
        <v>0.28106512592374244</v>
      </c>
      <c r="R1975" s="25">
        <f t="shared" si="388"/>
        <v>0.1384551211337155</v>
      </c>
      <c r="S1975" s="25">
        <f t="shared" si="385"/>
        <v>0.19680386548787898</v>
      </c>
      <c r="T1975" s="25">
        <f t="shared" si="382"/>
        <v>0.19224528088059478</v>
      </c>
      <c r="U1975" s="25">
        <f t="shared" si="379"/>
        <v>0.17833475124727016</v>
      </c>
      <c r="X1975">
        <f t="shared" si="374"/>
        <v>0</v>
      </c>
      <c r="Y1975">
        <f t="shared" si="389"/>
        <v>0</v>
      </c>
      <c r="Z1975">
        <f t="shared" si="386"/>
        <v>0</v>
      </c>
      <c r="AA1975">
        <f t="shared" si="383"/>
        <v>0</v>
      </c>
      <c r="AB1975">
        <f t="shared" si="380"/>
        <v>0</v>
      </c>
    </row>
    <row r="1976" spans="1:28">
      <c r="A1976" s="26">
        <v>45296</v>
      </c>
      <c r="B1976" s="23">
        <v>1599.41</v>
      </c>
      <c r="C1976" s="25">
        <f t="shared" si="376"/>
        <v>7.6336355502163529E-4</v>
      </c>
      <c r="E1976" s="25">
        <f t="shared" ref="E1976:E2039" si="390">(B1976/B1731)-1</f>
        <v>0.2870857676275087</v>
      </c>
      <c r="F1976" s="25">
        <f t="shared" si="387"/>
        <v>0.12190653998234047</v>
      </c>
      <c r="G1976" s="25">
        <f t="shared" si="384"/>
        <v>0.17178806286753856</v>
      </c>
      <c r="H1976" s="25">
        <f t="shared" si="381"/>
        <v>0.17691205993571035</v>
      </c>
      <c r="I1976" s="25">
        <f t="shared" si="378"/>
        <v>0.16828784359728233</v>
      </c>
      <c r="K1976" s="28">
        <v>45296</v>
      </c>
      <c r="L1976" s="23">
        <v>30670.51</v>
      </c>
      <c r="M1976" s="25">
        <f t="shared" si="377"/>
        <v>2.5183800334587841E-3</v>
      </c>
      <c r="O1976" t="b">
        <f t="shared" si="375"/>
        <v>1</v>
      </c>
      <c r="Q1976" s="25">
        <f t="shared" ref="Q1976:Q2039" si="391">(L1976/L1731)-1</f>
        <v>0.28487086571290909</v>
      </c>
      <c r="R1976" s="25">
        <f t="shared" si="388"/>
        <v>0.1438463930043965</v>
      </c>
      <c r="S1976" s="25">
        <f t="shared" si="385"/>
        <v>0.192445010462164</v>
      </c>
      <c r="T1976" s="25">
        <f t="shared" si="382"/>
        <v>0.19231849107969934</v>
      </c>
      <c r="U1976" s="25">
        <f t="shared" si="379"/>
        <v>0.17847569128442098</v>
      </c>
      <c r="X1976">
        <f t="shared" ref="X1976:X2039" si="392">IF(E1976&gt;Q1976,1,0)</f>
        <v>1</v>
      </c>
      <c r="Y1976">
        <f t="shared" si="389"/>
        <v>0</v>
      </c>
      <c r="Z1976">
        <f t="shared" si="386"/>
        <v>0</v>
      </c>
      <c r="AA1976">
        <f t="shared" si="383"/>
        <v>0</v>
      </c>
      <c r="AB1976">
        <f t="shared" si="380"/>
        <v>0</v>
      </c>
    </row>
    <row r="1977" spans="1:28">
      <c r="A1977" s="27">
        <v>45299</v>
      </c>
      <c r="B1977" s="24">
        <v>1586.51</v>
      </c>
      <c r="C1977" s="25">
        <f t="shared" si="376"/>
        <v>-8.0654741435905054E-3</v>
      </c>
      <c r="E1977" s="25">
        <f t="shared" si="390"/>
        <v>0.28688464751831155</v>
      </c>
      <c r="F1977" s="25">
        <f t="shared" si="387"/>
        <v>0.11605636252626894</v>
      </c>
      <c r="G1977" s="25">
        <f t="shared" si="384"/>
        <v>0.16547607045835022</v>
      </c>
      <c r="H1977" s="25">
        <f t="shared" si="381"/>
        <v>0.17349147950278399</v>
      </c>
      <c r="I1977" s="25">
        <f t="shared" si="378"/>
        <v>0.16583927650806252</v>
      </c>
      <c r="K1977" s="29">
        <v>45299</v>
      </c>
      <c r="L1977" s="24">
        <v>30399.86</v>
      </c>
      <c r="M1977" s="25">
        <f t="shared" si="377"/>
        <v>-8.9030015269806438E-3</v>
      </c>
      <c r="O1977" t="b">
        <f t="shared" si="375"/>
        <v>1</v>
      </c>
      <c r="Q1977" s="25">
        <f t="shared" si="391"/>
        <v>0.28305561100951193</v>
      </c>
      <c r="R1977" s="25">
        <f t="shared" si="388"/>
        <v>0.1366176617595507</v>
      </c>
      <c r="S1977" s="25">
        <f t="shared" si="385"/>
        <v>0.18625091473291877</v>
      </c>
      <c r="T1977" s="25">
        <f t="shared" si="382"/>
        <v>0.18942510677782232</v>
      </c>
      <c r="U1977" s="25">
        <f t="shared" si="379"/>
        <v>0.17564495196883256</v>
      </c>
      <c r="X1977">
        <f t="shared" si="392"/>
        <v>1</v>
      </c>
      <c r="Y1977">
        <f t="shared" si="389"/>
        <v>0</v>
      </c>
      <c r="Z1977">
        <f t="shared" si="386"/>
        <v>0</v>
      </c>
      <c r="AA1977">
        <f t="shared" si="383"/>
        <v>0</v>
      </c>
      <c r="AB1977">
        <f t="shared" si="380"/>
        <v>0</v>
      </c>
    </row>
    <row r="1978" spans="1:28">
      <c r="A1978" s="26">
        <v>45300</v>
      </c>
      <c r="B1978" s="23">
        <v>1593.44</v>
      </c>
      <c r="C1978" s="25">
        <f t="shared" si="376"/>
        <v>4.3680783606785106E-3</v>
      </c>
      <c r="E1978" s="25">
        <f t="shared" si="390"/>
        <v>0.27880324869185591</v>
      </c>
      <c r="F1978" s="25">
        <f t="shared" si="387"/>
        <v>0.11341089629437984</v>
      </c>
      <c r="G1978" s="25">
        <f t="shared" si="384"/>
        <v>0.16566814343334846</v>
      </c>
      <c r="H1978" s="25">
        <f t="shared" si="381"/>
        <v>0.17657514879026248</v>
      </c>
      <c r="I1978" s="25">
        <f t="shared" si="378"/>
        <v>0.16712229907626841</v>
      </c>
      <c r="K1978" s="28">
        <v>45300</v>
      </c>
      <c r="L1978" s="23">
        <v>30465.39</v>
      </c>
      <c r="M1978" s="25">
        <f t="shared" si="377"/>
        <v>2.1509654069748929E-3</v>
      </c>
      <c r="O1978" t="b">
        <f t="shared" si="375"/>
        <v>1</v>
      </c>
      <c r="Q1978" s="25">
        <f t="shared" si="391"/>
        <v>0.27099800330918344</v>
      </c>
      <c r="R1978" s="25">
        <f t="shared" si="388"/>
        <v>0.1324332161151458</v>
      </c>
      <c r="S1978" s="25">
        <f t="shared" si="385"/>
        <v>0.1853977759693437</v>
      </c>
      <c r="T1978" s="25">
        <f t="shared" si="382"/>
        <v>0.19281486707419959</v>
      </c>
      <c r="U1978" s="25">
        <f t="shared" si="379"/>
        <v>0.17635966042604534</v>
      </c>
      <c r="X1978">
        <f t="shared" si="392"/>
        <v>1</v>
      </c>
      <c r="Y1978">
        <f t="shared" si="389"/>
        <v>0</v>
      </c>
      <c r="Z1978">
        <f t="shared" si="386"/>
        <v>0</v>
      </c>
      <c r="AA1978">
        <f t="shared" si="383"/>
        <v>0</v>
      </c>
      <c r="AB1978">
        <f t="shared" si="380"/>
        <v>0</v>
      </c>
    </row>
    <row r="1979" spans="1:28">
      <c r="A1979" s="27">
        <v>45301</v>
      </c>
      <c r="B1979" s="24">
        <v>1598.46</v>
      </c>
      <c r="C1979" s="25">
        <f t="shared" si="376"/>
        <v>3.1504167085048586E-3</v>
      </c>
      <c r="E1979" s="25">
        <f t="shared" si="390"/>
        <v>0.29211294246982855</v>
      </c>
      <c r="F1979" s="25">
        <f t="shared" si="387"/>
        <v>0.11437470329786614</v>
      </c>
      <c r="G1979" s="25">
        <f t="shared" si="384"/>
        <v>0.16691803916865022</v>
      </c>
      <c r="H1979" s="25">
        <f t="shared" si="381"/>
        <v>0.17835550085428231</v>
      </c>
      <c r="I1979" s="25">
        <f t="shared" si="378"/>
        <v>0.16794566276321587</v>
      </c>
      <c r="K1979" s="29">
        <v>45301</v>
      </c>
      <c r="L1979" s="24">
        <v>30556.65</v>
      </c>
      <c r="M1979" s="25">
        <f t="shared" si="377"/>
        <v>2.9865839350845737E-3</v>
      </c>
      <c r="O1979" t="b">
        <f t="shared" si="375"/>
        <v>1</v>
      </c>
      <c r="Q1979" s="25">
        <f t="shared" si="391"/>
        <v>0.28519154860268459</v>
      </c>
      <c r="R1979" s="25">
        <f t="shared" si="388"/>
        <v>0.13284937391496499</v>
      </c>
      <c r="S1979" s="25">
        <f t="shared" si="385"/>
        <v>0.18714561802323315</v>
      </c>
      <c r="T1979" s="25">
        <f t="shared" si="382"/>
        <v>0.19484511947436456</v>
      </c>
      <c r="U1979" s="25">
        <f t="shared" si="379"/>
        <v>0.17761109860429758</v>
      </c>
      <c r="X1979">
        <f t="shared" si="392"/>
        <v>1</v>
      </c>
      <c r="Y1979">
        <f t="shared" si="389"/>
        <v>0</v>
      </c>
      <c r="Z1979">
        <f t="shared" si="386"/>
        <v>0</v>
      </c>
      <c r="AA1979">
        <f t="shared" si="383"/>
        <v>0</v>
      </c>
      <c r="AB1979">
        <f t="shared" si="380"/>
        <v>0</v>
      </c>
    </row>
    <row r="1980" spans="1:28">
      <c r="A1980" s="26">
        <v>45302</v>
      </c>
      <c r="B1980" s="23">
        <v>1601.02</v>
      </c>
      <c r="C1980" s="25">
        <f t="shared" si="376"/>
        <v>1.601541483678006E-3</v>
      </c>
      <c r="E1980" s="25">
        <f t="shared" si="390"/>
        <v>0.29592125818540915</v>
      </c>
      <c r="F1980" s="25">
        <f t="shared" si="387"/>
        <v>0.10963873175321481</v>
      </c>
      <c r="G1980" s="25">
        <f t="shared" si="384"/>
        <v>0.16808666603875055</v>
      </c>
      <c r="H1980" s="25">
        <f t="shared" si="381"/>
        <v>0.17954970899915934</v>
      </c>
      <c r="I1980" s="25">
        <f t="shared" si="378"/>
        <v>0.16897188112475248</v>
      </c>
      <c r="K1980" s="28">
        <v>45302</v>
      </c>
      <c r="L1980" s="23">
        <v>30660.78</v>
      </c>
      <c r="M1980" s="25">
        <f t="shared" si="377"/>
        <v>3.3961954001169373E-3</v>
      </c>
      <c r="O1980" t="b">
        <f t="shared" si="375"/>
        <v>1</v>
      </c>
      <c r="Q1980" s="25">
        <f t="shared" si="391"/>
        <v>0.29158222379862941</v>
      </c>
      <c r="R1980" s="25">
        <f t="shared" si="388"/>
        <v>0.12979294968262578</v>
      </c>
      <c r="S1980" s="25">
        <f t="shared" si="385"/>
        <v>0.1875315008017524</v>
      </c>
      <c r="T1980" s="25">
        <f t="shared" si="382"/>
        <v>0.19707890027866704</v>
      </c>
      <c r="U1980" s="25">
        <f t="shared" si="379"/>
        <v>0.17962685525358157</v>
      </c>
      <c r="X1980">
        <f t="shared" si="392"/>
        <v>1</v>
      </c>
      <c r="Y1980">
        <f t="shared" si="389"/>
        <v>0</v>
      </c>
      <c r="Z1980">
        <f t="shared" si="386"/>
        <v>0</v>
      </c>
      <c r="AA1980">
        <f t="shared" si="383"/>
        <v>0</v>
      </c>
      <c r="AB1980">
        <f t="shared" si="380"/>
        <v>0</v>
      </c>
    </row>
    <row r="1981" spans="1:28">
      <c r="A1981" s="27">
        <v>45303</v>
      </c>
      <c r="B1981" s="24">
        <v>1613.33</v>
      </c>
      <c r="C1981" s="25">
        <f t="shared" si="376"/>
        <v>7.6888483591709949E-3</v>
      </c>
      <c r="E1981" s="25">
        <f t="shared" si="390"/>
        <v>0.30667865357825508</v>
      </c>
      <c r="F1981" s="25">
        <f t="shared" si="387"/>
        <v>0.11162898072754657</v>
      </c>
      <c r="G1981" s="25">
        <f t="shared" si="384"/>
        <v>0.17475240320576169</v>
      </c>
      <c r="H1981" s="25">
        <f t="shared" si="381"/>
        <v>0.17939020631113523</v>
      </c>
      <c r="I1981" s="25">
        <f t="shared" si="378"/>
        <v>0.16827388874777949</v>
      </c>
      <c r="K1981" s="29">
        <v>45303</v>
      </c>
      <c r="L1981" s="24">
        <v>30913.19</v>
      </c>
      <c r="M1981" s="25">
        <f t="shared" si="377"/>
        <v>8.1651230429470346E-3</v>
      </c>
      <c r="O1981" t="b">
        <f t="shared" si="375"/>
        <v>1</v>
      </c>
      <c r="Q1981" s="25">
        <f t="shared" si="391"/>
        <v>0.3040695341986579</v>
      </c>
      <c r="R1981" s="25">
        <f t="shared" si="388"/>
        <v>0.13251397189640213</v>
      </c>
      <c r="S1981" s="25">
        <f t="shared" si="385"/>
        <v>0.19536444415297738</v>
      </c>
      <c r="T1981" s="25">
        <f t="shared" si="382"/>
        <v>0.19728112237184892</v>
      </c>
      <c r="U1981" s="25">
        <f t="shared" si="379"/>
        <v>0.17882339605297726</v>
      </c>
      <c r="X1981">
        <f t="shared" si="392"/>
        <v>1</v>
      </c>
      <c r="Y1981">
        <f t="shared" si="389"/>
        <v>0</v>
      </c>
      <c r="Z1981">
        <f t="shared" si="386"/>
        <v>0</v>
      </c>
      <c r="AA1981">
        <f t="shared" si="383"/>
        <v>0</v>
      </c>
      <c r="AB1981">
        <f t="shared" si="380"/>
        <v>0</v>
      </c>
    </row>
    <row r="1982" spans="1:28">
      <c r="A1982" s="26">
        <v>45306</v>
      </c>
      <c r="B1982" s="23">
        <v>1624.55</v>
      </c>
      <c r="C1982" s="25">
        <f t="shared" si="376"/>
        <v>6.9545598234707273E-3</v>
      </c>
      <c r="E1982" s="25">
        <f t="shared" si="390"/>
        <v>0.30947678964380443</v>
      </c>
      <c r="F1982" s="25">
        <f t="shared" si="387"/>
        <v>0.11473235235473278</v>
      </c>
      <c r="G1982" s="25">
        <f t="shared" si="384"/>
        <v>0.18396934539392107</v>
      </c>
      <c r="H1982" s="25">
        <f t="shared" si="381"/>
        <v>0.1790390106618307</v>
      </c>
      <c r="I1982" s="25">
        <f t="shared" si="378"/>
        <v>0.16984385919147016</v>
      </c>
      <c r="K1982" s="28">
        <v>45306</v>
      </c>
      <c r="L1982" s="23">
        <v>31132.31</v>
      </c>
      <c r="M1982" s="25">
        <f t="shared" si="377"/>
        <v>7.0383469777861845E-3</v>
      </c>
      <c r="O1982" t="b">
        <f t="shared" si="375"/>
        <v>1</v>
      </c>
      <c r="Q1982" s="25">
        <f t="shared" si="391"/>
        <v>0.30762203496757867</v>
      </c>
      <c r="R1982" s="25">
        <f t="shared" si="388"/>
        <v>0.13618317386770729</v>
      </c>
      <c r="S1982" s="25">
        <f t="shared" si="385"/>
        <v>0.20341701113674415</v>
      </c>
      <c r="T1982" s="25">
        <f t="shared" si="382"/>
        <v>0.1975243380672318</v>
      </c>
      <c r="U1982" s="25">
        <f t="shared" si="379"/>
        <v>0.18044759096422092</v>
      </c>
      <c r="X1982">
        <f t="shared" si="392"/>
        <v>1</v>
      </c>
      <c r="Y1982">
        <f t="shared" si="389"/>
        <v>0</v>
      </c>
      <c r="Z1982">
        <f t="shared" si="386"/>
        <v>0</v>
      </c>
      <c r="AA1982">
        <f t="shared" si="383"/>
        <v>0</v>
      </c>
      <c r="AB1982">
        <f t="shared" si="380"/>
        <v>0</v>
      </c>
    </row>
    <row r="1983" spans="1:28">
      <c r="A1983" s="27">
        <v>45307</v>
      </c>
      <c r="B1983" s="24">
        <v>1617.17</v>
      </c>
      <c r="C1983" s="25">
        <f t="shared" si="376"/>
        <v>-4.5427964667137865E-3</v>
      </c>
      <c r="E1983" s="25">
        <f t="shared" si="390"/>
        <v>0.30814654231008798</v>
      </c>
      <c r="F1983" s="25">
        <f t="shared" si="387"/>
        <v>0.11276363434825365</v>
      </c>
      <c r="G1983" s="25">
        <f t="shared" si="384"/>
        <v>0.17613693056866997</v>
      </c>
      <c r="H1983" s="25">
        <f t="shared" si="381"/>
        <v>0.17903585919150977</v>
      </c>
      <c r="I1983" s="25">
        <f t="shared" si="378"/>
        <v>0.1693125692224795</v>
      </c>
      <c r="K1983" s="29">
        <v>45307</v>
      </c>
      <c r="L1983" s="24">
        <v>31041.51</v>
      </c>
      <c r="M1983" s="25">
        <f t="shared" si="377"/>
        <v>-2.9251154341397348E-3</v>
      </c>
      <c r="O1983" t="b">
        <f t="shared" si="375"/>
        <v>1</v>
      </c>
      <c r="Q1983" s="25">
        <f t="shared" si="391"/>
        <v>0.30727295238961561</v>
      </c>
      <c r="R1983" s="25">
        <f t="shared" si="388"/>
        <v>0.13268732929397542</v>
      </c>
      <c r="S1983" s="25">
        <f t="shared" si="385"/>
        <v>0.19532841351738472</v>
      </c>
      <c r="T1983" s="25">
        <f t="shared" si="382"/>
        <v>0.19915846387557945</v>
      </c>
      <c r="U1983" s="25">
        <f t="shared" si="379"/>
        <v>0.17967015592417734</v>
      </c>
      <c r="X1983">
        <f t="shared" si="392"/>
        <v>1</v>
      </c>
      <c r="Y1983">
        <f t="shared" si="389"/>
        <v>0</v>
      </c>
      <c r="Z1983">
        <f t="shared" si="386"/>
        <v>0</v>
      </c>
      <c r="AA1983">
        <f t="shared" si="383"/>
        <v>0</v>
      </c>
      <c r="AB1983">
        <f t="shared" si="380"/>
        <v>0</v>
      </c>
    </row>
    <row r="1984" spans="1:28">
      <c r="A1984" s="26">
        <v>45308</v>
      </c>
      <c r="B1984" s="23">
        <v>1590.83</v>
      </c>
      <c r="C1984" s="25">
        <f t="shared" si="376"/>
        <v>-1.6287712485391237E-2</v>
      </c>
      <c r="E1984" s="25">
        <f t="shared" si="390"/>
        <v>0.28188330472760081</v>
      </c>
      <c r="F1984" s="25">
        <f t="shared" si="387"/>
        <v>0.11128891296033494</v>
      </c>
      <c r="G1984" s="25">
        <f t="shared" si="384"/>
        <v>0.16722832545323518</v>
      </c>
      <c r="H1984" s="25">
        <f t="shared" si="381"/>
        <v>0.17512615403510168</v>
      </c>
      <c r="I1984" s="25">
        <f t="shared" si="378"/>
        <v>0.16665726832985128</v>
      </c>
      <c r="K1984" s="28">
        <v>45308</v>
      </c>
      <c r="L1984" s="23">
        <v>30509.29</v>
      </c>
      <c r="M1984" s="25">
        <f t="shared" si="377"/>
        <v>-1.7444522635564366E-2</v>
      </c>
      <c r="O1984" t="b">
        <f t="shared" si="375"/>
        <v>1</v>
      </c>
      <c r="Q1984" s="25">
        <f t="shared" si="391"/>
        <v>0.27728806718917665</v>
      </c>
      <c r="R1984" s="25">
        <f t="shared" si="388"/>
        <v>0.13041521376828213</v>
      </c>
      <c r="S1984" s="25">
        <f t="shared" si="385"/>
        <v>0.18528250470097563</v>
      </c>
      <c r="T1984" s="25">
        <f t="shared" si="382"/>
        <v>0.19526163329342872</v>
      </c>
      <c r="U1984" s="25">
        <f t="shared" si="379"/>
        <v>0.17614554877748057</v>
      </c>
      <c r="X1984">
        <f t="shared" si="392"/>
        <v>1</v>
      </c>
      <c r="Y1984">
        <f t="shared" si="389"/>
        <v>0</v>
      </c>
      <c r="Z1984">
        <f t="shared" si="386"/>
        <v>0</v>
      </c>
      <c r="AA1984">
        <f t="shared" si="383"/>
        <v>0</v>
      </c>
      <c r="AB1984">
        <f t="shared" si="380"/>
        <v>0</v>
      </c>
    </row>
    <row r="1985" spans="1:28">
      <c r="A1985" s="27">
        <v>45309</v>
      </c>
      <c r="B1985" s="24">
        <v>1587.45</v>
      </c>
      <c r="C1985" s="25">
        <f t="shared" si="376"/>
        <v>-2.1246770553735358E-3</v>
      </c>
      <c r="E1985" s="25">
        <f t="shared" si="390"/>
        <v>0.27298461143677377</v>
      </c>
      <c r="F1985" s="25">
        <f t="shared" si="387"/>
        <v>0.11579141021581196</v>
      </c>
      <c r="G1985" s="25">
        <f t="shared" si="384"/>
        <v>0.16960562172169791</v>
      </c>
      <c r="H1985" s="25">
        <f t="shared" si="381"/>
        <v>0.17306629583222888</v>
      </c>
      <c r="I1985" s="25">
        <f t="shared" si="378"/>
        <v>0.16625617675559856</v>
      </c>
      <c r="K1985" s="29">
        <v>45309</v>
      </c>
      <c r="L1985" s="24">
        <v>30395.29</v>
      </c>
      <c r="M1985" s="25">
        <f t="shared" si="377"/>
        <v>-3.7505810933207086E-3</v>
      </c>
      <c r="O1985" t="b">
        <f t="shared" si="375"/>
        <v>1</v>
      </c>
      <c r="Q1985" s="25">
        <f t="shared" si="391"/>
        <v>0.26673907091128912</v>
      </c>
      <c r="R1985" s="25">
        <f t="shared" si="388"/>
        <v>0.1319294207647681</v>
      </c>
      <c r="S1985" s="25">
        <f t="shared" si="385"/>
        <v>0.18583192587895359</v>
      </c>
      <c r="T1985" s="25">
        <f t="shared" si="382"/>
        <v>0.19257868152070845</v>
      </c>
      <c r="U1985" s="25">
        <f t="shared" si="379"/>
        <v>0.17487518373521582</v>
      </c>
      <c r="X1985">
        <f t="shared" si="392"/>
        <v>1</v>
      </c>
      <c r="Y1985">
        <f t="shared" si="389"/>
        <v>0</v>
      </c>
      <c r="Z1985">
        <f t="shared" si="386"/>
        <v>0</v>
      </c>
      <c r="AA1985">
        <f t="shared" si="383"/>
        <v>0</v>
      </c>
      <c r="AB1985">
        <f t="shared" si="380"/>
        <v>0</v>
      </c>
    </row>
    <row r="1986" spans="1:28">
      <c r="A1986" s="26">
        <v>45310</v>
      </c>
      <c r="B1986" s="23">
        <v>1602.23</v>
      </c>
      <c r="C1986" s="25">
        <f t="shared" si="376"/>
        <v>9.3105294654949582E-3</v>
      </c>
      <c r="E1986" s="25">
        <f t="shared" si="390"/>
        <v>0.28777990322943614</v>
      </c>
      <c r="F1986" s="25">
        <f t="shared" si="387"/>
        <v>0.12407228593280784</v>
      </c>
      <c r="G1986" s="25">
        <f t="shared" si="384"/>
        <v>0.17850199599201422</v>
      </c>
      <c r="H1986" s="25">
        <f t="shared" si="381"/>
        <v>0.17776970080862053</v>
      </c>
      <c r="I1986" s="25">
        <f t="shared" si="378"/>
        <v>0.16897007379847739</v>
      </c>
      <c r="K1986" s="28">
        <v>45310</v>
      </c>
      <c r="L1986" s="23">
        <v>30703.17</v>
      </c>
      <c r="M1986" s="25">
        <f t="shared" si="377"/>
        <v>1.0027629068920161E-2</v>
      </c>
      <c r="O1986" t="b">
        <f t="shared" si="375"/>
        <v>1</v>
      </c>
      <c r="Q1986" s="25">
        <f t="shared" si="391"/>
        <v>0.28333001039515371</v>
      </c>
      <c r="R1986" s="25">
        <f t="shared" si="388"/>
        <v>0.14170845401576715</v>
      </c>
      <c r="S1986" s="25">
        <f t="shared" si="385"/>
        <v>0.19519317267040326</v>
      </c>
      <c r="T1986" s="25">
        <f t="shared" si="382"/>
        <v>0.19829298146801966</v>
      </c>
      <c r="U1986" s="25">
        <f t="shared" si="379"/>
        <v>0.17786781221500347</v>
      </c>
      <c r="X1986">
        <f t="shared" si="392"/>
        <v>1</v>
      </c>
      <c r="Y1986">
        <f t="shared" si="389"/>
        <v>0</v>
      </c>
      <c r="Z1986">
        <f t="shared" si="386"/>
        <v>0</v>
      </c>
      <c r="AA1986">
        <f t="shared" si="383"/>
        <v>0</v>
      </c>
      <c r="AB1986">
        <f t="shared" si="380"/>
        <v>0</v>
      </c>
    </row>
    <row r="1987" spans="1:28">
      <c r="A1987" s="27">
        <v>45314</v>
      </c>
      <c r="B1987" s="24">
        <v>1573.8</v>
      </c>
      <c r="C1987" s="25">
        <f t="shared" si="376"/>
        <v>-1.7744019273138102E-2</v>
      </c>
      <c r="E1987" s="25">
        <f t="shared" si="390"/>
        <v>0.27256996385571397</v>
      </c>
      <c r="F1987" s="25">
        <f t="shared" si="387"/>
        <v>0.12224011002584612</v>
      </c>
      <c r="G1987" s="25">
        <f t="shared" si="384"/>
        <v>0.17387312741342553</v>
      </c>
      <c r="H1987" s="25">
        <f t="shared" si="381"/>
        <v>0.17355075854030821</v>
      </c>
      <c r="I1987" s="25">
        <f t="shared" si="378"/>
        <v>0.16601122681735836</v>
      </c>
      <c r="K1987" s="29">
        <v>45314</v>
      </c>
      <c r="L1987" s="24">
        <v>30076.99</v>
      </c>
      <c r="M1987" s="25">
        <f t="shared" si="377"/>
        <v>-2.0819237563333187E-2</v>
      </c>
      <c r="O1987" t="b">
        <f t="shared" ref="O1987:O2050" si="393">K1987=A1987</f>
        <v>1</v>
      </c>
      <c r="Q1987" s="25">
        <f t="shared" si="391"/>
        <v>0.26303909723980712</v>
      </c>
      <c r="R1987" s="25">
        <f t="shared" si="388"/>
        <v>0.13668995386015381</v>
      </c>
      <c r="S1987" s="25">
        <f t="shared" si="385"/>
        <v>0.19073323383459084</v>
      </c>
      <c r="T1987" s="25">
        <f t="shared" si="382"/>
        <v>0.19387715888739243</v>
      </c>
      <c r="U1987" s="25">
        <f t="shared" si="379"/>
        <v>0.1746297516469284</v>
      </c>
      <c r="X1987">
        <f t="shared" si="392"/>
        <v>1</v>
      </c>
      <c r="Y1987">
        <f t="shared" si="389"/>
        <v>0</v>
      </c>
      <c r="Z1987">
        <f t="shared" si="386"/>
        <v>0</v>
      </c>
      <c r="AA1987">
        <f t="shared" si="383"/>
        <v>0</v>
      </c>
      <c r="AB1987">
        <f t="shared" si="380"/>
        <v>0</v>
      </c>
    </row>
    <row r="1988" spans="1:28">
      <c r="A1988" s="26">
        <v>45315</v>
      </c>
      <c r="B1988" s="23">
        <v>1594.51</v>
      </c>
      <c r="C1988" s="25">
        <f t="shared" ref="C1988:C2051" si="394">(B1988-B1987)/B1987</f>
        <v>1.3159232431058607E-2</v>
      </c>
      <c r="E1988" s="25">
        <f t="shared" si="390"/>
        <v>0.28402090496935939</v>
      </c>
      <c r="F1988" s="25">
        <f t="shared" si="387"/>
        <v>0.14658090882824903</v>
      </c>
      <c r="G1988" s="25">
        <f t="shared" si="384"/>
        <v>0.18650235826446671</v>
      </c>
      <c r="H1988" s="25">
        <f t="shared" si="381"/>
        <v>0.18293451375134517</v>
      </c>
      <c r="I1988" s="25">
        <f t="shared" si="378"/>
        <v>0.16916966007127954</v>
      </c>
      <c r="K1988" s="28">
        <v>45315</v>
      </c>
      <c r="L1988" s="23">
        <v>30460.23</v>
      </c>
      <c r="M1988" s="25">
        <f t="shared" ref="M1988:M2051" si="395">(L1988-L1987)/L1988</f>
        <v>1.2581651550234453E-2</v>
      </c>
      <c r="O1988" t="b">
        <f t="shared" si="393"/>
        <v>1</v>
      </c>
      <c r="Q1988" s="25">
        <f t="shared" si="391"/>
        <v>0.27453940560717793</v>
      </c>
      <c r="R1988" s="25">
        <f t="shared" si="388"/>
        <v>0.16197131022733435</v>
      </c>
      <c r="S1988" s="25">
        <f t="shared" si="385"/>
        <v>0.20251839337548794</v>
      </c>
      <c r="T1988" s="25">
        <f t="shared" si="382"/>
        <v>0.20414791031058988</v>
      </c>
      <c r="U1988" s="25">
        <f t="shared" si="379"/>
        <v>0.17746344464063646</v>
      </c>
      <c r="X1988">
        <f t="shared" si="392"/>
        <v>1</v>
      </c>
      <c r="Y1988">
        <f t="shared" si="389"/>
        <v>0</v>
      </c>
      <c r="Z1988">
        <f t="shared" si="386"/>
        <v>0</v>
      </c>
      <c r="AA1988">
        <f t="shared" si="383"/>
        <v>0</v>
      </c>
      <c r="AB1988">
        <f t="shared" si="380"/>
        <v>0</v>
      </c>
    </row>
    <row r="1989" spans="1:28">
      <c r="A1989" s="27">
        <v>45316</v>
      </c>
      <c r="B1989" s="24">
        <v>1585.98</v>
      </c>
      <c r="C1989" s="25">
        <f t="shared" si="394"/>
        <v>-5.3496058350214004E-3</v>
      </c>
      <c r="E1989" s="25">
        <f t="shared" si="390"/>
        <v>0.28074099795692598</v>
      </c>
      <c r="F1989" s="25">
        <f t="shared" si="387"/>
        <v>0.13816886740463841</v>
      </c>
      <c r="G1989" s="25">
        <f t="shared" si="384"/>
        <v>0.18735885841031008</v>
      </c>
      <c r="H1989" s="25">
        <f t="shared" si="381"/>
        <v>0.17488842783968894</v>
      </c>
      <c r="I1989" s="25">
        <f t="shared" si="378"/>
        <v>0.17055820764522278</v>
      </c>
      <c r="K1989" s="29">
        <v>45316</v>
      </c>
      <c r="L1989" s="24">
        <v>30369.59</v>
      </c>
      <c r="M1989" s="25">
        <f t="shared" si="395"/>
        <v>-2.9845644936266646E-3</v>
      </c>
      <c r="O1989" t="b">
        <f t="shared" si="393"/>
        <v>1</v>
      </c>
      <c r="Q1989" s="25">
        <f t="shared" si="391"/>
        <v>0.27193627584427649</v>
      </c>
      <c r="R1989" s="25">
        <f t="shared" si="388"/>
        <v>0.1555306204301603</v>
      </c>
      <c r="S1989" s="25">
        <f t="shared" si="385"/>
        <v>0.20493810055735828</v>
      </c>
      <c r="T1989" s="25">
        <f t="shared" si="382"/>
        <v>0.19702016412899659</v>
      </c>
      <c r="U1989" s="25">
        <f t="shared" si="379"/>
        <v>0.17879175235062572</v>
      </c>
      <c r="X1989">
        <f t="shared" si="392"/>
        <v>1</v>
      </c>
      <c r="Y1989">
        <f t="shared" si="389"/>
        <v>0</v>
      </c>
      <c r="Z1989">
        <f t="shared" si="386"/>
        <v>0</v>
      </c>
      <c r="AA1989">
        <f t="shared" si="383"/>
        <v>0</v>
      </c>
      <c r="AB1989">
        <f t="shared" si="380"/>
        <v>0</v>
      </c>
    </row>
    <row r="1990" spans="1:28">
      <c r="A1990" s="26">
        <v>45320</v>
      </c>
      <c r="B1990" s="23">
        <v>1607.73</v>
      </c>
      <c r="C1990" s="25">
        <f t="shared" si="394"/>
        <v>1.371391820830023E-2</v>
      </c>
      <c r="E1990" s="25">
        <f t="shared" si="390"/>
        <v>0.31537479750625885</v>
      </c>
      <c r="F1990" s="25">
        <f t="shared" si="387"/>
        <v>0.15356623059924623</v>
      </c>
      <c r="G1990" s="25">
        <f t="shared" si="384"/>
        <v>0.19737153154151299</v>
      </c>
      <c r="H1990" s="25">
        <f t="shared" si="381"/>
        <v>0.17612918039826786</v>
      </c>
      <c r="I1990" s="25">
        <f t="shared" si="378"/>
        <v>0.17708119498099473</v>
      </c>
      <c r="K1990" s="28">
        <v>45320</v>
      </c>
      <c r="L1990" s="23">
        <v>30868.87</v>
      </c>
      <c r="M1990" s="25">
        <f t="shared" si="395"/>
        <v>1.617422341666536E-2</v>
      </c>
      <c r="O1990" t="b">
        <f t="shared" si="393"/>
        <v>1</v>
      </c>
      <c r="Q1990" s="25">
        <f t="shared" si="391"/>
        <v>0.31127225676219861</v>
      </c>
      <c r="R1990" s="25">
        <f t="shared" si="388"/>
        <v>0.17102106705647113</v>
      </c>
      <c r="S1990" s="25">
        <f t="shared" si="385"/>
        <v>0.21649010816539982</v>
      </c>
      <c r="T1990" s="25">
        <f t="shared" si="382"/>
        <v>0.1989274313919227</v>
      </c>
      <c r="U1990" s="25">
        <f t="shared" si="379"/>
        <v>0.18575898187551343</v>
      </c>
      <c r="X1990">
        <f t="shared" si="392"/>
        <v>1</v>
      </c>
      <c r="Y1990">
        <f t="shared" si="389"/>
        <v>0</v>
      </c>
      <c r="Z1990">
        <f t="shared" si="386"/>
        <v>0</v>
      </c>
      <c r="AA1990">
        <f t="shared" si="383"/>
        <v>0</v>
      </c>
      <c r="AB1990">
        <f t="shared" si="380"/>
        <v>0</v>
      </c>
    </row>
    <row r="1991" spans="1:28">
      <c r="A1991" s="27">
        <v>45321</v>
      </c>
      <c r="B1991" s="24">
        <v>1594.72</v>
      </c>
      <c r="C1991" s="25">
        <f t="shared" si="394"/>
        <v>-8.0921547772324891E-3</v>
      </c>
      <c r="E1991" s="25">
        <f t="shared" si="390"/>
        <v>0.3229031000356708</v>
      </c>
      <c r="F1991" s="25">
        <f t="shared" si="387"/>
        <v>0.14607071101869362</v>
      </c>
      <c r="G1991" s="25">
        <f t="shared" si="384"/>
        <v>0.17935062460930062</v>
      </c>
      <c r="H1991" s="25">
        <f t="shared" si="381"/>
        <v>0.17203752144550055</v>
      </c>
      <c r="I1991" s="25">
        <f t="shared" si="378"/>
        <v>0.17443142639168085</v>
      </c>
      <c r="K1991" s="29">
        <v>45321</v>
      </c>
      <c r="L1991" s="24">
        <v>30654.14</v>
      </c>
      <c r="M1991" s="25">
        <f t="shared" si="395"/>
        <v>-7.0049265776172343E-3</v>
      </c>
      <c r="O1991" t="b">
        <f t="shared" si="393"/>
        <v>1</v>
      </c>
      <c r="Q1991" s="25">
        <f t="shared" si="391"/>
        <v>0.32816437378033347</v>
      </c>
      <c r="R1991" s="25">
        <f t="shared" si="388"/>
        <v>0.16521473922883612</v>
      </c>
      <c r="S1991" s="25">
        <f t="shared" si="385"/>
        <v>0.19736431797338128</v>
      </c>
      <c r="T1991" s="25">
        <f t="shared" si="382"/>
        <v>0.19524151244551535</v>
      </c>
      <c r="U1991" s="25">
        <f t="shared" si="379"/>
        <v>0.18412466039629249</v>
      </c>
      <c r="X1991">
        <f t="shared" si="392"/>
        <v>0</v>
      </c>
      <c r="Y1991">
        <f t="shared" si="389"/>
        <v>0</v>
      </c>
      <c r="Z1991">
        <f t="shared" si="386"/>
        <v>0</v>
      </c>
      <c r="AA1991">
        <f t="shared" si="383"/>
        <v>0</v>
      </c>
      <c r="AB1991">
        <f t="shared" si="380"/>
        <v>0</v>
      </c>
    </row>
    <row r="1992" spans="1:28">
      <c r="A1992" s="26">
        <v>45322</v>
      </c>
      <c r="B1992" s="23">
        <v>1612.96</v>
      </c>
      <c r="C1992" s="25">
        <f t="shared" si="394"/>
        <v>1.1437744557038231E-2</v>
      </c>
      <c r="E1992" s="25">
        <f t="shared" si="390"/>
        <v>0.33262830893287965</v>
      </c>
      <c r="F1992" s="25">
        <f t="shared" si="387"/>
        <v>0.1461858921802841</v>
      </c>
      <c r="G1992" s="25">
        <f t="shared" si="384"/>
        <v>0.17447771967920778</v>
      </c>
      <c r="H1992" s="25">
        <f t="shared" si="381"/>
        <v>0.17516608428757663</v>
      </c>
      <c r="I1992" s="25">
        <f t="shared" si="378"/>
        <v>0.17521507207108011</v>
      </c>
      <c r="K1992" s="28">
        <v>45322</v>
      </c>
      <c r="L1992" s="23">
        <v>31011.17</v>
      </c>
      <c r="M1992" s="25">
        <f t="shared" si="395"/>
        <v>1.151294839891558E-2</v>
      </c>
      <c r="O1992" t="b">
        <f t="shared" si="393"/>
        <v>1</v>
      </c>
      <c r="Q1992" s="25">
        <f t="shared" si="391"/>
        <v>0.34548680184083058</v>
      </c>
      <c r="R1992" s="25">
        <f t="shared" si="388"/>
        <v>0.16416910858568001</v>
      </c>
      <c r="S1992" s="25">
        <f t="shared" si="385"/>
        <v>0.19250330515032088</v>
      </c>
      <c r="T1992" s="25">
        <f t="shared" si="382"/>
        <v>0.19880485481855237</v>
      </c>
      <c r="U1992" s="25">
        <f t="shared" si="379"/>
        <v>0.18662302816526921</v>
      </c>
      <c r="X1992">
        <f t="shared" si="392"/>
        <v>0</v>
      </c>
      <c r="Y1992">
        <f t="shared" si="389"/>
        <v>0</v>
      </c>
      <c r="Z1992">
        <f t="shared" si="386"/>
        <v>0</v>
      </c>
      <c r="AA1992">
        <f t="shared" si="383"/>
        <v>0</v>
      </c>
      <c r="AB1992">
        <f t="shared" si="380"/>
        <v>0</v>
      </c>
    </row>
    <row r="1993" spans="1:28">
      <c r="A1993" s="27">
        <v>45323</v>
      </c>
      <c r="B1993" s="24">
        <v>1607.02</v>
      </c>
      <c r="C1993" s="25">
        <f t="shared" si="394"/>
        <v>-3.6826703700030094E-3</v>
      </c>
      <c r="E1993" s="25">
        <f t="shared" si="390"/>
        <v>0.32167119006497225</v>
      </c>
      <c r="F1993" s="25">
        <f t="shared" si="387"/>
        <v>0.13474006349398948</v>
      </c>
      <c r="G1993" s="25">
        <f t="shared" si="384"/>
        <v>0.16857929411846717</v>
      </c>
      <c r="H1993" s="25">
        <f t="shared" si="381"/>
        <v>0.17646514819210646</v>
      </c>
      <c r="I1993" s="25">
        <f t="shared" si="378"/>
        <v>0.17257397062862578</v>
      </c>
      <c r="K1993" s="29">
        <v>45323</v>
      </c>
      <c r="L1993" s="24">
        <v>30972.560000000001</v>
      </c>
      <c r="M1993" s="25">
        <f t="shared" si="395"/>
        <v>-1.2465873017921975E-3</v>
      </c>
      <c r="O1993" t="b">
        <f t="shared" si="393"/>
        <v>1</v>
      </c>
      <c r="Q1993" s="25">
        <f t="shared" si="391"/>
        <v>0.33646141000774543</v>
      </c>
      <c r="R1993" s="25">
        <f t="shared" si="388"/>
        <v>0.15591982903332768</v>
      </c>
      <c r="S1993" s="25">
        <f t="shared" si="385"/>
        <v>0.1880523020319318</v>
      </c>
      <c r="T1993" s="25">
        <f t="shared" si="382"/>
        <v>0.20008683567922603</v>
      </c>
      <c r="U1993" s="25">
        <f t="shared" si="379"/>
        <v>0.18317349785819093</v>
      </c>
      <c r="X1993">
        <f t="shared" si="392"/>
        <v>0</v>
      </c>
      <c r="Y1993">
        <f t="shared" si="389"/>
        <v>0</v>
      </c>
      <c r="Z1993">
        <f t="shared" si="386"/>
        <v>0</v>
      </c>
      <c r="AA1993">
        <f t="shared" si="383"/>
        <v>0</v>
      </c>
      <c r="AB1993">
        <f t="shared" si="380"/>
        <v>0</v>
      </c>
    </row>
    <row r="1994" spans="1:28">
      <c r="A1994" s="26">
        <v>45324</v>
      </c>
      <c r="B1994" s="23">
        <v>1615.77</v>
      </c>
      <c r="C1994" s="25">
        <f t="shared" si="394"/>
        <v>5.4448606737937302E-3</v>
      </c>
      <c r="E1994" s="25">
        <f t="shared" si="390"/>
        <v>0.33148470140336705</v>
      </c>
      <c r="F1994" s="25">
        <f t="shared" si="387"/>
        <v>0.13165790327455018</v>
      </c>
      <c r="G1994" s="25">
        <f t="shared" si="384"/>
        <v>0.16865362639720249</v>
      </c>
      <c r="H1994" s="25">
        <f t="shared" si="381"/>
        <v>0.17693554396810507</v>
      </c>
      <c r="I1994" s="25">
        <f t="shared" si="378"/>
        <v>0.17388372397706253</v>
      </c>
      <c r="K1994" s="28">
        <v>45324</v>
      </c>
      <c r="L1994" s="23">
        <v>31181.94</v>
      </c>
      <c r="M1994" s="25">
        <f t="shared" si="395"/>
        <v>6.7147842629418624E-3</v>
      </c>
      <c r="O1994" t="b">
        <f t="shared" si="393"/>
        <v>1</v>
      </c>
      <c r="Q1994" s="25">
        <f t="shared" si="391"/>
        <v>0.353453304859628</v>
      </c>
      <c r="R1994" s="25">
        <f t="shared" si="388"/>
        <v>0.153073751621291</v>
      </c>
      <c r="S1994" s="25">
        <f t="shared" si="385"/>
        <v>0.18708320095884057</v>
      </c>
      <c r="T1994" s="25">
        <f t="shared" si="382"/>
        <v>0.20085411734297365</v>
      </c>
      <c r="U1994" s="25">
        <f t="shared" si="379"/>
        <v>0.18339271093450393</v>
      </c>
      <c r="X1994">
        <f t="shared" si="392"/>
        <v>0</v>
      </c>
      <c r="Y1994">
        <f t="shared" si="389"/>
        <v>0</v>
      </c>
      <c r="Z1994">
        <f t="shared" si="386"/>
        <v>0</v>
      </c>
      <c r="AA1994">
        <f t="shared" si="383"/>
        <v>0</v>
      </c>
      <c r="AB1994">
        <f t="shared" si="380"/>
        <v>0</v>
      </c>
    </row>
    <row r="1995" spans="1:28">
      <c r="A1995" s="27">
        <v>45327</v>
      </c>
      <c r="B1995" s="24">
        <v>1609.1</v>
      </c>
      <c r="C1995" s="25">
        <f t="shared" si="394"/>
        <v>-4.1280627812127178E-3</v>
      </c>
      <c r="E1995" s="25">
        <f t="shared" si="390"/>
        <v>0.32037385018093478</v>
      </c>
      <c r="F1995" s="25">
        <f t="shared" si="387"/>
        <v>0.13497866539126702</v>
      </c>
      <c r="G1995" s="25">
        <f t="shared" si="384"/>
        <v>0.16889369517218777</v>
      </c>
      <c r="H1995" s="25">
        <f t="shared" si="381"/>
        <v>0.17398722209368711</v>
      </c>
      <c r="I1995" s="25">
        <f t="shared" si="378"/>
        <v>0.17419220289186987</v>
      </c>
      <c r="K1995" s="29">
        <v>45327</v>
      </c>
      <c r="L1995" s="24">
        <v>31092.89</v>
      </c>
      <c r="M1995" s="25">
        <f t="shared" si="395"/>
        <v>-2.8639988113037828E-3</v>
      </c>
      <c r="O1995" t="b">
        <f t="shared" si="393"/>
        <v>1</v>
      </c>
      <c r="Q1995" s="25">
        <f t="shared" si="391"/>
        <v>0.35032423878149443</v>
      </c>
      <c r="R1995" s="25">
        <f t="shared" si="388"/>
        <v>0.15729218644209708</v>
      </c>
      <c r="S1995" s="25">
        <f t="shared" si="385"/>
        <v>0.1861425947596087</v>
      </c>
      <c r="T1995" s="25">
        <f t="shared" si="382"/>
        <v>0.19849384164748329</v>
      </c>
      <c r="U1995" s="25">
        <f t="shared" si="379"/>
        <v>0.18308626817204177</v>
      </c>
      <c r="X1995">
        <f t="shared" si="392"/>
        <v>0</v>
      </c>
      <c r="Y1995">
        <f t="shared" si="389"/>
        <v>0</v>
      </c>
      <c r="Z1995">
        <f t="shared" si="386"/>
        <v>0</v>
      </c>
      <c r="AA1995">
        <f t="shared" si="383"/>
        <v>0</v>
      </c>
      <c r="AB1995">
        <f t="shared" si="380"/>
        <v>0</v>
      </c>
    </row>
    <row r="1996" spans="1:28">
      <c r="A1996" s="26">
        <v>45328</v>
      </c>
      <c r="B1996" s="23">
        <v>1625.26</v>
      </c>
      <c r="C1996" s="25">
        <f t="shared" si="394"/>
        <v>1.0042881113666077E-2</v>
      </c>
      <c r="E1996" s="25">
        <f t="shared" si="390"/>
        <v>0.32116699317980424</v>
      </c>
      <c r="F1996" s="25">
        <f t="shared" si="387"/>
        <v>0.14143606507032946</v>
      </c>
      <c r="G1996" s="25">
        <f t="shared" si="384"/>
        <v>0.16705728348595117</v>
      </c>
      <c r="H1996" s="25">
        <f t="shared" si="381"/>
        <v>0.17686469854600584</v>
      </c>
      <c r="I1996" s="25">
        <f t="shared" si="378"/>
        <v>0.17654450387779441</v>
      </c>
      <c r="K1996" s="28">
        <v>45328</v>
      </c>
      <c r="L1996" s="23">
        <v>31378.02</v>
      </c>
      <c r="M1996" s="25">
        <f t="shared" si="395"/>
        <v>9.0869341022792715E-3</v>
      </c>
      <c r="O1996" t="b">
        <f t="shared" si="393"/>
        <v>1</v>
      </c>
      <c r="Q1996" s="25">
        <f t="shared" si="391"/>
        <v>0.35147676889667223</v>
      </c>
      <c r="R1996" s="25">
        <f t="shared" si="388"/>
        <v>0.16450917513111896</v>
      </c>
      <c r="S1996" s="25">
        <f t="shared" si="385"/>
        <v>0.18458068403325645</v>
      </c>
      <c r="T1996" s="25">
        <f t="shared" si="382"/>
        <v>0.20179647579575399</v>
      </c>
      <c r="U1996" s="25">
        <f t="shared" si="379"/>
        <v>0.18546071435465961</v>
      </c>
      <c r="X1996">
        <f t="shared" si="392"/>
        <v>0</v>
      </c>
      <c r="Y1996">
        <f t="shared" si="389"/>
        <v>0</v>
      </c>
      <c r="Z1996">
        <f t="shared" si="386"/>
        <v>0</v>
      </c>
      <c r="AA1996">
        <f t="shared" si="383"/>
        <v>0</v>
      </c>
      <c r="AB1996">
        <f t="shared" si="380"/>
        <v>0</v>
      </c>
    </row>
    <row r="1997" spans="1:28">
      <c r="A1997" s="27">
        <v>45329</v>
      </c>
      <c r="B1997" s="24">
        <v>1627.75</v>
      </c>
      <c r="C1997" s="25">
        <f t="shared" si="394"/>
        <v>1.5320625622977303E-3</v>
      </c>
      <c r="E1997" s="25">
        <f t="shared" si="390"/>
        <v>0.32278249563203443</v>
      </c>
      <c r="F1997" s="25">
        <f t="shared" si="387"/>
        <v>0.15172908614288594</v>
      </c>
      <c r="G1997" s="25">
        <f t="shared" si="384"/>
        <v>0.16781671405266962</v>
      </c>
      <c r="H1997" s="25">
        <f t="shared" si="381"/>
        <v>0.17818178833143983</v>
      </c>
      <c r="I1997" s="25">
        <f t="shared" si="378"/>
        <v>0.17449374566205034</v>
      </c>
      <c r="K1997" s="29">
        <v>45329</v>
      </c>
      <c r="L1997" s="24">
        <v>31497.14</v>
      </c>
      <c r="M1997" s="25">
        <f t="shared" si="395"/>
        <v>3.781930676880472E-3</v>
      </c>
      <c r="O1997" t="b">
        <f t="shared" si="393"/>
        <v>1</v>
      </c>
      <c r="Q1997" s="25">
        <f t="shared" si="391"/>
        <v>0.35915326124995617</v>
      </c>
      <c r="R1997" s="25">
        <f t="shared" si="388"/>
        <v>0.17510771543678638</v>
      </c>
      <c r="S1997" s="25">
        <f t="shared" si="385"/>
        <v>0.18626781753247745</v>
      </c>
      <c r="T1997" s="25">
        <f t="shared" si="382"/>
        <v>0.20463847326625362</v>
      </c>
      <c r="U1997" s="25">
        <f t="shared" si="379"/>
        <v>0.18408982895951831</v>
      </c>
      <c r="X1997">
        <f t="shared" si="392"/>
        <v>0</v>
      </c>
      <c r="Y1997">
        <f t="shared" si="389"/>
        <v>0</v>
      </c>
      <c r="Z1997">
        <f t="shared" si="386"/>
        <v>0</v>
      </c>
      <c r="AA1997">
        <f t="shared" si="383"/>
        <v>0</v>
      </c>
      <c r="AB1997">
        <f t="shared" si="380"/>
        <v>0</v>
      </c>
    </row>
    <row r="1998" spans="1:28">
      <c r="A1998" s="26">
        <v>45330</v>
      </c>
      <c r="B1998" s="23">
        <v>1617.38</v>
      </c>
      <c r="C1998" s="25">
        <f t="shared" si="394"/>
        <v>-6.3707571801565905E-3</v>
      </c>
      <c r="E1998" s="25">
        <f t="shared" si="390"/>
        <v>0.32235040184447872</v>
      </c>
      <c r="F1998" s="25">
        <f t="shared" si="387"/>
        <v>0.14809195575562617</v>
      </c>
      <c r="G1998" s="25">
        <f t="shared" si="384"/>
        <v>0.16546072278298229</v>
      </c>
      <c r="H1998" s="25">
        <f t="shared" si="381"/>
        <v>0.17804784229678461</v>
      </c>
      <c r="I1998" s="25">
        <f t="shared" si="378"/>
        <v>0.17202630887150261</v>
      </c>
      <c r="K1998" s="28">
        <v>45330</v>
      </c>
      <c r="L1998" s="23">
        <v>31317.58</v>
      </c>
      <c r="M1998" s="25">
        <f t="shared" si="395"/>
        <v>-5.7335209170056457E-3</v>
      </c>
      <c r="O1998" t="b">
        <f t="shared" si="393"/>
        <v>1</v>
      </c>
      <c r="Q1998" s="25">
        <f t="shared" si="391"/>
        <v>0.35427255846697658</v>
      </c>
      <c r="R1998" s="25">
        <f t="shared" si="388"/>
        <v>0.17228234886751603</v>
      </c>
      <c r="S1998" s="25">
        <f t="shared" si="385"/>
        <v>0.18342145443921587</v>
      </c>
      <c r="T1998" s="25">
        <f t="shared" si="382"/>
        <v>0.20497289226689097</v>
      </c>
      <c r="U1998" s="25">
        <f t="shared" si="379"/>
        <v>0.18203170323069928</v>
      </c>
      <c r="X1998">
        <f t="shared" si="392"/>
        <v>0</v>
      </c>
      <c r="Y1998">
        <f t="shared" si="389"/>
        <v>0</v>
      </c>
      <c r="Z1998">
        <f t="shared" si="386"/>
        <v>0</v>
      </c>
      <c r="AA1998">
        <f t="shared" si="383"/>
        <v>0</v>
      </c>
      <c r="AB1998">
        <f t="shared" si="380"/>
        <v>0</v>
      </c>
    </row>
    <row r="1999" spans="1:28">
      <c r="A1999" s="27">
        <v>45331</v>
      </c>
      <c r="B1999" s="24">
        <v>1622.35</v>
      </c>
      <c r="C1999" s="25">
        <f t="shared" si="394"/>
        <v>3.0728709394204205E-3</v>
      </c>
      <c r="E1999" s="25">
        <f t="shared" si="390"/>
        <v>0.3139416223921212</v>
      </c>
      <c r="F1999" s="25">
        <f t="shared" si="387"/>
        <v>0.1420169766923165</v>
      </c>
      <c r="G1999" s="25">
        <f t="shared" si="384"/>
        <v>0.16510442917090362</v>
      </c>
      <c r="H1999" s="25">
        <f t="shared" si="381"/>
        <v>0.17961607522886047</v>
      </c>
      <c r="I1999" s="25">
        <f t="shared" si="378"/>
        <v>0.17558524749925297</v>
      </c>
      <c r="K1999" s="29">
        <v>45331</v>
      </c>
      <c r="L1999" s="24">
        <v>31279.68</v>
      </c>
      <c r="M1999" s="25">
        <f t="shared" si="395"/>
        <v>-1.2116492240330289E-3</v>
      </c>
      <c r="O1999" t="b">
        <f t="shared" si="393"/>
        <v>1</v>
      </c>
      <c r="Q1999" s="25">
        <f t="shared" si="391"/>
        <v>0.34117235441613825</v>
      </c>
      <c r="R1999" s="25">
        <f t="shared" si="388"/>
        <v>0.16524145637106913</v>
      </c>
      <c r="S1999" s="25">
        <f t="shared" si="385"/>
        <v>0.18091874070473923</v>
      </c>
      <c r="T1999" s="25">
        <f t="shared" si="382"/>
        <v>0.20594743198115828</v>
      </c>
      <c r="U1999" s="25">
        <f t="shared" si="379"/>
        <v>0.18457605082350192</v>
      </c>
      <c r="X1999">
        <f t="shared" si="392"/>
        <v>0</v>
      </c>
      <c r="Y1999">
        <f t="shared" si="389"/>
        <v>0</v>
      </c>
      <c r="Z1999">
        <f t="shared" si="386"/>
        <v>0</v>
      </c>
      <c r="AA1999">
        <f t="shared" si="383"/>
        <v>0</v>
      </c>
      <c r="AB1999">
        <f t="shared" si="380"/>
        <v>0</v>
      </c>
    </row>
    <row r="2000" spans="1:28">
      <c r="A2000" s="26">
        <v>45334</v>
      </c>
      <c r="B2000" s="23">
        <v>1604.58</v>
      </c>
      <c r="C2000" s="25">
        <f t="shared" si="394"/>
        <v>-1.0953246833297367E-2</v>
      </c>
      <c r="E2000" s="25">
        <f t="shared" si="390"/>
        <v>0.29828791507540919</v>
      </c>
      <c r="F2000" s="25">
        <f t="shared" si="387"/>
        <v>0.1318260475465669</v>
      </c>
      <c r="G2000" s="25">
        <f t="shared" si="384"/>
        <v>0.15976556776950024</v>
      </c>
      <c r="H2000" s="25">
        <f t="shared" si="381"/>
        <v>0.17382067912099264</v>
      </c>
      <c r="I2000" s="25">
        <f t="shared" si="378"/>
        <v>0.17544239004848938</v>
      </c>
      <c r="K2000" s="28">
        <v>45334</v>
      </c>
      <c r="L2000" s="23">
        <v>30831.81</v>
      </c>
      <c r="M2000" s="25">
        <f t="shared" si="395"/>
        <v>-1.4526231187854328E-2</v>
      </c>
      <c r="O2000" t="b">
        <f t="shared" si="393"/>
        <v>1</v>
      </c>
      <c r="Q2000" s="25">
        <f t="shared" si="391"/>
        <v>0.32181156866628791</v>
      </c>
      <c r="R2000" s="25">
        <f t="shared" si="388"/>
        <v>0.15314240316819783</v>
      </c>
      <c r="S2000" s="25">
        <f t="shared" si="385"/>
        <v>0.17542932409335554</v>
      </c>
      <c r="T2000" s="25">
        <f t="shared" si="382"/>
        <v>0.19782488208352711</v>
      </c>
      <c r="U2000" s="25">
        <f t="shared" si="379"/>
        <v>0.18295486304401898</v>
      </c>
      <c r="X2000">
        <f t="shared" si="392"/>
        <v>0</v>
      </c>
      <c r="Y2000">
        <f t="shared" si="389"/>
        <v>0</v>
      </c>
      <c r="Z2000">
        <f t="shared" si="386"/>
        <v>0</v>
      </c>
      <c r="AA2000">
        <f t="shared" si="383"/>
        <v>0</v>
      </c>
      <c r="AB2000">
        <f t="shared" si="380"/>
        <v>0</v>
      </c>
    </row>
    <row r="2001" spans="1:28">
      <c r="A2001" s="27">
        <v>45335</v>
      </c>
      <c r="B2001" s="24">
        <v>1612.86</v>
      </c>
      <c r="C2001" s="25">
        <f t="shared" si="394"/>
        <v>5.1602288449313673E-3</v>
      </c>
      <c r="E2001" s="25">
        <f t="shared" si="390"/>
        <v>0.307759669180248</v>
      </c>
      <c r="F2001" s="25">
        <f t="shared" si="387"/>
        <v>0.14383291986203917</v>
      </c>
      <c r="G2001" s="25">
        <f t="shared" si="384"/>
        <v>0.15691471870251705</v>
      </c>
      <c r="H2001" s="25">
        <f t="shared" si="381"/>
        <v>0.17509924113723874</v>
      </c>
      <c r="I2001" s="25">
        <f t="shared" si="378"/>
        <v>0.17765601858544566</v>
      </c>
      <c r="K2001" s="29">
        <v>45335</v>
      </c>
      <c r="L2001" s="24">
        <v>31000.76</v>
      </c>
      <c r="M2001" s="25">
        <f t="shared" si="395"/>
        <v>5.4498663903722712E-3</v>
      </c>
      <c r="O2001" t="b">
        <f t="shared" si="393"/>
        <v>1</v>
      </c>
      <c r="Q2001" s="25">
        <f t="shared" si="391"/>
        <v>0.33026949741075828</v>
      </c>
      <c r="R2001" s="25">
        <f t="shared" si="388"/>
        <v>0.1648396955700393</v>
      </c>
      <c r="S2001" s="25">
        <f t="shared" si="385"/>
        <v>0.17367864983652126</v>
      </c>
      <c r="T2001" s="25">
        <f t="shared" si="382"/>
        <v>0.19981790830022117</v>
      </c>
      <c r="U2001" s="25">
        <f t="shared" si="379"/>
        <v>0.18532395507559318</v>
      </c>
      <c r="X2001">
        <f t="shared" si="392"/>
        <v>0</v>
      </c>
      <c r="Y2001">
        <f t="shared" si="389"/>
        <v>0</v>
      </c>
      <c r="Z2001">
        <f t="shared" si="386"/>
        <v>0</v>
      </c>
      <c r="AA2001">
        <f t="shared" si="383"/>
        <v>0</v>
      </c>
      <c r="AB2001">
        <f t="shared" si="380"/>
        <v>0</v>
      </c>
    </row>
    <row r="2002" spans="1:28">
      <c r="A2002" s="26">
        <v>45336</v>
      </c>
      <c r="B2002" s="23">
        <v>1618.96</v>
      </c>
      <c r="C2002" s="25">
        <f t="shared" si="394"/>
        <v>3.7821013603165413E-3</v>
      </c>
      <c r="E2002" s="25">
        <f t="shared" si="390"/>
        <v>0.31995140762965435</v>
      </c>
      <c r="F2002" s="25">
        <f t="shared" si="387"/>
        <v>0.16587298578566001</v>
      </c>
      <c r="G2002" s="25">
        <f t="shared" si="384"/>
        <v>0.15933685900107242</v>
      </c>
      <c r="H2002" s="25">
        <f t="shared" si="381"/>
        <v>0.18215117016031535</v>
      </c>
      <c r="I2002" s="25">
        <f t="shared" ref="I2002:I2065" si="396">((B2002/B771)^(1/5))-1</f>
        <v>0.179541095676653</v>
      </c>
      <c r="K2002" s="28">
        <v>45336</v>
      </c>
      <c r="L2002" s="23">
        <v>31219.360000000001</v>
      </c>
      <c r="M2002" s="25">
        <f t="shared" si="395"/>
        <v>7.0020653850688223E-3</v>
      </c>
      <c r="O2002" t="b">
        <f t="shared" si="393"/>
        <v>1</v>
      </c>
      <c r="Q2002" s="25">
        <f t="shared" si="391"/>
        <v>0.35000244319992602</v>
      </c>
      <c r="R2002" s="25">
        <f t="shared" si="388"/>
        <v>0.18844561513426061</v>
      </c>
      <c r="S2002" s="25">
        <f t="shared" si="385"/>
        <v>0.17595681175821776</v>
      </c>
      <c r="T2002" s="25">
        <f t="shared" si="382"/>
        <v>0.20803342207946041</v>
      </c>
      <c r="U2002" s="25">
        <f t="shared" ref="U2002:U2065" si="397">((L2002/L771)^(1/5))-1</f>
        <v>0.18798534490965091</v>
      </c>
      <c r="X2002">
        <f t="shared" si="392"/>
        <v>0</v>
      </c>
      <c r="Y2002">
        <f t="shared" si="389"/>
        <v>0</v>
      </c>
      <c r="Z2002">
        <f t="shared" si="386"/>
        <v>0</v>
      </c>
      <c r="AA2002">
        <f t="shared" si="383"/>
        <v>0</v>
      </c>
      <c r="AB2002">
        <f t="shared" ref="AB2002:AB2065" si="398">IF(I2002&gt;U2002,1,0)</f>
        <v>0</v>
      </c>
    </row>
    <row r="2003" spans="1:28">
      <c r="A2003" s="27">
        <v>45337</v>
      </c>
      <c r="B2003" s="24">
        <v>1626.28</v>
      </c>
      <c r="C2003" s="25">
        <f t="shared" si="394"/>
        <v>4.5214211592626971E-3</v>
      </c>
      <c r="E2003" s="25">
        <f t="shared" si="390"/>
        <v>0.32076145924698696</v>
      </c>
      <c r="F2003" s="25">
        <f t="shared" si="387"/>
        <v>0.15386361886554023</v>
      </c>
      <c r="G2003" s="25">
        <f t="shared" si="384"/>
        <v>0.1625566580579052</v>
      </c>
      <c r="H2003" s="25">
        <f t="shared" si="381"/>
        <v>0.18420363960645059</v>
      </c>
      <c r="I2003" s="25">
        <f t="shared" si="396"/>
        <v>0.18083906110234915</v>
      </c>
      <c r="K2003" s="29">
        <v>45337</v>
      </c>
      <c r="L2003" s="24">
        <v>31403.73</v>
      </c>
      <c r="M2003" s="25">
        <f t="shared" si="395"/>
        <v>5.8709586409002685E-3</v>
      </c>
      <c r="O2003" t="b">
        <f t="shared" si="393"/>
        <v>1</v>
      </c>
      <c r="Q2003" s="25">
        <f t="shared" si="391"/>
        <v>0.35175912275226784</v>
      </c>
      <c r="R2003" s="25">
        <f t="shared" si="388"/>
        <v>0.17549633997285352</v>
      </c>
      <c r="S2003" s="25">
        <f t="shared" si="385"/>
        <v>0.1797167540455431</v>
      </c>
      <c r="T2003" s="25">
        <f t="shared" si="382"/>
        <v>0.21084292416279649</v>
      </c>
      <c r="U2003" s="25">
        <f t="shared" si="397"/>
        <v>0.18986175382387094</v>
      </c>
      <c r="X2003">
        <f t="shared" si="392"/>
        <v>0</v>
      </c>
      <c r="Y2003">
        <f t="shared" si="389"/>
        <v>0</v>
      </c>
      <c r="Z2003">
        <f t="shared" si="386"/>
        <v>0</v>
      </c>
      <c r="AA2003">
        <f t="shared" si="383"/>
        <v>0</v>
      </c>
      <c r="AB2003">
        <f t="shared" si="398"/>
        <v>0</v>
      </c>
    </row>
    <row r="2004" spans="1:28">
      <c r="A2004" s="26">
        <v>45338</v>
      </c>
      <c r="B2004" s="23">
        <v>1637.48</v>
      </c>
      <c r="C2004" s="25">
        <f t="shared" si="394"/>
        <v>6.8868829475859294E-3</v>
      </c>
      <c r="E2004" s="25">
        <f t="shared" si="390"/>
        <v>0.32247877950879911</v>
      </c>
      <c r="F2004" s="25">
        <f t="shared" si="387"/>
        <v>0.15896921162475675</v>
      </c>
      <c r="G2004" s="25">
        <f t="shared" si="384"/>
        <v>0.16707150900451206</v>
      </c>
      <c r="H2004" s="25">
        <f t="shared" si="381"/>
        <v>0.18877539298869994</v>
      </c>
      <c r="I2004" s="25">
        <f t="shared" si="396"/>
        <v>0.18481547394700248</v>
      </c>
      <c r="K2004" s="28">
        <v>45338</v>
      </c>
      <c r="L2004" s="23">
        <v>31609.27</v>
      </c>
      <c r="M2004" s="25">
        <f t="shared" si="395"/>
        <v>6.5025228358643163E-3</v>
      </c>
      <c r="O2004" t="b">
        <f t="shared" si="393"/>
        <v>1</v>
      </c>
      <c r="Q2004" s="25">
        <f t="shared" si="391"/>
        <v>0.35358562879379929</v>
      </c>
      <c r="R2004" s="25">
        <f t="shared" si="388"/>
        <v>0.1798593051442352</v>
      </c>
      <c r="S2004" s="25">
        <f t="shared" si="385"/>
        <v>0.18327642018062451</v>
      </c>
      <c r="T2004" s="25">
        <f t="shared" si="382"/>
        <v>0.21602052587876774</v>
      </c>
      <c r="U2004" s="25">
        <f t="shared" si="397"/>
        <v>0.19253712823748037</v>
      </c>
      <c r="X2004">
        <f t="shared" si="392"/>
        <v>0</v>
      </c>
      <c r="Y2004">
        <f t="shared" si="389"/>
        <v>0</v>
      </c>
      <c r="Z2004">
        <f t="shared" si="386"/>
        <v>0</v>
      </c>
      <c r="AA2004">
        <f t="shared" si="383"/>
        <v>0</v>
      </c>
      <c r="AB2004">
        <f t="shared" si="398"/>
        <v>0</v>
      </c>
    </row>
    <row r="2005" spans="1:28">
      <c r="A2005" s="27">
        <v>45341</v>
      </c>
      <c r="B2005" s="24">
        <v>1645.42</v>
      </c>
      <c r="C2005" s="25">
        <f t="shared" si="394"/>
        <v>4.8489141852114557E-3</v>
      </c>
      <c r="E2005" s="25">
        <f t="shared" si="390"/>
        <v>0.32349345259161555</v>
      </c>
      <c r="F2005" s="25">
        <f t="shared" si="387"/>
        <v>0.1648469307203595</v>
      </c>
      <c r="G2005" s="25">
        <f t="shared" si="384"/>
        <v>0.17415262608540116</v>
      </c>
      <c r="H2005" s="25">
        <f t="shared" si="381"/>
        <v>0.19151659025206902</v>
      </c>
      <c r="I2005" s="25">
        <f t="shared" si="396"/>
        <v>0.18775267976185739</v>
      </c>
      <c r="K2005" s="29">
        <v>45341</v>
      </c>
      <c r="L2005" s="24">
        <v>31728.7</v>
      </c>
      <c r="M2005" s="25">
        <f t="shared" si="395"/>
        <v>3.7641000104006875E-3</v>
      </c>
      <c r="O2005" t="b">
        <f t="shared" si="393"/>
        <v>1</v>
      </c>
      <c r="Q2005" s="25">
        <f t="shared" si="391"/>
        <v>0.35471505413531657</v>
      </c>
      <c r="R2005" s="25">
        <f t="shared" si="388"/>
        <v>0.18271708611219917</v>
      </c>
      <c r="S2005" s="25">
        <f t="shared" si="385"/>
        <v>0.18878000442905174</v>
      </c>
      <c r="T2005" s="25">
        <f t="shared" si="382"/>
        <v>0.2185398113393473</v>
      </c>
      <c r="U2005" s="25">
        <f t="shared" si="397"/>
        <v>0.195405039387756</v>
      </c>
      <c r="X2005">
        <f t="shared" si="392"/>
        <v>0</v>
      </c>
      <c r="Y2005">
        <f t="shared" si="389"/>
        <v>0</v>
      </c>
      <c r="Z2005">
        <f t="shared" si="386"/>
        <v>0</v>
      </c>
      <c r="AA2005">
        <f t="shared" si="383"/>
        <v>0</v>
      </c>
      <c r="AB2005">
        <f t="shared" si="398"/>
        <v>0</v>
      </c>
    </row>
    <row r="2006" spans="1:28">
      <c r="A2006" s="26">
        <v>45342</v>
      </c>
      <c r="B2006" s="23">
        <v>1650.14</v>
      </c>
      <c r="C2006" s="25">
        <f t="shared" si="394"/>
        <v>2.8685685113831283E-3</v>
      </c>
      <c r="E2006" s="25">
        <f t="shared" si="390"/>
        <v>0.33743445100947489</v>
      </c>
      <c r="F2006" s="25">
        <f t="shared" si="387"/>
        <v>0.16879330307820584</v>
      </c>
      <c r="G2006" s="25">
        <f t="shared" si="384"/>
        <v>0.18127406470985141</v>
      </c>
      <c r="H2006" s="25">
        <f t="shared" si="381"/>
        <v>0.20323554082115081</v>
      </c>
      <c r="I2006" s="25">
        <f t="shared" si="396"/>
        <v>0.18811601234883657</v>
      </c>
      <c r="K2006" s="28">
        <v>45342</v>
      </c>
      <c r="L2006" s="23">
        <v>31781.65</v>
      </c>
      <c r="M2006" s="25">
        <f t="shared" si="395"/>
        <v>1.6660557271255812E-3</v>
      </c>
      <c r="O2006" t="b">
        <f t="shared" si="393"/>
        <v>1</v>
      </c>
      <c r="Q2006" s="25">
        <f t="shared" si="391"/>
        <v>0.3641217688023779</v>
      </c>
      <c r="R2006" s="25">
        <f t="shared" si="388"/>
        <v>0.18616682619034242</v>
      </c>
      <c r="S2006" s="25">
        <f t="shared" si="385"/>
        <v>0.19654693545540391</v>
      </c>
      <c r="T2006" s="25">
        <f t="shared" si="382"/>
        <v>0.23022118551865045</v>
      </c>
      <c r="U2006" s="25">
        <f t="shared" si="397"/>
        <v>0.19613357342747739</v>
      </c>
      <c r="X2006">
        <f t="shared" si="392"/>
        <v>0</v>
      </c>
      <c r="Y2006">
        <f t="shared" si="389"/>
        <v>0</v>
      </c>
      <c r="Z2006">
        <f t="shared" si="386"/>
        <v>0</v>
      </c>
      <c r="AA2006">
        <f t="shared" si="383"/>
        <v>0</v>
      </c>
      <c r="AB2006">
        <f t="shared" si="398"/>
        <v>0</v>
      </c>
    </row>
    <row r="2007" spans="1:28">
      <c r="A2007" s="27">
        <v>45343</v>
      </c>
      <c r="B2007" s="24">
        <v>1640.2</v>
      </c>
      <c r="C2007" s="25">
        <f t="shared" si="394"/>
        <v>-6.0237313197668407E-3</v>
      </c>
      <c r="E2007" s="25">
        <f t="shared" si="390"/>
        <v>0.334363813862675</v>
      </c>
      <c r="F2007" s="25">
        <f t="shared" si="387"/>
        <v>0.16806568904162411</v>
      </c>
      <c r="G2007" s="25">
        <f t="shared" si="384"/>
        <v>0.1773665393841608</v>
      </c>
      <c r="H2007" s="25">
        <f t="shared" si="381"/>
        <v>0.2042555273284079</v>
      </c>
      <c r="I2007" s="25">
        <f t="shared" si="396"/>
        <v>0.1836869993483552</v>
      </c>
      <c r="K2007" s="29">
        <v>45343</v>
      </c>
      <c r="L2007" s="24">
        <v>31557.54</v>
      </c>
      <c r="M2007" s="25">
        <f t="shared" si="395"/>
        <v>-7.1016308622281893E-3</v>
      </c>
      <c r="O2007" t="b">
        <f t="shared" si="393"/>
        <v>1</v>
      </c>
      <c r="Q2007" s="25">
        <f t="shared" si="391"/>
        <v>0.36041470879855164</v>
      </c>
      <c r="R2007" s="25">
        <f t="shared" si="388"/>
        <v>0.18641379534058955</v>
      </c>
      <c r="S2007" s="25">
        <f t="shared" si="385"/>
        <v>0.1920609781641831</v>
      </c>
      <c r="T2007" s="25">
        <f t="shared" si="382"/>
        <v>0.22992663782194267</v>
      </c>
      <c r="U2007" s="25">
        <f t="shared" si="397"/>
        <v>0.19163869912246634</v>
      </c>
      <c r="X2007">
        <f t="shared" si="392"/>
        <v>0</v>
      </c>
      <c r="Y2007">
        <f t="shared" si="389"/>
        <v>0</v>
      </c>
      <c r="Z2007">
        <f t="shared" si="386"/>
        <v>0</v>
      </c>
      <c r="AA2007">
        <f t="shared" si="383"/>
        <v>0</v>
      </c>
      <c r="AB2007">
        <f t="shared" si="398"/>
        <v>0</v>
      </c>
    </row>
    <row r="2008" spans="1:28">
      <c r="A2008" s="26">
        <v>45344</v>
      </c>
      <c r="B2008" s="23">
        <v>1650.96</v>
      </c>
      <c r="C2008" s="25">
        <f t="shared" si="394"/>
        <v>6.5601755883428793E-3</v>
      </c>
      <c r="E2008" s="25">
        <f t="shared" si="390"/>
        <v>0.34675498417463357</v>
      </c>
      <c r="F2008" s="25">
        <f t="shared" si="387"/>
        <v>0.17596228570442296</v>
      </c>
      <c r="G2008" s="25">
        <f t="shared" si="384"/>
        <v>0.17491051416231995</v>
      </c>
      <c r="H2008" s="25">
        <f t="shared" ref="H2008:H2071" si="399">((B2008/B1027)^(1/4))-1</f>
        <v>0.20114463452151909</v>
      </c>
      <c r="I2008" s="25">
        <f t="shared" si="396"/>
        <v>0.18293886977889184</v>
      </c>
      <c r="K2008" s="28">
        <v>45344</v>
      </c>
      <c r="L2008" s="23">
        <v>31802.39</v>
      </c>
      <c r="M2008" s="25">
        <f t="shared" si="395"/>
        <v>7.6991068910229245E-3</v>
      </c>
      <c r="O2008" t="b">
        <f t="shared" si="393"/>
        <v>1</v>
      </c>
      <c r="Q2008" s="25">
        <f t="shared" si="391"/>
        <v>0.37322185452196477</v>
      </c>
      <c r="R2008" s="25">
        <f t="shared" si="388"/>
        <v>0.19540859192260052</v>
      </c>
      <c r="S2008" s="25">
        <f t="shared" si="385"/>
        <v>0.18897858757138786</v>
      </c>
      <c r="T2008" s="25">
        <f t="shared" ref="T2008:T2071" si="400">((L2008/L1027)^(1/4))-1</f>
        <v>0.22735268134082132</v>
      </c>
      <c r="U2008" s="25">
        <f t="shared" si="397"/>
        <v>0.19193550603271969</v>
      </c>
      <c r="X2008">
        <f t="shared" si="392"/>
        <v>0</v>
      </c>
      <c r="Y2008">
        <f t="shared" si="389"/>
        <v>0</v>
      </c>
      <c r="Z2008">
        <f t="shared" si="386"/>
        <v>0</v>
      </c>
      <c r="AA2008">
        <f t="shared" ref="AA2008:AA2071" si="401">IF(H2008&gt;T2008,1,0)</f>
        <v>0</v>
      </c>
      <c r="AB2008">
        <f t="shared" si="398"/>
        <v>0</v>
      </c>
    </row>
    <row r="2009" spans="1:28">
      <c r="A2009" s="27">
        <v>45345</v>
      </c>
      <c r="B2009" s="24">
        <v>1653.39</v>
      </c>
      <c r="C2009" s="25">
        <f t="shared" si="394"/>
        <v>1.4718709114697288E-3</v>
      </c>
      <c r="E2009" s="25">
        <f t="shared" si="390"/>
        <v>0.36527583957457721</v>
      </c>
      <c r="F2009" s="25">
        <f t="shared" si="387"/>
        <v>0.17570034704188586</v>
      </c>
      <c r="G2009" s="25">
        <f t="shared" si="384"/>
        <v>0.17151431643637505</v>
      </c>
      <c r="H2009" s="25">
        <f t="shared" si="399"/>
        <v>0.2044898169486935</v>
      </c>
      <c r="I2009" s="25">
        <f t="shared" si="396"/>
        <v>0.1820456441250109</v>
      </c>
      <c r="K2009" s="29">
        <v>45345</v>
      </c>
      <c r="L2009" s="24">
        <v>31849.62</v>
      </c>
      <c r="M2009" s="25">
        <f t="shared" si="395"/>
        <v>1.4829062324762294E-3</v>
      </c>
      <c r="O2009" t="b">
        <f t="shared" si="393"/>
        <v>1</v>
      </c>
      <c r="Q2009" s="25">
        <f t="shared" si="391"/>
        <v>0.39505614237188658</v>
      </c>
      <c r="R2009" s="25">
        <f t="shared" si="388"/>
        <v>0.19555292310381134</v>
      </c>
      <c r="S2009" s="25">
        <f t="shared" si="385"/>
        <v>0.18600032283493939</v>
      </c>
      <c r="T2009" s="25">
        <f t="shared" si="400"/>
        <v>0.22997898931576266</v>
      </c>
      <c r="U2009" s="25">
        <f t="shared" si="397"/>
        <v>0.19180610514558261</v>
      </c>
      <c r="X2009">
        <f t="shared" si="392"/>
        <v>0</v>
      </c>
      <c r="Y2009">
        <f t="shared" si="389"/>
        <v>0</v>
      </c>
      <c r="Z2009">
        <f t="shared" si="386"/>
        <v>0</v>
      </c>
      <c r="AA2009">
        <f t="shared" si="401"/>
        <v>0</v>
      </c>
      <c r="AB2009">
        <f t="shared" si="398"/>
        <v>0</v>
      </c>
    </row>
    <row r="2010" spans="1:28">
      <c r="A2010" s="26">
        <v>45348</v>
      </c>
      <c r="B2010" s="23">
        <v>1648.69</v>
      </c>
      <c r="C2010" s="25">
        <f t="shared" si="394"/>
        <v>-2.8426445061359058E-3</v>
      </c>
      <c r="E2010" s="25">
        <f t="shared" si="390"/>
        <v>0.36322970067802207</v>
      </c>
      <c r="F2010" s="25">
        <f t="shared" si="387"/>
        <v>0.20152980539749943</v>
      </c>
      <c r="G2010" s="25">
        <f t="shared" si="384"/>
        <v>0.18166025558782994</v>
      </c>
      <c r="H2010" s="25">
        <f t="shared" si="399"/>
        <v>0.2031545645783468</v>
      </c>
      <c r="I2010" s="25">
        <f t="shared" si="396"/>
        <v>0.17972759344237144</v>
      </c>
      <c r="K2010" s="28">
        <v>45348</v>
      </c>
      <c r="L2010" s="23">
        <v>31759.23</v>
      </c>
      <c r="M2010" s="25">
        <f t="shared" si="395"/>
        <v>-2.8461017474289969E-3</v>
      </c>
      <c r="O2010" t="b">
        <f t="shared" si="393"/>
        <v>1</v>
      </c>
      <c r="Q2010" s="25">
        <f t="shared" si="391"/>
        <v>0.39442812352228085</v>
      </c>
      <c r="R2010" s="25">
        <f t="shared" si="388"/>
        <v>0.22512480149233882</v>
      </c>
      <c r="S2010" s="25">
        <f t="shared" si="385"/>
        <v>0.19727722208060783</v>
      </c>
      <c r="T2010" s="25">
        <f t="shared" si="400"/>
        <v>0.22834124853057913</v>
      </c>
      <c r="U2010" s="25">
        <f t="shared" si="397"/>
        <v>0.18942473878344845</v>
      </c>
      <c r="X2010">
        <f t="shared" si="392"/>
        <v>0</v>
      </c>
      <c r="Y2010">
        <f t="shared" si="389"/>
        <v>0</v>
      </c>
      <c r="Z2010">
        <f t="shared" si="386"/>
        <v>0</v>
      </c>
      <c r="AA2010">
        <f t="shared" si="401"/>
        <v>0</v>
      </c>
      <c r="AB2010">
        <f t="shared" si="398"/>
        <v>0</v>
      </c>
    </row>
    <row r="2011" spans="1:28">
      <c r="A2011" s="27">
        <v>45349</v>
      </c>
      <c r="B2011" s="24">
        <v>1652.37</v>
      </c>
      <c r="C2011" s="25">
        <f t="shared" si="394"/>
        <v>2.2320751627048362E-3</v>
      </c>
      <c r="E2011" s="25">
        <f t="shared" si="390"/>
        <v>0.36718821105585842</v>
      </c>
      <c r="F2011" s="25">
        <f t="shared" si="387"/>
        <v>0.18463920740570616</v>
      </c>
      <c r="G2011" s="25">
        <f t="shared" si="384"/>
        <v>0.17690827175293666</v>
      </c>
      <c r="H2011" s="25">
        <f t="shared" si="399"/>
        <v>0.2109526456784161</v>
      </c>
      <c r="I2011" s="25">
        <f t="shared" si="396"/>
        <v>0.18155694728894733</v>
      </c>
      <c r="K2011" s="29">
        <v>45349</v>
      </c>
      <c r="L2011" s="24">
        <v>31817.3</v>
      </c>
      <c r="M2011" s="25">
        <f t="shared" si="395"/>
        <v>1.8251077244140674E-3</v>
      </c>
      <c r="O2011" t="b">
        <f t="shared" si="393"/>
        <v>1</v>
      </c>
      <c r="Q2011" s="25">
        <f t="shared" si="391"/>
        <v>0.40041919309290908</v>
      </c>
      <c r="R2011" s="25">
        <f t="shared" si="388"/>
        <v>0.20828189954071785</v>
      </c>
      <c r="S2011" s="25">
        <f t="shared" si="385"/>
        <v>0.19194121427015376</v>
      </c>
      <c r="T2011" s="25">
        <f t="shared" si="400"/>
        <v>0.23629091256243484</v>
      </c>
      <c r="U2011" s="25">
        <f t="shared" si="397"/>
        <v>0.19067409684999514</v>
      </c>
      <c r="X2011">
        <f t="shared" si="392"/>
        <v>0</v>
      </c>
      <c r="Y2011">
        <f t="shared" si="389"/>
        <v>0</v>
      </c>
      <c r="Z2011">
        <f t="shared" si="386"/>
        <v>0</v>
      </c>
      <c r="AA2011">
        <f t="shared" si="401"/>
        <v>0</v>
      </c>
      <c r="AB2011">
        <f t="shared" si="398"/>
        <v>0</v>
      </c>
    </row>
    <row r="2012" spans="1:28">
      <c r="A2012" s="26">
        <v>45350</v>
      </c>
      <c r="B2012" s="23">
        <v>1632.64</v>
      </c>
      <c r="C2012" s="25">
        <f t="shared" si="394"/>
        <v>-1.1940424965352671E-2</v>
      </c>
      <c r="E2012" s="25">
        <f t="shared" si="390"/>
        <v>0.35854080681666889</v>
      </c>
      <c r="F2012" s="25">
        <f t="shared" si="387"/>
        <v>0.17408538977106258</v>
      </c>
      <c r="G2012" s="25">
        <f t="shared" si="384"/>
        <v>0.16656259563704268</v>
      </c>
      <c r="H2012" s="25">
        <f t="shared" si="399"/>
        <v>0.2205602609472388</v>
      </c>
      <c r="I2012" s="25">
        <f t="shared" si="396"/>
        <v>0.17893539129572766</v>
      </c>
      <c r="K2012" s="28">
        <v>45350</v>
      </c>
      <c r="L2012" s="23">
        <v>31390.09</v>
      </c>
      <c r="M2012" s="25">
        <f t="shared" si="395"/>
        <v>-1.3609709306344746E-2</v>
      </c>
      <c r="O2012" t="b">
        <f t="shared" si="393"/>
        <v>1</v>
      </c>
      <c r="Q2012" s="25">
        <f t="shared" si="391"/>
        <v>0.38937913653366163</v>
      </c>
      <c r="R2012" s="25">
        <f t="shared" si="388"/>
        <v>0.19507668538394896</v>
      </c>
      <c r="S2012" s="25">
        <f t="shared" si="385"/>
        <v>0.1817889051762176</v>
      </c>
      <c r="T2012" s="25">
        <f t="shared" si="400"/>
        <v>0.24712961475936024</v>
      </c>
      <c r="U2012" s="25">
        <f t="shared" si="397"/>
        <v>0.18764038799703719</v>
      </c>
      <c r="X2012">
        <f t="shared" si="392"/>
        <v>0</v>
      </c>
      <c r="Y2012">
        <f t="shared" si="389"/>
        <v>0</v>
      </c>
      <c r="Z2012">
        <f t="shared" si="386"/>
        <v>0</v>
      </c>
      <c r="AA2012">
        <f t="shared" si="401"/>
        <v>0</v>
      </c>
      <c r="AB2012">
        <f t="shared" si="398"/>
        <v>0</v>
      </c>
    </row>
    <row r="2013" spans="1:28">
      <c r="A2013" s="27">
        <v>45351</v>
      </c>
      <c r="B2013" s="24">
        <v>1635.45</v>
      </c>
      <c r="C2013" s="25">
        <f t="shared" si="394"/>
        <v>1.7211387691101194E-3</v>
      </c>
      <c r="E2013" s="25">
        <f t="shared" si="390"/>
        <v>0.36752458358418627</v>
      </c>
      <c r="F2013" s="25">
        <f t="shared" si="387"/>
        <v>0.18201680464085479</v>
      </c>
      <c r="G2013" s="25">
        <f t="shared" si="384"/>
        <v>0.16050735393427873</v>
      </c>
      <c r="H2013" s="25">
        <f t="shared" si="399"/>
        <v>0.22278414330845453</v>
      </c>
      <c r="I2013" s="25">
        <f t="shared" si="396"/>
        <v>0.17918306586892885</v>
      </c>
      <c r="K2013" s="29">
        <v>45351</v>
      </c>
      <c r="L2013" s="24">
        <v>31499.31</v>
      </c>
      <c r="M2013" s="25">
        <f t="shared" si="395"/>
        <v>3.4673775393810583E-3</v>
      </c>
      <c r="O2013" t="b">
        <f t="shared" si="393"/>
        <v>1</v>
      </c>
      <c r="Q2013" s="25">
        <f t="shared" si="391"/>
        <v>0.3970913252034145</v>
      </c>
      <c r="R2013" s="25">
        <f t="shared" si="388"/>
        <v>0.20170480620689246</v>
      </c>
      <c r="S2013" s="25">
        <f t="shared" si="385"/>
        <v>0.17552668314105979</v>
      </c>
      <c r="T2013" s="25">
        <f t="shared" si="400"/>
        <v>0.24868939894900555</v>
      </c>
      <c r="U2013" s="25">
        <f t="shared" si="397"/>
        <v>0.18814373966766285</v>
      </c>
      <c r="X2013">
        <f t="shared" si="392"/>
        <v>0</v>
      </c>
      <c r="Y2013">
        <f t="shared" si="389"/>
        <v>0</v>
      </c>
      <c r="Z2013">
        <f t="shared" si="386"/>
        <v>0</v>
      </c>
      <c r="AA2013">
        <f t="shared" si="401"/>
        <v>0</v>
      </c>
      <c r="AB2013">
        <f t="shared" si="398"/>
        <v>0</v>
      </c>
    </row>
    <row r="2014" spans="1:28">
      <c r="A2014" s="26">
        <v>45352</v>
      </c>
      <c r="B2014" s="23">
        <v>1652.61</v>
      </c>
      <c r="C2014" s="25">
        <f t="shared" si="394"/>
        <v>1.0492524993121069E-2</v>
      </c>
      <c r="E2014" s="25">
        <f t="shared" si="390"/>
        <v>0.36932420787485065</v>
      </c>
      <c r="F2014" s="25">
        <f t="shared" si="387"/>
        <v>0.19299645957181988</v>
      </c>
      <c r="G2014" s="25">
        <f t="shared" si="384"/>
        <v>0.16682016489300699</v>
      </c>
      <c r="H2014" s="25">
        <f t="shared" si="399"/>
        <v>0.2519367706414084</v>
      </c>
      <c r="I2014" s="25">
        <f t="shared" si="396"/>
        <v>0.1785615996518406</v>
      </c>
      <c r="K2014" s="28">
        <v>45352</v>
      </c>
      <c r="L2014" s="23">
        <v>31906.58</v>
      </c>
      <c r="M2014" s="25">
        <f t="shared" si="395"/>
        <v>1.2764451721243719E-2</v>
      </c>
      <c r="O2014" t="b">
        <f t="shared" si="393"/>
        <v>1</v>
      </c>
      <c r="Q2014" s="25">
        <f t="shared" si="391"/>
        <v>0.40105333970337176</v>
      </c>
      <c r="R2014" s="25">
        <f t="shared" si="388"/>
        <v>0.21217552498688952</v>
      </c>
      <c r="S2014" s="25">
        <f t="shared" si="385"/>
        <v>0.18292238005644124</v>
      </c>
      <c r="T2014" s="25">
        <f t="shared" si="400"/>
        <v>0.28017255619113546</v>
      </c>
      <c r="U2014" s="25">
        <f t="shared" si="397"/>
        <v>0.18904273161917673</v>
      </c>
      <c r="X2014">
        <f t="shared" si="392"/>
        <v>0</v>
      </c>
      <c r="Y2014">
        <f t="shared" si="389"/>
        <v>0</v>
      </c>
      <c r="Z2014">
        <f t="shared" si="386"/>
        <v>0</v>
      </c>
      <c r="AA2014">
        <f t="shared" si="401"/>
        <v>0</v>
      </c>
      <c r="AB2014">
        <f t="shared" si="398"/>
        <v>0</v>
      </c>
    </row>
    <row r="2015" spans="1:28">
      <c r="A2015" s="27">
        <v>45355</v>
      </c>
      <c r="B2015" s="24">
        <v>1652.96</v>
      </c>
      <c r="C2015" s="25">
        <f t="shared" si="394"/>
        <v>2.1178620485180197E-4</v>
      </c>
      <c r="E2015" s="25">
        <f t="shared" si="390"/>
        <v>0.37792597532510852</v>
      </c>
      <c r="F2015" s="25">
        <f t="shared" si="387"/>
        <v>0.20155485102497961</v>
      </c>
      <c r="G2015" s="25">
        <f t="shared" si="384"/>
        <v>0.17255410982127684</v>
      </c>
      <c r="H2015" s="25">
        <f t="shared" si="399"/>
        <v>0.24080314257059054</v>
      </c>
      <c r="I2015" s="25">
        <f t="shared" si="396"/>
        <v>0.17533088840442956</v>
      </c>
      <c r="K2015" s="29">
        <v>45355</v>
      </c>
      <c r="L2015" s="24">
        <v>32035.51</v>
      </c>
      <c r="M2015" s="25">
        <f t="shared" si="395"/>
        <v>4.0245964556205492E-3</v>
      </c>
      <c r="O2015" t="b">
        <f t="shared" si="393"/>
        <v>1</v>
      </c>
      <c r="Q2015" s="25">
        <f t="shared" si="391"/>
        <v>0.41420022478516927</v>
      </c>
      <c r="R2015" s="25">
        <f t="shared" si="388"/>
        <v>0.22518973847909174</v>
      </c>
      <c r="S2015" s="25">
        <f t="shared" si="385"/>
        <v>0.18920915883279155</v>
      </c>
      <c r="T2015" s="25">
        <f t="shared" si="400"/>
        <v>0.27106289901084768</v>
      </c>
      <c r="U2015" s="25">
        <f t="shared" si="397"/>
        <v>0.18644623365830415</v>
      </c>
      <c r="X2015">
        <f t="shared" si="392"/>
        <v>0</v>
      </c>
      <c r="Y2015">
        <f t="shared" si="389"/>
        <v>0</v>
      </c>
      <c r="Z2015">
        <f t="shared" si="386"/>
        <v>0</v>
      </c>
      <c r="AA2015">
        <f t="shared" si="401"/>
        <v>0</v>
      </c>
      <c r="AB2015">
        <f t="shared" si="398"/>
        <v>0</v>
      </c>
    </row>
    <row r="2016" spans="1:28">
      <c r="A2016" s="26">
        <v>45356</v>
      </c>
      <c r="B2016" s="23">
        <v>1647.68</v>
      </c>
      <c r="C2016" s="25">
        <f t="shared" si="394"/>
        <v>-3.1942696737972923E-3</v>
      </c>
      <c r="E2016" s="25">
        <f t="shared" si="390"/>
        <v>0.35759013908114157</v>
      </c>
      <c r="F2016" s="25">
        <f t="shared" si="387"/>
        <v>0.20917167403696424</v>
      </c>
      <c r="G2016" s="25">
        <f t="shared" si="384"/>
        <v>0.17027416883757862</v>
      </c>
      <c r="H2016" s="25">
        <f t="shared" si="399"/>
        <v>0.26243468105531664</v>
      </c>
      <c r="I2016" s="25">
        <f t="shared" si="396"/>
        <v>0.17317206876526781</v>
      </c>
      <c r="K2016" s="28">
        <v>45356</v>
      </c>
      <c r="L2016" s="23">
        <v>31957.1</v>
      </c>
      <c r="M2016" s="25">
        <f t="shared" si="395"/>
        <v>-2.4536018599935496E-3</v>
      </c>
      <c r="O2016" t="b">
        <f t="shared" si="393"/>
        <v>1</v>
      </c>
      <c r="Q2016" s="25">
        <f t="shared" si="391"/>
        <v>0.39283279782565872</v>
      </c>
      <c r="R2016" s="25">
        <f t="shared" si="388"/>
        <v>0.23843754405354467</v>
      </c>
      <c r="S2016" s="25">
        <f t="shared" si="385"/>
        <v>0.18756539600888456</v>
      </c>
      <c r="T2016" s="25">
        <f t="shared" si="400"/>
        <v>0.2934177471856938</v>
      </c>
      <c r="U2016" s="25">
        <f t="shared" si="397"/>
        <v>0.18440098329627985</v>
      </c>
      <c r="X2016">
        <f t="shared" si="392"/>
        <v>0</v>
      </c>
      <c r="Y2016">
        <f t="shared" si="389"/>
        <v>0</v>
      </c>
      <c r="Z2016">
        <f t="shared" si="386"/>
        <v>0</v>
      </c>
      <c r="AA2016">
        <f t="shared" si="401"/>
        <v>0</v>
      </c>
      <c r="AB2016">
        <f t="shared" si="398"/>
        <v>0</v>
      </c>
    </row>
    <row r="2017" spans="1:28">
      <c r="A2017" s="27">
        <v>45357</v>
      </c>
      <c r="B2017" s="24">
        <v>1651.63</v>
      </c>
      <c r="C2017" s="25">
        <f t="shared" si="394"/>
        <v>2.397310157312127E-3</v>
      </c>
      <c r="E2017" s="25">
        <f t="shared" si="390"/>
        <v>0.35411696222872657</v>
      </c>
      <c r="F2017" s="25">
        <f t="shared" si="387"/>
        <v>0.20294829182586405</v>
      </c>
      <c r="G2017" s="25">
        <f t="shared" si="384"/>
        <v>0.16992404752798662</v>
      </c>
      <c r="H2017" s="25">
        <f t="shared" si="399"/>
        <v>0.27253257148047294</v>
      </c>
      <c r="I2017" s="25">
        <f t="shared" si="396"/>
        <v>0.1742888889006704</v>
      </c>
      <c r="K2017" s="29">
        <v>45357</v>
      </c>
      <c r="L2017" s="24">
        <v>31953.91</v>
      </c>
      <c r="M2017" s="25">
        <f t="shared" si="395"/>
        <v>-9.983128825231999E-5</v>
      </c>
      <c r="O2017" t="b">
        <f t="shared" si="393"/>
        <v>1</v>
      </c>
      <c r="Q2017" s="25">
        <f t="shared" si="391"/>
        <v>0.38274920950609204</v>
      </c>
      <c r="R2017" s="25">
        <f t="shared" si="388"/>
        <v>0.2319203452478602</v>
      </c>
      <c r="S2017" s="25">
        <f t="shared" si="385"/>
        <v>0.18569410324096469</v>
      </c>
      <c r="T2017" s="25">
        <f t="shared" si="400"/>
        <v>0.30089981431241819</v>
      </c>
      <c r="U2017" s="25">
        <f t="shared" si="397"/>
        <v>0.18450798744278707</v>
      </c>
      <c r="X2017">
        <f t="shared" si="392"/>
        <v>0</v>
      </c>
      <c r="Y2017">
        <f t="shared" si="389"/>
        <v>0</v>
      </c>
      <c r="Z2017">
        <f t="shared" si="386"/>
        <v>0</v>
      </c>
      <c r="AA2017">
        <f t="shared" si="401"/>
        <v>0</v>
      </c>
      <c r="AB2017">
        <f t="shared" si="398"/>
        <v>0</v>
      </c>
    </row>
    <row r="2018" spans="1:28">
      <c r="A2018" s="26">
        <v>45358</v>
      </c>
      <c r="B2018" s="23">
        <v>1660.68</v>
      </c>
      <c r="C2018" s="25">
        <f t="shared" si="394"/>
        <v>5.4794354667812729E-3</v>
      </c>
      <c r="E2018" s="25">
        <f t="shared" si="390"/>
        <v>0.36152559603843515</v>
      </c>
      <c r="F2018" s="25">
        <f t="shared" si="387"/>
        <v>0.19596752354344193</v>
      </c>
      <c r="G2018" s="25">
        <f t="shared" si="384"/>
        <v>0.16939494498735819</v>
      </c>
      <c r="H2018" s="25">
        <f t="shared" si="399"/>
        <v>0.29152664449509325</v>
      </c>
      <c r="I2018" s="25">
        <f t="shared" si="396"/>
        <v>0.17635647565065815</v>
      </c>
      <c r="K2018" s="28">
        <v>45358</v>
      </c>
      <c r="L2018" s="23">
        <v>32040.62</v>
      </c>
      <c r="M2018" s="25">
        <f t="shared" si="395"/>
        <v>2.7062522510487978E-3</v>
      </c>
      <c r="O2018" t="b">
        <f t="shared" si="393"/>
        <v>1</v>
      </c>
      <c r="Q2018" s="25">
        <f t="shared" si="391"/>
        <v>0.38267094578645211</v>
      </c>
      <c r="R2018" s="25">
        <f t="shared" si="388"/>
        <v>0.2213967833569368</v>
      </c>
      <c r="S2018" s="25">
        <f t="shared" si="385"/>
        <v>0.18444077443508844</v>
      </c>
      <c r="T2018" s="25">
        <f t="shared" si="400"/>
        <v>0.32026061917233539</v>
      </c>
      <c r="U2018" s="25">
        <f t="shared" si="397"/>
        <v>0.18551718194052591</v>
      </c>
      <c r="X2018">
        <f t="shared" si="392"/>
        <v>0</v>
      </c>
      <c r="Y2018">
        <f t="shared" si="389"/>
        <v>0</v>
      </c>
      <c r="Z2018">
        <f t="shared" si="386"/>
        <v>0</v>
      </c>
      <c r="AA2018">
        <f t="shared" si="401"/>
        <v>0</v>
      </c>
      <c r="AB2018">
        <f t="shared" si="398"/>
        <v>0</v>
      </c>
    </row>
    <row r="2019" spans="1:28">
      <c r="A2019" s="27">
        <v>45362</v>
      </c>
      <c r="B2019" s="24">
        <v>1649.72</v>
      </c>
      <c r="C2019" s="25">
        <f t="shared" si="394"/>
        <v>-6.5997061444709616E-3</v>
      </c>
      <c r="E2019" s="25">
        <f t="shared" si="390"/>
        <v>0.36093053951493159</v>
      </c>
      <c r="F2019" s="25">
        <f t="shared" si="387"/>
        <v>0.18423716727739481</v>
      </c>
      <c r="G2019" s="25">
        <f t="shared" si="384"/>
        <v>0.17010474493380245</v>
      </c>
      <c r="H2019" s="25">
        <f t="shared" si="399"/>
        <v>0.29811788386860583</v>
      </c>
      <c r="I2019" s="25">
        <f t="shared" si="396"/>
        <v>0.1716256289139777</v>
      </c>
      <c r="K2019" s="29">
        <v>45362</v>
      </c>
      <c r="L2019" s="24">
        <v>31811.65</v>
      </c>
      <c r="M2019" s="25">
        <f t="shared" si="395"/>
        <v>-7.1976775803832089E-3</v>
      </c>
      <c r="O2019" t="b">
        <f t="shared" si="393"/>
        <v>1</v>
      </c>
      <c r="Q2019" s="25">
        <f t="shared" si="391"/>
        <v>0.38373308429459607</v>
      </c>
      <c r="R2019" s="25">
        <f t="shared" si="388"/>
        <v>0.20800833573949351</v>
      </c>
      <c r="S2019" s="25">
        <f t="shared" si="385"/>
        <v>0.18465230274542566</v>
      </c>
      <c r="T2019" s="25">
        <f t="shared" si="400"/>
        <v>0.32748778720869254</v>
      </c>
      <c r="U2019" s="25">
        <f t="shared" si="397"/>
        <v>0.18038981786894759</v>
      </c>
      <c r="X2019">
        <f t="shared" si="392"/>
        <v>0</v>
      </c>
      <c r="Y2019">
        <f t="shared" si="389"/>
        <v>0</v>
      </c>
      <c r="Z2019">
        <f t="shared" si="386"/>
        <v>0</v>
      </c>
      <c r="AA2019">
        <f t="shared" si="401"/>
        <v>0</v>
      </c>
      <c r="AB2019">
        <f t="shared" si="398"/>
        <v>0</v>
      </c>
    </row>
    <row r="2020" spans="1:28">
      <c r="A2020" s="26">
        <v>45363</v>
      </c>
      <c r="B2020" s="23">
        <v>1642.86</v>
      </c>
      <c r="C2020" s="25">
        <f t="shared" si="394"/>
        <v>-4.158281405329466E-3</v>
      </c>
      <c r="E2020" s="25">
        <f t="shared" si="390"/>
        <v>0.36827464436819124</v>
      </c>
      <c r="F2020" s="25">
        <f t="shared" si="387"/>
        <v>0.17976328260108776</v>
      </c>
      <c r="G2020" s="25">
        <f t="shared" ref="G2020:G2083" si="402">((B2020/B1283)^(1/3))-1</f>
        <v>0.17147260075156878</v>
      </c>
      <c r="H2020" s="25">
        <f t="shared" si="399"/>
        <v>0.28340177851153436</v>
      </c>
      <c r="I2020" s="25">
        <f t="shared" si="396"/>
        <v>0.16804768161571282</v>
      </c>
      <c r="K2020" s="28">
        <v>45363</v>
      </c>
      <c r="L2020" s="23">
        <v>31627.67</v>
      </c>
      <c r="M2020" s="25">
        <f t="shared" si="395"/>
        <v>-5.8170582910471499E-3</v>
      </c>
      <c r="O2020" t="b">
        <f t="shared" si="393"/>
        <v>1</v>
      </c>
      <c r="Q2020" s="25">
        <f t="shared" si="391"/>
        <v>0.3873604477078354</v>
      </c>
      <c r="R2020" s="25">
        <f t="shared" si="388"/>
        <v>0.20245711036566716</v>
      </c>
      <c r="S2020" s="25">
        <f t="shared" ref="S2020:S2083" si="403">((L2020/L1283)^(1/3))-1</f>
        <v>0.18495215455960334</v>
      </c>
      <c r="T2020" s="25">
        <f t="shared" si="400"/>
        <v>0.30891842393909097</v>
      </c>
      <c r="U2020" s="25">
        <f t="shared" si="397"/>
        <v>0.17663321279648381</v>
      </c>
      <c r="X2020">
        <f t="shared" si="392"/>
        <v>0</v>
      </c>
      <c r="Y2020">
        <f t="shared" si="389"/>
        <v>0</v>
      </c>
      <c r="Z2020">
        <f t="shared" ref="Z2020:Z2083" si="404">IF(G2020&gt;S2020,1,0)</f>
        <v>0</v>
      </c>
      <c r="AA2020">
        <f t="shared" si="401"/>
        <v>0</v>
      </c>
      <c r="AB2020">
        <f t="shared" si="398"/>
        <v>0</v>
      </c>
    </row>
    <row r="2021" spans="1:28">
      <c r="A2021" s="27">
        <v>45364</v>
      </c>
      <c r="B2021" s="24">
        <v>1608.03</v>
      </c>
      <c r="C2021" s="25">
        <f t="shared" si="394"/>
        <v>-2.1200832694203968E-2</v>
      </c>
      <c r="E2021" s="25">
        <f t="shared" si="390"/>
        <v>0.36172176681796619</v>
      </c>
      <c r="F2021" s="25">
        <f t="shared" si="387"/>
        <v>0.16128257855247008</v>
      </c>
      <c r="G2021" s="25">
        <f t="shared" si="402"/>
        <v>0.16260776779632957</v>
      </c>
      <c r="H2021" s="25">
        <f t="shared" si="399"/>
        <v>0.32590426320512678</v>
      </c>
      <c r="I2021" s="25">
        <f t="shared" si="396"/>
        <v>0.16264956439651224</v>
      </c>
      <c r="K2021" s="29">
        <v>45364</v>
      </c>
      <c r="L2021" s="24">
        <v>30804.35</v>
      </c>
      <c r="M2021" s="25">
        <f t="shared" si="395"/>
        <v>-2.6727394020649674E-2</v>
      </c>
      <c r="O2021" t="b">
        <f t="shared" si="393"/>
        <v>1</v>
      </c>
      <c r="Q2021" s="25">
        <f t="shared" si="391"/>
        <v>0.37231662001597532</v>
      </c>
      <c r="R2021" s="25">
        <f t="shared" si="388"/>
        <v>0.18101511170440721</v>
      </c>
      <c r="S2021" s="25">
        <f t="shared" si="403"/>
        <v>0.17450025412391157</v>
      </c>
      <c r="T2021" s="25">
        <f t="shared" si="400"/>
        <v>0.34542644934904709</v>
      </c>
      <c r="U2021" s="25">
        <f t="shared" si="397"/>
        <v>0.17019658245738145</v>
      </c>
      <c r="X2021">
        <f t="shared" si="392"/>
        <v>0</v>
      </c>
      <c r="Y2021">
        <f t="shared" si="389"/>
        <v>0</v>
      </c>
      <c r="Z2021">
        <f t="shared" si="404"/>
        <v>0</v>
      </c>
      <c r="AA2021">
        <f t="shared" si="401"/>
        <v>0</v>
      </c>
      <c r="AB2021">
        <f t="shared" si="398"/>
        <v>0</v>
      </c>
    </row>
    <row r="2022" spans="1:28">
      <c r="A2022" s="26">
        <v>45365</v>
      </c>
      <c r="B2022" s="23">
        <v>1627.45</v>
      </c>
      <c r="C2022" s="25">
        <f t="shared" si="394"/>
        <v>1.2076889112765355E-2</v>
      </c>
      <c r="E2022" s="25">
        <f t="shared" si="390"/>
        <v>0.38341550493029586</v>
      </c>
      <c r="F2022" s="25">
        <f t="shared" si="387"/>
        <v>0.17485934131172476</v>
      </c>
      <c r="G2022" s="25">
        <f t="shared" si="402"/>
        <v>0.17335904382018219</v>
      </c>
      <c r="H2022" s="25">
        <f t="shared" si="399"/>
        <v>0.32211888179363202</v>
      </c>
      <c r="I2022" s="25">
        <f t="shared" si="396"/>
        <v>0.16546897100646829</v>
      </c>
      <c r="K2022" s="28">
        <v>45365</v>
      </c>
      <c r="L2022" s="23">
        <v>31227.759999999998</v>
      </c>
      <c r="M2022" s="25">
        <f t="shared" si="395"/>
        <v>1.3558769505081373E-2</v>
      </c>
      <c r="O2022" t="b">
        <f t="shared" si="393"/>
        <v>1</v>
      </c>
      <c r="Q2022" s="25">
        <f t="shared" si="391"/>
        <v>0.40047107279384186</v>
      </c>
      <c r="R2022" s="25">
        <f t="shared" si="388"/>
        <v>0.19572517555710589</v>
      </c>
      <c r="S2022" s="25">
        <f t="shared" si="403"/>
        <v>0.1859796766557269</v>
      </c>
      <c r="T2022" s="25">
        <f t="shared" si="400"/>
        <v>0.34339302369942915</v>
      </c>
      <c r="U2022" s="25">
        <f t="shared" si="397"/>
        <v>0.17342085243200489</v>
      </c>
      <c r="X2022">
        <f t="shared" si="392"/>
        <v>0</v>
      </c>
      <c r="Y2022">
        <f t="shared" si="389"/>
        <v>0</v>
      </c>
      <c r="Z2022">
        <f t="shared" si="404"/>
        <v>0</v>
      </c>
      <c r="AA2022">
        <f t="shared" si="401"/>
        <v>0</v>
      </c>
      <c r="AB2022">
        <f t="shared" si="398"/>
        <v>0</v>
      </c>
    </row>
    <row r="2023" spans="1:28">
      <c r="A2023" s="27">
        <v>45366</v>
      </c>
      <c r="B2023" s="24">
        <v>1618.94</v>
      </c>
      <c r="C2023" s="25">
        <f t="shared" si="394"/>
        <v>-5.2290392946019787E-3</v>
      </c>
      <c r="E2023" s="25">
        <f t="shared" si="390"/>
        <v>0.37780955055701648</v>
      </c>
      <c r="F2023" s="25">
        <f t="shared" si="387"/>
        <v>0.16147610029273962</v>
      </c>
      <c r="G2023" s="25">
        <f t="shared" si="402"/>
        <v>0.17769251993528923</v>
      </c>
      <c r="H2023" s="25">
        <f t="shared" si="399"/>
        <v>0.30206994951227539</v>
      </c>
      <c r="I2023" s="25">
        <f t="shared" si="396"/>
        <v>0.16293216518028886</v>
      </c>
      <c r="K2023" s="29">
        <v>45366</v>
      </c>
      <c r="L2023" s="24">
        <v>31085.07</v>
      </c>
      <c r="M2023" s="25">
        <f t="shared" si="395"/>
        <v>-4.5903065362245827E-3</v>
      </c>
      <c r="O2023" t="b">
        <f t="shared" si="393"/>
        <v>1</v>
      </c>
      <c r="Q2023" s="25">
        <f t="shared" si="391"/>
        <v>0.39778351648895183</v>
      </c>
      <c r="R2023" s="25">
        <f t="shared" si="388"/>
        <v>0.18197842923679386</v>
      </c>
      <c r="S2023" s="25">
        <f t="shared" si="403"/>
        <v>0.18883960318552595</v>
      </c>
      <c r="T2023" s="25">
        <f t="shared" si="400"/>
        <v>0.32359889538762432</v>
      </c>
      <c r="U2023" s="25">
        <f t="shared" si="397"/>
        <v>0.17103469643884317</v>
      </c>
      <c r="X2023">
        <f t="shared" si="392"/>
        <v>0</v>
      </c>
      <c r="Y2023">
        <f t="shared" si="389"/>
        <v>0</v>
      </c>
      <c r="Z2023">
        <f t="shared" si="404"/>
        <v>0</v>
      </c>
      <c r="AA2023">
        <f t="shared" si="401"/>
        <v>0</v>
      </c>
      <c r="AB2023">
        <f t="shared" si="398"/>
        <v>0</v>
      </c>
    </row>
    <row r="2024" spans="1:28">
      <c r="A2024" s="26">
        <v>45369</v>
      </c>
      <c r="B2024" s="23">
        <v>1622.46</v>
      </c>
      <c r="C2024" s="25">
        <f t="shared" si="394"/>
        <v>2.1742621715443327E-3</v>
      </c>
      <c r="E2024" s="25">
        <f t="shared" si="390"/>
        <v>0.38139309158712997</v>
      </c>
      <c r="F2024" s="25">
        <f t="shared" si="387"/>
        <v>0.15433774376414355</v>
      </c>
      <c r="G2024" s="25">
        <f t="shared" si="402"/>
        <v>0.17461611186090686</v>
      </c>
      <c r="H2024" s="25">
        <f t="shared" si="399"/>
        <v>0.29051724789354316</v>
      </c>
      <c r="I2024" s="25">
        <f t="shared" si="396"/>
        <v>0.16337018458122587</v>
      </c>
      <c r="K2024" s="28">
        <v>45369</v>
      </c>
      <c r="L2024" s="23">
        <v>31113.75</v>
      </c>
      <c r="M2024" s="25">
        <f t="shared" si="395"/>
        <v>9.2177895624925604E-4</v>
      </c>
      <c r="O2024" t="b">
        <f t="shared" si="393"/>
        <v>1</v>
      </c>
      <c r="Q2024" s="25">
        <f t="shared" si="391"/>
        <v>0.39807671914401821</v>
      </c>
      <c r="R2024" s="25">
        <f t="shared" si="388"/>
        <v>0.17284632308534276</v>
      </c>
      <c r="S2024" s="25">
        <f t="shared" si="403"/>
        <v>0.18467680575469925</v>
      </c>
      <c r="T2024" s="25">
        <f t="shared" si="400"/>
        <v>0.31090839165513695</v>
      </c>
      <c r="U2024" s="25">
        <f t="shared" si="397"/>
        <v>0.17082434597322482</v>
      </c>
      <c r="X2024">
        <f t="shared" si="392"/>
        <v>0</v>
      </c>
      <c r="Y2024">
        <f t="shared" si="389"/>
        <v>0</v>
      </c>
      <c r="Z2024">
        <f t="shared" si="404"/>
        <v>0</v>
      </c>
      <c r="AA2024">
        <f t="shared" si="401"/>
        <v>0</v>
      </c>
      <c r="AB2024">
        <f t="shared" si="398"/>
        <v>0</v>
      </c>
    </row>
    <row r="2025" spans="1:28">
      <c r="A2025" s="27">
        <v>45370</v>
      </c>
      <c r="B2025" s="24">
        <v>1607.58</v>
      </c>
      <c r="C2025" s="25">
        <f t="shared" si="394"/>
        <v>-9.1712584593765696E-3</v>
      </c>
      <c r="E2025" s="25">
        <f t="shared" si="390"/>
        <v>0.35498390114799139</v>
      </c>
      <c r="F2025" s="25">
        <f t="shared" si="387"/>
        <v>0.15351241591307829</v>
      </c>
      <c r="G2025" s="25">
        <f t="shared" si="402"/>
        <v>0.16971479364528719</v>
      </c>
      <c r="H2025" s="25">
        <f t="shared" si="399"/>
        <v>0.29023644131425397</v>
      </c>
      <c r="I2025" s="25">
        <f t="shared" si="396"/>
        <v>0.15984843031475515</v>
      </c>
      <c r="K2025" s="29">
        <v>45370</v>
      </c>
      <c r="L2025" s="24">
        <v>30749.48</v>
      </c>
      <c r="M2025" s="25">
        <f t="shared" si="395"/>
        <v>-1.1846379190802591E-2</v>
      </c>
      <c r="O2025" t="b">
        <f t="shared" si="393"/>
        <v>1</v>
      </c>
      <c r="Q2025" s="25">
        <f t="shared" si="391"/>
        <v>0.37303518691008741</v>
      </c>
      <c r="R2025" s="25">
        <f t="shared" si="388"/>
        <v>0.17066809964807406</v>
      </c>
      <c r="S2025" s="25">
        <f t="shared" si="403"/>
        <v>0.17923624399157401</v>
      </c>
      <c r="T2025" s="25">
        <f t="shared" si="400"/>
        <v>0.30660486472715842</v>
      </c>
      <c r="U2025" s="25">
        <f t="shared" si="397"/>
        <v>0.16675966132295805</v>
      </c>
      <c r="X2025">
        <f t="shared" si="392"/>
        <v>0</v>
      </c>
      <c r="Y2025">
        <f t="shared" si="389"/>
        <v>0</v>
      </c>
      <c r="Z2025">
        <f t="shared" si="404"/>
        <v>0</v>
      </c>
      <c r="AA2025">
        <f t="shared" si="401"/>
        <v>0</v>
      </c>
      <c r="AB2025">
        <f t="shared" si="398"/>
        <v>0</v>
      </c>
    </row>
    <row r="2026" spans="1:28">
      <c r="A2026" s="26">
        <v>45371</v>
      </c>
      <c r="B2026" s="23">
        <v>1609.02</v>
      </c>
      <c r="C2026" s="25">
        <f t="shared" si="394"/>
        <v>8.9575635427167205E-4</v>
      </c>
      <c r="E2026" s="25">
        <f t="shared" si="390"/>
        <v>0.36766768383384196</v>
      </c>
      <c r="F2026" s="25">
        <f t="shared" si="387"/>
        <v>0.14971667328759297</v>
      </c>
      <c r="G2026" s="25">
        <f t="shared" si="402"/>
        <v>0.1670355039779905</v>
      </c>
      <c r="H2026" s="25">
        <f t="shared" si="399"/>
        <v>0.30259310752139212</v>
      </c>
      <c r="I2026" s="25">
        <f t="shared" si="396"/>
        <v>0.16080887424283707</v>
      </c>
      <c r="K2026" s="28">
        <v>45371</v>
      </c>
      <c r="L2026" s="23">
        <v>30783.19</v>
      </c>
      <c r="M2026" s="25">
        <f t="shared" si="395"/>
        <v>1.0950781904019412E-3</v>
      </c>
      <c r="O2026" t="b">
        <f t="shared" si="393"/>
        <v>1</v>
      </c>
      <c r="Q2026" s="25">
        <f t="shared" si="391"/>
        <v>0.38448049357596537</v>
      </c>
      <c r="R2026" s="25">
        <f t="shared" si="388"/>
        <v>0.16646015359505761</v>
      </c>
      <c r="S2026" s="25">
        <f t="shared" si="403"/>
        <v>0.1771302882062733</v>
      </c>
      <c r="T2026" s="25">
        <f t="shared" si="400"/>
        <v>0.31909261094629904</v>
      </c>
      <c r="U2026" s="25">
        <f t="shared" si="397"/>
        <v>0.16743154250494663</v>
      </c>
      <c r="X2026">
        <f t="shared" si="392"/>
        <v>0</v>
      </c>
      <c r="Y2026">
        <f t="shared" si="389"/>
        <v>0</v>
      </c>
      <c r="Z2026">
        <f t="shared" si="404"/>
        <v>0</v>
      </c>
      <c r="AA2026">
        <f t="shared" si="401"/>
        <v>0</v>
      </c>
      <c r="AB2026">
        <f t="shared" si="398"/>
        <v>0</v>
      </c>
    </row>
    <row r="2027" spans="1:28">
      <c r="A2027" s="27">
        <v>45372</v>
      </c>
      <c r="B2027" s="24">
        <v>1623.45</v>
      </c>
      <c r="C2027" s="25">
        <f t="shared" si="394"/>
        <v>8.9681918186225555E-3</v>
      </c>
      <c r="E2027" s="25">
        <f t="shared" si="390"/>
        <v>0.37288479590024615</v>
      </c>
      <c r="F2027" s="25">
        <f t="shared" si="387"/>
        <v>0.15576772565286801</v>
      </c>
      <c r="G2027" s="25">
        <f t="shared" si="402"/>
        <v>0.1771247377101941</v>
      </c>
      <c r="H2027" s="25">
        <f t="shared" si="399"/>
        <v>0.29601970397884658</v>
      </c>
      <c r="I2027" s="25">
        <f t="shared" si="396"/>
        <v>0.16407226151449117</v>
      </c>
      <c r="K2027" s="29">
        <v>45372</v>
      </c>
      <c r="L2027" s="24">
        <v>31199.42</v>
      </c>
      <c r="M2027" s="25">
        <f t="shared" si="395"/>
        <v>1.3340953133103102E-2</v>
      </c>
      <c r="O2027" t="b">
        <f t="shared" si="393"/>
        <v>1</v>
      </c>
      <c r="Q2027" s="25">
        <f t="shared" si="391"/>
        <v>0.39402239234774705</v>
      </c>
      <c r="R2027" s="25">
        <f t="shared" si="388"/>
        <v>0.17547268493321666</v>
      </c>
      <c r="S2027" s="25">
        <f t="shared" si="403"/>
        <v>0.18948259222900443</v>
      </c>
      <c r="T2027" s="25">
        <f t="shared" si="400"/>
        <v>0.3116623358288968</v>
      </c>
      <c r="U2027" s="25">
        <f t="shared" si="397"/>
        <v>0.17182144624974982</v>
      </c>
      <c r="X2027">
        <f t="shared" si="392"/>
        <v>0</v>
      </c>
      <c r="Y2027">
        <f t="shared" si="389"/>
        <v>0</v>
      </c>
      <c r="Z2027">
        <f t="shared" si="404"/>
        <v>0</v>
      </c>
      <c r="AA2027">
        <f t="shared" si="401"/>
        <v>0</v>
      </c>
      <c r="AB2027">
        <f t="shared" si="398"/>
        <v>0</v>
      </c>
    </row>
    <row r="2028" spans="1:28">
      <c r="A2028" s="26">
        <v>45373</v>
      </c>
      <c r="B2028" s="23">
        <v>1632.11</v>
      </c>
      <c r="C2028" s="25">
        <f t="shared" si="394"/>
        <v>5.3343188887861369E-3</v>
      </c>
      <c r="E2028" s="25">
        <f t="shared" si="390"/>
        <v>0.37586828972214725</v>
      </c>
      <c r="F2028" s="25">
        <f t="shared" si="387"/>
        <v>0.15607196978332261</v>
      </c>
      <c r="G2028" s="25">
        <f t="shared" si="402"/>
        <v>0.1847509950454389</v>
      </c>
      <c r="H2028" s="25">
        <f t="shared" si="399"/>
        <v>0.30880141022300012</v>
      </c>
      <c r="I2028" s="25">
        <f t="shared" si="396"/>
        <v>0.16747767429445481</v>
      </c>
      <c r="K2028" s="28">
        <v>45373</v>
      </c>
      <c r="L2028" s="23">
        <v>31353.21</v>
      </c>
      <c r="M2028" s="25">
        <f t="shared" si="395"/>
        <v>4.9050798945307634E-3</v>
      </c>
      <c r="O2028" t="b">
        <f t="shared" si="393"/>
        <v>1</v>
      </c>
      <c r="Q2028" s="25">
        <f t="shared" si="391"/>
        <v>0.39617775909471042</v>
      </c>
      <c r="R2028" s="25">
        <f t="shared" si="388"/>
        <v>0.17818179155071379</v>
      </c>
      <c r="S2028" s="25">
        <f t="shared" si="403"/>
        <v>0.19812951866458772</v>
      </c>
      <c r="T2028" s="25">
        <f t="shared" si="400"/>
        <v>0.32452968923354164</v>
      </c>
      <c r="U2028" s="25">
        <f t="shared" si="397"/>
        <v>0.17516996333055856</v>
      </c>
      <c r="X2028">
        <f t="shared" si="392"/>
        <v>0</v>
      </c>
      <c r="Y2028">
        <f t="shared" si="389"/>
        <v>0</v>
      </c>
      <c r="Z2028">
        <f t="shared" si="404"/>
        <v>0</v>
      </c>
      <c r="AA2028">
        <f t="shared" si="401"/>
        <v>0</v>
      </c>
      <c r="AB2028">
        <f t="shared" si="398"/>
        <v>0</v>
      </c>
    </row>
    <row r="2029" spans="1:28">
      <c r="A2029" s="27">
        <v>45377</v>
      </c>
      <c r="B2029" s="24">
        <v>1630.54</v>
      </c>
      <c r="C2029" s="25">
        <f t="shared" si="394"/>
        <v>-9.6194496694459097E-4</v>
      </c>
      <c r="E2029" s="25">
        <f t="shared" si="390"/>
        <v>0.38129849886483003</v>
      </c>
      <c r="F2029" s="25">
        <f t="shared" si="387"/>
        <v>0.15780298169324602</v>
      </c>
      <c r="G2029" s="25">
        <f t="shared" si="402"/>
        <v>0.1781457805872928</v>
      </c>
      <c r="H2029" s="25">
        <f t="shared" si="399"/>
        <v>0.31449474986017822</v>
      </c>
      <c r="I2029" s="25">
        <f t="shared" si="396"/>
        <v>0.16491858283347938</v>
      </c>
      <c r="K2029" s="29">
        <v>45377</v>
      </c>
      <c r="L2029" s="24">
        <v>31369.91</v>
      </c>
      <c r="M2029" s="25">
        <f t="shared" si="395"/>
        <v>5.3235728122907357E-4</v>
      </c>
      <c r="O2029" t="b">
        <f t="shared" si="393"/>
        <v>1</v>
      </c>
      <c r="Q2029" s="25">
        <f t="shared" si="391"/>
        <v>0.40239386682271694</v>
      </c>
      <c r="R2029" s="25">
        <f t="shared" si="388"/>
        <v>0.18040641036320659</v>
      </c>
      <c r="S2029" s="25">
        <f t="shared" si="403"/>
        <v>0.19320387868565692</v>
      </c>
      <c r="T2029" s="25">
        <f t="shared" si="400"/>
        <v>0.33081896512318609</v>
      </c>
      <c r="U2029" s="25">
        <f t="shared" si="397"/>
        <v>0.17278937135586925</v>
      </c>
      <c r="X2029">
        <f t="shared" si="392"/>
        <v>0</v>
      </c>
      <c r="Y2029">
        <f t="shared" si="389"/>
        <v>0</v>
      </c>
      <c r="Z2029">
        <f t="shared" si="404"/>
        <v>0</v>
      </c>
      <c r="AA2029">
        <f t="shared" si="401"/>
        <v>0</v>
      </c>
      <c r="AB2029">
        <f t="shared" si="398"/>
        <v>0</v>
      </c>
    </row>
    <row r="2030" spans="1:28">
      <c r="A2030" s="26">
        <v>45378</v>
      </c>
      <c r="B2030" s="23">
        <v>1637.57</v>
      </c>
      <c r="C2030" s="25">
        <f t="shared" si="394"/>
        <v>4.3114551007641475E-3</v>
      </c>
      <c r="E2030" s="25">
        <f t="shared" si="390"/>
        <v>0.39915413533834565</v>
      </c>
      <c r="F2030" s="25">
        <f t="shared" si="387"/>
        <v>0.15938629380488112</v>
      </c>
      <c r="G2030" s="25">
        <f t="shared" si="402"/>
        <v>0.17211717108813507</v>
      </c>
      <c r="H2030" s="25">
        <f t="shared" si="399"/>
        <v>0.2904886423381603</v>
      </c>
      <c r="I2030" s="25">
        <f t="shared" si="396"/>
        <v>0.16537908735672557</v>
      </c>
      <c r="K2030" s="28">
        <v>45378</v>
      </c>
      <c r="L2030" s="23">
        <v>31499.32</v>
      </c>
      <c r="M2030" s="25">
        <f t="shared" si="395"/>
        <v>4.1083426562859085E-3</v>
      </c>
      <c r="O2030" t="b">
        <f t="shared" si="393"/>
        <v>1</v>
      </c>
      <c r="Q2030" s="25">
        <f t="shared" si="391"/>
        <v>0.42041683595544921</v>
      </c>
      <c r="R2030" s="25">
        <f t="shared" si="388"/>
        <v>0.18184694059934703</v>
      </c>
      <c r="S2030" s="25">
        <f t="shared" si="403"/>
        <v>0.18708929564894783</v>
      </c>
      <c r="T2030" s="25">
        <f t="shared" si="400"/>
        <v>0.30773836484948847</v>
      </c>
      <c r="U2030" s="25">
        <f t="shared" si="397"/>
        <v>0.17400676740132592</v>
      </c>
      <c r="X2030">
        <f t="shared" si="392"/>
        <v>0</v>
      </c>
      <c r="Y2030">
        <f t="shared" si="389"/>
        <v>0</v>
      </c>
      <c r="Z2030">
        <f t="shared" si="404"/>
        <v>0</v>
      </c>
      <c r="AA2030">
        <f t="shared" si="401"/>
        <v>0</v>
      </c>
      <c r="AB2030">
        <f t="shared" si="398"/>
        <v>0</v>
      </c>
    </row>
    <row r="2031" spans="1:28">
      <c r="A2031" s="27">
        <v>45379</v>
      </c>
      <c r="B2031" s="24">
        <v>1653.36</v>
      </c>
      <c r="C2031" s="25">
        <f t="shared" si="394"/>
        <v>9.6423359001447054E-3</v>
      </c>
      <c r="E2031" s="25">
        <f t="shared" si="390"/>
        <v>0.41396208020114433</v>
      </c>
      <c r="F2031" s="25">
        <f t="shared" ref="F2031:F2094" si="405">((B2031/B1539)^(1/2))-1</f>
        <v>0.16102843220949836</v>
      </c>
      <c r="G2031" s="25">
        <f t="shared" si="402"/>
        <v>0.17856349274846428</v>
      </c>
      <c r="H2031" s="25">
        <f t="shared" si="399"/>
        <v>0.29205377643225905</v>
      </c>
      <c r="I2031" s="25">
        <f t="shared" si="396"/>
        <v>0.16590277352273697</v>
      </c>
      <c r="K2031" s="29">
        <v>45379</v>
      </c>
      <c r="L2031" s="24">
        <v>31763.25</v>
      </c>
      <c r="M2031" s="25">
        <f t="shared" si="395"/>
        <v>8.3092882497855323E-3</v>
      </c>
      <c r="O2031" t="b">
        <f t="shared" si="393"/>
        <v>1</v>
      </c>
      <c r="Q2031" s="25">
        <f t="shared" si="391"/>
        <v>0.43395303923148698</v>
      </c>
      <c r="R2031" s="25">
        <f t="shared" ref="R2031:R2094" si="406">((L2031/L1539)^(1/2))-1</f>
        <v>0.1833175534496394</v>
      </c>
      <c r="S2031" s="25">
        <f t="shared" si="403"/>
        <v>0.19278190274943219</v>
      </c>
      <c r="T2031" s="25">
        <f t="shared" si="400"/>
        <v>0.30989910977511381</v>
      </c>
      <c r="U2031" s="25">
        <f t="shared" si="397"/>
        <v>0.17350031734470672</v>
      </c>
      <c r="X2031">
        <f t="shared" si="392"/>
        <v>0</v>
      </c>
      <c r="Y2031">
        <f t="shared" ref="Y2031:Y2094" si="407">IF(F2031&gt;R2031,1,0)</f>
        <v>0</v>
      </c>
      <c r="Z2031">
        <f t="shared" si="404"/>
        <v>0</v>
      </c>
      <c r="AA2031">
        <f t="shared" si="401"/>
        <v>0</v>
      </c>
      <c r="AB2031">
        <f t="shared" si="398"/>
        <v>0</v>
      </c>
    </row>
    <row r="2032" spans="1:28">
      <c r="A2032" s="27">
        <v>45383</v>
      </c>
      <c r="B2032" s="24">
        <v>1672.08</v>
      </c>
      <c r="C2032" s="25">
        <f t="shared" si="394"/>
        <v>1.132239802583831E-2</v>
      </c>
      <c r="E2032" s="25">
        <f t="shared" si="390"/>
        <v>0.43297396431448498</v>
      </c>
      <c r="F2032" s="25">
        <f t="shared" si="405"/>
        <v>0.16235389640089615</v>
      </c>
      <c r="G2032" s="25">
        <f t="shared" si="402"/>
        <v>0.1776592070096481</v>
      </c>
      <c r="H2032" s="25">
        <f t="shared" si="399"/>
        <v>0.28380834102979535</v>
      </c>
      <c r="I2032" s="25">
        <f t="shared" si="396"/>
        <v>0.16647428085757765</v>
      </c>
      <c r="K2032" s="29">
        <v>45383</v>
      </c>
      <c r="L2032" s="24">
        <v>32135.55</v>
      </c>
      <c r="M2032" s="25">
        <f t="shared" si="395"/>
        <v>1.158530039162234E-2</v>
      </c>
      <c r="O2032" t="b">
        <f t="shared" si="393"/>
        <v>1</v>
      </c>
      <c r="Q2032" s="25">
        <f t="shared" si="391"/>
        <v>0.45595972766973869</v>
      </c>
      <c r="R2032" s="25">
        <f t="shared" si="406"/>
        <v>0.18479528365692577</v>
      </c>
      <c r="S2032" s="25">
        <f t="shared" si="403"/>
        <v>0.19211238844677458</v>
      </c>
      <c r="T2032" s="25">
        <f t="shared" si="400"/>
        <v>0.30117535948936691</v>
      </c>
      <c r="U2032" s="25">
        <f t="shared" si="397"/>
        <v>0.17473119205954335</v>
      </c>
      <c r="X2032">
        <f t="shared" si="392"/>
        <v>0</v>
      </c>
      <c r="Y2032">
        <f t="shared" si="407"/>
        <v>0</v>
      </c>
      <c r="Z2032">
        <f t="shared" si="404"/>
        <v>0</v>
      </c>
      <c r="AA2032">
        <f t="shared" si="401"/>
        <v>0</v>
      </c>
      <c r="AB2032">
        <f t="shared" si="398"/>
        <v>0</v>
      </c>
    </row>
    <row r="2033" spans="1:28">
      <c r="A2033" s="26">
        <v>45384</v>
      </c>
      <c r="B2033" s="23">
        <v>1672.81</v>
      </c>
      <c r="C2033" s="25">
        <f t="shared" si="394"/>
        <v>4.365819817233734E-4</v>
      </c>
      <c r="E2033" s="25">
        <f t="shared" si="390"/>
        <v>0.42034387603481216</v>
      </c>
      <c r="F2033" s="25">
        <f t="shared" si="405"/>
        <v>0.16360935965971946</v>
      </c>
      <c r="G2033" s="25">
        <f t="shared" si="402"/>
        <v>0.18246493965329491</v>
      </c>
      <c r="H2033" s="25">
        <f t="shared" si="399"/>
        <v>0.286195352464226</v>
      </c>
      <c r="I2033" s="25">
        <f t="shared" si="396"/>
        <v>0.16564418808257342</v>
      </c>
      <c r="K2033" s="28">
        <v>45384</v>
      </c>
      <c r="L2033" s="23">
        <v>32256.66</v>
      </c>
      <c r="M2033" s="25">
        <f t="shared" si="395"/>
        <v>3.7545734741290817E-3</v>
      </c>
      <c r="O2033" t="b">
        <f t="shared" si="393"/>
        <v>1</v>
      </c>
      <c r="Q2033" s="25">
        <f t="shared" si="391"/>
        <v>0.44780430265923576</v>
      </c>
      <c r="R2033" s="25">
        <f t="shared" si="406"/>
        <v>0.18712092586531948</v>
      </c>
      <c r="S2033" s="25">
        <f t="shared" si="403"/>
        <v>0.19940678366675701</v>
      </c>
      <c r="T2033" s="25">
        <f t="shared" si="400"/>
        <v>0.30598125264023812</v>
      </c>
      <c r="U2033" s="25">
        <f t="shared" si="397"/>
        <v>0.17468616189976172</v>
      </c>
      <c r="X2033">
        <f t="shared" si="392"/>
        <v>0</v>
      </c>
      <c r="Y2033">
        <f t="shared" si="407"/>
        <v>0</v>
      </c>
      <c r="Z2033">
        <f t="shared" si="404"/>
        <v>0</v>
      </c>
      <c r="AA2033">
        <f t="shared" si="401"/>
        <v>0</v>
      </c>
      <c r="AB2033">
        <f t="shared" si="398"/>
        <v>0</v>
      </c>
    </row>
    <row r="2034" spans="1:28">
      <c r="A2034" s="27">
        <v>45385</v>
      </c>
      <c r="B2034" s="24">
        <v>1672.79</v>
      </c>
      <c r="C2034" s="25">
        <f t="shared" si="394"/>
        <v>-1.1955930440385825E-5</v>
      </c>
      <c r="E2034" s="25">
        <f t="shared" si="390"/>
        <v>0.4006212740304107</v>
      </c>
      <c r="F2034" s="25">
        <f t="shared" si="405"/>
        <v>0.15928006293592389</v>
      </c>
      <c r="G2034" s="25">
        <f t="shared" si="402"/>
        <v>0.1821059325079124</v>
      </c>
      <c r="H2034" s="25">
        <f t="shared" si="399"/>
        <v>0.28673391058125408</v>
      </c>
      <c r="I2034" s="25">
        <f t="shared" si="396"/>
        <v>0.16505747183631425</v>
      </c>
      <c r="K2034" s="29">
        <v>45385</v>
      </c>
      <c r="L2034" s="24">
        <v>32313.03</v>
      </c>
      <c r="M2034" s="25">
        <f t="shared" si="395"/>
        <v>1.744497498377558E-3</v>
      </c>
      <c r="O2034" t="b">
        <f t="shared" si="393"/>
        <v>1</v>
      </c>
      <c r="Q2034" s="25">
        <f t="shared" si="391"/>
        <v>0.42917679882032078</v>
      </c>
      <c r="R2034" s="25">
        <f t="shared" si="406"/>
        <v>0.18054253444438428</v>
      </c>
      <c r="S2034" s="25">
        <f t="shared" si="403"/>
        <v>0.19817537312511968</v>
      </c>
      <c r="T2034" s="25">
        <f t="shared" si="400"/>
        <v>0.30726322091490976</v>
      </c>
      <c r="U2034" s="25">
        <f t="shared" si="397"/>
        <v>0.17464083125560625</v>
      </c>
      <c r="X2034">
        <f t="shared" si="392"/>
        <v>0</v>
      </c>
      <c r="Y2034">
        <f t="shared" si="407"/>
        <v>0</v>
      </c>
      <c r="Z2034">
        <f t="shared" si="404"/>
        <v>0</v>
      </c>
      <c r="AA2034">
        <f t="shared" si="401"/>
        <v>0</v>
      </c>
      <c r="AB2034">
        <f t="shared" si="398"/>
        <v>0</v>
      </c>
    </row>
    <row r="2035" spans="1:28">
      <c r="A2035" s="26">
        <v>45386</v>
      </c>
      <c r="B2035" s="23">
        <v>1676.95</v>
      </c>
      <c r="C2035" s="25">
        <f t="shared" si="394"/>
        <v>2.4868632643667656E-3</v>
      </c>
      <c r="E2035" s="25">
        <f t="shared" si="390"/>
        <v>0.39891553701772686</v>
      </c>
      <c r="F2035" s="25">
        <f t="shared" si="405"/>
        <v>0.15139244973349242</v>
      </c>
      <c r="G2035" s="25">
        <f t="shared" si="402"/>
        <v>0.17797355049146724</v>
      </c>
      <c r="H2035" s="25">
        <f t="shared" si="399"/>
        <v>0.28363308231589057</v>
      </c>
      <c r="I2035" s="25">
        <f t="shared" si="396"/>
        <v>0.16714995634702112</v>
      </c>
      <c r="K2035" s="28">
        <v>45386</v>
      </c>
      <c r="L2035" s="23">
        <v>32405.59</v>
      </c>
      <c r="M2035" s="25">
        <f t="shared" si="395"/>
        <v>2.8562973240111138E-3</v>
      </c>
      <c r="O2035" t="b">
        <f t="shared" si="393"/>
        <v>1</v>
      </c>
      <c r="Q2035" s="25">
        <f t="shared" si="391"/>
        <v>0.42894202009610183</v>
      </c>
      <c r="R2035" s="25">
        <f t="shared" si="406"/>
        <v>0.17074485344275248</v>
      </c>
      <c r="S2035" s="25">
        <f t="shared" si="403"/>
        <v>0.19535717894415638</v>
      </c>
      <c r="T2035" s="25">
        <f t="shared" si="400"/>
        <v>0.30519097691024788</v>
      </c>
      <c r="U2035" s="25">
        <f t="shared" si="397"/>
        <v>0.17682671042172915</v>
      </c>
      <c r="X2035">
        <f t="shared" si="392"/>
        <v>0</v>
      </c>
      <c r="Y2035">
        <f t="shared" si="407"/>
        <v>0</v>
      </c>
      <c r="Z2035">
        <f t="shared" si="404"/>
        <v>0</v>
      </c>
      <c r="AA2035">
        <f t="shared" si="401"/>
        <v>0</v>
      </c>
      <c r="AB2035">
        <f t="shared" si="398"/>
        <v>0</v>
      </c>
    </row>
    <row r="2036" spans="1:28">
      <c r="A2036" s="27">
        <v>45387</v>
      </c>
      <c r="B2036" s="24">
        <v>1680.93</v>
      </c>
      <c r="C2036" s="25">
        <f t="shared" si="394"/>
        <v>2.3733563910671267E-3</v>
      </c>
      <c r="E2036" s="25">
        <f t="shared" si="390"/>
        <v>0.39515948308060067</v>
      </c>
      <c r="F2036" s="25">
        <f t="shared" si="405"/>
        <v>0.15232079370404517</v>
      </c>
      <c r="G2036" s="25">
        <f t="shared" si="402"/>
        <v>0.17668383338394045</v>
      </c>
      <c r="H2036" s="25">
        <f t="shared" si="399"/>
        <v>0.27517335801754306</v>
      </c>
      <c r="I2036" s="25">
        <f t="shared" si="396"/>
        <v>0.16767931473788922</v>
      </c>
      <c r="K2036" s="29">
        <v>45387</v>
      </c>
      <c r="L2036" s="24">
        <v>32484.71</v>
      </c>
      <c r="M2036" s="25">
        <f t="shared" si="395"/>
        <v>2.4356073980650894E-3</v>
      </c>
      <c r="O2036" t="b">
        <f t="shared" si="393"/>
        <v>1</v>
      </c>
      <c r="Q2036" s="25">
        <f t="shared" si="391"/>
        <v>0.42196583662107945</v>
      </c>
      <c r="R2036" s="25">
        <f t="shared" si="406"/>
        <v>0.17189640080617674</v>
      </c>
      <c r="S2036" s="25">
        <f t="shared" si="403"/>
        <v>0.19437627635797927</v>
      </c>
      <c r="T2036" s="25">
        <f t="shared" si="400"/>
        <v>0.29723334475240115</v>
      </c>
      <c r="U2036" s="25">
        <f t="shared" si="397"/>
        <v>0.17817585407026182</v>
      </c>
      <c r="X2036">
        <f t="shared" si="392"/>
        <v>0</v>
      </c>
      <c r="Y2036">
        <f t="shared" si="407"/>
        <v>0</v>
      </c>
      <c r="Z2036">
        <f t="shared" si="404"/>
        <v>0</v>
      </c>
      <c r="AA2036">
        <f t="shared" si="401"/>
        <v>0</v>
      </c>
      <c r="AB2036">
        <f t="shared" si="398"/>
        <v>0</v>
      </c>
    </row>
    <row r="2037" spans="1:28">
      <c r="A2037" s="26">
        <v>45390</v>
      </c>
      <c r="B2037" s="23">
        <v>1695.11</v>
      </c>
      <c r="C2037" s="25">
        <f t="shared" si="394"/>
        <v>8.435806369093201E-3</v>
      </c>
      <c r="E2037" s="25">
        <f t="shared" si="390"/>
        <v>0.4024937119406935</v>
      </c>
      <c r="F2037" s="25">
        <f t="shared" si="405"/>
        <v>0.16048044556674101</v>
      </c>
      <c r="G2037" s="25">
        <f t="shared" si="402"/>
        <v>0.18039534509827182</v>
      </c>
      <c r="H2037" s="25">
        <f t="shared" si="399"/>
        <v>0.27832193742830036</v>
      </c>
      <c r="I2037" s="25">
        <f t="shared" si="396"/>
        <v>0.16812009982424736</v>
      </c>
      <c r="K2037" s="28">
        <v>45390</v>
      </c>
      <c r="L2037" s="23">
        <v>32647.88</v>
      </c>
      <c r="M2037" s="25">
        <f t="shared" si="395"/>
        <v>4.9978742877026588E-3</v>
      </c>
      <c r="O2037" t="b">
        <f t="shared" si="393"/>
        <v>1</v>
      </c>
      <c r="Q2037" s="25">
        <f t="shared" si="391"/>
        <v>0.42429024077521338</v>
      </c>
      <c r="R2037" s="25">
        <f t="shared" si="406"/>
        <v>0.17723176231471149</v>
      </c>
      <c r="S2037" s="25">
        <f t="shared" si="403"/>
        <v>0.19682485155164686</v>
      </c>
      <c r="T2037" s="25">
        <f t="shared" si="400"/>
        <v>0.29885078711859614</v>
      </c>
      <c r="U2037" s="25">
        <f t="shared" si="397"/>
        <v>0.17793117099233458</v>
      </c>
      <c r="X2037">
        <f t="shared" si="392"/>
        <v>0</v>
      </c>
      <c r="Y2037">
        <f t="shared" si="407"/>
        <v>0</v>
      </c>
      <c r="Z2037">
        <f t="shared" si="404"/>
        <v>0</v>
      </c>
      <c r="AA2037">
        <f t="shared" si="401"/>
        <v>0</v>
      </c>
      <c r="AB2037">
        <f t="shared" si="398"/>
        <v>0</v>
      </c>
    </row>
    <row r="2038" spans="1:28">
      <c r="A2038" s="27">
        <v>45391</v>
      </c>
      <c r="B2038" s="24">
        <v>1698.87</v>
      </c>
      <c r="C2038" s="25">
        <f t="shared" si="394"/>
        <v>2.2181451351239692E-3</v>
      </c>
      <c r="E2038" s="25">
        <f t="shared" si="390"/>
        <v>0.40751449875724921</v>
      </c>
      <c r="F2038" s="25">
        <f t="shared" si="405"/>
        <v>0.16311207235702785</v>
      </c>
      <c r="G2038" s="25">
        <f t="shared" si="402"/>
        <v>0.19586341143140662</v>
      </c>
      <c r="H2038" s="25">
        <f t="shared" si="399"/>
        <v>0.2898535150783812</v>
      </c>
      <c r="I2038" s="25">
        <f t="shared" si="396"/>
        <v>0.16991955377600654</v>
      </c>
      <c r="K2038" s="29">
        <v>45391</v>
      </c>
      <c r="L2038" s="24">
        <v>32603.32</v>
      </c>
      <c r="M2038" s="25">
        <f t="shared" si="395"/>
        <v>-1.3667319769888866E-3</v>
      </c>
      <c r="O2038" t="b">
        <f t="shared" si="393"/>
        <v>1</v>
      </c>
      <c r="Q2038" s="25">
        <f t="shared" si="391"/>
        <v>0.41932770767960936</v>
      </c>
      <c r="R2038" s="25">
        <f t="shared" si="406"/>
        <v>0.18131919129380614</v>
      </c>
      <c r="S2038" s="25">
        <f t="shared" si="403"/>
        <v>0.21274474635346929</v>
      </c>
      <c r="T2038" s="25">
        <f t="shared" si="400"/>
        <v>0.30790214727002629</v>
      </c>
      <c r="U2038" s="25">
        <f t="shared" si="397"/>
        <v>0.17884192675717903</v>
      </c>
      <c r="X2038">
        <f t="shared" si="392"/>
        <v>0</v>
      </c>
      <c r="Y2038">
        <f t="shared" si="407"/>
        <v>0</v>
      </c>
      <c r="Z2038">
        <f t="shared" si="404"/>
        <v>0</v>
      </c>
      <c r="AA2038">
        <f t="shared" si="401"/>
        <v>0</v>
      </c>
      <c r="AB2038">
        <f t="shared" si="398"/>
        <v>0</v>
      </c>
    </row>
    <row r="2039" spans="1:28">
      <c r="A2039" s="26">
        <v>45392</v>
      </c>
      <c r="B2039" s="23">
        <v>1711.34</v>
      </c>
      <c r="C2039" s="25">
        <f t="shared" si="394"/>
        <v>7.3401731739332777E-3</v>
      </c>
      <c r="E2039" s="25">
        <f t="shared" si="390"/>
        <v>0.41271937789958546</v>
      </c>
      <c r="F2039" s="25">
        <f t="shared" si="405"/>
        <v>0.1629087965519691</v>
      </c>
      <c r="G2039" s="25">
        <f t="shared" si="402"/>
        <v>0.19490554563680518</v>
      </c>
      <c r="H2039" s="25">
        <f t="shared" si="399"/>
        <v>0.28853997743445525</v>
      </c>
      <c r="I2039" s="25">
        <f t="shared" si="396"/>
        <v>0.17070915614734306</v>
      </c>
      <c r="K2039" s="28">
        <v>45392</v>
      </c>
      <c r="L2039" s="23">
        <v>32798.550000000003</v>
      </c>
      <c r="M2039" s="25">
        <f t="shared" si="395"/>
        <v>5.9523972858557218E-3</v>
      </c>
      <c r="O2039" t="b">
        <f t="shared" si="393"/>
        <v>1</v>
      </c>
      <c r="Q2039" s="25">
        <f t="shared" si="391"/>
        <v>0.4204489596700256</v>
      </c>
      <c r="R2039" s="25">
        <f t="shared" si="406"/>
        <v>0.17938576665113093</v>
      </c>
      <c r="S2039" s="25">
        <f t="shared" si="403"/>
        <v>0.20973186255897924</v>
      </c>
      <c r="T2039" s="25">
        <f t="shared" si="400"/>
        <v>0.30381891891557067</v>
      </c>
      <c r="U2039" s="25">
        <f t="shared" si="397"/>
        <v>0.17919091686675426</v>
      </c>
      <c r="X2039">
        <f t="shared" si="392"/>
        <v>0</v>
      </c>
      <c r="Y2039">
        <f t="shared" si="407"/>
        <v>0</v>
      </c>
      <c r="Z2039">
        <f t="shared" si="404"/>
        <v>0</v>
      </c>
      <c r="AA2039">
        <f t="shared" si="401"/>
        <v>0</v>
      </c>
      <c r="AB2039">
        <f t="shared" si="398"/>
        <v>0</v>
      </c>
    </row>
    <row r="2040" spans="1:28">
      <c r="A2040" s="27">
        <v>45394</v>
      </c>
      <c r="B2040" s="24">
        <v>1696.79</v>
      </c>
      <c r="C2040" s="25">
        <f t="shared" si="394"/>
        <v>-8.5021094580854505E-3</v>
      </c>
      <c r="E2040" s="25">
        <f t="shared" ref="E2040:E2103" si="408">(B2040/B1795)-1</f>
        <v>0.39282079064880482</v>
      </c>
      <c r="F2040" s="25">
        <f t="shared" si="405"/>
        <v>0.16077874281197735</v>
      </c>
      <c r="G2040" s="25">
        <f t="shared" si="402"/>
        <v>0.1901860090344254</v>
      </c>
      <c r="H2040" s="25">
        <f t="shared" si="399"/>
        <v>0.28100612982078643</v>
      </c>
      <c r="I2040" s="25">
        <f t="shared" si="396"/>
        <v>0.17012244446440983</v>
      </c>
      <c r="K2040" s="29">
        <v>45394</v>
      </c>
      <c r="L2040" s="24">
        <v>32532.43</v>
      </c>
      <c r="M2040" s="25">
        <f t="shared" si="395"/>
        <v>-8.1801451659160602E-3</v>
      </c>
      <c r="O2040" t="b">
        <f t="shared" si="393"/>
        <v>1</v>
      </c>
      <c r="Q2040" s="25">
        <f t="shared" ref="Q2040:Q2103" si="409">(L2040/L1795)-1</f>
        <v>0.4019142694128861</v>
      </c>
      <c r="R2040" s="25">
        <f t="shared" si="406"/>
        <v>0.17523949418891971</v>
      </c>
      <c r="S2040" s="25">
        <f t="shared" si="403"/>
        <v>0.20477481720011226</v>
      </c>
      <c r="T2040" s="25">
        <f t="shared" si="400"/>
        <v>0.29724438556311505</v>
      </c>
      <c r="U2040" s="25">
        <f t="shared" si="397"/>
        <v>0.17860977737349804</v>
      </c>
      <c r="X2040">
        <f t="shared" ref="X2040:X2103" si="410">IF(E2040&gt;Q2040,1,0)</f>
        <v>0</v>
      </c>
      <c r="Y2040">
        <f t="shared" si="407"/>
        <v>0</v>
      </c>
      <c r="Z2040">
        <f t="shared" si="404"/>
        <v>0</v>
      </c>
      <c r="AA2040">
        <f t="shared" si="401"/>
        <v>0</v>
      </c>
      <c r="AB2040">
        <f t="shared" si="398"/>
        <v>0</v>
      </c>
    </row>
    <row r="2041" spans="1:28">
      <c r="A2041" s="26">
        <v>45397</v>
      </c>
      <c r="B2041" s="23">
        <v>1675.75</v>
      </c>
      <c r="C2041" s="25">
        <f t="shared" si="394"/>
        <v>-1.2399884487768058E-2</v>
      </c>
      <c r="E2041" s="25">
        <f t="shared" si="408"/>
        <v>0.37530161022930586</v>
      </c>
      <c r="F2041" s="25">
        <f t="shared" si="405"/>
        <v>0.1585381533567809</v>
      </c>
      <c r="G2041" s="25">
        <f t="shared" si="402"/>
        <v>0.18274437282258038</v>
      </c>
      <c r="H2041" s="25">
        <f t="shared" si="399"/>
        <v>0.283574860493502</v>
      </c>
      <c r="I2041" s="25">
        <f t="shared" si="396"/>
        <v>0.16719701312520097</v>
      </c>
      <c r="K2041" s="28">
        <v>45397</v>
      </c>
      <c r="L2041" s="23">
        <v>32114.13</v>
      </c>
      <c r="M2041" s="25">
        <f t="shared" si="395"/>
        <v>-1.3025419028944557E-2</v>
      </c>
      <c r="O2041" t="b">
        <f t="shared" si="393"/>
        <v>1</v>
      </c>
      <c r="Q2041" s="25">
        <f t="shared" si="409"/>
        <v>0.38261351385793851</v>
      </c>
      <c r="R2041" s="25">
        <f t="shared" si="406"/>
        <v>0.1738326814383111</v>
      </c>
      <c r="S2041" s="25">
        <f t="shared" si="403"/>
        <v>0.19762009012498694</v>
      </c>
      <c r="T2041" s="25">
        <f t="shared" si="400"/>
        <v>0.29870455682832531</v>
      </c>
      <c r="U2041" s="25">
        <f t="shared" si="397"/>
        <v>0.17527524867439381</v>
      </c>
      <c r="X2041">
        <f t="shared" si="410"/>
        <v>0</v>
      </c>
      <c r="Y2041">
        <f t="shared" si="407"/>
        <v>0</v>
      </c>
      <c r="Z2041">
        <f t="shared" si="404"/>
        <v>0</v>
      </c>
      <c r="AA2041">
        <f t="shared" si="401"/>
        <v>0</v>
      </c>
      <c r="AB2041">
        <f t="shared" si="398"/>
        <v>0</v>
      </c>
    </row>
    <row r="2042" spans="1:28">
      <c r="A2042" s="27">
        <v>45398</v>
      </c>
      <c r="B2042" s="24">
        <v>1671.35</v>
      </c>
      <c r="C2042" s="25">
        <f t="shared" si="394"/>
        <v>-2.625689989556969E-3</v>
      </c>
      <c r="E2042" s="25">
        <f t="shared" si="408"/>
        <v>0.37919510162316494</v>
      </c>
      <c r="F2042" s="25">
        <f t="shared" si="405"/>
        <v>0.15856691550237256</v>
      </c>
      <c r="G2042" s="25">
        <f t="shared" si="402"/>
        <v>0.18742574814229052</v>
      </c>
      <c r="H2042" s="25">
        <f t="shared" si="399"/>
        <v>0.27733439332233423</v>
      </c>
      <c r="I2042" s="25">
        <f t="shared" si="396"/>
        <v>0.16591198142350461</v>
      </c>
      <c r="K2042" s="29">
        <v>45398</v>
      </c>
      <c r="L2042" s="24">
        <v>32026.71</v>
      </c>
      <c r="M2042" s="25">
        <f t="shared" si="395"/>
        <v>-2.729596639804772E-3</v>
      </c>
      <c r="O2042" t="b">
        <f t="shared" si="393"/>
        <v>1</v>
      </c>
      <c r="Q2042" s="25">
        <f t="shared" si="409"/>
        <v>0.38346949142877862</v>
      </c>
      <c r="R2042" s="25">
        <f t="shared" si="406"/>
        <v>0.17324641337405766</v>
      </c>
      <c r="S2042" s="25">
        <f t="shared" si="403"/>
        <v>0.20378977552641642</v>
      </c>
      <c r="T2042" s="25">
        <f t="shared" si="400"/>
        <v>0.29307980077784523</v>
      </c>
      <c r="U2042" s="25">
        <f t="shared" si="397"/>
        <v>0.17366046056781648</v>
      </c>
      <c r="X2042">
        <f t="shared" si="410"/>
        <v>0</v>
      </c>
      <c r="Y2042">
        <f t="shared" si="407"/>
        <v>0</v>
      </c>
      <c r="Z2042">
        <f t="shared" si="404"/>
        <v>0</v>
      </c>
      <c r="AA2042">
        <f t="shared" si="401"/>
        <v>0</v>
      </c>
      <c r="AB2042">
        <f t="shared" si="398"/>
        <v>0</v>
      </c>
    </row>
    <row r="2043" spans="1:28">
      <c r="A2043" s="26">
        <v>45400</v>
      </c>
      <c r="B2043" s="23">
        <v>1664.69</v>
      </c>
      <c r="C2043" s="25">
        <f t="shared" si="394"/>
        <v>-3.9848027044005474E-3</v>
      </c>
      <c r="E2043" s="25">
        <f t="shared" si="408"/>
        <v>0.37111958554002533</v>
      </c>
      <c r="F2043" s="25">
        <f t="shared" si="405"/>
        <v>0.16531330621480067</v>
      </c>
      <c r="G2043" s="25">
        <f t="shared" si="402"/>
        <v>0.18471612148562344</v>
      </c>
      <c r="H2043" s="25">
        <f t="shared" si="399"/>
        <v>0.27309970025571761</v>
      </c>
      <c r="I2043" s="25">
        <f t="shared" si="396"/>
        <v>0.16392997670644549</v>
      </c>
      <c r="K2043" s="28">
        <v>45400</v>
      </c>
      <c r="L2043" s="23">
        <v>31872.54</v>
      </c>
      <c r="M2043" s="25">
        <f t="shared" si="395"/>
        <v>-4.8370791910528075E-3</v>
      </c>
      <c r="O2043" t="b">
        <f t="shared" si="393"/>
        <v>1</v>
      </c>
      <c r="Q2043" s="25">
        <f t="shared" si="409"/>
        <v>0.37748571626142047</v>
      </c>
      <c r="R2043" s="25">
        <f t="shared" si="406"/>
        <v>0.17872034250859792</v>
      </c>
      <c r="S2043" s="25">
        <f t="shared" si="403"/>
        <v>0.20255436537471461</v>
      </c>
      <c r="T2043" s="25">
        <f t="shared" si="400"/>
        <v>0.28862692829021475</v>
      </c>
      <c r="U2043" s="25">
        <f t="shared" si="397"/>
        <v>0.17151491865634849</v>
      </c>
      <c r="X2043">
        <f t="shared" si="410"/>
        <v>0</v>
      </c>
      <c r="Y2043">
        <f t="shared" si="407"/>
        <v>0</v>
      </c>
      <c r="Z2043">
        <f t="shared" si="404"/>
        <v>0</v>
      </c>
      <c r="AA2043">
        <f t="shared" si="401"/>
        <v>0</v>
      </c>
      <c r="AB2043">
        <f t="shared" si="398"/>
        <v>0</v>
      </c>
    </row>
    <row r="2044" spans="1:28">
      <c r="A2044" s="27">
        <v>45401</v>
      </c>
      <c r="B2044" s="24">
        <v>1672.84</v>
      </c>
      <c r="C2044" s="25">
        <f t="shared" si="394"/>
        <v>4.895806426421654E-3</v>
      </c>
      <c r="E2044" s="25">
        <f t="shared" si="408"/>
        <v>0.384068043420704</v>
      </c>
      <c r="F2044" s="25">
        <f t="shared" si="405"/>
        <v>0.17559886137679137</v>
      </c>
      <c r="G2044" s="25">
        <f t="shared" si="402"/>
        <v>0.18365868526246265</v>
      </c>
      <c r="H2044" s="25">
        <f t="shared" si="399"/>
        <v>0.2679602872808462</v>
      </c>
      <c r="I2044" s="25">
        <f t="shared" si="396"/>
        <v>0.16318684073776879</v>
      </c>
      <c r="K2044" s="29">
        <v>45401</v>
      </c>
      <c r="L2044" s="24">
        <v>31967.61</v>
      </c>
      <c r="M2044" s="25">
        <f t="shared" si="395"/>
        <v>2.9739476926801756E-3</v>
      </c>
      <c r="O2044" t="b">
        <f t="shared" si="393"/>
        <v>1</v>
      </c>
      <c r="Q2044" s="25">
        <f t="shared" si="409"/>
        <v>0.38532511638771028</v>
      </c>
      <c r="R2044" s="25">
        <f t="shared" si="406"/>
        <v>0.18843198688348495</v>
      </c>
      <c r="S2044" s="25">
        <f t="shared" si="403"/>
        <v>0.20119252795172149</v>
      </c>
      <c r="T2044" s="25">
        <f t="shared" si="400"/>
        <v>0.28437522022862027</v>
      </c>
      <c r="U2044" s="25">
        <f t="shared" si="397"/>
        <v>0.17065368217274357</v>
      </c>
      <c r="X2044">
        <f t="shared" si="410"/>
        <v>0</v>
      </c>
      <c r="Y2044">
        <f t="shared" si="407"/>
        <v>0</v>
      </c>
      <c r="Z2044">
        <f t="shared" si="404"/>
        <v>0</v>
      </c>
      <c r="AA2044">
        <f t="shared" si="401"/>
        <v>0</v>
      </c>
      <c r="AB2044">
        <f t="shared" si="398"/>
        <v>0</v>
      </c>
    </row>
    <row r="2045" spans="1:28">
      <c r="A2045" s="26">
        <v>45404</v>
      </c>
      <c r="B2045" s="23">
        <v>1693.14</v>
      </c>
      <c r="C2045" s="25">
        <f t="shared" si="394"/>
        <v>1.2135051768250509E-2</v>
      </c>
      <c r="E2045" s="25">
        <f t="shared" si="408"/>
        <v>0.4001223868748347</v>
      </c>
      <c r="F2045" s="25">
        <f t="shared" si="405"/>
        <v>0.18007122711552026</v>
      </c>
      <c r="G2045" s="25">
        <f t="shared" si="402"/>
        <v>0.18998264981948676</v>
      </c>
      <c r="H2045" s="25">
        <f t="shared" si="399"/>
        <v>0.26468300865884475</v>
      </c>
      <c r="I2045" s="25">
        <f t="shared" si="396"/>
        <v>0.16828348355402456</v>
      </c>
      <c r="K2045" s="28">
        <v>45404</v>
      </c>
      <c r="L2045" s="23">
        <v>32265.09</v>
      </c>
      <c r="M2045" s="25">
        <f t="shared" si="395"/>
        <v>9.219872004076219E-3</v>
      </c>
      <c r="O2045" t="b">
        <f t="shared" si="393"/>
        <v>1</v>
      </c>
      <c r="Q2045" s="25">
        <f t="shared" si="409"/>
        <v>0.3977591728095986</v>
      </c>
      <c r="R2045" s="25">
        <f t="shared" si="406"/>
        <v>0.18896647668438216</v>
      </c>
      <c r="S2045" s="25">
        <f t="shared" si="403"/>
        <v>0.20578493951982346</v>
      </c>
      <c r="T2045" s="25">
        <f t="shared" si="400"/>
        <v>0.27859954703538414</v>
      </c>
      <c r="U2045" s="25">
        <f t="shared" si="397"/>
        <v>0.17385128913998615</v>
      </c>
      <c r="X2045">
        <f t="shared" si="410"/>
        <v>1</v>
      </c>
      <c r="Y2045">
        <f t="shared" si="407"/>
        <v>0</v>
      </c>
      <c r="Z2045">
        <f t="shared" si="404"/>
        <v>0</v>
      </c>
      <c r="AA2045">
        <f t="shared" si="401"/>
        <v>0</v>
      </c>
      <c r="AB2045">
        <f t="shared" si="398"/>
        <v>0</v>
      </c>
    </row>
    <row r="2046" spans="1:28">
      <c r="A2046" s="27">
        <v>45405</v>
      </c>
      <c r="B2046" s="24">
        <v>1697.52</v>
      </c>
      <c r="C2046" s="25">
        <f t="shared" si="394"/>
        <v>2.5869095290406473E-3</v>
      </c>
      <c r="E2046" s="25">
        <f t="shared" si="408"/>
        <v>0.40667572673936814</v>
      </c>
      <c r="F2046" s="25">
        <f t="shared" si="405"/>
        <v>0.17580840721477031</v>
      </c>
      <c r="G2046" s="25">
        <f t="shared" si="402"/>
        <v>0.1870749680598025</v>
      </c>
      <c r="H2046" s="25">
        <f t="shared" si="399"/>
        <v>0.28108798133647861</v>
      </c>
      <c r="I2046" s="25">
        <f t="shared" si="396"/>
        <v>0.17242611055930523</v>
      </c>
      <c r="K2046" s="29">
        <v>45405</v>
      </c>
      <c r="L2046" s="24">
        <v>32387.08</v>
      </c>
      <c r="M2046" s="25">
        <f t="shared" si="395"/>
        <v>3.7666254568180148E-3</v>
      </c>
      <c r="O2046" t="b">
        <f t="shared" si="393"/>
        <v>1</v>
      </c>
      <c r="Q2046" s="25">
        <f t="shared" si="409"/>
        <v>0.40437994439212055</v>
      </c>
      <c r="R2046" s="25">
        <f t="shared" si="406"/>
        <v>0.18311261666384948</v>
      </c>
      <c r="S2046" s="25">
        <f t="shared" si="403"/>
        <v>0.20362543397828325</v>
      </c>
      <c r="T2046" s="25">
        <f t="shared" si="400"/>
        <v>0.2969769684666177</v>
      </c>
      <c r="U2046" s="25">
        <f t="shared" si="397"/>
        <v>0.17811679386001944</v>
      </c>
      <c r="X2046">
        <f t="shared" si="410"/>
        <v>1</v>
      </c>
      <c r="Y2046">
        <f t="shared" si="407"/>
        <v>0</v>
      </c>
      <c r="Z2046">
        <f t="shared" si="404"/>
        <v>0</v>
      </c>
      <c r="AA2046">
        <f t="shared" si="401"/>
        <v>0</v>
      </c>
      <c r="AB2046">
        <f t="shared" si="398"/>
        <v>0</v>
      </c>
    </row>
    <row r="2047" spans="1:28">
      <c r="A2047" s="26">
        <v>45406</v>
      </c>
      <c r="B2047" s="23">
        <v>1701.27</v>
      </c>
      <c r="C2047" s="25">
        <f t="shared" si="394"/>
        <v>2.2091050473632121E-3</v>
      </c>
      <c r="E2047" s="25">
        <f t="shared" si="408"/>
        <v>0.40147951660337244</v>
      </c>
      <c r="F2047" s="25">
        <f t="shared" si="405"/>
        <v>0.18465127311568663</v>
      </c>
      <c r="G2047" s="25">
        <f t="shared" si="402"/>
        <v>0.18283809046975263</v>
      </c>
      <c r="H2047" s="25">
        <f t="shared" si="399"/>
        <v>0.28642789618024844</v>
      </c>
      <c r="I2047" s="25">
        <f t="shared" si="396"/>
        <v>0.17346478730474413</v>
      </c>
      <c r="K2047" s="28">
        <v>45406</v>
      </c>
      <c r="L2047" s="23">
        <v>32509.43</v>
      </c>
      <c r="M2047" s="25">
        <f t="shared" si="395"/>
        <v>3.7635233838304314E-3</v>
      </c>
      <c r="O2047" t="b">
        <f t="shared" si="393"/>
        <v>1</v>
      </c>
      <c r="Q2047" s="25">
        <f t="shared" si="409"/>
        <v>0.40184256484336256</v>
      </c>
      <c r="R2047" s="25">
        <f t="shared" si="406"/>
        <v>0.19165743301801297</v>
      </c>
      <c r="S2047" s="25">
        <f t="shared" si="403"/>
        <v>0.20038630567848825</v>
      </c>
      <c r="T2047" s="25">
        <f t="shared" si="400"/>
        <v>0.30135449531839997</v>
      </c>
      <c r="U2047" s="25">
        <f t="shared" si="397"/>
        <v>0.17931250128651355</v>
      </c>
      <c r="X2047">
        <f t="shared" si="410"/>
        <v>0</v>
      </c>
      <c r="Y2047">
        <f t="shared" si="407"/>
        <v>0</v>
      </c>
      <c r="Z2047">
        <f t="shared" si="404"/>
        <v>0</v>
      </c>
      <c r="AA2047">
        <f t="shared" si="401"/>
        <v>0</v>
      </c>
      <c r="AB2047">
        <f t="shared" si="398"/>
        <v>0</v>
      </c>
    </row>
    <row r="2048" spans="1:28">
      <c r="A2048" s="27">
        <v>45407</v>
      </c>
      <c r="B2048" s="24">
        <v>1712.77</v>
      </c>
      <c r="C2048" s="25">
        <f t="shared" si="394"/>
        <v>6.7596560216779226E-3</v>
      </c>
      <c r="E2048" s="25">
        <f t="shared" si="408"/>
        <v>0.40944363525645766</v>
      </c>
      <c r="F2048" s="25">
        <f t="shared" si="405"/>
        <v>0.19688641638437487</v>
      </c>
      <c r="G2048" s="25">
        <f t="shared" si="402"/>
        <v>0.18053049540178434</v>
      </c>
      <c r="H2048" s="25">
        <f t="shared" si="399"/>
        <v>0.28482798189288516</v>
      </c>
      <c r="I2048" s="25">
        <f t="shared" si="396"/>
        <v>0.17292838821433665</v>
      </c>
      <c r="K2048" s="29">
        <v>45407</v>
      </c>
      <c r="L2048" s="24">
        <v>32724.61</v>
      </c>
      <c r="M2048" s="25">
        <f t="shared" si="395"/>
        <v>6.5754794327571907E-3</v>
      </c>
      <c r="O2048" t="b">
        <f t="shared" si="393"/>
        <v>1</v>
      </c>
      <c r="Q2048" s="25">
        <f t="shared" si="409"/>
        <v>0.40870978295494664</v>
      </c>
      <c r="R2048" s="25">
        <f t="shared" si="406"/>
        <v>0.20458830466523481</v>
      </c>
      <c r="S2048" s="25">
        <f t="shared" si="403"/>
        <v>0.19802976935643235</v>
      </c>
      <c r="T2048" s="25">
        <f t="shared" si="400"/>
        <v>0.3012409617631433</v>
      </c>
      <c r="U2048" s="25">
        <f t="shared" si="397"/>
        <v>0.1784157466780083</v>
      </c>
      <c r="X2048">
        <f t="shared" si="410"/>
        <v>1</v>
      </c>
      <c r="Y2048">
        <f t="shared" si="407"/>
        <v>0</v>
      </c>
      <c r="Z2048">
        <f t="shared" si="404"/>
        <v>0</v>
      </c>
      <c r="AA2048">
        <f t="shared" si="401"/>
        <v>0</v>
      </c>
      <c r="AB2048">
        <f t="shared" si="398"/>
        <v>0</v>
      </c>
    </row>
    <row r="2049" spans="1:28">
      <c r="A2049" s="26">
        <v>45408</v>
      </c>
      <c r="B2049" s="23">
        <v>1706.37</v>
      </c>
      <c r="C2049" s="25">
        <f t="shared" si="394"/>
        <v>-3.7366371433409568E-3</v>
      </c>
      <c r="E2049" s="25">
        <f t="shared" si="408"/>
        <v>0.3999721050817977</v>
      </c>
      <c r="F2049" s="25">
        <f t="shared" si="405"/>
        <v>0.18743003342663922</v>
      </c>
      <c r="G2049" s="25">
        <f t="shared" si="402"/>
        <v>0.17715414175243138</v>
      </c>
      <c r="H2049" s="25">
        <f t="shared" si="399"/>
        <v>0.28610920743241963</v>
      </c>
      <c r="I2049" s="25">
        <f t="shared" si="396"/>
        <v>0.17348683185823921</v>
      </c>
      <c r="K2049" s="28">
        <v>45408</v>
      </c>
      <c r="L2049" s="23">
        <v>32679.86</v>
      </c>
      <c r="M2049" s="25">
        <f t="shared" si="395"/>
        <v>-1.3693449115143087E-3</v>
      </c>
      <c r="O2049" t="b">
        <f t="shared" si="393"/>
        <v>1</v>
      </c>
      <c r="Q2049" s="25">
        <f t="shared" si="409"/>
        <v>0.4031532440543919</v>
      </c>
      <c r="R2049" s="25">
        <f t="shared" si="406"/>
        <v>0.1946251277793889</v>
      </c>
      <c r="S2049" s="25">
        <f t="shared" si="403"/>
        <v>0.19692353408215735</v>
      </c>
      <c r="T2049" s="25">
        <f t="shared" si="400"/>
        <v>0.30315101535833233</v>
      </c>
      <c r="U2049" s="25">
        <f t="shared" si="397"/>
        <v>0.17952374189866172</v>
      </c>
      <c r="X2049">
        <f t="shared" si="410"/>
        <v>0</v>
      </c>
      <c r="Y2049">
        <f t="shared" si="407"/>
        <v>0</v>
      </c>
      <c r="Z2049">
        <f t="shared" si="404"/>
        <v>0</v>
      </c>
      <c r="AA2049">
        <f t="shared" si="401"/>
        <v>0</v>
      </c>
      <c r="AB2049">
        <f t="shared" si="398"/>
        <v>0</v>
      </c>
    </row>
    <row r="2050" spans="1:28">
      <c r="A2050" s="27">
        <v>45411</v>
      </c>
      <c r="B2050" s="24">
        <v>1713.09</v>
      </c>
      <c r="C2050" s="25">
        <f t="shared" si="394"/>
        <v>3.9381845672392434E-3</v>
      </c>
      <c r="E2050" s="25">
        <f t="shared" si="408"/>
        <v>0.39571774252682501</v>
      </c>
      <c r="F2050" s="25">
        <f t="shared" si="405"/>
        <v>0.19684807476464217</v>
      </c>
      <c r="G2050" s="25">
        <f t="shared" si="402"/>
        <v>0.1827095136396768</v>
      </c>
      <c r="H2050" s="25">
        <f t="shared" si="399"/>
        <v>0.28598402714334581</v>
      </c>
      <c r="I2050" s="25">
        <f t="shared" si="396"/>
        <v>0.17241958427021098</v>
      </c>
      <c r="K2050" s="29">
        <v>45411</v>
      </c>
      <c r="L2050" s="24">
        <v>32919.57</v>
      </c>
      <c r="M2050" s="25">
        <f t="shared" si="395"/>
        <v>7.281686850709141E-3</v>
      </c>
      <c r="O2050" t="b">
        <f t="shared" si="393"/>
        <v>1</v>
      </c>
      <c r="Q2050" s="25">
        <f t="shared" si="409"/>
        <v>0.40587837370375213</v>
      </c>
      <c r="R2050" s="25">
        <f t="shared" si="406"/>
        <v>0.20476699796169884</v>
      </c>
      <c r="S2050" s="25">
        <f t="shared" si="403"/>
        <v>0.20526664385985804</v>
      </c>
      <c r="T2050" s="25">
        <f t="shared" si="400"/>
        <v>0.30418681140260073</v>
      </c>
      <c r="U2050" s="25">
        <f t="shared" si="397"/>
        <v>0.17975950383583195</v>
      </c>
      <c r="X2050">
        <f t="shared" si="410"/>
        <v>0</v>
      </c>
      <c r="Y2050">
        <f t="shared" si="407"/>
        <v>0</v>
      </c>
      <c r="Z2050">
        <f t="shared" si="404"/>
        <v>0</v>
      </c>
      <c r="AA2050">
        <f t="shared" si="401"/>
        <v>0</v>
      </c>
      <c r="AB2050">
        <f t="shared" si="398"/>
        <v>0</v>
      </c>
    </row>
    <row r="2051" spans="1:28">
      <c r="A2051" s="26">
        <v>45412</v>
      </c>
      <c r="B2051" s="23">
        <v>1711.51</v>
      </c>
      <c r="C2051" s="25">
        <f t="shared" si="394"/>
        <v>-9.2230997787619295E-4</v>
      </c>
      <c r="E2051" s="25">
        <f t="shared" si="408"/>
        <v>0.38346320486290741</v>
      </c>
      <c r="F2051" s="25">
        <f t="shared" si="405"/>
        <v>0.19154298938685232</v>
      </c>
      <c r="G2051" s="25">
        <f t="shared" si="402"/>
        <v>0.18090301335305381</v>
      </c>
      <c r="H2051" s="25">
        <f t="shared" si="399"/>
        <v>0.28697862728810875</v>
      </c>
      <c r="I2051" s="25">
        <f t="shared" si="396"/>
        <v>0.17205171770006911</v>
      </c>
      <c r="K2051" s="28">
        <v>45412</v>
      </c>
      <c r="L2051" s="23">
        <v>32927.379999999997</v>
      </c>
      <c r="M2051" s="25">
        <f t="shared" si="395"/>
        <v>2.3718862539314311E-4</v>
      </c>
      <c r="O2051" t="b">
        <f t="shared" ref="O2051:O2114" si="411">K2051=A2051</f>
        <v>1</v>
      </c>
      <c r="Q2051" s="25">
        <f t="shared" si="409"/>
        <v>0.39263506843614038</v>
      </c>
      <c r="R2051" s="25">
        <f t="shared" si="406"/>
        <v>0.19841554815291085</v>
      </c>
      <c r="S2051" s="25">
        <f t="shared" si="403"/>
        <v>0.20436053934224563</v>
      </c>
      <c r="T2051" s="25">
        <f t="shared" si="400"/>
        <v>0.30407423947476198</v>
      </c>
      <c r="U2051" s="25">
        <f t="shared" si="397"/>
        <v>0.18043551541526659</v>
      </c>
      <c r="X2051">
        <f t="shared" si="410"/>
        <v>0</v>
      </c>
      <c r="Y2051">
        <f t="shared" si="407"/>
        <v>0</v>
      </c>
      <c r="Z2051">
        <f t="shared" si="404"/>
        <v>0</v>
      </c>
      <c r="AA2051">
        <f t="shared" si="401"/>
        <v>0</v>
      </c>
      <c r="AB2051">
        <f t="shared" si="398"/>
        <v>0</v>
      </c>
    </row>
    <row r="2052" spans="1:28">
      <c r="A2052" s="27">
        <v>45414</v>
      </c>
      <c r="B2052" s="24">
        <v>1715.41</v>
      </c>
      <c r="C2052" s="25">
        <f t="shared" ref="C2052:C2115" si="412">(B2052-B2051)/B2051</f>
        <v>2.2786895782087695E-3</v>
      </c>
      <c r="E2052" s="25">
        <f t="shared" si="408"/>
        <v>0.38486937707882585</v>
      </c>
      <c r="F2052" s="25">
        <f t="shared" si="405"/>
        <v>0.19679291449008551</v>
      </c>
      <c r="G2052" s="25">
        <f t="shared" si="402"/>
        <v>0.18549136554850443</v>
      </c>
      <c r="H2052" s="25">
        <f t="shared" si="399"/>
        <v>0.28729352255763119</v>
      </c>
      <c r="I2052" s="25">
        <f t="shared" si="396"/>
        <v>0.17406382836125678</v>
      </c>
      <c r="K2052" s="29">
        <v>45414</v>
      </c>
      <c r="L2052" s="24">
        <v>33063</v>
      </c>
      <c r="M2052" s="25">
        <f t="shared" ref="M2052:M2115" si="413">(L2052-L2051)/L2052</f>
        <v>4.1018661343496547E-3</v>
      </c>
      <c r="O2052" t="b">
        <f t="shared" si="411"/>
        <v>1</v>
      </c>
      <c r="Q2052" s="25">
        <f t="shared" si="409"/>
        <v>0.39094796324124581</v>
      </c>
      <c r="R2052" s="25">
        <f t="shared" si="406"/>
        <v>0.20617280338404465</v>
      </c>
      <c r="S2052" s="25">
        <f t="shared" si="403"/>
        <v>0.20910126563074583</v>
      </c>
      <c r="T2052" s="25">
        <f t="shared" si="400"/>
        <v>0.30695186703579269</v>
      </c>
      <c r="U2052" s="25">
        <f t="shared" si="397"/>
        <v>0.1820621446414894</v>
      </c>
      <c r="X2052">
        <f t="shared" si="410"/>
        <v>0</v>
      </c>
      <c r="Y2052">
        <f t="shared" si="407"/>
        <v>0</v>
      </c>
      <c r="Z2052">
        <f t="shared" si="404"/>
        <v>0</v>
      </c>
      <c r="AA2052">
        <f t="shared" si="401"/>
        <v>0</v>
      </c>
      <c r="AB2052">
        <f t="shared" si="398"/>
        <v>0</v>
      </c>
    </row>
    <row r="2053" spans="1:28">
      <c r="A2053" s="26">
        <v>45415</v>
      </c>
      <c r="B2053" s="23">
        <v>1705.54</v>
      </c>
      <c r="C2053" s="25">
        <f t="shared" si="412"/>
        <v>-5.7537265143610666E-3</v>
      </c>
      <c r="E2053" s="25">
        <f t="shared" si="408"/>
        <v>0.38004304694706526</v>
      </c>
      <c r="F2053" s="25">
        <f t="shared" si="405"/>
        <v>0.19709407060899276</v>
      </c>
      <c r="G2053" s="25">
        <f t="shared" si="402"/>
        <v>0.17806038591355899</v>
      </c>
      <c r="H2053" s="25">
        <f t="shared" si="399"/>
        <v>0.28017793127468282</v>
      </c>
      <c r="I2053" s="25">
        <f t="shared" si="396"/>
        <v>0.17277067082545305</v>
      </c>
      <c r="K2053" s="28">
        <v>45415</v>
      </c>
      <c r="L2053" s="23">
        <v>32868.94</v>
      </c>
      <c r="M2053" s="25">
        <f t="shared" si="413"/>
        <v>-5.9040541009231715E-3</v>
      </c>
      <c r="O2053" t="b">
        <f t="shared" si="411"/>
        <v>1</v>
      </c>
      <c r="Q2053" s="25">
        <f t="shared" si="409"/>
        <v>0.38498813220300288</v>
      </c>
      <c r="R2053" s="25">
        <f t="shared" si="406"/>
        <v>0.2045462185284852</v>
      </c>
      <c r="S2053" s="25">
        <f t="shared" si="403"/>
        <v>0.20307216802741346</v>
      </c>
      <c r="T2053" s="25">
        <f t="shared" si="400"/>
        <v>0.29878257428166433</v>
      </c>
      <c r="U2053" s="25">
        <f t="shared" si="397"/>
        <v>0.18098980726364133</v>
      </c>
      <c r="X2053">
        <f t="shared" si="410"/>
        <v>0</v>
      </c>
      <c r="Y2053">
        <f t="shared" si="407"/>
        <v>0</v>
      </c>
      <c r="Z2053">
        <f t="shared" si="404"/>
        <v>0</v>
      </c>
      <c r="AA2053">
        <f t="shared" si="401"/>
        <v>0</v>
      </c>
      <c r="AB2053">
        <f t="shared" si="398"/>
        <v>0</v>
      </c>
    </row>
    <row r="2054" spans="1:28">
      <c r="A2054" s="27">
        <v>45418</v>
      </c>
      <c r="B2054" s="24">
        <v>1702.67</v>
      </c>
      <c r="C2054" s="25">
        <f t="shared" si="412"/>
        <v>-1.6827515039224473E-3</v>
      </c>
      <c r="E2054" s="25">
        <f t="shared" si="408"/>
        <v>0.36458132974289925</v>
      </c>
      <c r="F2054" s="25">
        <f t="shared" si="405"/>
        <v>0.21066984250663912</v>
      </c>
      <c r="G2054" s="25">
        <f t="shared" si="402"/>
        <v>0.17377976736065581</v>
      </c>
      <c r="H2054" s="25">
        <f t="shared" si="399"/>
        <v>0.28568984465596658</v>
      </c>
      <c r="I2054" s="25">
        <f t="shared" si="396"/>
        <v>0.17386058580518515</v>
      </c>
      <c r="K2054" s="29">
        <v>45418</v>
      </c>
      <c r="L2054" s="24">
        <v>32720.6</v>
      </c>
      <c r="M2054" s="25">
        <f t="shared" si="413"/>
        <v>-4.533535448616584E-3</v>
      </c>
      <c r="O2054" t="b">
        <f t="shared" si="411"/>
        <v>1</v>
      </c>
      <c r="Q2054" s="25">
        <f t="shared" si="409"/>
        <v>0.36718074282681989</v>
      </c>
      <c r="R2054" s="25">
        <f t="shared" si="406"/>
        <v>0.21605711737293865</v>
      </c>
      <c r="S2054" s="25">
        <f t="shared" si="403"/>
        <v>0.19840644999446821</v>
      </c>
      <c r="T2054" s="25">
        <f t="shared" si="400"/>
        <v>0.30384327139028411</v>
      </c>
      <c r="U2054" s="25">
        <f t="shared" si="397"/>
        <v>0.18219165976788676</v>
      </c>
      <c r="X2054">
        <f t="shared" si="410"/>
        <v>0</v>
      </c>
      <c r="Y2054">
        <f t="shared" si="407"/>
        <v>0</v>
      </c>
      <c r="Z2054">
        <f t="shared" si="404"/>
        <v>0</v>
      </c>
      <c r="AA2054">
        <f t="shared" si="401"/>
        <v>0</v>
      </c>
      <c r="AB2054">
        <f t="shared" si="398"/>
        <v>0</v>
      </c>
    </row>
    <row r="2055" spans="1:28">
      <c r="A2055" s="26">
        <v>45419</v>
      </c>
      <c r="B2055" s="23">
        <v>1684.18</v>
      </c>
      <c r="C2055" s="25">
        <f t="shared" si="412"/>
        <v>-1.0859414918921463E-2</v>
      </c>
      <c r="E2055" s="25">
        <f t="shared" si="408"/>
        <v>0.3593497772325176</v>
      </c>
      <c r="F2055" s="25">
        <f t="shared" si="405"/>
        <v>0.20298627938251412</v>
      </c>
      <c r="G2055" s="25">
        <f t="shared" si="402"/>
        <v>0.16860600139277526</v>
      </c>
      <c r="H2055" s="25">
        <f t="shared" si="399"/>
        <v>0.28261754446726406</v>
      </c>
      <c r="I2055" s="25">
        <f t="shared" si="396"/>
        <v>0.17292274668155594</v>
      </c>
      <c r="K2055" s="28">
        <v>45419</v>
      </c>
      <c r="L2055" s="23">
        <v>32365.34</v>
      </c>
      <c r="M2055" s="25">
        <f t="shared" si="413"/>
        <v>-1.0976557020565778E-2</v>
      </c>
      <c r="O2055" t="b">
        <f t="shared" si="411"/>
        <v>1</v>
      </c>
      <c r="Q2055" s="25">
        <f t="shared" si="409"/>
        <v>0.36356872499553416</v>
      </c>
      <c r="R2055" s="25">
        <f t="shared" si="406"/>
        <v>0.20933202296356446</v>
      </c>
      <c r="S2055" s="25">
        <f t="shared" si="403"/>
        <v>0.19211129478251276</v>
      </c>
      <c r="T2055" s="25">
        <f t="shared" si="400"/>
        <v>0.30074315672609586</v>
      </c>
      <c r="U2055" s="25">
        <f t="shared" si="397"/>
        <v>0.18160982499511014</v>
      </c>
      <c r="X2055">
        <f t="shared" si="410"/>
        <v>0</v>
      </c>
      <c r="Y2055">
        <f t="shared" si="407"/>
        <v>0</v>
      </c>
      <c r="Z2055">
        <f t="shared" si="404"/>
        <v>0</v>
      </c>
      <c r="AA2055">
        <f t="shared" si="401"/>
        <v>0</v>
      </c>
      <c r="AB2055">
        <f t="shared" si="398"/>
        <v>0</v>
      </c>
    </row>
    <row r="2056" spans="1:28">
      <c r="A2056" s="27">
        <v>45420</v>
      </c>
      <c r="B2056" s="24">
        <v>1690.56</v>
      </c>
      <c r="C2056" s="25">
        <f t="shared" si="412"/>
        <v>3.7881936610100354E-3</v>
      </c>
      <c r="E2056" s="25">
        <f t="shared" si="408"/>
        <v>0.34891922730137948</v>
      </c>
      <c r="F2056" s="25">
        <f t="shared" si="405"/>
        <v>0.21708018312581912</v>
      </c>
      <c r="G2056" s="25">
        <f t="shared" si="402"/>
        <v>0.16613354635458766</v>
      </c>
      <c r="H2056" s="25">
        <f t="shared" si="399"/>
        <v>0.29674910458311721</v>
      </c>
      <c r="I2056" s="25">
        <f t="shared" si="396"/>
        <v>0.17594132740474699</v>
      </c>
      <c r="K2056" s="29">
        <v>45420</v>
      </c>
      <c r="L2056" s="24">
        <v>32473.360000000001</v>
      </c>
      <c r="M2056" s="25">
        <f t="shared" si="413"/>
        <v>3.326418947715926E-3</v>
      </c>
      <c r="O2056" t="b">
        <f t="shared" si="411"/>
        <v>1</v>
      </c>
      <c r="Q2056" s="25">
        <f t="shared" si="409"/>
        <v>0.35495247099900618</v>
      </c>
      <c r="R2056" s="25">
        <f t="shared" si="406"/>
        <v>0.22199499810483059</v>
      </c>
      <c r="S2056" s="25">
        <f t="shared" si="403"/>
        <v>0.19007278242957093</v>
      </c>
      <c r="T2056" s="25">
        <f t="shared" si="400"/>
        <v>0.31329967363959232</v>
      </c>
      <c r="U2056" s="25">
        <f t="shared" si="397"/>
        <v>0.18518138499978254</v>
      </c>
      <c r="X2056">
        <f t="shared" si="410"/>
        <v>0</v>
      </c>
      <c r="Y2056">
        <f t="shared" si="407"/>
        <v>0</v>
      </c>
      <c r="Z2056">
        <f t="shared" si="404"/>
        <v>0</v>
      </c>
      <c r="AA2056">
        <f t="shared" si="401"/>
        <v>0</v>
      </c>
      <c r="AB2056">
        <f t="shared" si="398"/>
        <v>0</v>
      </c>
    </row>
    <row r="2057" spans="1:28">
      <c r="A2057" s="26">
        <v>45421</v>
      </c>
      <c r="B2057" s="23">
        <v>1665.42</v>
      </c>
      <c r="C2057" s="25">
        <f t="shared" si="412"/>
        <v>-1.4870812038614348E-2</v>
      </c>
      <c r="E2057" s="25">
        <f t="shared" si="408"/>
        <v>0.33014392281520077</v>
      </c>
      <c r="F2057" s="25">
        <f t="shared" si="405"/>
        <v>0.21156900340304641</v>
      </c>
      <c r="G2057" s="25">
        <f t="shared" si="402"/>
        <v>0.16085801604927052</v>
      </c>
      <c r="H2057" s="25">
        <f t="shared" si="399"/>
        <v>0.28783840765219026</v>
      </c>
      <c r="I2057" s="25">
        <f t="shared" si="396"/>
        <v>0.17247904505172795</v>
      </c>
      <c r="K2057" s="28">
        <v>45421</v>
      </c>
      <c r="L2057" s="23">
        <v>31908.53</v>
      </c>
      <c r="M2057" s="25">
        <f t="shared" si="413"/>
        <v>-1.7701536234981736E-2</v>
      </c>
      <c r="O2057" t="b">
        <f t="shared" si="411"/>
        <v>1</v>
      </c>
      <c r="Q2057" s="25">
        <f t="shared" si="409"/>
        <v>0.33194400150941128</v>
      </c>
      <c r="R2057" s="25">
        <f t="shared" si="406"/>
        <v>0.21796868105674849</v>
      </c>
      <c r="S2057" s="25">
        <f t="shared" si="403"/>
        <v>0.18398462619185607</v>
      </c>
      <c r="T2057" s="25">
        <f t="shared" si="400"/>
        <v>0.30577379844908115</v>
      </c>
      <c r="U2057" s="25">
        <f t="shared" si="397"/>
        <v>0.1820504648496446</v>
      </c>
      <c r="X2057">
        <f t="shared" si="410"/>
        <v>0</v>
      </c>
      <c r="Y2057">
        <f t="shared" si="407"/>
        <v>0</v>
      </c>
      <c r="Z2057">
        <f t="shared" si="404"/>
        <v>0</v>
      </c>
      <c r="AA2057">
        <f t="shared" si="401"/>
        <v>0</v>
      </c>
      <c r="AB2057">
        <f t="shared" si="398"/>
        <v>0</v>
      </c>
    </row>
    <row r="2058" spans="1:28">
      <c r="A2058" s="27">
        <v>45422</v>
      </c>
      <c r="B2058" s="24">
        <v>1673.85</v>
      </c>
      <c r="C2058" s="25">
        <f t="shared" si="412"/>
        <v>5.0617862160895364E-3</v>
      </c>
      <c r="E2058" s="25">
        <f t="shared" si="408"/>
        <v>0.3364285258048032</v>
      </c>
      <c r="F2058" s="25">
        <f t="shared" si="405"/>
        <v>0.21912054604581788</v>
      </c>
      <c r="G2058" s="25">
        <f t="shared" si="402"/>
        <v>0.1661382033028318</v>
      </c>
      <c r="H2058" s="25">
        <f t="shared" si="399"/>
        <v>0.28354366348298154</v>
      </c>
      <c r="I2058" s="25">
        <f t="shared" si="396"/>
        <v>0.1741107196405125</v>
      </c>
      <c r="K2058" s="29">
        <v>45422</v>
      </c>
      <c r="L2058" s="24">
        <v>32132.23</v>
      </c>
      <c r="M2058" s="25">
        <f t="shared" si="413"/>
        <v>6.9618573002869933E-3</v>
      </c>
      <c r="O2058" t="b">
        <f t="shared" si="411"/>
        <v>1</v>
      </c>
      <c r="Q2058" s="25">
        <f t="shared" si="409"/>
        <v>0.33732727908370497</v>
      </c>
      <c r="R2058" s="25">
        <f t="shared" si="406"/>
        <v>0.22820236008556694</v>
      </c>
      <c r="S2058" s="25">
        <f t="shared" si="403"/>
        <v>0.19002566006817556</v>
      </c>
      <c r="T2058" s="25">
        <f t="shared" si="400"/>
        <v>0.30174276454559834</v>
      </c>
      <c r="U2058" s="25">
        <f t="shared" si="397"/>
        <v>0.18394307750402139</v>
      </c>
      <c r="X2058">
        <f t="shared" si="410"/>
        <v>0</v>
      </c>
      <c r="Y2058">
        <f t="shared" si="407"/>
        <v>0</v>
      </c>
      <c r="Z2058">
        <f t="shared" si="404"/>
        <v>0</v>
      </c>
      <c r="AA2058">
        <f t="shared" si="401"/>
        <v>0</v>
      </c>
      <c r="AB2058">
        <f t="shared" si="398"/>
        <v>0</v>
      </c>
    </row>
    <row r="2059" spans="1:28">
      <c r="A2059" s="26">
        <v>45425</v>
      </c>
      <c r="B2059" s="23">
        <v>1677.32</v>
      </c>
      <c r="C2059" s="25">
        <f t="shared" si="412"/>
        <v>2.0730650894644248E-3</v>
      </c>
      <c r="E2059" s="25">
        <f t="shared" si="408"/>
        <v>0.3373624621272524</v>
      </c>
      <c r="F2059" s="25">
        <f t="shared" si="405"/>
        <v>0.2231343567131332</v>
      </c>
      <c r="G2059" s="25">
        <f t="shared" si="402"/>
        <v>0.17061854275482013</v>
      </c>
      <c r="H2059" s="25">
        <f t="shared" si="399"/>
        <v>0.28284283233196783</v>
      </c>
      <c r="I2059" s="25">
        <f t="shared" si="396"/>
        <v>0.17924886992566158</v>
      </c>
      <c r="K2059" s="28">
        <v>45425</v>
      </c>
      <c r="L2059" s="23">
        <v>32197.97</v>
      </c>
      <c r="M2059" s="25">
        <f t="shared" si="413"/>
        <v>2.0417436254522134E-3</v>
      </c>
      <c r="O2059" t="b">
        <f t="shared" si="411"/>
        <v>1</v>
      </c>
      <c r="Q2059" s="25">
        <f t="shared" si="409"/>
        <v>0.33850241236621414</v>
      </c>
      <c r="R2059" s="25">
        <f t="shared" si="406"/>
        <v>0.23320667603715872</v>
      </c>
      <c r="S2059" s="25">
        <f t="shared" si="403"/>
        <v>0.19292692697302183</v>
      </c>
      <c r="T2059" s="25">
        <f t="shared" si="400"/>
        <v>0.3004970323609184</v>
      </c>
      <c r="U2059" s="25">
        <f t="shared" si="397"/>
        <v>0.18777670840773131</v>
      </c>
      <c r="X2059">
        <f t="shared" si="410"/>
        <v>0</v>
      </c>
      <c r="Y2059">
        <f t="shared" si="407"/>
        <v>0</v>
      </c>
      <c r="Z2059">
        <f t="shared" si="404"/>
        <v>0</v>
      </c>
      <c r="AA2059">
        <f t="shared" si="401"/>
        <v>0</v>
      </c>
      <c r="AB2059">
        <f t="shared" si="398"/>
        <v>0</v>
      </c>
    </row>
    <row r="2060" spans="1:28">
      <c r="A2060" s="27">
        <v>45426</v>
      </c>
      <c r="B2060" s="24">
        <v>1685.99</v>
      </c>
      <c r="C2060" s="25">
        <f t="shared" si="412"/>
        <v>5.1689600076312648E-3</v>
      </c>
      <c r="E2060" s="25">
        <f t="shared" si="408"/>
        <v>0.34175049341058128</v>
      </c>
      <c r="F2060" s="25">
        <f t="shared" si="405"/>
        <v>0.23899337030199486</v>
      </c>
      <c r="G2060" s="25">
        <f t="shared" si="402"/>
        <v>0.16779747219930741</v>
      </c>
      <c r="H2060" s="25">
        <f t="shared" si="399"/>
        <v>0.28722878319249046</v>
      </c>
      <c r="I2060" s="25">
        <f t="shared" si="396"/>
        <v>0.17888611176338287</v>
      </c>
      <c r="K2060" s="29">
        <v>45426</v>
      </c>
      <c r="L2060" s="24">
        <v>32469.95</v>
      </c>
      <c r="M2060" s="25">
        <f t="shared" si="413"/>
        <v>8.3763602962123301E-3</v>
      </c>
      <c r="O2060" t="b">
        <f t="shared" si="411"/>
        <v>1</v>
      </c>
      <c r="Q2060" s="25">
        <f t="shared" si="409"/>
        <v>0.35038317753511228</v>
      </c>
      <c r="R2060" s="25">
        <f t="shared" si="406"/>
        <v>0.25201205206873967</v>
      </c>
      <c r="S2060" s="25">
        <f t="shared" si="403"/>
        <v>0.18995166275341457</v>
      </c>
      <c r="T2060" s="25">
        <f t="shared" si="400"/>
        <v>0.30562609395143125</v>
      </c>
      <c r="U2060" s="25">
        <f t="shared" si="397"/>
        <v>0.18842055499286814</v>
      </c>
      <c r="X2060">
        <f t="shared" si="410"/>
        <v>0</v>
      </c>
      <c r="Y2060">
        <f t="shared" si="407"/>
        <v>0</v>
      </c>
      <c r="Z2060">
        <f t="shared" si="404"/>
        <v>0</v>
      </c>
      <c r="AA2060">
        <f t="shared" si="401"/>
        <v>0</v>
      </c>
      <c r="AB2060">
        <f t="shared" si="398"/>
        <v>0</v>
      </c>
    </row>
    <row r="2061" spans="1:28">
      <c r="A2061" s="26">
        <v>45427</v>
      </c>
      <c r="B2061" s="23">
        <v>1689.92</v>
      </c>
      <c r="C2061" s="25">
        <f t="shared" si="412"/>
        <v>2.3309746795651598E-3</v>
      </c>
      <c r="E2061" s="25">
        <f t="shared" si="408"/>
        <v>0.33924000475492355</v>
      </c>
      <c r="F2061" s="25">
        <f t="shared" si="405"/>
        <v>0.24089988471909751</v>
      </c>
      <c r="G2061" s="25">
        <f t="shared" si="402"/>
        <v>0.16438301768124575</v>
      </c>
      <c r="H2061" s="25">
        <f t="shared" si="399"/>
        <v>0.28797300942317405</v>
      </c>
      <c r="I2061" s="25">
        <f t="shared" si="396"/>
        <v>0.18102169273316315</v>
      </c>
      <c r="K2061" s="28">
        <v>45427</v>
      </c>
      <c r="L2061" s="23">
        <v>32561.48</v>
      </c>
      <c r="M2061" s="25">
        <f t="shared" si="413"/>
        <v>2.8109901638377261E-3</v>
      </c>
      <c r="O2061" t="b">
        <f t="shared" si="411"/>
        <v>1</v>
      </c>
      <c r="Q2061" s="25">
        <f t="shared" si="409"/>
        <v>0.34788787374143171</v>
      </c>
      <c r="R2061" s="25">
        <f t="shared" si="406"/>
        <v>0.25348352260985596</v>
      </c>
      <c r="S2061" s="25">
        <f t="shared" si="403"/>
        <v>0.18587876659212199</v>
      </c>
      <c r="T2061" s="25">
        <f t="shared" si="400"/>
        <v>0.30617191706756275</v>
      </c>
      <c r="U2061" s="25">
        <f t="shared" si="397"/>
        <v>0.19044366867389306</v>
      </c>
      <c r="X2061">
        <f t="shared" si="410"/>
        <v>0</v>
      </c>
      <c r="Y2061">
        <f t="shared" si="407"/>
        <v>0</v>
      </c>
      <c r="Z2061">
        <f t="shared" si="404"/>
        <v>0</v>
      </c>
      <c r="AA2061">
        <f t="shared" si="401"/>
        <v>0</v>
      </c>
      <c r="AB2061">
        <f t="shared" si="398"/>
        <v>0</v>
      </c>
    </row>
    <row r="2062" spans="1:28">
      <c r="A2062" s="27">
        <v>45428</v>
      </c>
      <c r="B2062" s="24">
        <v>1710.4</v>
      </c>
      <c r="C2062" s="25">
        <f t="shared" si="412"/>
        <v>1.2118916871804592E-2</v>
      </c>
      <c r="E2062" s="25">
        <f t="shared" si="408"/>
        <v>0.35803155295481437</v>
      </c>
      <c r="F2062" s="25">
        <f t="shared" si="405"/>
        <v>0.24419186417423755</v>
      </c>
      <c r="G2062" s="25">
        <f t="shared" si="402"/>
        <v>0.17028623344543092</v>
      </c>
      <c r="H2062" s="25">
        <f t="shared" si="399"/>
        <v>0.28474626773899225</v>
      </c>
      <c r="I2062" s="25">
        <f t="shared" si="396"/>
        <v>0.1815247403450273</v>
      </c>
      <c r="K2062" s="29">
        <v>45428</v>
      </c>
      <c r="L2062" s="24">
        <v>32860.879999999997</v>
      </c>
      <c r="M2062" s="25">
        <f t="shared" si="413"/>
        <v>9.1111376201732219E-3</v>
      </c>
      <c r="O2062" t="b">
        <f t="shared" si="411"/>
        <v>1</v>
      </c>
      <c r="Q2062" s="25">
        <f t="shared" si="409"/>
        <v>0.36346824502768538</v>
      </c>
      <c r="R2062" s="25">
        <f t="shared" si="406"/>
        <v>0.25459956632024472</v>
      </c>
      <c r="S2062" s="25">
        <f t="shared" si="403"/>
        <v>0.19043289866362811</v>
      </c>
      <c r="T2062" s="25">
        <f t="shared" si="400"/>
        <v>0.30173017129987101</v>
      </c>
      <c r="U2062" s="25">
        <f t="shared" si="397"/>
        <v>0.19102446201869472</v>
      </c>
      <c r="X2062">
        <f t="shared" si="410"/>
        <v>0</v>
      </c>
      <c r="Y2062">
        <f t="shared" si="407"/>
        <v>0</v>
      </c>
      <c r="Z2062">
        <f t="shared" si="404"/>
        <v>0</v>
      </c>
      <c r="AA2062">
        <f t="shared" si="401"/>
        <v>0</v>
      </c>
      <c r="AB2062">
        <f t="shared" si="398"/>
        <v>0</v>
      </c>
    </row>
    <row r="2063" spans="1:28">
      <c r="A2063" s="26">
        <v>45429</v>
      </c>
      <c r="B2063" s="23">
        <v>1718.42</v>
      </c>
      <c r="C2063" s="25">
        <f t="shared" si="412"/>
        <v>4.6889616463984922E-3</v>
      </c>
      <c r="E2063" s="25">
        <f t="shared" si="408"/>
        <v>0.3709849850808189</v>
      </c>
      <c r="F2063" s="25">
        <f t="shared" si="405"/>
        <v>0.23321525850010949</v>
      </c>
      <c r="G2063" s="25">
        <f t="shared" si="402"/>
        <v>0.17389730227841782</v>
      </c>
      <c r="H2063" s="25">
        <f t="shared" si="399"/>
        <v>0.28123834564886829</v>
      </c>
      <c r="I2063" s="25">
        <f t="shared" si="396"/>
        <v>0.18013741806018913</v>
      </c>
      <c r="K2063" s="28">
        <v>45429</v>
      </c>
      <c r="L2063" s="23">
        <v>33073.629999999997</v>
      </c>
      <c r="M2063" s="25">
        <f t="shared" si="413"/>
        <v>6.4326171635831937E-3</v>
      </c>
      <c r="O2063" t="b">
        <f t="shared" si="411"/>
        <v>1</v>
      </c>
      <c r="Q2063" s="25">
        <f t="shared" si="409"/>
        <v>0.37817415092413365</v>
      </c>
      <c r="R2063" s="25">
        <f t="shared" si="406"/>
        <v>0.24251169108217518</v>
      </c>
      <c r="S2063" s="25">
        <f t="shared" si="403"/>
        <v>0.19525800113788772</v>
      </c>
      <c r="T2063" s="25">
        <f t="shared" si="400"/>
        <v>0.29803129596113553</v>
      </c>
      <c r="U2063" s="25">
        <f t="shared" si="397"/>
        <v>0.1897870714435077</v>
      </c>
      <c r="X2063">
        <f t="shared" si="410"/>
        <v>0</v>
      </c>
      <c r="Y2063">
        <f t="shared" si="407"/>
        <v>0</v>
      </c>
      <c r="Z2063">
        <f t="shared" si="404"/>
        <v>0</v>
      </c>
      <c r="AA2063">
        <f t="shared" si="401"/>
        <v>0</v>
      </c>
      <c r="AB2063">
        <f t="shared" si="398"/>
        <v>0</v>
      </c>
    </row>
    <row r="2064" spans="1:28">
      <c r="A2064" s="27">
        <v>45433</v>
      </c>
      <c r="B2064" s="24">
        <v>1723.83</v>
      </c>
      <c r="C2064" s="25">
        <f t="shared" si="412"/>
        <v>3.1482408258748469E-3</v>
      </c>
      <c r="E2064" s="25">
        <f t="shared" si="408"/>
        <v>0.37579511081669947</v>
      </c>
      <c r="F2064" s="25">
        <f t="shared" si="405"/>
        <v>0.23660042101924761</v>
      </c>
      <c r="G2064" s="25">
        <f t="shared" si="402"/>
        <v>0.17021339166889105</v>
      </c>
      <c r="H2064" s="25">
        <f t="shared" si="399"/>
        <v>0.2784285548721972</v>
      </c>
      <c r="I2064" s="25">
        <f t="shared" si="396"/>
        <v>0.17401049116835887</v>
      </c>
      <c r="K2064" s="29">
        <v>45433</v>
      </c>
      <c r="L2064" s="24">
        <v>33266.910000000003</v>
      </c>
      <c r="M2064" s="25">
        <f t="shared" si="413"/>
        <v>5.8099775422486219E-3</v>
      </c>
      <c r="O2064" t="b">
        <f t="shared" si="411"/>
        <v>1</v>
      </c>
      <c r="Q2064" s="25">
        <f t="shared" si="409"/>
        <v>0.39207002925836432</v>
      </c>
      <c r="R2064" s="25">
        <f t="shared" si="406"/>
        <v>0.24648758911722735</v>
      </c>
      <c r="S2064" s="25">
        <f t="shared" si="403"/>
        <v>0.19195022314118448</v>
      </c>
      <c r="T2064" s="25">
        <f t="shared" si="400"/>
        <v>0.29596168481848517</v>
      </c>
      <c r="U2064" s="25">
        <f t="shared" si="397"/>
        <v>0.18262213715567577</v>
      </c>
      <c r="X2064">
        <f t="shared" si="410"/>
        <v>0</v>
      </c>
      <c r="Y2064">
        <f t="shared" si="407"/>
        <v>0</v>
      </c>
      <c r="Z2064">
        <f t="shared" si="404"/>
        <v>0</v>
      </c>
      <c r="AA2064">
        <f t="shared" si="401"/>
        <v>0</v>
      </c>
      <c r="AB2064">
        <f t="shared" si="398"/>
        <v>0</v>
      </c>
    </row>
    <row r="2065" spans="1:28">
      <c r="A2065" s="26">
        <v>45434</v>
      </c>
      <c r="B2065" s="23">
        <v>1724.85</v>
      </c>
      <c r="C2065" s="25">
        <f t="shared" si="412"/>
        <v>5.9170567863419353E-4</v>
      </c>
      <c r="E2065" s="25">
        <f t="shared" si="408"/>
        <v>0.37061464499980112</v>
      </c>
      <c r="F2065" s="25">
        <f t="shared" si="405"/>
        <v>0.25543310605532032</v>
      </c>
      <c r="G2065" s="25">
        <f t="shared" si="402"/>
        <v>0.16908001507147885</v>
      </c>
      <c r="H2065" s="25">
        <f t="shared" si="399"/>
        <v>0.27202644306282586</v>
      </c>
      <c r="I2065" s="25">
        <f t="shared" si="396"/>
        <v>0.1765367329969163</v>
      </c>
      <c r="K2065" s="28">
        <v>45434</v>
      </c>
      <c r="L2065" s="23">
        <v>33357.18</v>
      </c>
      <c r="M2065" s="25">
        <f t="shared" si="413"/>
        <v>2.7061640102669588E-3</v>
      </c>
      <c r="O2065" t="b">
        <f t="shared" si="411"/>
        <v>1</v>
      </c>
      <c r="Q2065" s="25">
        <f t="shared" si="409"/>
        <v>0.39158429162329766</v>
      </c>
      <c r="R2065" s="25">
        <f t="shared" si="406"/>
        <v>0.26498198081190649</v>
      </c>
      <c r="S2065" s="25">
        <f t="shared" si="403"/>
        <v>0.19165678533108244</v>
      </c>
      <c r="T2065" s="25">
        <f t="shared" si="400"/>
        <v>0.2887614242568326</v>
      </c>
      <c r="U2065" s="25">
        <f t="shared" si="397"/>
        <v>0.18555153484891829</v>
      </c>
      <c r="X2065">
        <f t="shared" si="410"/>
        <v>0</v>
      </c>
      <c r="Y2065">
        <f t="shared" si="407"/>
        <v>0</v>
      </c>
      <c r="Z2065">
        <f t="shared" si="404"/>
        <v>0</v>
      </c>
      <c r="AA2065">
        <f t="shared" si="401"/>
        <v>0</v>
      </c>
      <c r="AB2065">
        <f t="shared" si="398"/>
        <v>0</v>
      </c>
    </row>
    <row r="2066" spans="1:28">
      <c r="A2066" s="27">
        <v>45435</v>
      </c>
      <c r="B2066" s="24">
        <v>1741.79</v>
      </c>
      <c r="C2066" s="25">
        <f t="shared" si="412"/>
        <v>9.8211438675827201E-3</v>
      </c>
      <c r="E2066" s="25">
        <f t="shared" si="408"/>
        <v>0.37723570807306062</v>
      </c>
      <c r="F2066" s="25">
        <f t="shared" si="405"/>
        <v>0.24609683550032946</v>
      </c>
      <c r="G2066" s="25">
        <f t="shared" si="402"/>
        <v>0.17237371852763905</v>
      </c>
      <c r="H2066" s="25">
        <f t="shared" si="399"/>
        <v>0.27142982235663093</v>
      </c>
      <c r="I2066" s="25">
        <f t="shared" ref="I2066:I2129" si="414">((B2066/B835)^(1/5))-1</f>
        <v>0.17788268233106241</v>
      </c>
      <c r="K2066" s="29">
        <v>45435</v>
      </c>
      <c r="L2066" s="24">
        <v>33752.67</v>
      </c>
      <c r="M2066" s="25">
        <f t="shared" si="413"/>
        <v>1.1717295253975404E-2</v>
      </c>
      <c r="O2066" t="b">
        <f t="shared" si="411"/>
        <v>1</v>
      </c>
      <c r="Q2066" s="25">
        <f t="shared" si="409"/>
        <v>0.39932497757111318</v>
      </c>
      <c r="R2066" s="25">
        <f t="shared" si="406"/>
        <v>0.25659878847958018</v>
      </c>
      <c r="S2066" s="25">
        <f t="shared" si="403"/>
        <v>0.19624546149575695</v>
      </c>
      <c r="T2066" s="25">
        <f t="shared" si="400"/>
        <v>0.28787936322459395</v>
      </c>
      <c r="U2066" s="25">
        <f t="shared" ref="U2066:U2129" si="415">((L2066/L835)^(1/5))-1</f>
        <v>0.18769413410465874</v>
      </c>
      <c r="X2066">
        <f t="shared" si="410"/>
        <v>0</v>
      </c>
      <c r="Y2066">
        <f t="shared" si="407"/>
        <v>0</v>
      </c>
      <c r="Z2066">
        <f t="shared" si="404"/>
        <v>0</v>
      </c>
      <c r="AA2066">
        <f t="shared" si="401"/>
        <v>0</v>
      </c>
      <c r="AB2066">
        <f t="shared" ref="AB2066:AB2129" si="416">IF(I2066&gt;U2066,1,0)</f>
        <v>0</v>
      </c>
    </row>
    <row r="2067" spans="1:28">
      <c r="A2067" s="26">
        <v>45436</v>
      </c>
      <c r="B2067" s="23">
        <v>1742.78</v>
      </c>
      <c r="C2067" s="25">
        <f t="shared" si="412"/>
        <v>5.683808036560143E-4</v>
      </c>
      <c r="E2067" s="25">
        <f t="shared" si="408"/>
        <v>0.37749569231255631</v>
      </c>
      <c r="F2067" s="25">
        <f t="shared" si="405"/>
        <v>0.24989870147829008</v>
      </c>
      <c r="G2067" s="25">
        <f t="shared" si="402"/>
        <v>0.17097668823668388</v>
      </c>
      <c r="H2067" s="25">
        <f t="shared" si="399"/>
        <v>0.26970032562735202</v>
      </c>
      <c r="I2067" s="25">
        <f t="shared" si="414"/>
        <v>0.17900657336508652</v>
      </c>
      <c r="K2067" s="28">
        <v>45436</v>
      </c>
      <c r="L2067" s="23">
        <v>33744.480000000003</v>
      </c>
      <c r="M2067" s="25">
        <f t="shared" si="413"/>
        <v>-2.4270636264049858E-4</v>
      </c>
      <c r="O2067" t="b">
        <f t="shared" si="411"/>
        <v>1</v>
      </c>
      <c r="Q2067" s="25">
        <f t="shared" si="409"/>
        <v>0.39531848857533092</v>
      </c>
      <c r="R2067" s="25">
        <f t="shared" si="406"/>
        <v>0.25912376080266952</v>
      </c>
      <c r="S2067" s="25">
        <f t="shared" si="403"/>
        <v>0.1943330620137409</v>
      </c>
      <c r="T2067" s="25">
        <f t="shared" si="400"/>
        <v>0.28518521576652489</v>
      </c>
      <c r="U2067" s="25">
        <f t="shared" si="415"/>
        <v>0.18876347428780216</v>
      </c>
      <c r="X2067">
        <f t="shared" si="410"/>
        <v>0</v>
      </c>
      <c r="Y2067">
        <f t="shared" si="407"/>
        <v>0</v>
      </c>
      <c r="Z2067">
        <f t="shared" si="404"/>
        <v>0</v>
      </c>
      <c r="AA2067">
        <f t="shared" si="401"/>
        <v>0</v>
      </c>
      <c r="AB2067">
        <f t="shared" si="416"/>
        <v>0</v>
      </c>
    </row>
    <row r="2068" spans="1:28">
      <c r="A2068" s="27">
        <v>45439</v>
      </c>
      <c r="B2068" s="24">
        <v>1744.41</v>
      </c>
      <c r="C2068" s="25">
        <f t="shared" si="412"/>
        <v>9.3528729960184825E-4</v>
      </c>
      <c r="E2068" s="25">
        <f t="shared" si="408"/>
        <v>0.38189696830464315</v>
      </c>
      <c r="F2068" s="25">
        <f t="shared" si="405"/>
        <v>0.25486083120172753</v>
      </c>
      <c r="G2068" s="25">
        <f t="shared" si="402"/>
        <v>0.17054056252706373</v>
      </c>
      <c r="H2068" s="25">
        <f t="shared" si="399"/>
        <v>0.26968479801130929</v>
      </c>
      <c r="I2068" s="25">
        <f t="shared" si="414"/>
        <v>0.17379972207102434</v>
      </c>
      <c r="K2068" s="29">
        <v>45439</v>
      </c>
      <c r="L2068" s="24">
        <v>33759.03</v>
      </c>
      <c r="M2068" s="25">
        <f t="shared" si="413"/>
        <v>4.3099579579139669E-4</v>
      </c>
      <c r="O2068" t="b">
        <f t="shared" si="411"/>
        <v>1</v>
      </c>
      <c r="Q2068" s="25">
        <f t="shared" si="409"/>
        <v>0.39849458668450732</v>
      </c>
      <c r="R2068" s="25">
        <f t="shared" si="406"/>
        <v>0.26344465288897134</v>
      </c>
      <c r="S2068" s="25">
        <f t="shared" si="403"/>
        <v>0.19316148810027323</v>
      </c>
      <c r="T2068" s="25">
        <f t="shared" si="400"/>
        <v>0.28599432779070111</v>
      </c>
      <c r="U2068" s="25">
        <f t="shared" si="415"/>
        <v>0.18469255136003482</v>
      </c>
      <c r="X2068">
        <f t="shared" si="410"/>
        <v>0</v>
      </c>
      <c r="Y2068">
        <f t="shared" si="407"/>
        <v>0</v>
      </c>
      <c r="Z2068">
        <f t="shared" si="404"/>
        <v>0</v>
      </c>
      <c r="AA2068">
        <f t="shared" si="401"/>
        <v>0</v>
      </c>
      <c r="AB2068">
        <f t="shared" si="416"/>
        <v>0</v>
      </c>
    </row>
    <row r="2069" spans="1:28">
      <c r="A2069" s="26">
        <v>45440</v>
      </c>
      <c r="B2069" s="23">
        <v>1740.61</v>
      </c>
      <c r="C2069" s="25">
        <f t="shared" si="412"/>
        <v>-2.1783869617808781E-3</v>
      </c>
      <c r="E2069" s="25">
        <f t="shared" si="408"/>
        <v>0.37581314468640059</v>
      </c>
      <c r="F2069" s="25">
        <f t="shared" si="405"/>
        <v>0.25880544759290447</v>
      </c>
      <c r="G2069" s="25">
        <f t="shared" si="402"/>
        <v>0.16964338296719794</v>
      </c>
      <c r="H2069" s="25">
        <f t="shared" si="399"/>
        <v>0.26408259723495697</v>
      </c>
      <c r="I2069" s="25">
        <f t="shared" si="414"/>
        <v>0.17122751942944414</v>
      </c>
      <c r="K2069" s="28">
        <v>45440</v>
      </c>
      <c r="L2069" s="23">
        <v>33593.17</v>
      </c>
      <c r="M2069" s="25">
        <f t="shared" si="413"/>
        <v>-4.9373131502624071E-3</v>
      </c>
      <c r="O2069" t="b">
        <f t="shared" si="411"/>
        <v>1</v>
      </c>
      <c r="Q2069" s="25">
        <f t="shared" si="409"/>
        <v>0.38809761797819653</v>
      </c>
      <c r="R2069" s="25">
        <f t="shared" si="406"/>
        <v>0.26741148017718142</v>
      </c>
      <c r="S2069" s="25">
        <f t="shared" si="403"/>
        <v>0.18965055918918106</v>
      </c>
      <c r="T2069" s="25">
        <f t="shared" si="400"/>
        <v>0.28000053773644762</v>
      </c>
      <c r="U2069" s="25">
        <f t="shared" si="415"/>
        <v>0.18151634634775848</v>
      </c>
      <c r="X2069">
        <f t="shared" si="410"/>
        <v>0</v>
      </c>
      <c r="Y2069">
        <f t="shared" si="407"/>
        <v>0</v>
      </c>
      <c r="Z2069">
        <f t="shared" si="404"/>
        <v>0</v>
      </c>
      <c r="AA2069">
        <f t="shared" si="401"/>
        <v>0</v>
      </c>
      <c r="AB2069">
        <f t="shared" si="416"/>
        <v>0</v>
      </c>
    </row>
    <row r="2070" spans="1:28">
      <c r="A2070" s="27">
        <v>45441</v>
      </c>
      <c r="B2070" s="24">
        <v>1730.36</v>
      </c>
      <c r="C2070" s="25">
        <f t="shared" si="412"/>
        <v>-5.888740154313718E-3</v>
      </c>
      <c r="E2070" s="25">
        <f t="shared" si="408"/>
        <v>0.35398050047731577</v>
      </c>
      <c r="F2070" s="25">
        <f t="shared" si="405"/>
        <v>0.24750754330481461</v>
      </c>
      <c r="G2070" s="25">
        <f t="shared" si="402"/>
        <v>0.16399968173193336</v>
      </c>
      <c r="H2070" s="25">
        <f t="shared" si="399"/>
        <v>0.26171808700506149</v>
      </c>
      <c r="I2070" s="25">
        <f t="shared" si="414"/>
        <v>0.16980041487539821</v>
      </c>
      <c r="K2070" s="29">
        <v>45441</v>
      </c>
      <c r="L2070" s="24">
        <v>33387.370000000003</v>
      </c>
      <c r="M2070" s="25">
        <f t="shared" si="413"/>
        <v>-6.1640075273972049E-3</v>
      </c>
      <c r="O2070" t="b">
        <f t="shared" si="411"/>
        <v>1</v>
      </c>
      <c r="Q2070" s="25">
        <f t="shared" si="409"/>
        <v>0.36715986301936421</v>
      </c>
      <c r="R2070" s="25">
        <f t="shared" si="406"/>
        <v>0.25697744066563533</v>
      </c>
      <c r="S2070" s="25">
        <f t="shared" si="403"/>
        <v>0.18355353155569776</v>
      </c>
      <c r="T2070" s="25">
        <f t="shared" si="400"/>
        <v>0.27709041358937037</v>
      </c>
      <c r="U2070" s="25">
        <f t="shared" si="415"/>
        <v>0.17980034181249138</v>
      </c>
      <c r="X2070">
        <f t="shared" si="410"/>
        <v>0</v>
      </c>
      <c r="Y2070">
        <f t="shared" si="407"/>
        <v>0</v>
      </c>
      <c r="Z2070">
        <f t="shared" si="404"/>
        <v>0</v>
      </c>
      <c r="AA2070">
        <f t="shared" si="401"/>
        <v>0</v>
      </c>
      <c r="AB2070">
        <f t="shared" si="416"/>
        <v>0</v>
      </c>
    </row>
    <row r="2071" spans="1:28">
      <c r="A2071" s="26">
        <v>45442</v>
      </c>
      <c r="B2071" s="23">
        <v>1711.27</v>
      </c>
      <c r="C2071" s="25">
        <f t="shared" si="412"/>
        <v>-1.103238632423306E-2</v>
      </c>
      <c r="E2071" s="25">
        <f t="shared" si="408"/>
        <v>0.33175871810236801</v>
      </c>
      <c r="F2071" s="25">
        <f t="shared" si="405"/>
        <v>0.23186319056956006</v>
      </c>
      <c r="G2071" s="25">
        <f t="shared" si="402"/>
        <v>0.16101337125668569</v>
      </c>
      <c r="H2071" s="25">
        <f t="shared" si="399"/>
        <v>0.26076098918004664</v>
      </c>
      <c r="I2071" s="25">
        <f t="shared" si="414"/>
        <v>0.16925771905777354</v>
      </c>
      <c r="K2071" s="28">
        <v>45442</v>
      </c>
      <c r="L2071" s="23">
        <v>33045.31</v>
      </c>
      <c r="M2071" s="25">
        <f t="shared" si="413"/>
        <v>-1.0351241976546898E-2</v>
      </c>
      <c r="O2071" t="b">
        <f t="shared" si="411"/>
        <v>1</v>
      </c>
      <c r="Q2071" s="25">
        <f t="shared" si="409"/>
        <v>0.34666318372722871</v>
      </c>
      <c r="R2071" s="25">
        <f t="shared" si="406"/>
        <v>0.24371318184068813</v>
      </c>
      <c r="S2071" s="25">
        <f t="shared" si="403"/>
        <v>0.17997273645981804</v>
      </c>
      <c r="T2071" s="25">
        <f t="shared" si="400"/>
        <v>0.27711065283820191</v>
      </c>
      <c r="U2071" s="25">
        <f t="shared" si="415"/>
        <v>0.1787769469233258</v>
      </c>
      <c r="X2071">
        <f t="shared" si="410"/>
        <v>0</v>
      </c>
      <c r="Y2071">
        <f t="shared" si="407"/>
        <v>0</v>
      </c>
      <c r="Z2071">
        <f t="shared" si="404"/>
        <v>0</v>
      </c>
      <c r="AA2071">
        <f t="shared" si="401"/>
        <v>0</v>
      </c>
      <c r="AB2071">
        <f t="shared" si="416"/>
        <v>0</v>
      </c>
    </row>
    <row r="2072" spans="1:28">
      <c r="A2072" s="27">
        <v>45443</v>
      </c>
      <c r="B2072" s="24">
        <v>1714.28</v>
      </c>
      <c r="C2072" s="25">
        <f t="shared" si="412"/>
        <v>1.7589275801013229E-3</v>
      </c>
      <c r="E2072" s="25">
        <f t="shared" si="408"/>
        <v>0.33312595749313711</v>
      </c>
      <c r="F2072" s="25">
        <f t="shared" si="405"/>
        <v>0.22186338905775549</v>
      </c>
      <c r="G2072" s="25">
        <f t="shared" si="402"/>
        <v>0.16077793265781293</v>
      </c>
      <c r="H2072" s="25">
        <f t="shared" ref="H2072:H2135" si="417">((B2072/B1091)^(1/4))-1</f>
        <v>0.26020477866227831</v>
      </c>
      <c r="I2072" s="25">
        <f t="shared" si="414"/>
        <v>0.16895899786384594</v>
      </c>
      <c r="K2072" s="29">
        <v>45443</v>
      </c>
      <c r="L2072" s="24">
        <v>33168.199999999997</v>
      </c>
      <c r="M2072" s="25">
        <f t="shared" si="413"/>
        <v>3.705054841685694E-3</v>
      </c>
      <c r="O2072" t="b">
        <f t="shared" si="411"/>
        <v>1</v>
      </c>
      <c r="Q2072" s="25">
        <f t="shared" si="409"/>
        <v>0.34934957576783243</v>
      </c>
      <c r="R2072" s="25">
        <f t="shared" si="406"/>
        <v>0.23355949101804407</v>
      </c>
      <c r="S2072" s="25">
        <f t="shared" si="403"/>
        <v>0.17953664768164557</v>
      </c>
      <c r="T2072" s="25">
        <f t="shared" ref="T2072:T2135" si="418">((L2072/L1091)^(1/4))-1</f>
        <v>0.27616279444747982</v>
      </c>
      <c r="U2072" s="25">
        <f t="shared" si="415"/>
        <v>0.17824714713502821</v>
      </c>
      <c r="X2072">
        <f t="shared" si="410"/>
        <v>0</v>
      </c>
      <c r="Y2072">
        <f t="shared" si="407"/>
        <v>0</v>
      </c>
      <c r="Z2072">
        <f t="shared" si="404"/>
        <v>0</v>
      </c>
      <c r="AA2072">
        <f t="shared" ref="AA2072:AA2135" si="419">IF(H2072&gt;T2072,1,0)</f>
        <v>0</v>
      </c>
      <c r="AB2072">
        <f t="shared" si="416"/>
        <v>0</v>
      </c>
    </row>
    <row r="2073" spans="1:28">
      <c r="A2073" s="26">
        <v>45446</v>
      </c>
      <c r="B2073" s="23">
        <v>1760.18</v>
      </c>
      <c r="C2073" s="25">
        <f t="shared" si="412"/>
        <v>2.6775089250297555E-2</v>
      </c>
      <c r="E2073" s="25">
        <f t="shared" si="408"/>
        <v>0.36701330371774077</v>
      </c>
      <c r="F2073" s="25">
        <f t="shared" si="405"/>
        <v>0.2406059867251189</v>
      </c>
      <c r="G2073" s="25">
        <f t="shared" si="402"/>
        <v>0.16865975237051045</v>
      </c>
      <c r="H2073" s="25">
        <f t="shared" si="417"/>
        <v>0.27476780715740445</v>
      </c>
      <c r="I2073" s="25">
        <f t="shared" si="414"/>
        <v>0.17570421021344718</v>
      </c>
      <c r="K2073" s="28">
        <v>45446</v>
      </c>
      <c r="L2073" s="23">
        <v>34259.21</v>
      </c>
      <c r="M2073" s="25">
        <f t="shared" si="413"/>
        <v>3.1845743086311738E-2</v>
      </c>
      <c r="O2073" t="b">
        <f t="shared" si="411"/>
        <v>1</v>
      </c>
      <c r="Q2073" s="25">
        <f t="shared" si="409"/>
        <v>0.39616449365048378</v>
      </c>
      <c r="R2073" s="25">
        <f t="shared" si="406"/>
        <v>0.2545880756150487</v>
      </c>
      <c r="S2073" s="25">
        <f t="shared" si="403"/>
        <v>0.18910026548763548</v>
      </c>
      <c r="T2073" s="25">
        <f t="shared" si="418"/>
        <v>0.29265457459920263</v>
      </c>
      <c r="U2073" s="25">
        <f t="shared" si="415"/>
        <v>0.18614668054071748</v>
      </c>
      <c r="X2073">
        <f t="shared" si="410"/>
        <v>0</v>
      </c>
      <c r="Y2073">
        <f t="shared" si="407"/>
        <v>0</v>
      </c>
      <c r="Z2073">
        <f t="shared" si="404"/>
        <v>0</v>
      </c>
      <c r="AA2073">
        <f t="shared" si="419"/>
        <v>0</v>
      </c>
      <c r="AB2073">
        <f t="shared" si="416"/>
        <v>0</v>
      </c>
    </row>
    <row r="2074" spans="1:28">
      <c r="A2074" s="27">
        <v>45447</v>
      </c>
      <c r="B2074" s="24">
        <v>1660.52</v>
      </c>
      <c r="C2074" s="25">
        <f t="shared" si="412"/>
        <v>-5.6619209399038778E-2</v>
      </c>
      <c r="E2074" s="25">
        <f t="shared" si="408"/>
        <v>0.28990460802286933</v>
      </c>
      <c r="F2074" s="25">
        <f t="shared" si="405"/>
        <v>0.20847592646115642</v>
      </c>
      <c r="G2074" s="25">
        <f t="shared" si="402"/>
        <v>0.14555075143248608</v>
      </c>
      <c r="H2074" s="25">
        <f t="shared" si="417"/>
        <v>0.25390304742738268</v>
      </c>
      <c r="I2074" s="25">
        <f t="shared" si="414"/>
        <v>0.15956769938257076</v>
      </c>
      <c r="K2074" s="29">
        <v>45447</v>
      </c>
      <c r="L2074" s="24">
        <v>31956.22</v>
      </c>
      <c r="M2074" s="25">
        <f t="shared" si="413"/>
        <v>-7.2067034211180103E-2</v>
      </c>
      <c r="O2074" t="b">
        <f t="shared" si="411"/>
        <v>1</v>
      </c>
      <c r="Q2074" s="25">
        <f t="shared" si="409"/>
        <v>0.30279873944612268</v>
      </c>
      <c r="R2074" s="25">
        <f t="shared" si="406"/>
        <v>0.21325723725205958</v>
      </c>
      <c r="S2074" s="25">
        <f t="shared" si="403"/>
        <v>0.16144516654854169</v>
      </c>
      <c r="T2074" s="25">
        <f t="shared" si="418"/>
        <v>0.26804886532918504</v>
      </c>
      <c r="U2074" s="25">
        <f t="shared" si="415"/>
        <v>0.16695559687386141</v>
      </c>
      <c r="X2074">
        <f t="shared" si="410"/>
        <v>0</v>
      </c>
      <c r="Y2074">
        <f t="shared" si="407"/>
        <v>0</v>
      </c>
      <c r="Z2074">
        <f t="shared" si="404"/>
        <v>0</v>
      </c>
      <c r="AA2074">
        <f t="shared" si="419"/>
        <v>0</v>
      </c>
      <c r="AB2074">
        <f t="shared" si="416"/>
        <v>0</v>
      </c>
    </row>
    <row r="2075" spans="1:28">
      <c r="A2075" s="26">
        <v>45448</v>
      </c>
      <c r="B2075" s="23">
        <v>1724.8</v>
      </c>
      <c r="C2075" s="25">
        <f t="shared" si="412"/>
        <v>3.8710765302435363E-2</v>
      </c>
      <c r="E2075" s="25">
        <f t="shared" si="408"/>
        <v>0.33375606059434415</v>
      </c>
      <c r="F2075" s="25">
        <f t="shared" si="405"/>
        <v>0.22783829637139985</v>
      </c>
      <c r="G2075" s="25">
        <f t="shared" si="402"/>
        <v>0.15656197014054274</v>
      </c>
      <c r="H2075" s="25">
        <f t="shared" si="417"/>
        <v>0.26995488084154107</v>
      </c>
      <c r="I2075" s="25">
        <f t="shared" si="414"/>
        <v>0.16983959913146585</v>
      </c>
      <c r="K2075" s="28">
        <v>45448</v>
      </c>
      <c r="L2075" s="23">
        <v>33104.99</v>
      </c>
      <c r="M2075" s="25">
        <f t="shared" si="413"/>
        <v>3.4700810965355884E-2</v>
      </c>
      <c r="O2075" t="b">
        <f t="shared" si="411"/>
        <v>1</v>
      </c>
      <c r="Q2075" s="25">
        <f t="shared" si="409"/>
        <v>0.34448737671975027</v>
      </c>
      <c r="R2075" s="25">
        <f t="shared" si="406"/>
        <v>0.23114407782873392</v>
      </c>
      <c r="S2075" s="25">
        <f t="shared" si="403"/>
        <v>0.17270134188099817</v>
      </c>
      <c r="T2075" s="25">
        <f t="shared" si="418"/>
        <v>0.28362127516712365</v>
      </c>
      <c r="U2075" s="25">
        <f t="shared" si="415"/>
        <v>0.17625365597770881</v>
      </c>
      <c r="X2075">
        <f t="shared" si="410"/>
        <v>0</v>
      </c>
      <c r="Y2075">
        <f t="shared" si="407"/>
        <v>0</v>
      </c>
      <c r="Z2075">
        <f t="shared" si="404"/>
        <v>0</v>
      </c>
      <c r="AA2075">
        <f t="shared" si="419"/>
        <v>0</v>
      </c>
      <c r="AB2075">
        <f t="shared" si="416"/>
        <v>0</v>
      </c>
    </row>
    <row r="2076" spans="1:28">
      <c r="A2076" s="27">
        <v>45449</v>
      </c>
      <c r="B2076" s="24">
        <v>1750.91</v>
      </c>
      <c r="C2076" s="25">
        <f t="shared" si="412"/>
        <v>1.5137987012987087E-2</v>
      </c>
      <c r="E2076" s="25">
        <f t="shared" si="408"/>
        <v>0.34751723925624933</v>
      </c>
      <c r="F2076" s="25">
        <f t="shared" si="405"/>
        <v>0.2411281416212141</v>
      </c>
      <c r="G2076" s="25">
        <f t="shared" si="402"/>
        <v>0.16070886329680589</v>
      </c>
      <c r="H2076" s="25">
        <f t="shared" si="417"/>
        <v>0.27211862328510339</v>
      </c>
      <c r="I2076" s="25">
        <f t="shared" si="414"/>
        <v>0.1778681605438488</v>
      </c>
      <c r="K2076" s="29">
        <v>45449</v>
      </c>
      <c r="L2076" s="24">
        <v>33593.360000000001</v>
      </c>
      <c r="M2076" s="25">
        <f t="shared" si="413"/>
        <v>1.4537694353884297E-2</v>
      </c>
      <c r="O2076" t="b">
        <f t="shared" si="411"/>
        <v>1</v>
      </c>
      <c r="Q2076" s="25">
        <f t="shared" si="409"/>
        <v>0.360164094125764</v>
      </c>
      <c r="R2076" s="25">
        <f t="shared" si="406"/>
        <v>0.24414511625543134</v>
      </c>
      <c r="S2076" s="25">
        <f t="shared" si="403"/>
        <v>0.17794749532341703</v>
      </c>
      <c r="T2076" s="25">
        <f t="shared" si="418"/>
        <v>0.28572109920423672</v>
      </c>
      <c r="U2076" s="25">
        <f t="shared" si="415"/>
        <v>0.18338503860277844</v>
      </c>
      <c r="X2076">
        <f t="shared" si="410"/>
        <v>0</v>
      </c>
      <c r="Y2076">
        <f t="shared" si="407"/>
        <v>0</v>
      </c>
      <c r="Z2076">
        <f t="shared" si="404"/>
        <v>0</v>
      </c>
      <c r="AA2076">
        <f t="shared" si="419"/>
        <v>0</v>
      </c>
      <c r="AB2076">
        <f t="shared" si="416"/>
        <v>0</v>
      </c>
    </row>
    <row r="2077" spans="1:28">
      <c r="A2077" s="26">
        <v>45450</v>
      </c>
      <c r="B2077" s="23">
        <v>1781.27</v>
      </c>
      <c r="C2077" s="25">
        <f t="shared" si="412"/>
        <v>1.7339554860044147E-2</v>
      </c>
      <c r="E2077" s="25">
        <f t="shared" si="408"/>
        <v>0.37162151756425854</v>
      </c>
      <c r="F2077" s="25">
        <f t="shared" si="405"/>
        <v>0.25369655484059028</v>
      </c>
      <c r="G2077" s="25">
        <f t="shared" si="402"/>
        <v>0.17071712588496424</v>
      </c>
      <c r="H2077" s="25">
        <f t="shared" si="417"/>
        <v>0.27726819741575648</v>
      </c>
      <c r="I2077" s="25">
        <f t="shared" si="414"/>
        <v>0.18126788080495282</v>
      </c>
      <c r="K2077" s="28">
        <v>45450</v>
      </c>
      <c r="L2077" s="23">
        <v>34221.81</v>
      </c>
      <c r="M2077" s="25">
        <f t="shared" si="413"/>
        <v>1.8364019904265647E-2</v>
      </c>
      <c r="O2077" t="b">
        <f t="shared" si="411"/>
        <v>1</v>
      </c>
      <c r="Q2077" s="25">
        <f t="shared" si="409"/>
        <v>0.38396201463800095</v>
      </c>
      <c r="R2077" s="25">
        <f t="shared" si="406"/>
        <v>0.25678333890377458</v>
      </c>
      <c r="S2077" s="25">
        <f t="shared" si="403"/>
        <v>0.1881931195579869</v>
      </c>
      <c r="T2077" s="25">
        <f t="shared" si="418"/>
        <v>0.29216107388876522</v>
      </c>
      <c r="U2077" s="25">
        <f t="shared" si="415"/>
        <v>0.18745344467907232</v>
      </c>
      <c r="X2077">
        <f t="shared" si="410"/>
        <v>0</v>
      </c>
      <c r="Y2077">
        <f t="shared" si="407"/>
        <v>0</v>
      </c>
      <c r="Z2077">
        <f t="shared" si="404"/>
        <v>0</v>
      </c>
      <c r="AA2077">
        <f t="shared" si="419"/>
        <v>0</v>
      </c>
      <c r="AB2077">
        <f t="shared" si="416"/>
        <v>0</v>
      </c>
    </row>
    <row r="2078" spans="1:28">
      <c r="A2078" s="27">
        <v>45453</v>
      </c>
      <c r="B2078" s="24">
        <v>1782.16</v>
      </c>
      <c r="C2078" s="25">
        <f t="shared" si="412"/>
        <v>4.9964351277464959E-4</v>
      </c>
      <c r="E2078" s="25">
        <f t="shared" si="408"/>
        <v>0.36115481555029416</v>
      </c>
      <c r="F2078" s="25">
        <f t="shared" si="405"/>
        <v>0.26160803462650128</v>
      </c>
      <c r="G2078" s="25">
        <f t="shared" si="402"/>
        <v>0.16647378448791028</v>
      </c>
      <c r="H2078" s="25">
        <f t="shared" si="417"/>
        <v>0.27345061628938638</v>
      </c>
      <c r="I2078" s="25">
        <f t="shared" si="414"/>
        <v>0.18036951360877063</v>
      </c>
      <c r="K2078" s="29">
        <v>45453</v>
      </c>
      <c r="L2078" s="24">
        <v>34291.15</v>
      </c>
      <c r="M2078" s="25">
        <f t="shared" si="413"/>
        <v>2.0220960801840644E-3</v>
      </c>
      <c r="O2078" t="b">
        <f t="shared" si="411"/>
        <v>1</v>
      </c>
      <c r="Q2078" s="25">
        <f t="shared" si="409"/>
        <v>0.37561823521600979</v>
      </c>
      <c r="R2078" s="25">
        <f t="shared" si="406"/>
        <v>0.26339017777210527</v>
      </c>
      <c r="S2078" s="25">
        <f t="shared" si="403"/>
        <v>0.18520977301739316</v>
      </c>
      <c r="T2078" s="25">
        <f t="shared" si="418"/>
        <v>0.28718507441935182</v>
      </c>
      <c r="U2078" s="25">
        <f t="shared" si="415"/>
        <v>0.18720310054833345</v>
      </c>
      <c r="X2078">
        <f t="shared" si="410"/>
        <v>0</v>
      </c>
      <c r="Y2078">
        <f t="shared" si="407"/>
        <v>0</v>
      </c>
      <c r="Z2078">
        <f t="shared" si="404"/>
        <v>0</v>
      </c>
      <c r="AA2078">
        <f t="shared" si="419"/>
        <v>0</v>
      </c>
      <c r="AB2078">
        <f t="shared" si="416"/>
        <v>0</v>
      </c>
    </row>
    <row r="2079" spans="1:28">
      <c r="A2079" s="26">
        <v>45454</v>
      </c>
      <c r="B2079" s="23">
        <v>1782.71</v>
      </c>
      <c r="C2079" s="25">
        <f t="shared" si="412"/>
        <v>3.086142658346919E-4</v>
      </c>
      <c r="E2079" s="25">
        <f t="shared" si="408"/>
        <v>0.37180079104914054</v>
      </c>
      <c r="F2079" s="25">
        <f t="shared" si="405"/>
        <v>0.26223114300646699</v>
      </c>
      <c r="G2079" s="25">
        <f t="shared" si="402"/>
        <v>0.16487073812399755</v>
      </c>
      <c r="H2079" s="25">
        <f t="shared" si="417"/>
        <v>0.2697020144399318</v>
      </c>
      <c r="I2079" s="25">
        <f t="shared" si="414"/>
        <v>0.17900579817052509</v>
      </c>
      <c r="K2079" s="28">
        <v>45454</v>
      </c>
      <c r="L2079" s="23">
        <v>34365.129999999997</v>
      </c>
      <c r="M2079" s="25">
        <f t="shared" si="413"/>
        <v>2.1527635716784991E-3</v>
      </c>
      <c r="O2079" t="b">
        <f t="shared" si="411"/>
        <v>1</v>
      </c>
      <c r="Q2079" s="25">
        <f t="shared" si="409"/>
        <v>0.38600034039862119</v>
      </c>
      <c r="R2079" s="25">
        <f t="shared" si="406"/>
        <v>0.26696748727394559</v>
      </c>
      <c r="S2079" s="25">
        <f t="shared" si="403"/>
        <v>0.18461216266962466</v>
      </c>
      <c r="T2079" s="25">
        <f t="shared" si="418"/>
        <v>0.28320998746620263</v>
      </c>
      <c r="U2079" s="25">
        <f t="shared" si="415"/>
        <v>0.18676228572590214</v>
      </c>
      <c r="X2079">
        <f t="shared" si="410"/>
        <v>0</v>
      </c>
      <c r="Y2079">
        <f t="shared" si="407"/>
        <v>0</v>
      </c>
      <c r="Z2079">
        <f t="shared" si="404"/>
        <v>0</v>
      </c>
      <c r="AA2079">
        <f t="shared" si="419"/>
        <v>0</v>
      </c>
      <c r="AB2079">
        <f t="shared" si="416"/>
        <v>0</v>
      </c>
    </row>
    <row r="2080" spans="1:28">
      <c r="A2080" s="27">
        <v>45455</v>
      </c>
      <c r="B2080" s="24">
        <v>1792.92</v>
      </c>
      <c r="C2080" s="25">
        <f t="shared" si="412"/>
        <v>5.7272355010069146E-3</v>
      </c>
      <c r="E2080" s="25">
        <f t="shared" si="408"/>
        <v>0.38483640745203451</v>
      </c>
      <c r="F2080" s="25">
        <f t="shared" si="405"/>
        <v>0.2614849996359434</v>
      </c>
      <c r="G2080" s="25">
        <f t="shared" si="402"/>
        <v>0.16722489099065796</v>
      </c>
      <c r="H2080" s="25">
        <f t="shared" si="417"/>
        <v>0.26778516934366259</v>
      </c>
      <c r="I2080" s="25">
        <f t="shared" si="414"/>
        <v>0.18165774216683306</v>
      </c>
      <c r="K2080" s="29">
        <v>45455</v>
      </c>
      <c r="L2080" s="24">
        <v>34536.949999999997</v>
      </c>
      <c r="M2080" s="25">
        <f t="shared" si="413"/>
        <v>4.9749615990989284E-3</v>
      </c>
      <c r="O2080" t="b">
        <f t="shared" si="411"/>
        <v>1</v>
      </c>
      <c r="Q2080" s="25">
        <f t="shared" si="409"/>
        <v>0.3966269330170491</v>
      </c>
      <c r="R2080" s="25">
        <f t="shared" si="406"/>
        <v>0.26592587709382243</v>
      </c>
      <c r="S2080" s="25">
        <f t="shared" si="403"/>
        <v>0.18680060284749911</v>
      </c>
      <c r="T2080" s="25">
        <f t="shared" si="418"/>
        <v>0.28165749287640618</v>
      </c>
      <c r="U2080" s="25">
        <f t="shared" si="415"/>
        <v>0.18928638498048489</v>
      </c>
      <c r="X2080">
        <f t="shared" si="410"/>
        <v>0</v>
      </c>
      <c r="Y2080">
        <f t="shared" si="407"/>
        <v>0</v>
      </c>
      <c r="Z2080">
        <f t="shared" si="404"/>
        <v>0</v>
      </c>
      <c r="AA2080">
        <f t="shared" si="419"/>
        <v>0</v>
      </c>
      <c r="AB2080">
        <f t="shared" si="416"/>
        <v>0</v>
      </c>
    </row>
    <row r="2081" spans="1:28">
      <c r="A2081" s="26">
        <v>45456</v>
      </c>
      <c r="B2081" s="23">
        <v>1804.23</v>
      </c>
      <c r="C2081" s="25">
        <f t="shared" si="412"/>
        <v>6.3081453717956995E-3</v>
      </c>
      <c r="E2081" s="25">
        <f t="shared" si="408"/>
        <v>0.38863832276337673</v>
      </c>
      <c r="F2081" s="25">
        <f t="shared" si="405"/>
        <v>0.27377172288788021</v>
      </c>
      <c r="G2081" s="25">
        <f t="shared" si="402"/>
        <v>0.16727020185598174</v>
      </c>
      <c r="H2081" s="25">
        <f t="shared" si="417"/>
        <v>0.2655883022630654</v>
      </c>
      <c r="I2081" s="25">
        <f t="shared" si="414"/>
        <v>0.18356791138720796</v>
      </c>
      <c r="K2081" s="28">
        <v>45456</v>
      </c>
      <c r="L2081" s="23">
        <v>34715.589999999997</v>
      </c>
      <c r="M2081" s="25">
        <f t="shared" si="413"/>
        <v>5.145814891810839E-3</v>
      </c>
      <c r="O2081" t="b">
        <f t="shared" si="411"/>
        <v>1</v>
      </c>
      <c r="Q2081" s="25">
        <f t="shared" si="409"/>
        <v>0.39926585639741607</v>
      </c>
      <c r="R2081" s="25">
        <f t="shared" si="406"/>
        <v>0.27814327157756447</v>
      </c>
      <c r="S2081" s="25">
        <f t="shared" si="403"/>
        <v>0.18727887119281883</v>
      </c>
      <c r="T2081" s="25">
        <f t="shared" si="418"/>
        <v>0.27826652545669028</v>
      </c>
      <c r="U2081" s="25">
        <f t="shared" si="415"/>
        <v>0.19042854468423198</v>
      </c>
      <c r="X2081">
        <f t="shared" si="410"/>
        <v>0</v>
      </c>
      <c r="Y2081">
        <f t="shared" si="407"/>
        <v>0</v>
      </c>
      <c r="Z2081">
        <f t="shared" si="404"/>
        <v>0</v>
      </c>
      <c r="AA2081">
        <f t="shared" si="419"/>
        <v>0</v>
      </c>
      <c r="AB2081">
        <f t="shared" si="416"/>
        <v>0</v>
      </c>
    </row>
    <row r="2082" spans="1:28">
      <c r="A2082" s="27">
        <v>45457</v>
      </c>
      <c r="B2082" s="24">
        <v>1814.5</v>
      </c>
      <c r="C2082" s="25">
        <f t="shared" si="412"/>
        <v>5.6921789350581585E-3</v>
      </c>
      <c r="E2082" s="25">
        <f t="shared" si="408"/>
        <v>0.38522024582029157</v>
      </c>
      <c r="F2082" s="25">
        <f t="shared" si="405"/>
        <v>0.29539846047228169</v>
      </c>
      <c r="G2082" s="25">
        <f t="shared" si="402"/>
        <v>0.1714564533405869</v>
      </c>
      <c r="H2082" s="25">
        <f t="shared" si="417"/>
        <v>0.2739112273815496</v>
      </c>
      <c r="I2082" s="25">
        <f t="shared" si="414"/>
        <v>0.18707167278156445</v>
      </c>
      <c r="K2082" s="29">
        <v>45457</v>
      </c>
      <c r="L2082" s="24">
        <v>34943.919999999998</v>
      </c>
      <c r="M2082" s="25">
        <f t="shared" si="413"/>
        <v>6.5341839152562664E-3</v>
      </c>
      <c r="O2082" t="b">
        <f t="shared" si="411"/>
        <v>1</v>
      </c>
      <c r="Q2082" s="25">
        <f t="shared" si="409"/>
        <v>0.39801515320031133</v>
      </c>
      <c r="R2082" s="25">
        <f t="shared" si="406"/>
        <v>0.29965672005363331</v>
      </c>
      <c r="S2082" s="25">
        <f t="shared" si="403"/>
        <v>0.19271383590764257</v>
      </c>
      <c r="T2082" s="25">
        <f t="shared" si="418"/>
        <v>0.28503998707439981</v>
      </c>
      <c r="U2082" s="25">
        <f t="shared" si="415"/>
        <v>0.19388552868309472</v>
      </c>
      <c r="X2082">
        <f t="shared" si="410"/>
        <v>0</v>
      </c>
      <c r="Y2082">
        <f t="shared" si="407"/>
        <v>0</v>
      </c>
      <c r="Z2082">
        <f t="shared" si="404"/>
        <v>0</v>
      </c>
      <c r="AA2082">
        <f t="shared" si="419"/>
        <v>0</v>
      </c>
      <c r="AB2082">
        <f t="shared" si="416"/>
        <v>0</v>
      </c>
    </row>
    <row r="2083" spans="1:28">
      <c r="A2083" s="26">
        <v>45461</v>
      </c>
      <c r="B2083" s="23">
        <v>1827.32</v>
      </c>
      <c r="C2083" s="25">
        <f t="shared" si="412"/>
        <v>7.0653072471754952E-3</v>
      </c>
      <c r="E2083" s="25">
        <f t="shared" si="408"/>
        <v>0.39319914608112239</v>
      </c>
      <c r="F2083" s="25">
        <f t="shared" si="405"/>
        <v>0.29893992402451608</v>
      </c>
      <c r="G2083" s="25">
        <f t="shared" si="402"/>
        <v>0.17675129598451789</v>
      </c>
      <c r="H2083" s="25">
        <f t="shared" si="417"/>
        <v>0.27542021822674001</v>
      </c>
      <c r="I2083" s="25">
        <f t="shared" si="414"/>
        <v>0.19253912226907199</v>
      </c>
      <c r="K2083" s="28">
        <v>45461</v>
      </c>
      <c r="L2083" s="23">
        <v>35127.1</v>
      </c>
      <c r="M2083" s="25">
        <f t="shared" si="413"/>
        <v>5.2147771948154072E-3</v>
      </c>
      <c r="O2083" t="b">
        <f t="shared" si="411"/>
        <v>1</v>
      </c>
      <c r="Q2083" s="25">
        <f t="shared" si="409"/>
        <v>0.40218204404165125</v>
      </c>
      <c r="R2083" s="25">
        <f t="shared" si="406"/>
        <v>0.30443308065662866</v>
      </c>
      <c r="S2083" s="25">
        <f t="shared" si="403"/>
        <v>0.19721455847180369</v>
      </c>
      <c r="T2083" s="25">
        <f t="shared" si="418"/>
        <v>0.28658299145852739</v>
      </c>
      <c r="U2083" s="25">
        <f t="shared" si="415"/>
        <v>0.19828152551860767</v>
      </c>
      <c r="X2083">
        <f t="shared" si="410"/>
        <v>0</v>
      </c>
      <c r="Y2083">
        <f t="shared" si="407"/>
        <v>0</v>
      </c>
      <c r="Z2083">
        <f t="shared" si="404"/>
        <v>0</v>
      </c>
      <c r="AA2083">
        <f t="shared" si="419"/>
        <v>0</v>
      </c>
      <c r="AB2083">
        <f t="shared" si="416"/>
        <v>0</v>
      </c>
    </row>
    <row r="2084" spans="1:28">
      <c r="A2084" s="27">
        <v>45462</v>
      </c>
      <c r="B2084" s="24">
        <v>1820.06</v>
      </c>
      <c r="C2084" s="25">
        <f t="shared" si="412"/>
        <v>-3.973031543462552E-3</v>
      </c>
      <c r="E2084" s="25">
        <f t="shared" si="408"/>
        <v>0.38866974402014254</v>
      </c>
      <c r="F2084" s="25">
        <f t="shared" si="405"/>
        <v>0.29441626005614374</v>
      </c>
      <c r="G2084" s="25">
        <f t="shared" ref="G2084:G2147" si="420">((B2084/B1347)^(1/3))-1</f>
        <v>0.17564527473837099</v>
      </c>
      <c r="H2084" s="25">
        <f t="shared" si="417"/>
        <v>0.27350653763477317</v>
      </c>
      <c r="I2084" s="25">
        <f t="shared" si="414"/>
        <v>0.19099010849261822</v>
      </c>
      <c r="K2084" s="29">
        <v>45462</v>
      </c>
      <c r="L2084" s="24">
        <v>34963.410000000003</v>
      </c>
      <c r="M2084" s="25">
        <f t="shared" si="413"/>
        <v>-4.6817515797227737E-3</v>
      </c>
      <c r="O2084" t="b">
        <f t="shared" si="411"/>
        <v>1</v>
      </c>
      <c r="Q2084" s="25">
        <f t="shared" si="409"/>
        <v>0.39761453345373399</v>
      </c>
      <c r="R2084" s="25">
        <f t="shared" si="406"/>
        <v>0.30131019297148653</v>
      </c>
      <c r="S2084" s="25">
        <f t="shared" ref="S2084:S2147" si="421">((L2084/L1347)^(1/3))-1</f>
        <v>0.19649756503843818</v>
      </c>
      <c r="T2084" s="25">
        <f t="shared" si="418"/>
        <v>0.28284888649561135</v>
      </c>
      <c r="U2084" s="25">
        <f t="shared" si="415"/>
        <v>0.19696841930996878</v>
      </c>
      <c r="X2084">
        <f t="shared" si="410"/>
        <v>0</v>
      </c>
      <c r="Y2084">
        <f t="shared" si="407"/>
        <v>0</v>
      </c>
      <c r="Z2084">
        <f t="shared" ref="Z2084:Z2147" si="422">IF(G2084&gt;S2084,1,0)</f>
        <v>0</v>
      </c>
      <c r="AA2084">
        <f t="shared" si="419"/>
        <v>0</v>
      </c>
      <c r="AB2084">
        <f t="shared" si="416"/>
        <v>0</v>
      </c>
    </row>
    <row r="2085" spans="1:28">
      <c r="A2085" s="26">
        <v>45463</v>
      </c>
      <c r="B2085" s="23">
        <v>1824.77</v>
      </c>
      <c r="C2085" s="25">
        <f t="shared" si="412"/>
        <v>2.5878267749415056E-3</v>
      </c>
      <c r="E2085" s="25">
        <f t="shared" si="408"/>
        <v>0.38098913989480465</v>
      </c>
      <c r="F2085" s="25">
        <f t="shared" si="405"/>
        <v>0.31134111179105539</v>
      </c>
      <c r="G2085" s="25">
        <f t="shared" si="420"/>
        <v>0.17529255684709555</v>
      </c>
      <c r="H2085" s="25">
        <f t="shared" si="417"/>
        <v>0.27704664583723115</v>
      </c>
      <c r="I2085" s="25">
        <f t="shared" si="414"/>
        <v>0.19259989688777046</v>
      </c>
      <c r="K2085" s="28">
        <v>45463</v>
      </c>
      <c r="L2085" s="23">
        <v>35096.03</v>
      </c>
      <c r="M2085" s="25">
        <f t="shared" si="413"/>
        <v>3.7787749782523935E-3</v>
      </c>
      <c r="O2085" t="b">
        <f t="shared" si="411"/>
        <v>1</v>
      </c>
      <c r="Q2085" s="25">
        <f t="shared" si="409"/>
        <v>0.392144402728277</v>
      </c>
      <c r="R2085" s="25">
        <f t="shared" si="406"/>
        <v>0.31821291899184456</v>
      </c>
      <c r="S2085" s="25">
        <f t="shared" si="421"/>
        <v>0.19593385935249596</v>
      </c>
      <c r="T2085" s="25">
        <f t="shared" si="418"/>
        <v>0.28672040263262955</v>
      </c>
      <c r="U2085" s="25">
        <f t="shared" si="415"/>
        <v>0.19850001318802013</v>
      </c>
      <c r="X2085">
        <f t="shared" si="410"/>
        <v>0</v>
      </c>
      <c r="Y2085">
        <f t="shared" si="407"/>
        <v>0</v>
      </c>
      <c r="Z2085">
        <f t="shared" si="422"/>
        <v>0</v>
      </c>
      <c r="AA2085">
        <f t="shared" si="419"/>
        <v>0</v>
      </c>
      <c r="AB2085">
        <f t="shared" si="416"/>
        <v>0</v>
      </c>
    </row>
    <row r="2086" spans="1:28">
      <c r="A2086" s="27">
        <v>45464</v>
      </c>
      <c r="B2086" s="24">
        <v>1820.9</v>
      </c>
      <c r="C2086" s="25">
        <f t="shared" si="412"/>
        <v>-2.1208152260284259E-3</v>
      </c>
      <c r="E2086" s="25">
        <f t="shared" si="408"/>
        <v>0.38168877287765191</v>
      </c>
      <c r="F2086" s="25">
        <f t="shared" si="405"/>
        <v>0.31326454382814695</v>
      </c>
      <c r="G2086" s="25">
        <f t="shared" si="420"/>
        <v>0.17388350827238463</v>
      </c>
      <c r="H2086" s="25">
        <f t="shared" si="417"/>
        <v>0.2758764938498155</v>
      </c>
      <c r="I2086" s="25">
        <f t="shared" si="414"/>
        <v>0.18856636708850361</v>
      </c>
      <c r="K2086" s="29">
        <v>45464</v>
      </c>
      <c r="L2086" s="24">
        <v>34991.85</v>
      </c>
      <c r="M2086" s="25">
        <f t="shared" si="413"/>
        <v>-2.9772647059243878E-3</v>
      </c>
      <c r="O2086" t="b">
        <f t="shared" si="411"/>
        <v>1</v>
      </c>
      <c r="Q2086" s="25">
        <f t="shared" si="409"/>
        <v>0.39117337421420162</v>
      </c>
      <c r="R2086" s="25">
        <f t="shared" si="406"/>
        <v>0.32099456388063552</v>
      </c>
      <c r="S2086" s="25">
        <f t="shared" si="421"/>
        <v>0.19371523560803805</v>
      </c>
      <c r="T2086" s="25">
        <f t="shared" si="418"/>
        <v>0.2862627914971243</v>
      </c>
      <c r="U2086" s="25">
        <f t="shared" si="415"/>
        <v>0.19464836633158478</v>
      </c>
      <c r="X2086">
        <f t="shared" si="410"/>
        <v>0</v>
      </c>
      <c r="Y2086">
        <f t="shared" si="407"/>
        <v>0</v>
      </c>
      <c r="Z2086">
        <f t="shared" si="422"/>
        <v>0</v>
      </c>
      <c r="AA2086">
        <f t="shared" si="419"/>
        <v>0</v>
      </c>
      <c r="AB2086">
        <f t="shared" si="416"/>
        <v>0</v>
      </c>
    </row>
    <row r="2087" spans="1:28">
      <c r="A2087" s="26">
        <v>45467</v>
      </c>
      <c r="B2087" s="23">
        <v>1829.88</v>
      </c>
      <c r="C2087" s="25">
        <f t="shared" si="412"/>
        <v>4.9316272173101309E-3</v>
      </c>
      <c r="E2087" s="25">
        <f t="shared" si="408"/>
        <v>0.384133611691023</v>
      </c>
      <c r="F2087" s="25">
        <f t="shared" si="405"/>
        <v>0.31827303421433384</v>
      </c>
      <c r="G2087" s="25">
        <f t="shared" si="420"/>
        <v>0.17706619334074736</v>
      </c>
      <c r="H2087" s="25">
        <f t="shared" si="417"/>
        <v>0.27540981910264395</v>
      </c>
      <c r="I2087" s="25">
        <f t="shared" si="414"/>
        <v>0.19075255685167347</v>
      </c>
      <c r="K2087" s="28">
        <v>45467</v>
      </c>
      <c r="L2087" s="23">
        <v>35075.14</v>
      </c>
      <c r="M2087" s="25">
        <f t="shared" si="413"/>
        <v>2.374616323698234E-3</v>
      </c>
      <c r="O2087" t="b">
        <f t="shared" si="411"/>
        <v>1</v>
      </c>
      <c r="Q2087" s="25">
        <f t="shared" si="409"/>
        <v>0.38950461733611541</v>
      </c>
      <c r="R2087" s="25">
        <f t="shared" si="406"/>
        <v>0.32476395621034659</v>
      </c>
      <c r="S2087" s="25">
        <f t="shared" si="421"/>
        <v>0.19666878051044034</v>
      </c>
      <c r="T2087" s="25">
        <f t="shared" si="418"/>
        <v>0.28400907018385424</v>
      </c>
      <c r="U2087" s="25">
        <f t="shared" si="415"/>
        <v>0.19681944692498932</v>
      </c>
      <c r="X2087">
        <f t="shared" si="410"/>
        <v>0</v>
      </c>
      <c r="Y2087">
        <f t="shared" si="407"/>
        <v>0</v>
      </c>
      <c r="Z2087">
        <f t="shared" si="422"/>
        <v>0</v>
      </c>
      <c r="AA2087">
        <f t="shared" si="419"/>
        <v>0</v>
      </c>
      <c r="AB2087">
        <f t="shared" si="416"/>
        <v>0</v>
      </c>
    </row>
    <row r="2088" spans="1:28">
      <c r="A2088" s="27">
        <v>45468</v>
      </c>
      <c r="B2088" s="24">
        <v>1837.81</v>
      </c>
      <c r="C2088" s="25">
        <f t="shared" si="412"/>
        <v>4.3336175049729139E-3</v>
      </c>
      <c r="E2088" s="25">
        <f t="shared" si="408"/>
        <v>0.38633586289093724</v>
      </c>
      <c r="F2088" s="25">
        <f t="shared" si="405"/>
        <v>0.30759223914772171</v>
      </c>
      <c r="G2088" s="25">
        <f t="shared" si="420"/>
        <v>0.17690699472750948</v>
      </c>
      <c r="H2088" s="25">
        <f t="shared" si="417"/>
        <v>0.27433184609523908</v>
      </c>
      <c r="I2088" s="25">
        <f t="shared" si="414"/>
        <v>0.19237618004233248</v>
      </c>
      <c r="K2088" s="29">
        <v>45468</v>
      </c>
      <c r="L2088" s="24">
        <v>35204.26</v>
      </c>
      <c r="M2088" s="25">
        <f t="shared" si="413"/>
        <v>3.6677379385336496E-3</v>
      </c>
      <c r="O2088" t="b">
        <f t="shared" si="411"/>
        <v>1</v>
      </c>
      <c r="Q2088" s="25">
        <f t="shared" si="409"/>
        <v>0.39106695359219334</v>
      </c>
      <c r="R2088" s="25">
        <f t="shared" si="406"/>
        <v>0.31251711675201532</v>
      </c>
      <c r="S2088" s="25">
        <f t="shared" si="421"/>
        <v>0.19678274012426722</v>
      </c>
      <c r="T2088" s="25">
        <f t="shared" si="418"/>
        <v>0.28155924953991351</v>
      </c>
      <c r="U2088" s="25">
        <f t="shared" si="415"/>
        <v>0.19813680179787574</v>
      </c>
      <c r="X2088">
        <f t="shared" si="410"/>
        <v>0</v>
      </c>
      <c r="Y2088">
        <f t="shared" si="407"/>
        <v>0</v>
      </c>
      <c r="Z2088">
        <f t="shared" si="422"/>
        <v>0</v>
      </c>
      <c r="AA2088">
        <f t="shared" si="419"/>
        <v>0</v>
      </c>
      <c r="AB2088">
        <f t="shared" si="416"/>
        <v>0</v>
      </c>
    </row>
    <row r="2089" spans="1:28">
      <c r="A2089" s="26">
        <v>45469</v>
      </c>
      <c r="B2089" s="23">
        <v>1842.74</v>
      </c>
      <c r="C2089" s="25">
        <f t="shared" si="412"/>
        <v>2.6825406326007931E-3</v>
      </c>
      <c r="E2089" s="25">
        <f t="shared" si="408"/>
        <v>0.39787899016870987</v>
      </c>
      <c r="F2089" s="25">
        <f t="shared" si="405"/>
        <v>0.31895110247664871</v>
      </c>
      <c r="G2089" s="25">
        <f t="shared" si="420"/>
        <v>0.17454766404145183</v>
      </c>
      <c r="H2089" s="25">
        <f t="shared" si="417"/>
        <v>0.2735758963257735</v>
      </c>
      <c r="I2089" s="25">
        <f t="shared" si="414"/>
        <v>0.19125189810937071</v>
      </c>
      <c r="K2089" s="28">
        <v>45469</v>
      </c>
      <c r="L2089" s="23">
        <v>35308.410000000003</v>
      </c>
      <c r="M2089" s="25">
        <f t="shared" si="413"/>
        <v>2.9497221766712645E-3</v>
      </c>
      <c r="O2089" t="b">
        <f t="shared" si="411"/>
        <v>1</v>
      </c>
      <c r="Q2089" s="25">
        <f t="shared" si="409"/>
        <v>0.4038174740405327</v>
      </c>
      <c r="R2089" s="25">
        <f t="shared" si="406"/>
        <v>0.32418348045533651</v>
      </c>
      <c r="S2089" s="25">
        <f t="shared" si="421"/>
        <v>0.1958591884670442</v>
      </c>
      <c r="T2089" s="25">
        <f t="shared" si="418"/>
        <v>0.28071741704524533</v>
      </c>
      <c r="U2089" s="25">
        <f t="shared" si="415"/>
        <v>0.19712895060701818</v>
      </c>
      <c r="X2089">
        <f t="shared" si="410"/>
        <v>0</v>
      </c>
      <c r="Y2089">
        <f t="shared" si="407"/>
        <v>0</v>
      </c>
      <c r="Z2089">
        <f t="shared" si="422"/>
        <v>0</v>
      </c>
      <c r="AA2089">
        <f t="shared" si="419"/>
        <v>0</v>
      </c>
      <c r="AB2089">
        <f t="shared" si="416"/>
        <v>0</v>
      </c>
    </row>
    <row r="2090" spans="1:28">
      <c r="A2090" s="27">
        <v>45470</v>
      </c>
      <c r="B2090" s="24">
        <v>1849.62</v>
      </c>
      <c r="C2090" s="25">
        <f t="shared" si="412"/>
        <v>3.7335706610807178E-3</v>
      </c>
      <c r="E2090" s="25">
        <f t="shared" si="408"/>
        <v>0.41233334860493898</v>
      </c>
      <c r="F2090" s="25">
        <f t="shared" si="405"/>
        <v>0.31365811824691203</v>
      </c>
      <c r="G2090" s="25">
        <f t="shared" si="420"/>
        <v>0.17535340620561901</v>
      </c>
      <c r="H2090" s="25">
        <f t="shared" si="417"/>
        <v>0.27104564874892345</v>
      </c>
      <c r="I2090" s="25">
        <f t="shared" si="414"/>
        <v>0.18994231023976682</v>
      </c>
      <c r="K2090" s="29">
        <v>45470</v>
      </c>
      <c r="L2090" s="24">
        <v>35467.61</v>
      </c>
      <c r="M2090" s="25">
        <f t="shared" si="413"/>
        <v>4.4886024178115496E-3</v>
      </c>
      <c r="O2090" t="b">
        <f t="shared" si="411"/>
        <v>1</v>
      </c>
      <c r="Q2090" s="25">
        <f t="shared" si="409"/>
        <v>0.4214694423592773</v>
      </c>
      <c r="R2090" s="25">
        <f t="shared" si="406"/>
        <v>0.32053392404771608</v>
      </c>
      <c r="S2090" s="25">
        <f t="shared" si="421"/>
        <v>0.19784045972780651</v>
      </c>
      <c r="T2090" s="25">
        <f t="shared" si="418"/>
        <v>0.27778183384603961</v>
      </c>
      <c r="U2090" s="25">
        <f t="shared" si="415"/>
        <v>0.1969680160046523</v>
      </c>
      <c r="X2090">
        <f t="shared" si="410"/>
        <v>0</v>
      </c>
      <c r="Y2090">
        <f t="shared" si="407"/>
        <v>0</v>
      </c>
      <c r="Z2090">
        <f t="shared" si="422"/>
        <v>0</v>
      </c>
      <c r="AA2090">
        <f t="shared" si="419"/>
        <v>0</v>
      </c>
      <c r="AB2090">
        <f t="shared" si="416"/>
        <v>0</v>
      </c>
    </row>
    <row r="2091" spans="1:28">
      <c r="A2091" s="26">
        <v>45471</v>
      </c>
      <c r="B2091" s="23">
        <v>1845.75</v>
      </c>
      <c r="C2091" s="25">
        <f t="shared" si="412"/>
        <v>-2.0923216660718911E-3</v>
      </c>
      <c r="E2091" s="25">
        <f t="shared" si="408"/>
        <v>0.40461622756951754</v>
      </c>
      <c r="F2091" s="25">
        <f t="shared" si="405"/>
        <v>0.30557639119918378</v>
      </c>
      <c r="G2091" s="25">
        <f t="shared" si="420"/>
        <v>0.1762081947779548</v>
      </c>
      <c r="H2091" s="25">
        <f t="shared" si="417"/>
        <v>0.26834927009063114</v>
      </c>
      <c r="I2091" s="25">
        <f t="shared" si="414"/>
        <v>0.18906994502749264</v>
      </c>
      <c r="K2091" s="28">
        <v>45471</v>
      </c>
      <c r="L2091" s="23">
        <v>35506.97</v>
      </c>
      <c r="M2091" s="25">
        <f t="shared" si="413"/>
        <v>1.1085147507658519E-3</v>
      </c>
      <c r="O2091" t="b">
        <f t="shared" si="411"/>
        <v>1</v>
      </c>
      <c r="Q2091" s="25">
        <f t="shared" si="409"/>
        <v>0.4182070830930178</v>
      </c>
      <c r="R2091" s="25">
        <f t="shared" si="406"/>
        <v>0.31411834736330846</v>
      </c>
      <c r="S2091" s="25">
        <f t="shared" si="421"/>
        <v>0.19967693203284664</v>
      </c>
      <c r="T2091" s="25">
        <f t="shared" si="418"/>
        <v>0.2768841525364012</v>
      </c>
      <c r="U2091" s="25">
        <f t="shared" si="415"/>
        <v>0.19699301957243276</v>
      </c>
      <c r="X2091">
        <f t="shared" si="410"/>
        <v>0</v>
      </c>
      <c r="Y2091">
        <f t="shared" si="407"/>
        <v>0</v>
      </c>
      <c r="Z2091">
        <f t="shared" si="422"/>
        <v>0</v>
      </c>
      <c r="AA2091">
        <f t="shared" si="419"/>
        <v>0</v>
      </c>
      <c r="AB2091">
        <f t="shared" si="416"/>
        <v>0</v>
      </c>
    </row>
    <row r="2092" spans="1:28">
      <c r="A2092" s="27">
        <v>45474</v>
      </c>
      <c r="B2092" s="24">
        <v>1856.71</v>
      </c>
      <c r="C2092" s="25">
        <f t="shared" si="412"/>
        <v>5.9379655966409518E-3</v>
      </c>
      <c r="E2092" s="25">
        <f t="shared" si="408"/>
        <v>0.40123768914380586</v>
      </c>
      <c r="F2092" s="25">
        <f t="shared" si="405"/>
        <v>0.3029712859930771</v>
      </c>
      <c r="G2092" s="25">
        <f t="shared" si="420"/>
        <v>0.17894412679724536</v>
      </c>
      <c r="H2092" s="25">
        <f t="shared" si="417"/>
        <v>0.27166123316135593</v>
      </c>
      <c r="I2092" s="25">
        <f t="shared" si="414"/>
        <v>0.19163502757968276</v>
      </c>
      <c r="K2092" s="29">
        <v>45474</v>
      </c>
      <c r="L2092" s="24">
        <v>35771.61</v>
      </c>
      <c r="M2092" s="25">
        <f t="shared" si="413"/>
        <v>7.398045545056524E-3</v>
      </c>
      <c r="O2092" t="b">
        <f t="shared" si="411"/>
        <v>1</v>
      </c>
      <c r="Q2092" s="25">
        <f t="shared" si="409"/>
        <v>0.42017051601441158</v>
      </c>
      <c r="R2092" s="25">
        <f t="shared" si="406"/>
        <v>0.31300527879938467</v>
      </c>
      <c r="S2092" s="25">
        <f t="shared" si="421"/>
        <v>0.20289224004329154</v>
      </c>
      <c r="T2092" s="25">
        <f t="shared" si="418"/>
        <v>0.28162539860361102</v>
      </c>
      <c r="U2092" s="25">
        <f t="shared" si="415"/>
        <v>0.19961651927822599</v>
      </c>
      <c r="X2092">
        <f t="shared" si="410"/>
        <v>0</v>
      </c>
      <c r="Y2092">
        <f t="shared" si="407"/>
        <v>0</v>
      </c>
      <c r="Z2092">
        <f t="shared" si="422"/>
        <v>0</v>
      </c>
      <c r="AA2092">
        <f t="shared" si="419"/>
        <v>0</v>
      </c>
      <c r="AB2092">
        <f t="shared" si="416"/>
        <v>0</v>
      </c>
    </row>
    <row r="2093" spans="1:28">
      <c r="A2093" s="26">
        <v>45475</v>
      </c>
      <c r="B2093" s="23">
        <v>1850.03</v>
      </c>
      <c r="C2093" s="25">
        <f t="shared" si="412"/>
        <v>-3.5977616321342934E-3</v>
      </c>
      <c r="E2093" s="25">
        <f t="shared" si="408"/>
        <v>0.38814022239896762</v>
      </c>
      <c r="F2093" s="25">
        <f t="shared" si="405"/>
        <v>0.300036998276759</v>
      </c>
      <c r="G2093" s="25">
        <f t="shared" si="420"/>
        <v>0.17743159672496267</v>
      </c>
      <c r="H2093" s="25">
        <f t="shared" si="417"/>
        <v>0.26779711203092704</v>
      </c>
      <c r="I2093" s="25">
        <f t="shared" si="414"/>
        <v>0.18948305046991032</v>
      </c>
      <c r="K2093" s="28">
        <v>45475</v>
      </c>
      <c r="L2093" s="23">
        <v>35693.160000000003</v>
      </c>
      <c r="M2093" s="25">
        <f t="shared" si="413"/>
        <v>-2.1979001018681754E-3</v>
      </c>
      <c r="O2093" t="b">
        <f t="shared" si="411"/>
        <v>1</v>
      </c>
      <c r="Q2093" s="25">
        <f t="shared" si="409"/>
        <v>0.40714826379033053</v>
      </c>
      <c r="R2093" s="25">
        <f t="shared" si="406"/>
        <v>0.31060120754506282</v>
      </c>
      <c r="S2093" s="25">
        <f t="shared" si="421"/>
        <v>0.20256076250385813</v>
      </c>
      <c r="T2093" s="25">
        <f t="shared" si="418"/>
        <v>0.27832300777325414</v>
      </c>
      <c r="U2093" s="25">
        <f t="shared" si="415"/>
        <v>0.19772366138534769</v>
      </c>
      <c r="X2093">
        <f t="shared" si="410"/>
        <v>0</v>
      </c>
      <c r="Y2093">
        <f t="shared" si="407"/>
        <v>0</v>
      </c>
      <c r="Z2093">
        <f t="shared" si="422"/>
        <v>0</v>
      </c>
      <c r="AA2093">
        <f t="shared" si="419"/>
        <v>0</v>
      </c>
      <c r="AB2093">
        <f t="shared" si="416"/>
        <v>0</v>
      </c>
    </row>
    <row r="2094" spans="1:28">
      <c r="A2094" s="27">
        <v>45476</v>
      </c>
      <c r="B2094" s="24">
        <v>1864.62</v>
      </c>
      <c r="C2094" s="25">
        <f t="shared" si="412"/>
        <v>7.8863585995902329E-3</v>
      </c>
      <c r="E2094" s="25">
        <f t="shared" si="408"/>
        <v>0.38496505314447416</v>
      </c>
      <c r="F2094" s="25">
        <f t="shared" si="405"/>
        <v>0.30901553085495581</v>
      </c>
      <c r="G2094" s="25">
        <f t="shared" si="420"/>
        <v>0.1787256752103632</v>
      </c>
      <c r="H2094" s="25">
        <f t="shared" si="417"/>
        <v>0.27195333719857206</v>
      </c>
      <c r="I2094" s="25">
        <f t="shared" si="414"/>
        <v>0.1909611372431359</v>
      </c>
      <c r="K2094" s="29">
        <v>45476</v>
      </c>
      <c r="L2094" s="24">
        <v>35966.18</v>
      </c>
      <c r="M2094" s="25">
        <f t="shared" si="413"/>
        <v>7.5910202306721701E-3</v>
      </c>
      <c r="O2094" t="b">
        <f t="shared" si="411"/>
        <v>1</v>
      </c>
      <c r="Q2094" s="25">
        <f t="shared" si="409"/>
        <v>0.40461012559259002</v>
      </c>
      <c r="R2094" s="25">
        <f t="shared" si="406"/>
        <v>0.31787620970723429</v>
      </c>
      <c r="S2094" s="25">
        <f t="shared" si="421"/>
        <v>0.20441636158095289</v>
      </c>
      <c r="T2094" s="25">
        <f t="shared" si="418"/>
        <v>0.28212187271353661</v>
      </c>
      <c r="U2094" s="25">
        <f t="shared" si="415"/>
        <v>0.1987635010847042</v>
      </c>
      <c r="X2094">
        <f t="shared" si="410"/>
        <v>0</v>
      </c>
      <c r="Y2094">
        <f t="shared" si="407"/>
        <v>0</v>
      </c>
      <c r="Z2094">
        <f t="shared" si="422"/>
        <v>0</v>
      </c>
      <c r="AA2094">
        <f t="shared" si="419"/>
        <v>0</v>
      </c>
      <c r="AB2094">
        <f t="shared" si="416"/>
        <v>0</v>
      </c>
    </row>
    <row r="2095" spans="1:28">
      <c r="A2095" s="26">
        <v>45477</v>
      </c>
      <c r="B2095" s="23">
        <v>1872.23</v>
      </c>
      <c r="C2095" s="25">
        <f t="shared" si="412"/>
        <v>4.0812605249327628E-3</v>
      </c>
      <c r="E2095" s="25">
        <f t="shared" si="408"/>
        <v>0.38265833628736856</v>
      </c>
      <c r="F2095" s="25">
        <f t="shared" ref="F2095:F2158" si="423">((B2095/B1603)^(1/2))-1</f>
        <v>0.31315103695915814</v>
      </c>
      <c r="G2095" s="25">
        <f t="shared" si="420"/>
        <v>0.17776720536944812</v>
      </c>
      <c r="H2095" s="25">
        <f t="shared" si="417"/>
        <v>0.27213895251848697</v>
      </c>
      <c r="I2095" s="25">
        <f t="shared" si="414"/>
        <v>0.19162865058661693</v>
      </c>
      <c r="K2095" s="28">
        <v>45477</v>
      </c>
      <c r="L2095" s="23">
        <v>36066.06</v>
      </c>
      <c r="M2095" s="25">
        <f t="shared" si="413"/>
        <v>2.7693626639560126E-3</v>
      </c>
      <c r="O2095" t="b">
        <f t="shared" si="411"/>
        <v>1</v>
      </c>
      <c r="Q2095" s="25">
        <f t="shared" si="409"/>
        <v>0.40015878222958978</v>
      </c>
      <c r="R2095" s="25">
        <f t="shared" ref="R2095:R2158" si="424">((L2095/L1603)^(1/2))-1</f>
        <v>0.32101513631659007</v>
      </c>
      <c r="S2095" s="25">
        <f t="shared" si="421"/>
        <v>0.20279440421411143</v>
      </c>
      <c r="T2095" s="25">
        <f t="shared" si="418"/>
        <v>0.28225789528526035</v>
      </c>
      <c r="U2095" s="25">
        <f t="shared" si="415"/>
        <v>0.19911872940312225</v>
      </c>
      <c r="X2095">
        <f t="shared" si="410"/>
        <v>0</v>
      </c>
      <c r="Y2095">
        <f t="shared" ref="Y2095:Y2158" si="425">IF(F2095&gt;R2095,1,0)</f>
        <v>0</v>
      </c>
      <c r="Z2095">
        <f t="shared" si="422"/>
        <v>0</v>
      </c>
      <c r="AA2095">
        <f t="shared" si="419"/>
        <v>0</v>
      </c>
      <c r="AB2095">
        <f t="shared" si="416"/>
        <v>0</v>
      </c>
    </row>
    <row r="2096" spans="1:28">
      <c r="A2096" s="27">
        <v>45478</v>
      </c>
      <c r="B2096" s="24">
        <v>1880.58</v>
      </c>
      <c r="C2096" s="25">
        <f t="shared" si="412"/>
        <v>4.4599221249525482E-3</v>
      </c>
      <c r="E2096" s="25">
        <f t="shared" si="408"/>
        <v>0.38381727472074645</v>
      </c>
      <c r="F2096" s="25">
        <f t="shared" si="423"/>
        <v>0.313489729005761</v>
      </c>
      <c r="G2096" s="25">
        <f t="shared" si="420"/>
        <v>0.17891573745421518</v>
      </c>
      <c r="H2096" s="25">
        <f t="shared" si="417"/>
        <v>0.27769035613634196</v>
      </c>
      <c r="I2096" s="25">
        <f t="shared" si="414"/>
        <v>0.19247549952112109</v>
      </c>
      <c r="K2096" s="29">
        <v>45478</v>
      </c>
      <c r="L2096" s="24">
        <v>36187.040000000001</v>
      </c>
      <c r="M2096" s="25">
        <f t="shared" si="413"/>
        <v>3.3431858477511065E-3</v>
      </c>
      <c r="O2096" t="b">
        <f t="shared" si="411"/>
        <v>1</v>
      </c>
      <c r="Q2096" s="25">
        <f t="shared" si="409"/>
        <v>0.40246853101592528</v>
      </c>
      <c r="R2096" s="25">
        <f t="shared" si="424"/>
        <v>0.32288296691572205</v>
      </c>
      <c r="S2096" s="25">
        <f t="shared" si="421"/>
        <v>0.20446408092036239</v>
      </c>
      <c r="T2096" s="25">
        <f t="shared" si="418"/>
        <v>0.28848522644126673</v>
      </c>
      <c r="U2096" s="25">
        <f t="shared" si="415"/>
        <v>0.19939985639514912</v>
      </c>
      <c r="X2096">
        <f t="shared" si="410"/>
        <v>0</v>
      </c>
      <c r="Y2096">
        <f t="shared" si="425"/>
        <v>0</v>
      </c>
      <c r="Z2096">
        <f t="shared" si="422"/>
        <v>0</v>
      </c>
      <c r="AA2096">
        <f t="shared" si="419"/>
        <v>0</v>
      </c>
      <c r="AB2096">
        <f t="shared" si="416"/>
        <v>0</v>
      </c>
    </row>
    <row r="2097" spans="1:28">
      <c r="A2097" s="26">
        <v>45481</v>
      </c>
      <c r="B2097" s="23">
        <v>1875.71</v>
      </c>
      <c r="C2097" s="25">
        <f t="shared" si="412"/>
        <v>-2.5896266045581104E-3</v>
      </c>
      <c r="E2097" s="25">
        <f t="shared" si="408"/>
        <v>0.37763855634061438</v>
      </c>
      <c r="F2097" s="25">
        <f t="shared" si="423"/>
        <v>0.3075483592785575</v>
      </c>
      <c r="G2097" s="25">
        <f t="shared" si="420"/>
        <v>0.17601829185316009</v>
      </c>
      <c r="H2097" s="25">
        <f t="shared" si="417"/>
        <v>0.27662272225612106</v>
      </c>
      <c r="I2097" s="25">
        <f t="shared" si="414"/>
        <v>0.19468920623836783</v>
      </c>
      <c r="K2097" s="28">
        <v>45481</v>
      </c>
      <c r="L2097" s="23">
        <v>36161.199999999997</v>
      </c>
      <c r="M2097" s="25">
        <f t="shared" si="413"/>
        <v>-7.1457805603806807E-4</v>
      </c>
      <c r="O2097" t="b">
        <f t="shared" si="411"/>
        <v>1</v>
      </c>
      <c r="Q2097" s="25">
        <f t="shared" si="409"/>
        <v>0.39797895137274564</v>
      </c>
      <c r="R2097" s="25">
        <f t="shared" si="424"/>
        <v>0.31844140470581062</v>
      </c>
      <c r="S2097" s="25">
        <f t="shared" si="421"/>
        <v>0.20250081088165883</v>
      </c>
      <c r="T2097" s="25">
        <f t="shared" si="418"/>
        <v>0.28835819712393196</v>
      </c>
      <c r="U2097" s="25">
        <f t="shared" si="415"/>
        <v>0.20217364277387984</v>
      </c>
      <c r="X2097">
        <f t="shared" si="410"/>
        <v>0</v>
      </c>
      <c r="Y2097">
        <f t="shared" si="425"/>
        <v>0</v>
      </c>
      <c r="Z2097">
        <f t="shared" si="422"/>
        <v>0</v>
      </c>
      <c r="AA2097">
        <f t="shared" si="419"/>
        <v>0</v>
      </c>
      <c r="AB2097">
        <f t="shared" si="416"/>
        <v>0</v>
      </c>
    </row>
    <row r="2098" spans="1:28">
      <c r="A2098" s="27">
        <v>45482</v>
      </c>
      <c r="B2098" s="24">
        <v>1885.49</v>
      </c>
      <c r="C2098" s="25">
        <f t="shared" si="412"/>
        <v>5.2140256222976749E-3</v>
      </c>
      <c r="E2098" s="25">
        <f t="shared" si="408"/>
        <v>0.37971432334733435</v>
      </c>
      <c r="F2098" s="25">
        <f t="shared" si="423"/>
        <v>0.31143095014412525</v>
      </c>
      <c r="G2098" s="25">
        <f t="shared" si="420"/>
        <v>0.18091912785025777</v>
      </c>
      <c r="H2098" s="25">
        <f t="shared" si="417"/>
        <v>0.27499677336416006</v>
      </c>
      <c r="I2098" s="25">
        <f t="shared" si="414"/>
        <v>0.201623855297695</v>
      </c>
      <c r="K2098" s="29">
        <v>45482</v>
      </c>
      <c r="L2098" s="24">
        <v>36314.78</v>
      </c>
      <c r="M2098" s="25">
        <f t="shared" si="413"/>
        <v>4.2291320503663179E-3</v>
      </c>
      <c r="O2098" t="b">
        <f t="shared" si="411"/>
        <v>1</v>
      </c>
      <c r="Q2098" s="25">
        <f t="shared" si="409"/>
        <v>0.39567555102903595</v>
      </c>
      <c r="R2098" s="25">
        <f t="shared" si="424"/>
        <v>0.32173102616228832</v>
      </c>
      <c r="S2098" s="25">
        <f t="shared" si="421"/>
        <v>0.20700790548088466</v>
      </c>
      <c r="T2098" s="25">
        <f t="shared" si="418"/>
        <v>0.28683646142218411</v>
      </c>
      <c r="U2098" s="25">
        <f t="shared" si="415"/>
        <v>0.20846459188710931</v>
      </c>
      <c r="X2098">
        <f t="shared" si="410"/>
        <v>0</v>
      </c>
      <c r="Y2098">
        <f t="shared" si="425"/>
        <v>0</v>
      </c>
      <c r="Z2098">
        <f t="shared" si="422"/>
        <v>0</v>
      </c>
      <c r="AA2098">
        <f t="shared" si="419"/>
        <v>0</v>
      </c>
      <c r="AB2098">
        <f t="shared" si="416"/>
        <v>0</v>
      </c>
    </row>
    <row r="2099" spans="1:28">
      <c r="A2099" s="26">
        <v>45483</v>
      </c>
      <c r="B2099" s="23">
        <v>1879.07</v>
      </c>
      <c r="C2099" s="25">
        <f t="shared" si="412"/>
        <v>-3.4049504372868976E-3</v>
      </c>
      <c r="E2099" s="25">
        <f t="shared" si="408"/>
        <v>0.38577549650803467</v>
      </c>
      <c r="F2099" s="25">
        <f t="shared" si="423"/>
        <v>0.30137348763296568</v>
      </c>
      <c r="G2099" s="25">
        <f t="shared" si="420"/>
        <v>0.17816230532090116</v>
      </c>
      <c r="H2099" s="25">
        <f t="shared" si="417"/>
        <v>0.2700208346765991</v>
      </c>
      <c r="I2099" s="25">
        <f t="shared" si="414"/>
        <v>0.19990343589344284</v>
      </c>
      <c r="K2099" s="28">
        <v>45483</v>
      </c>
      <c r="L2099" s="23">
        <v>36173.97</v>
      </c>
      <c r="M2099" s="25">
        <f t="shared" si="413"/>
        <v>-3.8925780056763928E-3</v>
      </c>
      <c r="O2099" t="b">
        <f t="shared" si="411"/>
        <v>1</v>
      </c>
      <c r="Q2099" s="25">
        <f t="shared" si="409"/>
        <v>0.40102317302150925</v>
      </c>
      <c r="R2099" s="25">
        <f t="shared" si="424"/>
        <v>0.31094016221128262</v>
      </c>
      <c r="S2099" s="25">
        <f t="shared" si="421"/>
        <v>0.20557310816472718</v>
      </c>
      <c r="T2099" s="25">
        <f t="shared" si="418"/>
        <v>0.28090165950020562</v>
      </c>
      <c r="U2099" s="25">
        <f t="shared" si="415"/>
        <v>0.2073181726167419</v>
      </c>
      <c r="X2099">
        <f t="shared" si="410"/>
        <v>0</v>
      </c>
      <c r="Y2099">
        <f t="shared" si="425"/>
        <v>0</v>
      </c>
      <c r="Z2099">
        <f t="shared" si="422"/>
        <v>0</v>
      </c>
      <c r="AA2099">
        <f t="shared" si="419"/>
        <v>0</v>
      </c>
      <c r="AB2099">
        <f t="shared" si="416"/>
        <v>0</v>
      </c>
    </row>
    <row r="2100" spans="1:28">
      <c r="A2100" s="27">
        <v>45484</v>
      </c>
      <c r="B2100" s="24">
        <v>1877.44</v>
      </c>
      <c r="C2100" s="25">
        <f t="shared" si="412"/>
        <v>-8.6745038769172082E-4</v>
      </c>
      <c r="E2100" s="25">
        <f t="shared" si="408"/>
        <v>0.38828992708934162</v>
      </c>
      <c r="F2100" s="25">
        <f t="shared" si="423"/>
        <v>0.29416000883249316</v>
      </c>
      <c r="G2100" s="25">
        <f t="shared" si="420"/>
        <v>0.17751418161753163</v>
      </c>
      <c r="H2100" s="25">
        <f t="shared" si="417"/>
        <v>0.26673945184275993</v>
      </c>
      <c r="I2100" s="25">
        <f t="shared" si="414"/>
        <v>0.20097606300233894</v>
      </c>
      <c r="K2100" s="29">
        <v>45484</v>
      </c>
      <c r="L2100" s="24">
        <v>36217.5</v>
      </c>
      <c r="M2100" s="25">
        <f t="shared" si="413"/>
        <v>1.2019051563470376E-3</v>
      </c>
      <c r="O2100" t="b">
        <f t="shared" si="411"/>
        <v>1</v>
      </c>
      <c r="Q2100" s="25">
        <f t="shared" si="409"/>
        <v>0.40361694656973723</v>
      </c>
      <c r="R2100" s="25">
        <f t="shared" si="424"/>
        <v>0.30526946428631341</v>
      </c>
      <c r="S2100" s="25">
        <f t="shared" si="421"/>
        <v>0.2054266160144036</v>
      </c>
      <c r="T2100" s="25">
        <f t="shared" si="418"/>
        <v>0.27806933750801699</v>
      </c>
      <c r="U2100" s="25">
        <f t="shared" si="415"/>
        <v>0.20902444622648697</v>
      </c>
      <c r="X2100">
        <f t="shared" si="410"/>
        <v>0</v>
      </c>
      <c r="Y2100">
        <f t="shared" si="425"/>
        <v>0</v>
      </c>
      <c r="Z2100">
        <f t="shared" si="422"/>
        <v>0</v>
      </c>
      <c r="AA2100">
        <f t="shared" si="419"/>
        <v>0</v>
      </c>
      <c r="AB2100">
        <f t="shared" si="416"/>
        <v>0</v>
      </c>
    </row>
    <row r="2101" spans="1:28">
      <c r="A2101" s="26">
        <v>45485</v>
      </c>
      <c r="B2101" s="23">
        <v>1881.93</v>
      </c>
      <c r="C2101" s="25">
        <f t="shared" si="412"/>
        <v>2.3915544571331223E-3</v>
      </c>
      <c r="E2101" s="25">
        <f t="shared" si="408"/>
        <v>0.38789492315407537</v>
      </c>
      <c r="F2101" s="25">
        <f t="shared" si="423"/>
        <v>0.29285522368549688</v>
      </c>
      <c r="G2101" s="25">
        <f t="shared" si="420"/>
        <v>0.17674225211824179</v>
      </c>
      <c r="H2101" s="25">
        <f t="shared" si="417"/>
        <v>0.26625628175090799</v>
      </c>
      <c r="I2101" s="25">
        <f t="shared" si="414"/>
        <v>0.19919416147932312</v>
      </c>
      <c r="K2101" s="28">
        <v>45485</v>
      </c>
      <c r="L2101" s="23">
        <v>36362.300000000003</v>
      </c>
      <c r="M2101" s="25">
        <f t="shared" si="413"/>
        <v>3.9821463438782173E-3</v>
      </c>
      <c r="O2101" t="b">
        <f t="shared" si="411"/>
        <v>1</v>
      </c>
      <c r="Q2101" s="25">
        <f t="shared" si="409"/>
        <v>0.40115021145009511</v>
      </c>
      <c r="R2101" s="25">
        <f t="shared" si="424"/>
        <v>0.30488312320912181</v>
      </c>
      <c r="S2101" s="25">
        <f t="shared" si="421"/>
        <v>0.20466750066152417</v>
      </c>
      <c r="T2101" s="25">
        <f t="shared" si="418"/>
        <v>0.27631854738370043</v>
      </c>
      <c r="U2101" s="25">
        <f t="shared" si="415"/>
        <v>0.20822965254214765</v>
      </c>
      <c r="X2101">
        <f t="shared" si="410"/>
        <v>0</v>
      </c>
      <c r="Y2101">
        <f t="shared" si="425"/>
        <v>0</v>
      </c>
      <c r="Z2101">
        <f t="shared" si="422"/>
        <v>0</v>
      </c>
      <c r="AA2101">
        <f t="shared" si="419"/>
        <v>0</v>
      </c>
      <c r="AB2101">
        <f t="shared" si="416"/>
        <v>0</v>
      </c>
    </row>
    <row r="2102" spans="1:28">
      <c r="A2102" s="27">
        <v>45488</v>
      </c>
      <c r="B2102" s="24">
        <v>1890.89</v>
      </c>
      <c r="C2102" s="25">
        <f t="shared" si="412"/>
        <v>4.7610697528601151E-3</v>
      </c>
      <c r="E2102" s="25">
        <f t="shared" si="408"/>
        <v>0.39243871366819594</v>
      </c>
      <c r="F2102" s="25">
        <f t="shared" si="423"/>
        <v>0.29555534097474667</v>
      </c>
      <c r="G2102" s="25">
        <f t="shared" si="420"/>
        <v>0.17757791575072912</v>
      </c>
      <c r="H2102" s="25">
        <f t="shared" si="417"/>
        <v>0.26859779854847443</v>
      </c>
      <c r="I2102" s="25">
        <f t="shared" si="414"/>
        <v>0.19989778682718473</v>
      </c>
      <c r="K2102" s="29">
        <v>45488</v>
      </c>
      <c r="L2102" s="24">
        <v>36542.559999999998</v>
      </c>
      <c r="M2102" s="25">
        <f t="shared" si="413"/>
        <v>4.9328782657809076E-3</v>
      </c>
      <c r="O2102" t="b">
        <f t="shared" si="411"/>
        <v>1</v>
      </c>
      <c r="Q2102" s="25">
        <f t="shared" si="409"/>
        <v>0.40867806713919985</v>
      </c>
      <c r="R2102" s="25">
        <f t="shared" si="424"/>
        <v>0.30532403474469483</v>
      </c>
      <c r="S2102" s="25">
        <f t="shared" si="421"/>
        <v>0.20568276489419191</v>
      </c>
      <c r="T2102" s="25">
        <f t="shared" si="418"/>
        <v>0.27873996329296569</v>
      </c>
      <c r="U2102" s="25">
        <f t="shared" si="415"/>
        <v>0.20963993074108012</v>
      </c>
      <c r="X2102">
        <f t="shared" si="410"/>
        <v>0</v>
      </c>
      <c r="Y2102">
        <f t="shared" si="425"/>
        <v>0</v>
      </c>
      <c r="Z2102">
        <f t="shared" si="422"/>
        <v>0</v>
      </c>
      <c r="AA2102">
        <f t="shared" si="419"/>
        <v>0</v>
      </c>
      <c r="AB2102">
        <f t="shared" si="416"/>
        <v>0</v>
      </c>
    </row>
    <row r="2103" spans="1:28">
      <c r="A2103" s="26">
        <v>45489</v>
      </c>
      <c r="B2103" s="23">
        <v>1894.17</v>
      </c>
      <c r="C2103" s="25">
        <f t="shared" si="412"/>
        <v>1.7346328977359722E-3</v>
      </c>
      <c r="E2103" s="25">
        <f t="shared" si="408"/>
        <v>0.39408413801224684</v>
      </c>
      <c r="F2103" s="25">
        <f t="shared" si="423"/>
        <v>0.30376889916384631</v>
      </c>
      <c r="G2103" s="25">
        <f t="shared" si="420"/>
        <v>0.17671582742843817</v>
      </c>
      <c r="H2103" s="25">
        <f t="shared" si="417"/>
        <v>0.26679434756955556</v>
      </c>
      <c r="I2103" s="25">
        <f t="shared" si="414"/>
        <v>0.20044328499610353</v>
      </c>
      <c r="K2103" s="28">
        <v>45489</v>
      </c>
      <c r="L2103" s="23">
        <v>36536.660000000003</v>
      </c>
      <c r="M2103" s="25">
        <f t="shared" si="413"/>
        <v>-1.6148164610542339E-4</v>
      </c>
      <c r="O2103" t="b">
        <f t="shared" si="411"/>
        <v>1</v>
      </c>
      <c r="Q2103" s="25">
        <f t="shared" si="409"/>
        <v>0.4098566244622841</v>
      </c>
      <c r="R2103" s="25">
        <f t="shared" si="424"/>
        <v>0.31029141590963238</v>
      </c>
      <c r="S2103" s="25">
        <f t="shared" si="421"/>
        <v>0.20380495993877057</v>
      </c>
      <c r="T2103" s="25">
        <f t="shared" si="418"/>
        <v>0.2762851052061297</v>
      </c>
      <c r="U2103" s="25">
        <f t="shared" si="415"/>
        <v>0.20928255306733567</v>
      </c>
      <c r="X2103">
        <f t="shared" si="410"/>
        <v>0</v>
      </c>
      <c r="Y2103">
        <f t="shared" si="425"/>
        <v>0</v>
      </c>
      <c r="Z2103">
        <f t="shared" si="422"/>
        <v>0</v>
      </c>
      <c r="AA2103">
        <f t="shared" si="419"/>
        <v>0</v>
      </c>
      <c r="AB2103">
        <f t="shared" si="416"/>
        <v>0</v>
      </c>
    </row>
    <row r="2104" spans="1:28">
      <c r="A2104" s="27">
        <v>45491</v>
      </c>
      <c r="B2104" s="24">
        <v>1902.44</v>
      </c>
      <c r="C2104" s="25">
        <f t="shared" si="412"/>
        <v>4.3660283923829335E-3</v>
      </c>
      <c r="E2104" s="25">
        <f t="shared" ref="E2104:E2167" si="426">(B2104/B1859)-1</f>
        <v>0.38437804718312929</v>
      </c>
      <c r="F2104" s="25">
        <f t="shared" si="423"/>
        <v>0.3084685133503493</v>
      </c>
      <c r="G2104" s="25">
        <f t="shared" si="420"/>
        <v>0.1781590528916408</v>
      </c>
      <c r="H2104" s="25">
        <f t="shared" si="417"/>
        <v>0.26932398822042702</v>
      </c>
      <c r="I2104" s="25">
        <f t="shared" si="414"/>
        <v>0.19974839172876369</v>
      </c>
      <c r="K2104" s="29">
        <v>45491</v>
      </c>
      <c r="L2104" s="24">
        <v>36546.199999999997</v>
      </c>
      <c r="M2104" s="25">
        <f t="shared" si="413"/>
        <v>2.6103945143390005E-4</v>
      </c>
      <c r="O2104" t="b">
        <f t="shared" si="411"/>
        <v>1</v>
      </c>
      <c r="Q2104" s="25">
        <f t="shared" ref="Q2104:Q2167" si="427">(L2104/L1859)-1</f>
        <v>0.39809166467100665</v>
      </c>
      <c r="R2104" s="25">
        <f t="shared" si="424"/>
        <v>0.31293816205103409</v>
      </c>
      <c r="S2104" s="25">
        <f t="shared" si="421"/>
        <v>0.20326202324477061</v>
      </c>
      <c r="T2104" s="25">
        <f t="shared" si="418"/>
        <v>0.27735306240783553</v>
      </c>
      <c r="U2104" s="25">
        <f t="shared" si="415"/>
        <v>0.20776544855674128</v>
      </c>
      <c r="X2104">
        <f t="shared" ref="X2104:X2167" si="428">IF(E2104&gt;Q2104,1,0)</f>
        <v>0</v>
      </c>
      <c r="Y2104">
        <f t="shared" si="425"/>
        <v>0</v>
      </c>
      <c r="Z2104">
        <f t="shared" si="422"/>
        <v>0</v>
      </c>
      <c r="AA2104">
        <f t="shared" si="419"/>
        <v>0</v>
      </c>
      <c r="AB2104">
        <f t="shared" si="416"/>
        <v>0</v>
      </c>
    </row>
    <row r="2105" spans="1:28">
      <c r="A2105" s="26">
        <v>45492</v>
      </c>
      <c r="B2105" s="23">
        <v>1878.17</v>
      </c>
      <c r="C2105" s="25">
        <f t="shared" si="412"/>
        <v>-1.2757301150101964E-2</v>
      </c>
      <c r="E2105" s="25">
        <f t="shared" si="426"/>
        <v>0.35842356123563412</v>
      </c>
      <c r="F2105" s="25">
        <f t="shared" si="423"/>
        <v>0.30072186939435697</v>
      </c>
      <c r="G2105" s="25">
        <f t="shared" si="420"/>
        <v>0.17616854231768064</v>
      </c>
      <c r="H2105" s="25">
        <f t="shared" si="417"/>
        <v>0.26841800752323342</v>
      </c>
      <c r="I2105" s="25">
        <f t="shared" si="414"/>
        <v>0.19568269844723774</v>
      </c>
      <c r="K2105" s="28">
        <v>45492</v>
      </c>
      <c r="L2105" s="23">
        <v>35989.82</v>
      </c>
      <c r="M2105" s="25">
        <f t="shared" si="413"/>
        <v>-1.545937156673741E-2</v>
      </c>
      <c r="O2105" t="b">
        <f t="shared" si="411"/>
        <v>1</v>
      </c>
      <c r="Q2105" s="25">
        <f t="shared" si="427"/>
        <v>0.36810129854332008</v>
      </c>
      <c r="R2105" s="25">
        <f t="shared" si="424"/>
        <v>0.30381869042338261</v>
      </c>
      <c r="S2105" s="25">
        <f t="shared" si="421"/>
        <v>0.20068260955367512</v>
      </c>
      <c r="T2105" s="25">
        <f t="shared" si="418"/>
        <v>0.27460833344037883</v>
      </c>
      <c r="U2105" s="25">
        <f t="shared" si="415"/>
        <v>0.20370930194433701</v>
      </c>
      <c r="X2105">
        <f t="shared" si="428"/>
        <v>0</v>
      </c>
      <c r="Y2105">
        <f t="shared" si="425"/>
        <v>0</v>
      </c>
      <c r="Z2105">
        <f t="shared" si="422"/>
        <v>0</v>
      </c>
      <c r="AA2105">
        <f t="shared" si="419"/>
        <v>0</v>
      </c>
      <c r="AB2105">
        <f t="shared" si="416"/>
        <v>0</v>
      </c>
    </row>
    <row r="2106" spans="1:28">
      <c r="A2106" s="27">
        <v>45495</v>
      </c>
      <c r="B2106" s="24">
        <v>1887.2</v>
      </c>
      <c r="C2106" s="25">
        <f t="shared" si="412"/>
        <v>4.8078714919309604E-3</v>
      </c>
      <c r="E2106" s="25">
        <f t="shared" si="426"/>
        <v>0.36470792415718156</v>
      </c>
      <c r="F2106" s="25">
        <f t="shared" si="423"/>
        <v>0.30234418307114019</v>
      </c>
      <c r="G2106" s="25">
        <f t="shared" si="420"/>
        <v>0.18327063761908957</v>
      </c>
      <c r="H2106" s="25">
        <f t="shared" si="417"/>
        <v>0.2660579235325673</v>
      </c>
      <c r="I2106" s="25">
        <f t="shared" si="414"/>
        <v>0.19927770620655205</v>
      </c>
      <c r="K2106" s="29">
        <v>45495</v>
      </c>
      <c r="L2106" s="24">
        <v>36130.29</v>
      </c>
      <c r="M2106" s="25">
        <f t="shared" si="413"/>
        <v>3.8878735819723883E-3</v>
      </c>
      <c r="O2106" t="b">
        <f t="shared" si="411"/>
        <v>1</v>
      </c>
      <c r="Q2106" s="25">
        <f t="shared" si="427"/>
        <v>0.37343897539918003</v>
      </c>
      <c r="R2106" s="25">
        <f t="shared" si="424"/>
        <v>0.30219247774200264</v>
      </c>
      <c r="S2106" s="25">
        <f t="shared" si="421"/>
        <v>0.2059104730565684</v>
      </c>
      <c r="T2106" s="25">
        <f t="shared" si="418"/>
        <v>0.27175117421686035</v>
      </c>
      <c r="U2106" s="25">
        <f t="shared" si="415"/>
        <v>0.20680695750062772</v>
      </c>
      <c r="X2106">
        <f t="shared" si="428"/>
        <v>0</v>
      </c>
      <c r="Y2106">
        <f t="shared" si="425"/>
        <v>1</v>
      </c>
      <c r="Z2106">
        <f t="shared" si="422"/>
        <v>0</v>
      </c>
      <c r="AA2106">
        <f t="shared" si="419"/>
        <v>0</v>
      </c>
      <c r="AB2106">
        <f t="shared" si="416"/>
        <v>0</v>
      </c>
    </row>
    <row r="2107" spans="1:28">
      <c r="A2107" s="26">
        <v>45496</v>
      </c>
      <c r="B2107" s="23">
        <v>1883.07</v>
      </c>
      <c r="C2107" s="25">
        <f t="shared" si="412"/>
        <v>-2.1884272997033218E-3</v>
      </c>
      <c r="E2107" s="25">
        <f t="shared" si="426"/>
        <v>0.35719691236567264</v>
      </c>
      <c r="F2107" s="25">
        <f t="shared" si="423"/>
        <v>0.29045318141300158</v>
      </c>
      <c r="G2107" s="25">
        <f t="shared" si="420"/>
        <v>0.17634187914527333</v>
      </c>
      <c r="H2107" s="25">
        <f t="shared" si="417"/>
        <v>0.26520538493710633</v>
      </c>
      <c r="I2107" s="25">
        <f t="shared" si="414"/>
        <v>0.20304333261239704</v>
      </c>
      <c r="K2107" s="28">
        <v>45496</v>
      </c>
      <c r="L2107" s="23">
        <v>36011.83</v>
      </c>
      <c r="M2107" s="25">
        <f t="shared" si="413"/>
        <v>-3.2894745976530244E-3</v>
      </c>
      <c r="O2107" t="b">
        <f t="shared" si="411"/>
        <v>1</v>
      </c>
      <c r="Q2107" s="25">
        <f t="shared" si="427"/>
        <v>0.36234593051518749</v>
      </c>
      <c r="R2107" s="25">
        <f t="shared" si="424"/>
        <v>0.29099767517378328</v>
      </c>
      <c r="S2107" s="25">
        <f t="shared" si="421"/>
        <v>0.19940748894005678</v>
      </c>
      <c r="T2107" s="25">
        <f t="shared" si="418"/>
        <v>0.2722917882853586</v>
      </c>
      <c r="U2107" s="25">
        <f t="shared" si="415"/>
        <v>0.20979198278219835</v>
      </c>
      <c r="X2107">
        <f t="shared" si="428"/>
        <v>0</v>
      </c>
      <c r="Y2107">
        <f t="shared" si="425"/>
        <v>0</v>
      </c>
      <c r="Z2107">
        <f t="shared" si="422"/>
        <v>0</v>
      </c>
      <c r="AA2107">
        <f t="shared" si="419"/>
        <v>0</v>
      </c>
      <c r="AB2107">
        <f t="shared" si="416"/>
        <v>0</v>
      </c>
    </row>
    <row r="2108" spans="1:28">
      <c r="A2108" s="27">
        <v>45497</v>
      </c>
      <c r="B2108" s="24">
        <v>1883.34</v>
      </c>
      <c r="C2108" s="25">
        <f t="shared" si="412"/>
        <v>1.433828800841083E-4</v>
      </c>
      <c r="E2108" s="25">
        <f t="shared" si="426"/>
        <v>0.35071324578829977</v>
      </c>
      <c r="F2108" s="25">
        <f t="shared" si="423"/>
        <v>0.28788336323343167</v>
      </c>
      <c r="G2108" s="25">
        <f t="shared" si="420"/>
        <v>0.17444869352624992</v>
      </c>
      <c r="H2108" s="25">
        <f t="shared" si="417"/>
        <v>0.26598782825803013</v>
      </c>
      <c r="I2108" s="25">
        <f t="shared" si="414"/>
        <v>0.20352591800883002</v>
      </c>
      <c r="K2108" s="29">
        <v>45497</v>
      </c>
      <c r="L2108" s="24">
        <v>36101.160000000003</v>
      </c>
      <c r="M2108" s="25">
        <f t="shared" si="413"/>
        <v>2.4744357245030835E-3</v>
      </c>
      <c r="O2108" t="b">
        <f t="shared" si="411"/>
        <v>1</v>
      </c>
      <c r="Q2108" s="25">
        <f t="shared" si="427"/>
        <v>0.35837836658180544</v>
      </c>
      <c r="R2108" s="25">
        <f t="shared" si="424"/>
        <v>0.28940444084719097</v>
      </c>
      <c r="S2108" s="25">
        <f t="shared" si="421"/>
        <v>0.19983242184113781</v>
      </c>
      <c r="T2108" s="25">
        <f t="shared" si="418"/>
        <v>0.27528516619311749</v>
      </c>
      <c r="U2108" s="25">
        <f t="shared" si="415"/>
        <v>0.21184287730914808</v>
      </c>
      <c r="X2108">
        <f t="shared" si="428"/>
        <v>0</v>
      </c>
      <c r="Y2108">
        <f t="shared" si="425"/>
        <v>0</v>
      </c>
      <c r="Z2108">
        <f t="shared" si="422"/>
        <v>0</v>
      </c>
      <c r="AA2108">
        <f t="shared" si="419"/>
        <v>0</v>
      </c>
      <c r="AB2108">
        <f t="shared" si="416"/>
        <v>0</v>
      </c>
    </row>
    <row r="2109" spans="1:28">
      <c r="A2109" s="26">
        <v>45498</v>
      </c>
      <c r="B2109" s="23">
        <v>1883.72</v>
      </c>
      <c r="C2109" s="25">
        <f t="shared" si="412"/>
        <v>2.0176919727723575E-4</v>
      </c>
      <c r="E2109" s="25">
        <f t="shared" si="426"/>
        <v>0.35837029024698031</v>
      </c>
      <c r="F2109" s="25">
        <f t="shared" si="423"/>
        <v>0.28481504329506113</v>
      </c>
      <c r="G2109" s="25">
        <f t="shared" si="420"/>
        <v>0.17439300586987105</v>
      </c>
      <c r="H2109" s="25">
        <f t="shared" si="417"/>
        <v>0.26609485632339647</v>
      </c>
      <c r="I2109" s="25">
        <f t="shared" si="414"/>
        <v>0.20440239865745502</v>
      </c>
      <c r="K2109" s="28">
        <v>45498</v>
      </c>
      <c r="L2109" s="23">
        <v>36094.83</v>
      </c>
      <c r="M2109" s="25">
        <f t="shared" si="413"/>
        <v>-1.7537137590069676E-4</v>
      </c>
      <c r="O2109" t="b">
        <f t="shared" si="411"/>
        <v>1</v>
      </c>
      <c r="Q2109" s="25">
        <f t="shared" si="427"/>
        <v>0.36910782073573745</v>
      </c>
      <c r="R2109" s="25">
        <f t="shared" si="424"/>
        <v>0.28413308577650476</v>
      </c>
      <c r="S2109" s="25">
        <f t="shared" si="421"/>
        <v>0.20010882379335593</v>
      </c>
      <c r="T2109" s="25">
        <f t="shared" si="418"/>
        <v>0.27508751630028017</v>
      </c>
      <c r="U2109" s="25">
        <f t="shared" si="415"/>
        <v>0.212149663712347</v>
      </c>
      <c r="X2109">
        <f t="shared" si="428"/>
        <v>0</v>
      </c>
      <c r="Y2109">
        <f t="shared" si="425"/>
        <v>1</v>
      </c>
      <c r="Z2109">
        <f t="shared" si="422"/>
        <v>0</v>
      </c>
      <c r="AA2109">
        <f t="shared" si="419"/>
        <v>0</v>
      </c>
      <c r="AB2109">
        <f t="shared" si="416"/>
        <v>0</v>
      </c>
    </row>
    <row r="2110" spans="1:28">
      <c r="A2110" s="27">
        <v>45499</v>
      </c>
      <c r="B2110" s="24">
        <v>1921.64</v>
      </c>
      <c r="C2110" s="25">
        <f t="shared" si="412"/>
        <v>2.0130380311298959E-2</v>
      </c>
      <c r="E2110" s="25">
        <f t="shared" si="426"/>
        <v>0.38885957748209421</v>
      </c>
      <c r="F2110" s="25">
        <f t="shared" si="423"/>
        <v>0.29274135865328366</v>
      </c>
      <c r="G2110" s="25">
        <f t="shared" si="420"/>
        <v>0.18566675190464776</v>
      </c>
      <c r="H2110" s="25">
        <f t="shared" si="417"/>
        <v>0.27556706030372013</v>
      </c>
      <c r="I2110" s="25">
        <f t="shared" si="414"/>
        <v>0.2115395698543896</v>
      </c>
      <c r="K2110" s="29">
        <v>45499</v>
      </c>
      <c r="L2110" s="24">
        <v>36686.769999999997</v>
      </c>
      <c r="M2110" s="25">
        <f t="shared" si="413"/>
        <v>1.6134971816815575E-2</v>
      </c>
      <c r="O2110" t="b">
        <f t="shared" si="411"/>
        <v>1</v>
      </c>
      <c r="Q2110" s="25">
        <f t="shared" si="427"/>
        <v>0.39478042345140629</v>
      </c>
      <c r="R2110" s="25">
        <f t="shared" si="424"/>
        <v>0.28944981927414037</v>
      </c>
      <c r="S2110" s="25">
        <f t="shared" si="421"/>
        <v>0.20850314941786019</v>
      </c>
      <c r="T2110" s="25">
        <f t="shared" si="418"/>
        <v>0.28396021778176284</v>
      </c>
      <c r="U2110" s="25">
        <f t="shared" si="415"/>
        <v>0.21794197705813345</v>
      </c>
      <c r="X2110">
        <f t="shared" si="428"/>
        <v>0</v>
      </c>
      <c r="Y2110">
        <f t="shared" si="425"/>
        <v>1</v>
      </c>
      <c r="Z2110">
        <f t="shared" si="422"/>
        <v>0</v>
      </c>
      <c r="AA2110">
        <f t="shared" si="419"/>
        <v>0</v>
      </c>
      <c r="AB2110">
        <f t="shared" si="416"/>
        <v>0</v>
      </c>
    </row>
    <row r="2111" spans="1:28">
      <c r="A2111" s="26">
        <v>45502</v>
      </c>
      <c r="B2111" s="23">
        <v>1927.64</v>
      </c>
      <c r="C2111" s="25">
        <f t="shared" si="412"/>
        <v>3.1223330072229966E-3</v>
      </c>
      <c r="E2111" s="25">
        <f t="shared" si="426"/>
        <v>0.39033221297404896</v>
      </c>
      <c r="F2111" s="25">
        <f t="shared" si="423"/>
        <v>0.29147133592658259</v>
      </c>
      <c r="G2111" s="25">
        <f t="shared" si="420"/>
        <v>0.18654280355711506</v>
      </c>
      <c r="H2111" s="25">
        <f t="shared" si="417"/>
        <v>0.27167995470033257</v>
      </c>
      <c r="I2111" s="25">
        <f t="shared" si="414"/>
        <v>0.21177877775727172</v>
      </c>
      <c r="K2111" s="28">
        <v>45502</v>
      </c>
      <c r="L2111" s="23">
        <v>36848.019999999997</v>
      </c>
      <c r="M2111" s="25">
        <f t="shared" si="413"/>
        <v>4.3760831653912478E-3</v>
      </c>
      <c r="O2111" t="b">
        <f t="shared" si="411"/>
        <v>1</v>
      </c>
      <c r="Q2111" s="25">
        <f t="shared" si="427"/>
        <v>0.39826992271724415</v>
      </c>
      <c r="R2111" s="25">
        <f t="shared" si="424"/>
        <v>0.2893535927093851</v>
      </c>
      <c r="S2111" s="25">
        <f t="shared" si="421"/>
        <v>0.21110395205991717</v>
      </c>
      <c r="T2111" s="25">
        <f t="shared" si="418"/>
        <v>0.28027586047542186</v>
      </c>
      <c r="U2111" s="25">
        <f t="shared" si="415"/>
        <v>0.21899454164738397</v>
      </c>
      <c r="X2111">
        <f t="shared" si="428"/>
        <v>0</v>
      </c>
      <c r="Y2111">
        <f t="shared" si="425"/>
        <v>1</v>
      </c>
      <c r="Z2111">
        <f t="shared" si="422"/>
        <v>0</v>
      </c>
      <c r="AA2111">
        <f t="shared" si="419"/>
        <v>0</v>
      </c>
      <c r="AB2111">
        <f t="shared" si="416"/>
        <v>0</v>
      </c>
    </row>
    <row r="2112" spans="1:28">
      <c r="A2112" s="27">
        <v>45503</v>
      </c>
      <c r="B2112" s="24">
        <v>1924.7</v>
      </c>
      <c r="C2112" s="25">
        <f t="shared" si="412"/>
        <v>-1.5251810504036305E-3</v>
      </c>
      <c r="E2112" s="25">
        <f t="shared" si="426"/>
        <v>0.3839792910045301</v>
      </c>
      <c r="F2112" s="25">
        <f t="shared" si="423"/>
        <v>0.2905419298475147</v>
      </c>
      <c r="G2112" s="25">
        <f t="shared" si="420"/>
        <v>0.18206272979214866</v>
      </c>
      <c r="H2112" s="25">
        <f t="shared" si="417"/>
        <v>0.2689412299287337</v>
      </c>
      <c r="I2112" s="25">
        <f t="shared" si="414"/>
        <v>0.20990061266556603</v>
      </c>
      <c r="K2112" s="29">
        <v>45503</v>
      </c>
      <c r="L2112" s="24">
        <v>36923.230000000003</v>
      </c>
      <c r="M2112" s="25">
        <f t="shared" si="413"/>
        <v>2.0369290552317986E-3</v>
      </c>
      <c r="O2112" t="b">
        <f t="shared" si="411"/>
        <v>1</v>
      </c>
      <c r="Q2112" s="25">
        <f t="shared" si="427"/>
        <v>0.39465251185464267</v>
      </c>
      <c r="R2112" s="25">
        <f t="shared" si="424"/>
        <v>0.29323823237457014</v>
      </c>
      <c r="S2112" s="25">
        <f t="shared" si="421"/>
        <v>0.20994254520249522</v>
      </c>
      <c r="T2112" s="25">
        <f t="shared" si="418"/>
        <v>0.28038193692420554</v>
      </c>
      <c r="U2112" s="25">
        <f t="shared" si="415"/>
        <v>0.21859936355845955</v>
      </c>
      <c r="X2112">
        <f t="shared" si="428"/>
        <v>0</v>
      </c>
      <c r="Y2112">
        <f t="shared" si="425"/>
        <v>0</v>
      </c>
      <c r="Z2112">
        <f t="shared" si="422"/>
        <v>0</v>
      </c>
      <c r="AA2112">
        <f t="shared" si="419"/>
        <v>0</v>
      </c>
      <c r="AB2112">
        <f t="shared" si="416"/>
        <v>0</v>
      </c>
    </row>
    <row r="2113" spans="1:28">
      <c r="A2113" s="26">
        <v>45504</v>
      </c>
      <c r="B2113" s="23">
        <v>1931.95</v>
      </c>
      <c r="C2113" s="25">
        <f t="shared" si="412"/>
        <v>3.7668208032420637E-3</v>
      </c>
      <c r="E2113" s="25">
        <f t="shared" si="426"/>
        <v>0.38995208426263006</v>
      </c>
      <c r="F2113" s="25">
        <f t="shared" si="423"/>
        <v>0.30057220396070528</v>
      </c>
      <c r="G2113" s="25">
        <f t="shared" si="420"/>
        <v>0.18308838721298004</v>
      </c>
      <c r="H2113" s="25">
        <f t="shared" si="417"/>
        <v>0.26731846991754327</v>
      </c>
      <c r="I2113" s="25">
        <f t="shared" si="414"/>
        <v>0.21282034733559496</v>
      </c>
      <c r="K2113" s="28">
        <v>45504</v>
      </c>
      <c r="L2113" s="23">
        <v>37066.080000000002</v>
      </c>
      <c r="M2113" s="25">
        <f t="shared" si="413"/>
        <v>3.8539279038948423E-3</v>
      </c>
      <c r="O2113" t="b">
        <f t="shared" si="411"/>
        <v>1</v>
      </c>
      <c r="Q2113" s="25">
        <f t="shared" si="427"/>
        <v>0.40454595059961918</v>
      </c>
      <c r="R2113" s="25">
        <f t="shared" si="424"/>
        <v>0.30203311608627015</v>
      </c>
      <c r="S2113" s="25">
        <f t="shared" si="421"/>
        <v>0.21089261225872669</v>
      </c>
      <c r="T2113" s="25">
        <f t="shared" si="418"/>
        <v>0.27874010696528662</v>
      </c>
      <c r="U2113" s="25">
        <f t="shared" si="415"/>
        <v>0.22175362718137048</v>
      </c>
      <c r="X2113">
        <f t="shared" si="428"/>
        <v>0</v>
      </c>
      <c r="Y2113">
        <f t="shared" si="425"/>
        <v>0</v>
      </c>
      <c r="Z2113">
        <f t="shared" si="422"/>
        <v>0</v>
      </c>
      <c r="AA2113">
        <f t="shared" si="419"/>
        <v>0</v>
      </c>
      <c r="AB2113">
        <f t="shared" si="416"/>
        <v>0</v>
      </c>
    </row>
    <row r="2114" spans="1:28">
      <c r="A2114" s="27">
        <v>45505</v>
      </c>
      <c r="B2114" s="24">
        <v>1926.75</v>
      </c>
      <c r="C2114" s="25">
        <f t="shared" si="412"/>
        <v>-2.6915810450581254E-3</v>
      </c>
      <c r="E2114" s="25">
        <f t="shared" si="426"/>
        <v>0.38373203679897716</v>
      </c>
      <c r="F2114" s="25">
        <f t="shared" si="423"/>
        <v>0.29312709016495186</v>
      </c>
      <c r="G2114" s="25">
        <f t="shared" si="420"/>
        <v>0.17979866389774557</v>
      </c>
      <c r="H2114" s="25">
        <f t="shared" si="417"/>
        <v>0.26539753827311996</v>
      </c>
      <c r="I2114" s="25">
        <f t="shared" si="414"/>
        <v>0.21564080938148122</v>
      </c>
      <c r="K2114" s="29">
        <v>45505</v>
      </c>
      <c r="L2114" s="24">
        <v>37029.53</v>
      </c>
      <c r="M2114" s="25">
        <f t="shared" si="413"/>
        <v>-9.8705006517778955E-4</v>
      </c>
      <c r="O2114" t="b">
        <f t="shared" si="411"/>
        <v>1</v>
      </c>
      <c r="Q2114" s="25">
        <f t="shared" si="427"/>
        <v>0.40051755132112876</v>
      </c>
      <c r="R2114" s="25">
        <f t="shared" si="424"/>
        <v>0.29578684184901816</v>
      </c>
      <c r="S2114" s="25">
        <f t="shared" si="421"/>
        <v>0.20696674663433035</v>
      </c>
      <c r="T2114" s="25">
        <f t="shared" si="418"/>
        <v>0.27739626371181858</v>
      </c>
      <c r="U2114" s="25">
        <f t="shared" si="415"/>
        <v>0.224337843006432</v>
      </c>
      <c r="X2114">
        <f t="shared" si="428"/>
        <v>0</v>
      </c>
      <c r="Y2114">
        <f t="shared" si="425"/>
        <v>0</v>
      </c>
      <c r="Z2114">
        <f t="shared" si="422"/>
        <v>0</v>
      </c>
      <c r="AA2114">
        <f t="shared" si="419"/>
        <v>0</v>
      </c>
      <c r="AB2114">
        <f t="shared" si="416"/>
        <v>0</v>
      </c>
    </row>
    <row r="2115" spans="1:28">
      <c r="A2115" s="26">
        <v>45506</v>
      </c>
      <c r="B2115" s="23">
        <v>1905.84</v>
      </c>
      <c r="C2115" s="25">
        <f t="shared" si="412"/>
        <v>-1.0852471778902339E-2</v>
      </c>
      <c r="E2115" s="25">
        <f t="shared" si="426"/>
        <v>0.36008049840501832</v>
      </c>
      <c r="F2115" s="25">
        <f t="shared" si="423"/>
        <v>0.27710070267455733</v>
      </c>
      <c r="G2115" s="25">
        <f t="shared" si="420"/>
        <v>0.17228025549325299</v>
      </c>
      <c r="H2115" s="25">
        <f t="shared" si="417"/>
        <v>0.25848135927651583</v>
      </c>
      <c r="I2115" s="25">
        <f t="shared" si="414"/>
        <v>0.21104470099406569</v>
      </c>
      <c r="K2115" s="28">
        <v>45506</v>
      </c>
      <c r="L2115" s="23">
        <v>36647.21</v>
      </c>
      <c r="M2115" s="25">
        <f t="shared" si="413"/>
        <v>-1.0432444925548214E-2</v>
      </c>
      <c r="O2115" t="b">
        <f t="shared" ref="O2115:O2178" si="429">K2115=A2115</f>
        <v>1</v>
      </c>
      <c r="Q2115" s="25">
        <f t="shared" si="427"/>
        <v>0.37706650854560175</v>
      </c>
      <c r="R2115" s="25">
        <f t="shared" si="424"/>
        <v>0.27981010779746796</v>
      </c>
      <c r="S2115" s="25">
        <f t="shared" si="421"/>
        <v>0.19830573161184861</v>
      </c>
      <c r="T2115" s="25">
        <f t="shared" si="418"/>
        <v>0.27167590167236644</v>
      </c>
      <c r="U2115" s="25">
        <f t="shared" si="415"/>
        <v>0.22067304540040111</v>
      </c>
      <c r="X2115">
        <f t="shared" si="428"/>
        <v>0</v>
      </c>
      <c r="Y2115">
        <f t="shared" si="425"/>
        <v>0</v>
      </c>
      <c r="Z2115">
        <f t="shared" si="422"/>
        <v>0</v>
      </c>
      <c r="AA2115">
        <f t="shared" si="419"/>
        <v>0</v>
      </c>
      <c r="AB2115">
        <f t="shared" si="416"/>
        <v>0</v>
      </c>
    </row>
    <row r="2116" spans="1:28">
      <c r="A2116" s="27">
        <v>45509</v>
      </c>
      <c r="B2116" s="24">
        <v>1855.91</v>
      </c>
      <c r="C2116" s="25">
        <f t="shared" ref="C2116:C2179" si="430">(B2116-B2115)/B2115</f>
        <v>-2.6198421693321493E-2</v>
      </c>
      <c r="E2116" s="25">
        <f t="shared" si="426"/>
        <v>0.32180731729899525</v>
      </c>
      <c r="F2116" s="25">
        <f t="shared" si="423"/>
        <v>0.25231766985015169</v>
      </c>
      <c r="G2116" s="25">
        <f t="shared" si="420"/>
        <v>0.16166099585625027</v>
      </c>
      <c r="H2116" s="25">
        <f t="shared" si="417"/>
        <v>0.25092283695167161</v>
      </c>
      <c r="I2116" s="25">
        <f t="shared" si="414"/>
        <v>0.2080423935314859</v>
      </c>
      <c r="K2116" s="29">
        <v>45509</v>
      </c>
      <c r="L2116" s="24">
        <v>35519.5</v>
      </c>
      <c r="M2116" s="25">
        <f t="shared" ref="M2116:M2179" si="431">(L2116-L2115)/L2116</f>
        <v>-3.1749039260124692E-2</v>
      </c>
      <c r="O2116" t="b">
        <f t="shared" si="429"/>
        <v>1</v>
      </c>
      <c r="Q2116" s="25">
        <f t="shared" si="427"/>
        <v>0.33528641770542533</v>
      </c>
      <c r="R2116" s="25">
        <f t="shared" si="424"/>
        <v>0.25149255264430548</v>
      </c>
      <c r="S2116" s="25">
        <f t="shared" si="421"/>
        <v>0.18502495260478047</v>
      </c>
      <c r="T2116" s="25">
        <f t="shared" si="418"/>
        <v>0.26101528729114265</v>
      </c>
      <c r="U2116" s="25">
        <f t="shared" si="415"/>
        <v>0.2159579463680652</v>
      </c>
      <c r="X2116">
        <f t="shared" si="428"/>
        <v>0</v>
      </c>
      <c r="Y2116">
        <f t="shared" si="425"/>
        <v>1</v>
      </c>
      <c r="Z2116">
        <f t="shared" si="422"/>
        <v>0</v>
      </c>
      <c r="AA2116">
        <f t="shared" si="419"/>
        <v>0</v>
      </c>
      <c r="AB2116">
        <f t="shared" si="416"/>
        <v>0</v>
      </c>
    </row>
    <row r="2117" spans="1:28">
      <c r="A2117" s="26">
        <v>45510</v>
      </c>
      <c r="B2117" s="23">
        <v>1848.34</v>
      </c>
      <c r="C2117" s="25">
        <f t="shared" si="430"/>
        <v>-4.078861582727699E-3</v>
      </c>
      <c r="E2117" s="25">
        <f t="shared" si="426"/>
        <v>0.33538034722172028</v>
      </c>
      <c r="F2117" s="25">
        <f t="shared" si="423"/>
        <v>0.24372204781622497</v>
      </c>
      <c r="G2117" s="25">
        <f t="shared" si="420"/>
        <v>0.1596225123196171</v>
      </c>
      <c r="H2117" s="25">
        <f t="shared" si="417"/>
        <v>0.24913882224664086</v>
      </c>
      <c r="I2117" s="25">
        <f t="shared" si="414"/>
        <v>0.20746400109097229</v>
      </c>
      <c r="K2117" s="28">
        <v>45510</v>
      </c>
      <c r="L2117" s="23">
        <v>35364.14</v>
      </c>
      <c r="M2117" s="25">
        <f t="shared" si="431"/>
        <v>-4.3931508019140458E-3</v>
      </c>
      <c r="O2117" t="b">
        <f t="shared" si="429"/>
        <v>1</v>
      </c>
      <c r="Q2117" s="25">
        <f t="shared" si="427"/>
        <v>0.34422703830294488</v>
      </c>
      <c r="R2117" s="25">
        <f t="shared" si="424"/>
        <v>0.24105322393974671</v>
      </c>
      <c r="S2117" s="25">
        <f t="shared" si="421"/>
        <v>0.18290115297758613</v>
      </c>
      <c r="T2117" s="25">
        <f t="shared" si="418"/>
        <v>0.25984404086665003</v>
      </c>
      <c r="U2117" s="25">
        <f t="shared" si="415"/>
        <v>0.21458148361423968</v>
      </c>
      <c r="X2117">
        <f t="shared" si="428"/>
        <v>0</v>
      </c>
      <c r="Y2117">
        <f t="shared" si="425"/>
        <v>1</v>
      </c>
      <c r="Z2117">
        <f t="shared" si="422"/>
        <v>0</v>
      </c>
      <c r="AA2117">
        <f t="shared" si="419"/>
        <v>0</v>
      </c>
      <c r="AB2117">
        <f t="shared" si="416"/>
        <v>0</v>
      </c>
    </row>
    <row r="2118" spans="1:28">
      <c r="A2118" s="27">
        <v>45511</v>
      </c>
      <c r="B2118" s="24">
        <v>1878.62</v>
      </c>
      <c r="C2118" s="25">
        <f t="shared" si="430"/>
        <v>1.6382267331767952E-2</v>
      </c>
      <c r="E2118" s="25">
        <f t="shared" si="426"/>
        <v>0.36476041031005724</v>
      </c>
      <c r="F2118" s="25">
        <f t="shared" si="423"/>
        <v>0.25475579098222778</v>
      </c>
      <c r="G2118" s="25">
        <f t="shared" si="420"/>
        <v>0.1666100229647518</v>
      </c>
      <c r="H2118" s="25">
        <f t="shared" si="417"/>
        <v>0.25301225999160648</v>
      </c>
      <c r="I2118" s="25">
        <f t="shared" si="414"/>
        <v>0.21417232461445179</v>
      </c>
      <c r="K2118" s="29">
        <v>45511</v>
      </c>
      <c r="L2118" s="24">
        <v>36012.32</v>
      </c>
      <c r="M2118" s="25">
        <f t="shared" si="431"/>
        <v>1.7998840396841978E-2</v>
      </c>
      <c r="O2118" t="b">
        <f t="shared" si="429"/>
        <v>1</v>
      </c>
      <c r="Q2118" s="25">
        <f t="shared" si="427"/>
        <v>0.37572477803016247</v>
      </c>
      <c r="R2118" s="25">
        <f t="shared" si="424"/>
        <v>0.25106367706387389</v>
      </c>
      <c r="S2118" s="25">
        <f t="shared" si="421"/>
        <v>0.19084445430664365</v>
      </c>
      <c r="T2118" s="25">
        <f t="shared" si="418"/>
        <v>0.26468956826272017</v>
      </c>
      <c r="U2118" s="25">
        <f t="shared" si="415"/>
        <v>0.22207193353735</v>
      </c>
      <c r="X2118">
        <f t="shared" si="428"/>
        <v>0</v>
      </c>
      <c r="Y2118">
        <f t="shared" si="425"/>
        <v>1</v>
      </c>
      <c r="Z2118">
        <f t="shared" si="422"/>
        <v>0</v>
      </c>
      <c r="AA2118">
        <f t="shared" si="419"/>
        <v>0</v>
      </c>
      <c r="AB2118">
        <f t="shared" si="416"/>
        <v>0</v>
      </c>
    </row>
    <row r="2119" spans="1:28">
      <c r="A2119" s="26">
        <v>45512</v>
      </c>
      <c r="B2119" s="23">
        <v>1866.84</v>
      </c>
      <c r="C2119" s="25">
        <f t="shared" si="430"/>
        <v>-6.2705603049046498E-3</v>
      </c>
      <c r="E2119" s="25">
        <f t="shared" si="426"/>
        <v>0.34633386460504401</v>
      </c>
      <c r="F2119" s="25">
        <f t="shared" si="423"/>
        <v>0.25023944387621744</v>
      </c>
      <c r="G2119" s="25">
        <f t="shared" si="420"/>
        <v>0.16506320895501414</v>
      </c>
      <c r="H2119" s="25">
        <f t="shared" si="417"/>
        <v>0.25443550792945291</v>
      </c>
      <c r="I2119" s="25">
        <f t="shared" si="414"/>
        <v>0.20905995845154535</v>
      </c>
      <c r="K2119" s="28">
        <v>45512</v>
      </c>
      <c r="L2119" s="23">
        <v>35786.639999999999</v>
      </c>
      <c r="M2119" s="25">
        <f t="shared" si="431"/>
        <v>-6.306264013609556E-3</v>
      </c>
      <c r="O2119" t="b">
        <f t="shared" si="429"/>
        <v>1</v>
      </c>
      <c r="Q2119" s="25">
        <f t="shared" si="427"/>
        <v>0.35746013153312961</v>
      </c>
      <c r="R2119" s="25">
        <f t="shared" si="424"/>
        <v>0.24703043136410163</v>
      </c>
      <c r="S2119" s="25">
        <f t="shared" si="421"/>
        <v>0.18888414300953449</v>
      </c>
      <c r="T2119" s="25">
        <f t="shared" si="418"/>
        <v>0.26589102264575715</v>
      </c>
      <c r="U2119" s="25">
        <f t="shared" si="415"/>
        <v>0.21815294783357286</v>
      </c>
      <c r="X2119">
        <f t="shared" si="428"/>
        <v>0</v>
      </c>
      <c r="Y2119">
        <f t="shared" si="425"/>
        <v>1</v>
      </c>
      <c r="Z2119">
        <f t="shared" si="422"/>
        <v>0</v>
      </c>
      <c r="AA2119">
        <f t="shared" si="419"/>
        <v>0</v>
      </c>
      <c r="AB2119">
        <f t="shared" si="416"/>
        <v>0</v>
      </c>
    </row>
    <row r="2120" spans="1:28">
      <c r="A2120" s="27">
        <v>45513</v>
      </c>
      <c r="B2120" s="24">
        <v>1882.08</v>
      </c>
      <c r="C2120" s="25">
        <f t="shared" si="430"/>
        <v>8.1635276724304224E-3</v>
      </c>
      <c r="E2120" s="25">
        <f t="shared" si="426"/>
        <v>0.35253535701966188</v>
      </c>
      <c r="F2120" s="25">
        <f t="shared" si="423"/>
        <v>0.25364865436953288</v>
      </c>
      <c r="G2120" s="25">
        <f t="shared" si="420"/>
        <v>0.1693354433982881</v>
      </c>
      <c r="H2120" s="25">
        <f t="shared" si="417"/>
        <v>0.25631350567512645</v>
      </c>
      <c r="I2120" s="25">
        <f t="shared" si="414"/>
        <v>0.21252817850791472</v>
      </c>
      <c r="K2120" s="29">
        <v>45513</v>
      </c>
      <c r="L2120" s="24">
        <v>36133.360000000001</v>
      </c>
      <c r="M2120" s="25">
        <f t="shared" si="431"/>
        <v>9.5955648741218955E-3</v>
      </c>
      <c r="O2120" t="b">
        <f t="shared" si="429"/>
        <v>1</v>
      </c>
      <c r="Q2120" s="25">
        <f t="shared" si="427"/>
        <v>0.36529687439189873</v>
      </c>
      <c r="R2120" s="25">
        <f t="shared" si="424"/>
        <v>0.25242267495120374</v>
      </c>
      <c r="S2120" s="25">
        <f t="shared" si="421"/>
        <v>0.19391207463761306</v>
      </c>
      <c r="T2120" s="25">
        <f t="shared" si="418"/>
        <v>0.26710527527571681</v>
      </c>
      <c r="U2120" s="25">
        <f t="shared" si="415"/>
        <v>0.22225798563684251</v>
      </c>
      <c r="X2120">
        <f t="shared" si="428"/>
        <v>0</v>
      </c>
      <c r="Y2120">
        <f t="shared" si="425"/>
        <v>1</v>
      </c>
      <c r="Z2120">
        <f t="shared" si="422"/>
        <v>0</v>
      </c>
      <c r="AA2120">
        <f t="shared" si="419"/>
        <v>0</v>
      </c>
      <c r="AB2120">
        <f t="shared" si="416"/>
        <v>0</v>
      </c>
    </row>
    <row r="2121" spans="1:28">
      <c r="A2121" s="26">
        <v>45516</v>
      </c>
      <c r="B2121" s="23">
        <v>1881.87</v>
      </c>
      <c r="C2121" s="25">
        <f t="shared" si="430"/>
        <v>-1.1157867890846106E-4</v>
      </c>
      <c r="E2121" s="25">
        <f t="shared" si="426"/>
        <v>0.35121919696708592</v>
      </c>
      <c r="F2121" s="25">
        <f t="shared" si="423"/>
        <v>0.25183419851675337</v>
      </c>
      <c r="G2121" s="25">
        <f t="shared" si="420"/>
        <v>0.1699582538426192</v>
      </c>
      <c r="H2121" s="25">
        <f t="shared" si="417"/>
        <v>0.25198790881937172</v>
      </c>
      <c r="I2121" s="25">
        <f t="shared" si="414"/>
        <v>0.20955100027714124</v>
      </c>
      <c r="K2121" s="28">
        <v>45516</v>
      </c>
      <c r="L2121" s="23">
        <v>36135.49</v>
      </c>
      <c r="M2121" s="25">
        <f t="shared" si="431"/>
        <v>5.8944821282273488E-5</v>
      </c>
      <c r="O2121" t="b">
        <f t="shared" si="429"/>
        <v>1</v>
      </c>
      <c r="Q2121" s="25">
        <f t="shared" si="427"/>
        <v>0.36594199200669197</v>
      </c>
      <c r="R2121" s="25">
        <f t="shared" si="424"/>
        <v>0.25212426194820692</v>
      </c>
      <c r="S2121" s="25">
        <f t="shared" si="421"/>
        <v>0.19438235638532819</v>
      </c>
      <c r="T2121" s="25">
        <f t="shared" si="418"/>
        <v>0.26324854400006203</v>
      </c>
      <c r="U2121" s="25">
        <f t="shared" si="415"/>
        <v>0.21879770274733779</v>
      </c>
      <c r="X2121">
        <f t="shared" si="428"/>
        <v>0</v>
      </c>
      <c r="Y2121">
        <f t="shared" si="425"/>
        <v>0</v>
      </c>
      <c r="Z2121">
        <f t="shared" si="422"/>
        <v>0</v>
      </c>
      <c r="AA2121">
        <f t="shared" si="419"/>
        <v>0</v>
      </c>
      <c r="AB2121">
        <f t="shared" si="416"/>
        <v>0</v>
      </c>
    </row>
    <row r="2122" spans="1:28">
      <c r="A2122" s="27">
        <v>45517</v>
      </c>
      <c r="B2122" s="24">
        <v>1869.01</v>
      </c>
      <c r="C2122" s="25">
        <f t="shared" si="430"/>
        <v>-6.833628252748543E-3</v>
      </c>
      <c r="E2122" s="25">
        <f t="shared" si="426"/>
        <v>0.33731879391519626</v>
      </c>
      <c r="F2122" s="25">
        <f t="shared" si="423"/>
        <v>0.24418174149408323</v>
      </c>
      <c r="G2122" s="25">
        <f t="shared" si="420"/>
        <v>0.1641715053164019</v>
      </c>
      <c r="H2122" s="25">
        <f t="shared" si="417"/>
        <v>0.24825754102871955</v>
      </c>
      <c r="I2122" s="25">
        <f t="shared" si="414"/>
        <v>0.20648910413940613</v>
      </c>
      <c r="K2122" s="29">
        <v>45517</v>
      </c>
      <c r="L2122" s="24">
        <v>35804.660000000003</v>
      </c>
      <c r="M2122" s="25">
        <f t="shared" si="431"/>
        <v>-9.2398587223002388E-3</v>
      </c>
      <c r="O2122" t="b">
        <f t="shared" si="429"/>
        <v>1</v>
      </c>
      <c r="Q2122" s="25">
        <f t="shared" si="427"/>
        <v>0.34851584638863242</v>
      </c>
      <c r="R2122" s="25">
        <f t="shared" si="424"/>
        <v>0.2422987990010832</v>
      </c>
      <c r="S2122" s="25">
        <f t="shared" si="421"/>
        <v>0.18797608952220135</v>
      </c>
      <c r="T2122" s="25">
        <f t="shared" si="418"/>
        <v>0.25930264264185254</v>
      </c>
      <c r="U2122" s="25">
        <f t="shared" si="415"/>
        <v>0.21475102713455696</v>
      </c>
      <c r="X2122">
        <f t="shared" si="428"/>
        <v>0</v>
      </c>
      <c r="Y2122">
        <f t="shared" si="425"/>
        <v>1</v>
      </c>
      <c r="Z2122">
        <f t="shared" si="422"/>
        <v>0</v>
      </c>
      <c r="AA2122">
        <f t="shared" si="419"/>
        <v>0</v>
      </c>
      <c r="AB2122">
        <f t="shared" si="416"/>
        <v>0</v>
      </c>
    </row>
    <row r="2123" spans="1:28">
      <c r="A2123" s="26">
        <v>45518</v>
      </c>
      <c r="B2123" s="23">
        <v>1871.34</v>
      </c>
      <c r="C2123" s="25">
        <f t="shared" si="430"/>
        <v>1.246649295616357E-3</v>
      </c>
      <c r="E2123" s="25">
        <f t="shared" si="426"/>
        <v>0.34497182612695498</v>
      </c>
      <c r="F2123" s="25">
        <f t="shared" si="423"/>
        <v>0.24371638312233279</v>
      </c>
      <c r="G2123" s="25">
        <f t="shared" si="420"/>
        <v>0.16244476408824271</v>
      </c>
      <c r="H2123" s="25">
        <f t="shared" si="417"/>
        <v>0.24982510379222478</v>
      </c>
      <c r="I2123" s="25">
        <f t="shared" si="414"/>
        <v>0.21224384022589415</v>
      </c>
      <c r="K2123" s="28">
        <v>45518</v>
      </c>
      <c r="L2123" s="23">
        <v>35754.300000000003</v>
      </c>
      <c r="M2123" s="25">
        <f t="shared" si="431"/>
        <v>-1.4085019144550607E-3</v>
      </c>
      <c r="O2123" t="b">
        <f t="shared" si="429"/>
        <v>1</v>
      </c>
      <c r="Q2123" s="25">
        <f t="shared" si="427"/>
        <v>0.35169476467461558</v>
      </c>
      <c r="R2123" s="25">
        <f t="shared" si="424"/>
        <v>0.24164615404320178</v>
      </c>
      <c r="S2123" s="25">
        <f t="shared" si="421"/>
        <v>0.18477789493539309</v>
      </c>
      <c r="T2123" s="25">
        <f t="shared" si="418"/>
        <v>0.26032279777519185</v>
      </c>
      <c r="U2123" s="25">
        <f t="shared" si="415"/>
        <v>0.21860844003334501</v>
      </c>
      <c r="X2123">
        <f t="shared" si="428"/>
        <v>0</v>
      </c>
      <c r="Y2123">
        <f t="shared" si="425"/>
        <v>1</v>
      </c>
      <c r="Z2123">
        <f t="shared" si="422"/>
        <v>0</v>
      </c>
      <c r="AA2123">
        <f t="shared" si="419"/>
        <v>0</v>
      </c>
      <c r="AB2123">
        <f t="shared" si="416"/>
        <v>0</v>
      </c>
    </row>
    <row r="2124" spans="1:28">
      <c r="A2124" s="27">
        <v>45520</v>
      </c>
      <c r="B2124" s="24">
        <v>1903.47</v>
      </c>
      <c r="C2124" s="25">
        <f t="shared" si="430"/>
        <v>1.7169514893071336E-2</v>
      </c>
      <c r="E2124" s="25">
        <f t="shared" si="426"/>
        <v>0.37330543631182134</v>
      </c>
      <c r="F2124" s="25">
        <f t="shared" si="423"/>
        <v>0.24950817929935654</v>
      </c>
      <c r="G2124" s="25">
        <f t="shared" si="420"/>
        <v>0.16938392650096867</v>
      </c>
      <c r="H2124" s="25">
        <f t="shared" si="417"/>
        <v>0.25364225598568435</v>
      </c>
      <c r="I2124" s="25">
        <f t="shared" si="414"/>
        <v>0.21358314195464057</v>
      </c>
      <c r="K2124" s="29">
        <v>45520</v>
      </c>
      <c r="L2124" s="24">
        <v>36365.97</v>
      </c>
      <c r="M2124" s="25">
        <f t="shared" si="431"/>
        <v>1.6819845586409445E-2</v>
      </c>
      <c r="O2124" t="b">
        <f t="shared" si="429"/>
        <v>1</v>
      </c>
      <c r="Q2124" s="25">
        <f t="shared" si="427"/>
        <v>0.38085318616776287</v>
      </c>
      <c r="R2124" s="25">
        <f t="shared" si="424"/>
        <v>0.24745483052955919</v>
      </c>
      <c r="S2124" s="25">
        <f t="shared" si="421"/>
        <v>0.191341377155964</v>
      </c>
      <c r="T2124" s="25">
        <f t="shared" si="418"/>
        <v>0.26382432772504294</v>
      </c>
      <c r="U2124" s="25">
        <f t="shared" si="415"/>
        <v>0.22046733704484267</v>
      </c>
      <c r="X2124">
        <f t="shared" si="428"/>
        <v>0</v>
      </c>
      <c r="Y2124">
        <f t="shared" si="425"/>
        <v>1</v>
      </c>
      <c r="Z2124">
        <f t="shared" si="422"/>
        <v>0</v>
      </c>
      <c r="AA2124">
        <f t="shared" si="419"/>
        <v>0</v>
      </c>
      <c r="AB2124">
        <f t="shared" si="416"/>
        <v>0</v>
      </c>
    </row>
    <row r="2125" spans="1:28">
      <c r="A2125" s="26">
        <v>45523</v>
      </c>
      <c r="B2125" s="23">
        <v>1904.15</v>
      </c>
      <c r="C2125" s="25">
        <f t="shared" si="430"/>
        <v>3.5724229958973016E-4</v>
      </c>
      <c r="E2125" s="25">
        <f t="shared" si="426"/>
        <v>0.37725395459181099</v>
      </c>
      <c r="F2125" s="25">
        <f t="shared" si="423"/>
        <v>0.24899907493160311</v>
      </c>
      <c r="G2125" s="25">
        <f t="shared" si="420"/>
        <v>0.16804333345954348</v>
      </c>
      <c r="H2125" s="25">
        <f t="shared" si="417"/>
        <v>0.25108007246809372</v>
      </c>
      <c r="I2125" s="25">
        <f t="shared" si="414"/>
        <v>0.21322386894123513</v>
      </c>
      <c r="K2125" s="28">
        <v>45523</v>
      </c>
      <c r="L2125" s="23">
        <v>36503.86</v>
      </c>
      <c r="M2125" s="25">
        <f t="shared" si="431"/>
        <v>3.7774087452669227E-3</v>
      </c>
      <c r="O2125" t="b">
        <f t="shared" si="429"/>
        <v>1</v>
      </c>
      <c r="Q2125" s="25">
        <f t="shared" si="427"/>
        <v>0.38876097575822133</v>
      </c>
      <c r="R2125" s="25">
        <f t="shared" si="424"/>
        <v>0.24792067073783608</v>
      </c>
      <c r="S2125" s="25">
        <f t="shared" si="421"/>
        <v>0.19162957277347537</v>
      </c>
      <c r="T2125" s="25">
        <f t="shared" si="418"/>
        <v>0.26252372271905222</v>
      </c>
      <c r="U2125" s="25">
        <f t="shared" si="415"/>
        <v>0.22089967855017423</v>
      </c>
      <c r="X2125">
        <f t="shared" si="428"/>
        <v>0</v>
      </c>
      <c r="Y2125">
        <f t="shared" si="425"/>
        <v>1</v>
      </c>
      <c r="Z2125">
        <f t="shared" si="422"/>
        <v>0</v>
      </c>
      <c r="AA2125">
        <f t="shared" si="419"/>
        <v>0</v>
      </c>
      <c r="AB2125">
        <f t="shared" si="416"/>
        <v>0</v>
      </c>
    </row>
    <row r="2126" spans="1:28">
      <c r="A2126" s="27">
        <v>45524</v>
      </c>
      <c r="B2126" s="24">
        <v>1917.4</v>
      </c>
      <c r="C2126" s="25">
        <f t="shared" si="430"/>
        <v>6.9584854134390672E-3</v>
      </c>
      <c r="E2126" s="25">
        <f t="shared" si="426"/>
        <v>0.38822319883578649</v>
      </c>
      <c r="F2126" s="25">
        <f t="shared" si="423"/>
        <v>0.2502476011245609</v>
      </c>
      <c r="G2126" s="25">
        <f t="shared" si="420"/>
        <v>0.17069409286705706</v>
      </c>
      <c r="H2126" s="25">
        <f t="shared" si="417"/>
        <v>0.25278365669501124</v>
      </c>
      <c r="I2126" s="25">
        <f t="shared" si="414"/>
        <v>0.21445533023473562</v>
      </c>
      <c r="K2126" s="29">
        <v>45524</v>
      </c>
      <c r="L2126" s="24">
        <v>36726.550000000003</v>
      </c>
      <c r="M2126" s="25">
        <f t="shared" si="431"/>
        <v>6.0634609022628674E-3</v>
      </c>
      <c r="O2126" t="b">
        <f t="shared" si="429"/>
        <v>1</v>
      </c>
      <c r="Q2126" s="25">
        <f t="shared" si="427"/>
        <v>0.39495316041835071</v>
      </c>
      <c r="R2126" s="25">
        <f t="shared" si="424"/>
        <v>0.24597759200700464</v>
      </c>
      <c r="S2126" s="25">
        <f t="shared" si="421"/>
        <v>0.19452937322561326</v>
      </c>
      <c r="T2126" s="25">
        <f t="shared" si="418"/>
        <v>0.26408249354219859</v>
      </c>
      <c r="U2126" s="25">
        <f t="shared" si="415"/>
        <v>0.2220757781641205</v>
      </c>
      <c r="X2126">
        <f t="shared" si="428"/>
        <v>0</v>
      </c>
      <c r="Y2126">
        <f t="shared" si="425"/>
        <v>1</v>
      </c>
      <c r="Z2126">
        <f t="shared" si="422"/>
        <v>0</v>
      </c>
      <c r="AA2126">
        <f t="shared" si="419"/>
        <v>0</v>
      </c>
      <c r="AB2126">
        <f t="shared" si="416"/>
        <v>0</v>
      </c>
    </row>
    <row r="2127" spans="1:28">
      <c r="A2127" s="26">
        <v>45525</v>
      </c>
      <c r="B2127" s="23">
        <v>1927.01</v>
      </c>
      <c r="C2127" s="25">
        <f t="shared" si="430"/>
        <v>5.0119954104516007E-3</v>
      </c>
      <c r="E2127" s="25">
        <f t="shared" si="426"/>
        <v>0.3986543374753222</v>
      </c>
      <c r="F2127" s="25">
        <f t="shared" si="423"/>
        <v>0.24802643286333592</v>
      </c>
      <c r="G2127" s="25">
        <f t="shared" si="420"/>
        <v>0.17945645828115042</v>
      </c>
      <c r="H2127" s="25">
        <f t="shared" si="417"/>
        <v>0.25318087017148816</v>
      </c>
      <c r="I2127" s="25">
        <f t="shared" si="414"/>
        <v>0.21725765064368718</v>
      </c>
      <c r="K2127" s="28">
        <v>45525</v>
      </c>
      <c r="L2127" s="23">
        <v>36866.43</v>
      </c>
      <c r="M2127" s="25">
        <f t="shared" si="431"/>
        <v>3.7942377387774565E-3</v>
      </c>
      <c r="O2127" t="b">
        <f t="shared" si="429"/>
        <v>1</v>
      </c>
      <c r="Q2127" s="25">
        <f t="shared" si="427"/>
        <v>0.40446432040887714</v>
      </c>
      <c r="R2127" s="25">
        <f t="shared" si="424"/>
        <v>0.24433208763337655</v>
      </c>
      <c r="S2127" s="25">
        <f t="shared" si="421"/>
        <v>0.20035999685975225</v>
      </c>
      <c r="T2127" s="25">
        <f t="shared" si="418"/>
        <v>0.26330983991171708</v>
      </c>
      <c r="U2127" s="25">
        <f t="shared" si="415"/>
        <v>0.22408920264769616</v>
      </c>
      <c r="X2127">
        <f t="shared" si="428"/>
        <v>0</v>
      </c>
      <c r="Y2127">
        <f t="shared" si="425"/>
        <v>1</v>
      </c>
      <c r="Z2127">
        <f t="shared" si="422"/>
        <v>0</v>
      </c>
      <c r="AA2127">
        <f t="shared" si="419"/>
        <v>0</v>
      </c>
      <c r="AB2127">
        <f t="shared" si="416"/>
        <v>0</v>
      </c>
    </row>
    <row r="2128" spans="1:28">
      <c r="A2128" s="27">
        <v>45526</v>
      </c>
      <c r="B2128" s="24">
        <v>1935.41</v>
      </c>
      <c r="C2128" s="25">
        <f t="shared" si="430"/>
        <v>4.359084799767563E-3</v>
      </c>
      <c r="E2128" s="25">
        <f t="shared" si="426"/>
        <v>0.41121440810820675</v>
      </c>
      <c r="F2128" s="25">
        <f t="shared" si="423"/>
        <v>0.25081437438469423</v>
      </c>
      <c r="G2128" s="25">
        <f t="shared" si="420"/>
        <v>0.18159717324307989</v>
      </c>
      <c r="H2128" s="25">
        <f t="shared" si="417"/>
        <v>0.25343485265345422</v>
      </c>
      <c r="I2128" s="25">
        <f t="shared" si="414"/>
        <v>0.22104199078954556</v>
      </c>
      <c r="K2128" s="29">
        <v>45526</v>
      </c>
      <c r="L2128" s="24">
        <v>36980.53</v>
      </c>
      <c r="M2128" s="25">
        <f t="shared" si="431"/>
        <v>3.0854073751781963E-3</v>
      </c>
      <c r="O2128" t="b">
        <f t="shared" si="429"/>
        <v>1</v>
      </c>
      <c r="Q2128" s="25">
        <f t="shared" si="427"/>
        <v>0.41236708643692532</v>
      </c>
      <c r="R2128" s="25">
        <f t="shared" si="424"/>
        <v>0.24498047448558946</v>
      </c>
      <c r="S2128" s="25">
        <f t="shared" si="421"/>
        <v>0.20196465688591947</v>
      </c>
      <c r="T2128" s="25">
        <f t="shared" si="418"/>
        <v>0.26383499254339138</v>
      </c>
      <c r="U2128" s="25">
        <f t="shared" si="415"/>
        <v>0.2273671752918407</v>
      </c>
      <c r="X2128">
        <f t="shared" si="428"/>
        <v>0</v>
      </c>
      <c r="Y2128">
        <f t="shared" si="425"/>
        <v>1</v>
      </c>
      <c r="Z2128">
        <f t="shared" si="422"/>
        <v>0</v>
      </c>
      <c r="AA2128">
        <f t="shared" si="419"/>
        <v>0</v>
      </c>
      <c r="AB2128">
        <f t="shared" si="416"/>
        <v>0</v>
      </c>
    </row>
    <row r="2129" spans="1:28">
      <c r="A2129" s="26">
        <v>45527</v>
      </c>
      <c r="B2129" s="23">
        <v>1936.18</v>
      </c>
      <c r="C2129" s="25">
        <f t="shared" si="430"/>
        <v>3.9784851788508986E-4</v>
      </c>
      <c r="E2129" s="25">
        <f t="shared" si="426"/>
        <v>0.40273420802874771</v>
      </c>
      <c r="F2129" s="25">
        <f t="shared" si="423"/>
        <v>0.25908877568071276</v>
      </c>
      <c r="G2129" s="25">
        <f t="shared" si="420"/>
        <v>0.17783470008593905</v>
      </c>
      <c r="H2129" s="25">
        <f t="shared" si="417"/>
        <v>0.25046908691273639</v>
      </c>
      <c r="I2129" s="25">
        <f t="shared" si="414"/>
        <v>0.22508864890823221</v>
      </c>
      <c r="K2129" s="28">
        <v>45527</v>
      </c>
      <c r="L2129" s="23">
        <v>36949.74</v>
      </c>
      <c r="M2129" s="25">
        <f t="shared" si="431"/>
        <v>-8.3329409083801066E-4</v>
      </c>
      <c r="O2129" t="b">
        <f t="shared" si="429"/>
        <v>1</v>
      </c>
      <c r="Q2129" s="25">
        <f t="shared" si="427"/>
        <v>0.40295773669240598</v>
      </c>
      <c r="R2129" s="25">
        <f t="shared" si="424"/>
        <v>0.25120225451046929</v>
      </c>
      <c r="S2129" s="25">
        <f t="shared" si="421"/>
        <v>0.19783695903451726</v>
      </c>
      <c r="T2129" s="25">
        <f t="shared" si="418"/>
        <v>0.26158404851889783</v>
      </c>
      <c r="U2129" s="25">
        <f t="shared" si="415"/>
        <v>0.23117826505000627</v>
      </c>
      <c r="X2129">
        <f t="shared" si="428"/>
        <v>0</v>
      </c>
      <c r="Y2129">
        <f t="shared" si="425"/>
        <v>1</v>
      </c>
      <c r="Z2129">
        <f t="shared" si="422"/>
        <v>0</v>
      </c>
      <c r="AA2129">
        <f t="shared" si="419"/>
        <v>0</v>
      </c>
      <c r="AB2129">
        <f t="shared" si="416"/>
        <v>0</v>
      </c>
    </row>
    <row r="2130" spans="1:28">
      <c r="A2130" s="27">
        <v>45530</v>
      </c>
      <c r="B2130" s="24">
        <v>1950.9</v>
      </c>
      <c r="C2130" s="25">
        <f t="shared" si="430"/>
        <v>7.602598931917501E-3</v>
      </c>
      <c r="E2130" s="25">
        <f t="shared" si="426"/>
        <v>0.40820569085738212</v>
      </c>
      <c r="F2130" s="25">
        <f t="shared" si="423"/>
        <v>0.27477284779713784</v>
      </c>
      <c r="G2130" s="25">
        <f t="shared" si="420"/>
        <v>0.18149378091541446</v>
      </c>
      <c r="H2130" s="25">
        <f t="shared" si="417"/>
        <v>0.26282428700013494</v>
      </c>
      <c r="I2130" s="25">
        <f t="shared" ref="I2130:I2193" si="432">((B2130/B899)^(1/5))-1</f>
        <v>0.22509704023239774</v>
      </c>
      <c r="K2130" s="29">
        <v>45530</v>
      </c>
      <c r="L2130" s="24">
        <v>37175.56</v>
      </c>
      <c r="M2130" s="25">
        <f t="shared" si="431"/>
        <v>6.0744209367659752E-3</v>
      </c>
      <c r="O2130" t="b">
        <f t="shared" si="429"/>
        <v>1</v>
      </c>
      <c r="Q2130" s="25">
        <f t="shared" si="427"/>
        <v>0.40706295220259281</v>
      </c>
      <c r="R2130" s="25">
        <f t="shared" si="424"/>
        <v>0.26479852326418007</v>
      </c>
      <c r="S2130" s="25">
        <f t="shared" si="421"/>
        <v>0.19940848022468116</v>
      </c>
      <c r="T2130" s="25">
        <f t="shared" si="418"/>
        <v>0.27247827312525863</v>
      </c>
      <c r="U2130" s="25">
        <f t="shared" ref="U2130:U2193" si="433">((L2130/L899)^(1/5))-1</f>
        <v>0.23067109297617217</v>
      </c>
      <c r="X2130">
        <f t="shared" si="428"/>
        <v>1</v>
      </c>
      <c r="Y2130">
        <f t="shared" si="425"/>
        <v>1</v>
      </c>
      <c r="Z2130">
        <f t="shared" si="422"/>
        <v>0</v>
      </c>
      <c r="AA2130">
        <f t="shared" si="419"/>
        <v>0</v>
      </c>
      <c r="AB2130">
        <f t="shared" ref="AB2130:AB2193" si="434">IF(I2130&gt;U2130,1,0)</f>
        <v>0</v>
      </c>
    </row>
    <row r="2131" spans="1:28">
      <c r="A2131" s="26">
        <v>45531</v>
      </c>
      <c r="B2131" s="23">
        <v>1957.28</v>
      </c>
      <c r="C2131" s="25">
        <f t="shared" si="430"/>
        <v>3.2702855092520793E-3</v>
      </c>
      <c r="E2131" s="25">
        <f t="shared" si="426"/>
        <v>0.40653654890913793</v>
      </c>
      <c r="F2131" s="25">
        <f t="shared" si="423"/>
        <v>0.27228028469350463</v>
      </c>
      <c r="G2131" s="25">
        <f t="shared" si="420"/>
        <v>0.18368830268600478</v>
      </c>
      <c r="H2131" s="25">
        <f t="shared" si="417"/>
        <v>0.26055325791773654</v>
      </c>
      <c r="I2131" s="25">
        <f t="shared" si="432"/>
        <v>0.22115967982825202</v>
      </c>
      <c r="K2131" s="28">
        <v>45531</v>
      </c>
      <c r="L2131" s="23">
        <v>37243.599999999999</v>
      </c>
      <c r="M2131" s="25">
        <f t="shared" si="431"/>
        <v>1.8268910631625535E-3</v>
      </c>
      <c r="O2131" t="b">
        <f t="shared" si="429"/>
        <v>1</v>
      </c>
      <c r="Q2131" s="25">
        <f t="shared" si="427"/>
        <v>0.40589156580571051</v>
      </c>
      <c r="R2131" s="25">
        <f t="shared" si="424"/>
        <v>0.26222163082916494</v>
      </c>
      <c r="S2131" s="25">
        <f t="shared" si="421"/>
        <v>0.19975195642674271</v>
      </c>
      <c r="T2131" s="25">
        <f t="shared" si="418"/>
        <v>0.27068724928949761</v>
      </c>
      <c r="U2131" s="25">
        <f t="shared" si="433"/>
        <v>0.22630023013956446</v>
      </c>
      <c r="X2131">
        <f t="shared" si="428"/>
        <v>1</v>
      </c>
      <c r="Y2131">
        <f t="shared" si="425"/>
        <v>1</v>
      </c>
      <c r="Z2131">
        <f t="shared" si="422"/>
        <v>0</v>
      </c>
      <c r="AA2131">
        <f t="shared" si="419"/>
        <v>0</v>
      </c>
      <c r="AB2131">
        <f t="shared" si="434"/>
        <v>0</v>
      </c>
    </row>
    <row r="2132" spans="1:28">
      <c r="A2132" s="27">
        <v>45532</v>
      </c>
      <c r="B2132" s="24">
        <v>1960.01</v>
      </c>
      <c r="C2132" s="25">
        <f t="shared" si="430"/>
        <v>1.3947927736450677E-3</v>
      </c>
      <c r="E2132" s="25">
        <f t="shared" si="426"/>
        <v>0.4078003232178129</v>
      </c>
      <c r="F2132" s="25">
        <f t="shared" si="423"/>
        <v>0.27130766126668537</v>
      </c>
      <c r="G2132" s="25">
        <f t="shared" si="420"/>
        <v>0.18157121272229437</v>
      </c>
      <c r="H2132" s="25">
        <f t="shared" si="417"/>
        <v>0.2586730556677026</v>
      </c>
      <c r="I2132" s="25">
        <f t="shared" si="432"/>
        <v>0.22019262411278251</v>
      </c>
      <c r="K2132" s="29">
        <v>45532</v>
      </c>
      <c r="L2132" s="24">
        <v>37261.15</v>
      </c>
      <c r="M2132" s="25">
        <f t="shared" si="431"/>
        <v>4.7099995571803097E-4</v>
      </c>
      <c r="O2132" t="b">
        <f t="shared" si="429"/>
        <v>1</v>
      </c>
      <c r="Q2132" s="25">
        <f t="shared" si="427"/>
        <v>0.40821098476488227</v>
      </c>
      <c r="R2132" s="25">
        <f t="shared" si="424"/>
        <v>0.26043298347392785</v>
      </c>
      <c r="S2132" s="25">
        <f t="shared" si="421"/>
        <v>0.19752131792438465</v>
      </c>
      <c r="T2132" s="25">
        <f t="shared" si="418"/>
        <v>0.26823862049393044</v>
      </c>
      <c r="U2132" s="25">
        <f t="shared" si="433"/>
        <v>0.22484617420684216</v>
      </c>
      <c r="X2132">
        <f t="shared" si="428"/>
        <v>0</v>
      </c>
      <c r="Y2132">
        <f t="shared" si="425"/>
        <v>1</v>
      </c>
      <c r="Z2132">
        <f t="shared" si="422"/>
        <v>0</v>
      </c>
      <c r="AA2132">
        <f t="shared" si="419"/>
        <v>0</v>
      </c>
      <c r="AB2132">
        <f t="shared" si="434"/>
        <v>0</v>
      </c>
    </row>
    <row r="2133" spans="1:28">
      <c r="A2133" s="26">
        <v>45533</v>
      </c>
      <c r="B2133" s="23">
        <v>1962.15</v>
      </c>
      <c r="C2133" s="25">
        <f t="shared" si="430"/>
        <v>1.0918311641267646E-3</v>
      </c>
      <c r="E2133" s="25">
        <f t="shared" si="426"/>
        <v>0.4165716100899548</v>
      </c>
      <c r="F2133" s="25">
        <f t="shared" si="423"/>
        <v>0.27278889792033656</v>
      </c>
      <c r="G2133" s="25">
        <f t="shared" si="420"/>
        <v>0.17559170799945223</v>
      </c>
      <c r="H2133" s="25">
        <f t="shared" si="417"/>
        <v>0.25917372044350295</v>
      </c>
      <c r="I2133" s="25">
        <f t="shared" si="432"/>
        <v>0.2223439149287405</v>
      </c>
      <c r="K2133" s="28">
        <v>45533</v>
      </c>
      <c r="L2133" s="23">
        <v>37285.57</v>
      </c>
      <c r="M2133" s="25">
        <f t="shared" si="431"/>
        <v>6.549450631973242E-4</v>
      </c>
      <c r="O2133" t="b">
        <f t="shared" si="429"/>
        <v>1</v>
      </c>
      <c r="Q2133" s="25">
        <f t="shared" si="427"/>
        <v>0.41824639186668944</v>
      </c>
      <c r="R2133" s="25">
        <f t="shared" si="424"/>
        <v>0.26249633170389219</v>
      </c>
      <c r="S2133" s="25">
        <f t="shared" si="421"/>
        <v>0.19206032313089128</v>
      </c>
      <c r="T2133" s="25">
        <f t="shared" si="418"/>
        <v>0.26789784966534569</v>
      </c>
      <c r="U2133" s="25">
        <f t="shared" si="433"/>
        <v>0.22640485672489952</v>
      </c>
      <c r="X2133">
        <f t="shared" si="428"/>
        <v>0</v>
      </c>
      <c r="Y2133">
        <f t="shared" si="425"/>
        <v>1</v>
      </c>
      <c r="Z2133">
        <f t="shared" si="422"/>
        <v>0</v>
      </c>
      <c r="AA2133">
        <f t="shared" si="419"/>
        <v>0</v>
      </c>
      <c r="AB2133">
        <f t="shared" si="434"/>
        <v>0</v>
      </c>
    </row>
    <row r="2134" spans="1:28">
      <c r="A2134" s="27">
        <v>45534</v>
      </c>
      <c r="B2134" s="24">
        <v>1975.45</v>
      </c>
      <c r="C2134" s="25">
        <f t="shared" si="430"/>
        <v>6.778278928726119E-3</v>
      </c>
      <c r="E2134" s="25">
        <f t="shared" si="426"/>
        <v>0.42068623291070062</v>
      </c>
      <c r="F2134" s="25">
        <f t="shared" si="423"/>
        <v>0.27573726985238145</v>
      </c>
      <c r="G2134" s="25">
        <f t="shared" si="420"/>
        <v>0.173487079773196</v>
      </c>
      <c r="H2134" s="25">
        <f t="shared" si="417"/>
        <v>0.2662794611689776</v>
      </c>
      <c r="I2134" s="25">
        <f t="shared" si="432"/>
        <v>0.22538684818415455</v>
      </c>
      <c r="K2134" s="29">
        <v>45534</v>
      </c>
      <c r="L2134" s="24">
        <v>37449.919999999998</v>
      </c>
      <c r="M2134" s="25">
        <f t="shared" si="431"/>
        <v>4.3885273987233769E-3</v>
      </c>
      <c r="O2134" t="b">
        <f t="shared" si="429"/>
        <v>1</v>
      </c>
      <c r="Q2134" s="25">
        <f t="shared" si="427"/>
        <v>0.41990433350420253</v>
      </c>
      <c r="R2134" s="25">
        <f t="shared" si="424"/>
        <v>0.26331634179151409</v>
      </c>
      <c r="S2134" s="25">
        <f t="shared" si="421"/>
        <v>0.1894608180610029</v>
      </c>
      <c r="T2134" s="25">
        <f t="shared" si="418"/>
        <v>0.27456211017004395</v>
      </c>
      <c r="U2134" s="25">
        <f t="shared" si="433"/>
        <v>0.22926265956970093</v>
      </c>
      <c r="X2134">
        <f t="shared" si="428"/>
        <v>1</v>
      </c>
      <c r="Y2134">
        <f t="shared" si="425"/>
        <v>1</v>
      </c>
      <c r="Z2134">
        <f t="shared" si="422"/>
        <v>0</v>
      </c>
      <c r="AA2134">
        <f t="shared" si="419"/>
        <v>0</v>
      </c>
      <c r="AB2134">
        <f t="shared" si="434"/>
        <v>0</v>
      </c>
    </row>
    <row r="2135" spans="1:28">
      <c r="A2135" s="26">
        <v>45537</v>
      </c>
      <c r="B2135" s="23">
        <v>1981.75</v>
      </c>
      <c r="C2135" s="25">
        <f t="shared" si="430"/>
        <v>3.1891467766837706E-3</v>
      </c>
      <c r="E2135" s="25">
        <f t="shared" si="426"/>
        <v>0.42164880414353134</v>
      </c>
      <c r="F2135" s="25">
        <f t="shared" si="423"/>
        <v>0.28645837691658471</v>
      </c>
      <c r="G2135" s="25">
        <f t="shared" si="420"/>
        <v>0.17392073725580914</v>
      </c>
      <c r="H2135" s="25">
        <f t="shared" si="417"/>
        <v>0.26814698886787647</v>
      </c>
      <c r="I2135" s="25">
        <f t="shared" si="432"/>
        <v>0.2237873030681079</v>
      </c>
      <c r="K2135" s="28">
        <v>45537</v>
      </c>
      <c r="L2135" s="23">
        <v>37491.24</v>
      </c>
      <c r="M2135" s="25">
        <f t="shared" si="431"/>
        <v>1.1021241228617595E-3</v>
      </c>
      <c r="O2135" t="b">
        <f t="shared" si="429"/>
        <v>1</v>
      </c>
      <c r="Q2135" s="25">
        <f t="shared" si="427"/>
        <v>0.41709476077820073</v>
      </c>
      <c r="R2135" s="25">
        <f t="shared" si="424"/>
        <v>0.27136908244418634</v>
      </c>
      <c r="S2135" s="25">
        <f t="shared" si="421"/>
        <v>0.1900202318720694</v>
      </c>
      <c r="T2135" s="25">
        <f t="shared" si="418"/>
        <v>0.27487333307440354</v>
      </c>
      <c r="U2135" s="25">
        <f t="shared" si="433"/>
        <v>0.22756931696010341</v>
      </c>
      <c r="X2135">
        <f t="shared" si="428"/>
        <v>1</v>
      </c>
      <c r="Y2135">
        <f t="shared" si="425"/>
        <v>1</v>
      </c>
      <c r="Z2135">
        <f t="shared" si="422"/>
        <v>0</v>
      </c>
      <c r="AA2135">
        <f t="shared" si="419"/>
        <v>0</v>
      </c>
      <c r="AB2135">
        <f t="shared" si="434"/>
        <v>0</v>
      </c>
    </row>
    <row r="2136" spans="1:28">
      <c r="A2136" s="27">
        <v>45538</v>
      </c>
      <c r="B2136" s="24">
        <v>1982.47</v>
      </c>
      <c r="C2136" s="25">
        <f t="shared" si="430"/>
        <v>3.6331525167151621E-4</v>
      </c>
      <c r="E2136" s="25">
        <f t="shared" si="426"/>
        <v>0.41702167200365969</v>
      </c>
      <c r="F2136" s="25">
        <f t="shared" si="423"/>
        <v>0.27379024860449674</v>
      </c>
      <c r="G2136" s="25">
        <f t="shared" si="420"/>
        <v>0.17074007152685278</v>
      </c>
      <c r="H2136" s="25">
        <f t="shared" ref="H2136:H2199" si="435">((B2136/B1155)^(1/4))-1</f>
        <v>0.27122974908456898</v>
      </c>
      <c r="I2136" s="25">
        <f t="shared" si="432"/>
        <v>0.22827306488477461</v>
      </c>
      <c r="K2136" s="29">
        <v>45538</v>
      </c>
      <c r="L2136" s="24">
        <v>37535.120000000003</v>
      </c>
      <c r="M2136" s="25">
        <f t="shared" si="431"/>
        <v>1.1690384898197916E-3</v>
      </c>
      <c r="O2136" t="b">
        <f t="shared" si="429"/>
        <v>1</v>
      </c>
      <c r="Q2136" s="25">
        <f t="shared" si="427"/>
        <v>0.41527031633179412</v>
      </c>
      <c r="R2136" s="25">
        <f t="shared" si="424"/>
        <v>0.2574049412978352</v>
      </c>
      <c r="S2136" s="25">
        <f t="shared" si="421"/>
        <v>0.18684569372892068</v>
      </c>
      <c r="T2136" s="25">
        <f t="shared" ref="T2136:T2199" si="436">((L2136/L1155)^(1/4))-1</f>
        <v>0.27692522299795286</v>
      </c>
      <c r="U2136" s="25">
        <f t="shared" si="433"/>
        <v>0.23270572900352038</v>
      </c>
      <c r="X2136">
        <f t="shared" si="428"/>
        <v>1</v>
      </c>
      <c r="Y2136">
        <f t="shared" si="425"/>
        <v>1</v>
      </c>
      <c r="Z2136">
        <f t="shared" si="422"/>
        <v>0</v>
      </c>
      <c r="AA2136">
        <f t="shared" ref="AA2136:AA2199" si="437">IF(H2136&gt;T2136,1,0)</f>
        <v>0</v>
      </c>
      <c r="AB2136">
        <f t="shared" si="434"/>
        <v>0</v>
      </c>
    </row>
    <row r="2137" spans="1:28">
      <c r="A2137" s="26">
        <v>45539</v>
      </c>
      <c r="B2137" s="23">
        <v>1981.92</v>
      </c>
      <c r="C2137" s="25">
        <f t="shared" si="430"/>
        <v>-2.7743168875188758E-4</v>
      </c>
      <c r="E2137" s="25">
        <f t="shared" si="426"/>
        <v>0.41748975461131899</v>
      </c>
      <c r="F2137" s="25">
        <f t="shared" si="423"/>
        <v>0.27798791983681848</v>
      </c>
      <c r="G2137" s="25">
        <f t="shared" si="420"/>
        <v>0.16900027636798365</v>
      </c>
      <c r="H2137" s="25">
        <f t="shared" si="435"/>
        <v>0.27274575993120198</v>
      </c>
      <c r="I2137" s="25">
        <f t="shared" si="432"/>
        <v>0.22686185417779892</v>
      </c>
      <c r="K2137" s="28">
        <v>45539</v>
      </c>
      <c r="L2137" s="23">
        <v>37472.699999999997</v>
      </c>
      <c r="M2137" s="25">
        <f t="shared" si="431"/>
        <v>-1.6657459964188738E-3</v>
      </c>
      <c r="O2137" t="b">
        <f t="shared" si="429"/>
        <v>1</v>
      </c>
      <c r="Q2137" s="25">
        <f t="shared" si="427"/>
        <v>0.41664244018453189</v>
      </c>
      <c r="R2137" s="25">
        <f t="shared" si="424"/>
        <v>0.26103324313468201</v>
      </c>
      <c r="S2137" s="25">
        <f t="shared" si="421"/>
        <v>0.18417520777398244</v>
      </c>
      <c r="T2137" s="25">
        <f t="shared" si="436"/>
        <v>0.27774921285075282</v>
      </c>
      <c r="U2137" s="25">
        <f t="shared" si="433"/>
        <v>0.23143585406526057</v>
      </c>
      <c r="X2137">
        <f t="shared" si="428"/>
        <v>1</v>
      </c>
      <c r="Y2137">
        <f t="shared" si="425"/>
        <v>1</v>
      </c>
      <c r="Z2137">
        <f t="shared" si="422"/>
        <v>0</v>
      </c>
      <c r="AA2137">
        <f t="shared" si="437"/>
        <v>0</v>
      </c>
      <c r="AB2137">
        <f t="shared" si="434"/>
        <v>0</v>
      </c>
    </row>
    <row r="2138" spans="1:28">
      <c r="A2138" s="27">
        <v>45540</v>
      </c>
      <c r="B2138" s="24">
        <v>1983.74</v>
      </c>
      <c r="C2138" s="25">
        <f t="shared" si="430"/>
        <v>9.1830144506334073E-4</v>
      </c>
      <c r="E2138" s="25">
        <f t="shared" si="426"/>
        <v>0.40598045260927185</v>
      </c>
      <c r="F2138" s="25">
        <f t="shared" si="423"/>
        <v>0.27919140143396293</v>
      </c>
      <c r="G2138" s="25">
        <f t="shared" si="420"/>
        <v>0.16821660080392498</v>
      </c>
      <c r="H2138" s="25">
        <f t="shared" si="435"/>
        <v>0.27133700515696879</v>
      </c>
      <c r="I2138" s="25">
        <f t="shared" si="432"/>
        <v>0.22646162999240915</v>
      </c>
      <c r="K2138" s="29">
        <v>45540</v>
      </c>
      <c r="L2138" s="24">
        <v>37494.75</v>
      </c>
      <c r="M2138" s="25">
        <f t="shared" si="431"/>
        <v>5.8808233152649134E-4</v>
      </c>
      <c r="O2138" t="b">
        <f t="shared" si="429"/>
        <v>1</v>
      </c>
      <c r="Q2138" s="25">
        <f t="shared" si="427"/>
        <v>0.40496971772641821</v>
      </c>
      <c r="R2138" s="25">
        <f t="shared" si="424"/>
        <v>0.26179595241022224</v>
      </c>
      <c r="S2138" s="25">
        <f t="shared" si="421"/>
        <v>0.18316370582573693</v>
      </c>
      <c r="T2138" s="25">
        <f t="shared" si="436"/>
        <v>0.27349741641606817</v>
      </c>
      <c r="U2138" s="25">
        <f t="shared" si="433"/>
        <v>0.23121140322005496</v>
      </c>
      <c r="X2138">
        <f t="shared" si="428"/>
        <v>1</v>
      </c>
      <c r="Y2138">
        <f t="shared" si="425"/>
        <v>1</v>
      </c>
      <c r="Z2138">
        <f t="shared" si="422"/>
        <v>0</v>
      </c>
      <c r="AA2138">
        <f t="shared" si="437"/>
        <v>0</v>
      </c>
      <c r="AB2138">
        <f t="shared" si="434"/>
        <v>0</v>
      </c>
    </row>
    <row r="2139" spans="1:28">
      <c r="A2139" s="26">
        <v>45541</v>
      </c>
      <c r="B2139" s="23">
        <v>1959.99</v>
      </c>
      <c r="C2139" s="25">
        <f t="shared" si="430"/>
        <v>-1.197233508423483E-2</v>
      </c>
      <c r="E2139" s="25">
        <f t="shared" si="426"/>
        <v>0.38005111848080952</v>
      </c>
      <c r="F2139" s="25">
        <f t="shared" si="423"/>
        <v>0.26619535979086462</v>
      </c>
      <c r="G2139" s="25">
        <f t="shared" si="420"/>
        <v>0.1640505456474497</v>
      </c>
      <c r="H2139" s="25">
        <f t="shared" si="435"/>
        <v>0.2665233437555794</v>
      </c>
      <c r="I2139" s="25">
        <f t="shared" si="432"/>
        <v>0.22120636398951898</v>
      </c>
      <c r="K2139" s="28">
        <v>45541</v>
      </c>
      <c r="L2139" s="23">
        <v>37045.67</v>
      </c>
      <c r="M2139" s="25">
        <f t="shared" si="431"/>
        <v>-1.2122334405073569E-2</v>
      </c>
      <c r="O2139" t="b">
        <f t="shared" si="429"/>
        <v>1</v>
      </c>
      <c r="Q2139" s="25">
        <f t="shared" si="427"/>
        <v>0.37954357651515225</v>
      </c>
      <c r="R2139" s="25">
        <f t="shared" si="424"/>
        <v>0.25040718174072474</v>
      </c>
      <c r="S2139" s="25">
        <f t="shared" si="421"/>
        <v>0.17899372359078503</v>
      </c>
      <c r="T2139" s="25">
        <f t="shared" si="436"/>
        <v>0.2687842877993778</v>
      </c>
      <c r="U2139" s="25">
        <f t="shared" si="433"/>
        <v>0.22619722048948909</v>
      </c>
      <c r="X2139">
        <f t="shared" si="428"/>
        <v>1</v>
      </c>
      <c r="Y2139">
        <f t="shared" si="425"/>
        <v>1</v>
      </c>
      <c r="Z2139">
        <f t="shared" si="422"/>
        <v>0</v>
      </c>
      <c r="AA2139">
        <f t="shared" si="437"/>
        <v>0</v>
      </c>
      <c r="AB2139">
        <f t="shared" si="434"/>
        <v>0</v>
      </c>
    </row>
    <row r="2140" spans="1:28">
      <c r="A2140" s="27">
        <v>45544</v>
      </c>
      <c r="B2140" s="24">
        <v>1960.67</v>
      </c>
      <c r="C2140" s="25">
        <f t="shared" si="430"/>
        <v>3.4694054561506112E-4</v>
      </c>
      <c r="E2140" s="25">
        <f t="shared" si="426"/>
        <v>0.36995786722936863</v>
      </c>
      <c r="F2140" s="25">
        <f t="shared" si="423"/>
        <v>0.26530284736234311</v>
      </c>
      <c r="G2140" s="25">
        <f t="shared" si="420"/>
        <v>0.16357369713618231</v>
      </c>
      <c r="H2140" s="25">
        <f t="shared" si="435"/>
        <v>0.26428701424879852</v>
      </c>
      <c r="I2140" s="25">
        <f t="shared" si="432"/>
        <v>0.21963923223726156</v>
      </c>
      <c r="K2140" s="29">
        <v>45544</v>
      </c>
      <c r="L2140" s="24">
        <v>37084.589999999997</v>
      </c>
      <c r="M2140" s="25">
        <f t="shared" si="431"/>
        <v>1.0494925250622497E-3</v>
      </c>
      <c r="O2140" t="b">
        <f t="shared" si="429"/>
        <v>1</v>
      </c>
      <c r="Q2140" s="25">
        <f t="shared" si="427"/>
        <v>0.37529784233279195</v>
      </c>
      <c r="R2140" s="25">
        <f t="shared" si="424"/>
        <v>0.25030103601459341</v>
      </c>
      <c r="S2140" s="25">
        <f t="shared" si="421"/>
        <v>0.17877217668595513</v>
      </c>
      <c r="T2140" s="25">
        <f t="shared" si="436"/>
        <v>0.26753407633288173</v>
      </c>
      <c r="U2140" s="25">
        <f t="shared" si="433"/>
        <v>0.22502754369393041</v>
      </c>
      <c r="X2140">
        <f t="shared" si="428"/>
        <v>0</v>
      </c>
      <c r="Y2140">
        <f t="shared" si="425"/>
        <v>1</v>
      </c>
      <c r="Z2140">
        <f t="shared" si="422"/>
        <v>0</v>
      </c>
      <c r="AA2140">
        <f t="shared" si="437"/>
        <v>0</v>
      </c>
      <c r="AB2140">
        <f t="shared" si="434"/>
        <v>0</v>
      </c>
    </row>
    <row r="2141" spans="1:28">
      <c r="A2141" s="26">
        <v>45545</v>
      </c>
      <c r="B2141" s="23">
        <v>1973.93</v>
      </c>
      <c r="C2141" s="25">
        <f t="shared" si="430"/>
        <v>6.7629942825666685E-3</v>
      </c>
      <c r="E2141" s="25">
        <f t="shared" si="426"/>
        <v>0.37434465664533834</v>
      </c>
      <c r="F2141" s="25">
        <f t="shared" si="423"/>
        <v>0.26988537240290222</v>
      </c>
      <c r="G2141" s="25">
        <f t="shared" si="420"/>
        <v>0.16495975346079561</v>
      </c>
      <c r="H2141" s="25">
        <f t="shared" si="435"/>
        <v>0.26236333814346313</v>
      </c>
      <c r="I2141" s="25">
        <f t="shared" si="432"/>
        <v>0.21979718599302878</v>
      </c>
      <c r="K2141" s="28">
        <v>45545</v>
      </c>
      <c r="L2141" s="23">
        <v>37307.879999999997</v>
      </c>
      <c r="M2141" s="25">
        <f t="shared" si="431"/>
        <v>5.9850626730867818E-3</v>
      </c>
      <c r="O2141" t="b">
        <f t="shared" si="429"/>
        <v>1</v>
      </c>
      <c r="Q2141" s="25">
        <f t="shared" si="427"/>
        <v>0.38097390288510757</v>
      </c>
      <c r="R2141" s="25">
        <f t="shared" si="424"/>
        <v>0.25379154960564798</v>
      </c>
      <c r="S2141" s="25">
        <f t="shared" si="421"/>
        <v>0.18026112074568501</v>
      </c>
      <c r="T2141" s="25">
        <f t="shared" si="436"/>
        <v>0.26676530458703795</v>
      </c>
      <c r="U2141" s="25">
        <f t="shared" si="433"/>
        <v>0.22532172847502641</v>
      </c>
      <c r="X2141">
        <f t="shared" si="428"/>
        <v>0</v>
      </c>
      <c r="Y2141">
        <f t="shared" si="425"/>
        <v>1</v>
      </c>
      <c r="Z2141">
        <f t="shared" si="422"/>
        <v>0</v>
      </c>
      <c r="AA2141">
        <f t="shared" si="437"/>
        <v>0</v>
      </c>
      <c r="AB2141">
        <f t="shared" si="434"/>
        <v>0</v>
      </c>
    </row>
    <row r="2142" spans="1:28">
      <c r="A2142" s="27">
        <v>45546</v>
      </c>
      <c r="B2142" s="24">
        <v>1971.89</v>
      </c>
      <c r="C2142" s="25">
        <f t="shared" si="430"/>
        <v>-1.0334712983742906E-3</v>
      </c>
      <c r="E2142" s="25">
        <f t="shared" si="426"/>
        <v>0.36833230401987405</v>
      </c>
      <c r="F2142" s="25">
        <f t="shared" si="423"/>
        <v>0.26457314409366184</v>
      </c>
      <c r="G2142" s="25">
        <f t="shared" si="420"/>
        <v>0.16301095522781361</v>
      </c>
      <c r="H2142" s="25">
        <f t="shared" si="435"/>
        <v>0.25921967768332332</v>
      </c>
      <c r="I2142" s="25">
        <f t="shared" si="432"/>
        <v>0.21901176374285325</v>
      </c>
      <c r="K2142" s="29">
        <v>45546</v>
      </c>
      <c r="L2142" s="24">
        <v>37130.71</v>
      </c>
      <c r="M2142" s="25">
        <f t="shared" si="431"/>
        <v>-4.7715220096787338E-3</v>
      </c>
      <c r="O2142" t="b">
        <f t="shared" si="429"/>
        <v>1</v>
      </c>
      <c r="Q2142" s="25">
        <f t="shared" si="427"/>
        <v>0.36643844060448938</v>
      </c>
      <c r="R2142" s="25">
        <f t="shared" si="424"/>
        <v>0.24588214335088909</v>
      </c>
      <c r="S2142" s="25">
        <f t="shared" si="421"/>
        <v>0.17795171541345511</v>
      </c>
      <c r="T2142" s="25">
        <f t="shared" si="436"/>
        <v>0.26330526351565964</v>
      </c>
      <c r="U2142" s="25">
        <f t="shared" si="433"/>
        <v>0.22504733381359987</v>
      </c>
      <c r="X2142">
        <f t="shared" si="428"/>
        <v>1</v>
      </c>
      <c r="Y2142">
        <f t="shared" si="425"/>
        <v>1</v>
      </c>
      <c r="Z2142">
        <f t="shared" si="422"/>
        <v>0</v>
      </c>
      <c r="AA2142">
        <f t="shared" si="437"/>
        <v>0</v>
      </c>
      <c r="AB2142">
        <f t="shared" si="434"/>
        <v>0</v>
      </c>
    </row>
    <row r="2143" spans="1:28">
      <c r="A2143" s="26">
        <v>45547</v>
      </c>
      <c r="B2143" s="23">
        <v>2003.63</v>
      </c>
      <c r="C2143" s="25">
        <f t="shared" si="430"/>
        <v>1.6096232548468731E-2</v>
      </c>
      <c r="E2143" s="25">
        <f t="shared" si="426"/>
        <v>0.3853775574408651</v>
      </c>
      <c r="F2143" s="25">
        <f t="shared" si="423"/>
        <v>0.27246232561752648</v>
      </c>
      <c r="G2143" s="25">
        <f t="shared" si="420"/>
        <v>0.16725321661550319</v>
      </c>
      <c r="H2143" s="25">
        <f t="shared" si="435"/>
        <v>0.26499106365434533</v>
      </c>
      <c r="I2143" s="25">
        <f t="shared" si="432"/>
        <v>0.22124185078184366</v>
      </c>
      <c r="K2143" s="28">
        <v>45547</v>
      </c>
      <c r="L2143" s="23">
        <v>37724.21</v>
      </c>
      <c r="M2143" s="25">
        <f t="shared" si="431"/>
        <v>1.5732602485247538E-2</v>
      </c>
      <c r="O2143" t="b">
        <f t="shared" si="429"/>
        <v>1</v>
      </c>
      <c r="Q2143" s="25">
        <f t="shared" si="427"/>
        <v>0.38016883595823958</v>
      </c>
      <c r="R2143" s="25">
        <f t="shared" si="424"/>
        <v>0.25470874959508505</v>
      </c>
      <c r="S2143" s="25">
        <f t="shared" si="421"/>
        <v>0.18280201572382659</v>
      </c>
      <c r="T2143" s="25">
        <f t="shared" si="436"/>
        <v>0.27047017034795973</v>
      </c>
      <c r="U2143" s="25">
        <f t="shared" si="433"/>
        <v>0.22705045565173898</v>
      </c>
      <c r="X2143">
        <f t="shared" si="428"/>
        <v>1</v>
      </c>
      <c r="Y2143">
        <f t="shared" si="425"/>
        <v>1</v>
      </c>
      <c r="Z2143">
        <f t="shared" si="422"/>
        <v>0</v>
      </c>
      <c r="AA2143">
        <f t="shared" si="437"/>
        <v>0</v>
      </c>
      <c r="AB2143">
        <f t="shared" si="434"/>
        <v>0</v>
      </c>
    </row>
    <row r="2144" spans="1:28">
      <c r="A2144" s="27">
        <v>45548</v>
      </c>
      <c r="B2144" s="24">
        <v>2003.03</v>
      </c>
      <c r="C2144" s="25">
        <f t="shared" si="430"/>
        <v>-2.9945648647711226E-4</v>
      </c>
      <c r="E2144" s="25">
        <f t="shared" si="426"/>
        <v>0.3742255946541162</v>
      </c>
      <c r="F2144" s="25">
        <f t="shared" si="423"/>
        <v>0.26502917088475253</v>
      </c>
      <c r="G2144" s="25">
        <f t="shared" si="420"/>
        <v>0.16353068139254678</v>
      </c>
      <c r="H2144" s="25">
        <f t="shared" si="435"/>
        <v>0.26399270276349296</v>
      </c>
      <c r="I2144" s="25">
        <f t="shared" si="432"/>
        <v>0.22214788029227739</v>
      </c>
      <c r="K2144" s="29">
        <v>45548</v>
      </c>
      <c r="L2144" s="24">
        <v>37757.919999999998</v>
      </c>
      <c r="M2144" s="25">
        <f t="shared" si="431"/>
        <v>8.9279282333346564E-4</v>
      </c>
      <c r="O2144" t="b">
        <f t="shared" si="429"/>
        <v>1</v>
      </c>
      <c r="Q2144" s="25">
        <f t="shared" si="427"/>
        <v>0.36840598377175349</v>
      </c>
      <c r="R2144" s="25">
        <f t="shared" si="424"/>
        <v>0.25082687781534041</v>
      </c>
      <c r="S2144" s="25">
        <f t="shared" si="421"/>
        <v>0.18009305306579004</v>
      </c>
      <c r="T2144" s="25">
        <f t="shared" si="436"/>
        <v>0.27099271612461329</v>
      </c>
      <c r="U2144" s="25">
        <f t="shared" si="433"/>
        <v>0.22840183478097265</v>
      </c>
      <c r="X2144">
        <f t="shared" si="428"/>
        <v>1</v>
      </c>
      <c r="Y2144">
        <f t="shared" si="425"/>
        <v>1</v>
      </c>
      <c r="Z2144">
        <f t="shared" si="422"/>
        <v>0</v>
      </c>
      <c r="AA2144">
        <f t="shared" si="437"/>
        <v>0</v>
      </c>
      <c r="AB2144">
        <f t="shared" si="434"/>
        <v>0</v>
      </c>
    </row>
    <row r="2145" spans="1:28">
      <c r="A2145" s="26">
        <v>45551</v>
      </c>
      <c r="B2145" s="23">
        <v>2006.26</v>
      </c>
      <c r="C2145" s="25">
        <f t="shared" si="430"/>
        <v>1.6125569761810947E-3</v>
      </c>
      <c r="E2145" s="25">
        <f t="shared" si="426"/>
        <v>0.39007947230940854</v>
      </c>
      <c r="F2145" s="25">
        <f t="shared" si="423"/>
        <v>0.26296485331394859</v>
      </c>
      <c r="G2145" s="25">
        <f t="shared" si="420"/>
        <v>0.1634060241505817</v>
      </c>
      <c r="H2145" s="25">
        <f t="shared" si="435"/>
        <v>0.27479980632130352</v>
      </c>
      <c r="I2145" s="25">
        <f t="shared" si="432"/>
        <v>0.22701037709059424</v>
      </c>
      <c r="K2145" s="28">
        <v>45551</v>
      </c>
      <c r="L2145" s="23">
        <v>37821.03</v>
      </c>
      <c r="M2145" s="25">
        <f t="shared" si="431"/>
        <v>1.6686483683813103E-3</v>
      </c>
      <c r="O2145" t="b">
        <f t="shared" si="429"/>
        <v>1</v>
      </c>
      <c r="Q2145" s="25">
        <f t="shared" si="427"/>
        <v>0.3858232892583664</v>
      </c>
      <c r="R2145" s="25">
        <f t="shared" si="424"/>
        <v>0.24817176680259601</v>
      </c>
      <c r="S2145" s="25">
        <f t="shared" si="421"/>
        <v>0.17851657005665222</v>
      </c>
      <c r="T2145" s="25">
        <f t="shared" si="436"/>
        <v>0.27984632214945226</v>
      </c>
      <c r="U2145" s="25">
        <f t="shared" si="433"/>
        <v>0.23309009404048764</v>
      </c>
      <c r="X2145">
        <f t="shared" si="428"/>
        <v>1</v>
      </c>
      <c r="Y2145">
        <f t="shared" si="425"/>
        <v>1</v>
      </c>
      <c r="Z2145">
        <f t="shared" si="422"/>
        <v>0</v>
      </c>
      <c r="AA2145">
        <f t="shared" si="437"/>
        <v>0</v>
      </c>
      <c r="AB2145">
        <f t="shared" si="434"/>
        <v>0</v>
      </c>
    </row>
    <row r="2146" spans="1:28">
      <c r="A2146" s="27">
        <v>45552</v>
      </c>
      <c r="B2146" s="24">
        <v>2011.08</v>
      </c>
      <c r="C2146" s="25">
        <f t="shared" si="430"/>
        <v>2.4024802368586007E-3</v>
      </c>
      <c r="E2146" s="25">
        <f t="shared" si="426"/>
        <v>0.38438345414369191</v>
      </c>
      <c r="F2146" s="25">
        <f t="shared" si="423"/>
        <v>0.26617340918173893</v>
      </c>
      <c r="G2146" s="25">
        <f t="shared" si="420"/>
        <v>0.16565592403476281</v>
      </c>
      <c r="H2146" s="25">
        <f t="shared" si="435"/>
        <v>0.27744391354246201</v>
      </c>
      <c r="I2146" s="25">
        <f t="shared" si="432"/>
        <v>0.2268960468738388</v>
      </c>
      <c r="K2146" s="29">
        <v>45552</v>
      </c>
      <c r="L2146" s="24">
        <v>37824.519999999997</v>
      </c>
      <c r="M2146" s="25">
        <f t="shared" si="431"/>
        <v>9.2268190052324862E-5</v>
      </c>
      <c r="O2146" t="b">
        <f t="shared" si="429"/>
        <v>1</v>
      </c>
      <c r="Q2146" s="25">
        <f t="shared" si="427"/>
        <v>0.38071392850494057</v>
      </c>
      <c r="R2146" s="25">
        <f t="shared" si="424"/>
        <v>0.24979022282701857</v>
      </c>
      <c r="S2146" s="25">
        <f t="shared" si="421"/>
        <v>0.1805713974541987</v>
      </c>
      <c r="T2146" s="25">
        <f t="shared" si="436"/>
        <v>0.2833016754975064</v>
      </c>
      <c r="U2146" s="25">
        <f t="shared" si="433"/>
        <v>0.23244859801119766</v>
      </c>
      <c r="X2146">
        <f t="shared" si="428"/>
        <v>1</v>
      </c>
      <c r="Y2146">
        <f t="shared" si="425"/>
        <v>1</v>
      </c>
      <c r="Z2146">
        <f t="shared" si="422"/>
        <v>0</v>
      </c>
      <c r="AA2146">
        <f t="shared" si="437"/>
        <v>0</v>
      </c>
      <c r="AB2146">
        <f t="shared" si="434"/>
        <v>0</v>
      </c>
    </row>
    <row r="2147" spans="1:28">
      <c r="A2147" s="26">
        <v>45553</v>
      </c>
      <c r="B2147" s="23">
        <v>2003.59</v>
      </c>
      <c r="C2147" s="25">
        <f t="shared" si="430"/>
        <v>-3.7243670067824302E-3</v>
      </c>
      <c r="E2147" s="25">
        <f t="shared" si="426"/>
        <v>0.37049146687643209</v>
      </c>
      <c r="F2147" s="25">
        <f t="shared" si="423"/>
        <v>0.26897800164483843</v>
      </c>
      <c r="G2147" s="25">
        <f t="shared" si="420"/>
        <v>0.16969233604139755</v>
      </c>
      <c r="H2147" s="25">
        <f t="shared" si="435"/>
        <v>0.27839535935324466</v>
      </c>
      <c r="I2147" s="25">
        <f t="shared" si="432"/>
        <v>0.22955030419065459</v>
      </c>
      <c r="K2147" s="28">
        <v>45553</v>
      </c>
      <c r="L2147" s="23">
        <v>37712.14</v>
      </c>
      <c r="M2147" s="25">
        <f t="shared" si="431"/>
        <v>-2.9799422679274469E-3</v>
      </c>
      <c r="O2147" t="b">
        <f t="shared" si="429"/>
        <v>1</v>
      </c>
      <c r="Q2147" s="25">
        <f t="shared" si="427"/>
        <v>0.37060194759080667</v>
      </c>
      <c r="R2147" s="25">
        <f t="shared" si="424"/>
        <v>0.24989202075133465</v>
      </c>
      <c r="S2147" s="25">
        <f t="shared" si="421"/>
        <v>0.18467974981194724</v>
      </c>
      <c r="T2147" s="25">
        <f t="shared" si="436"/>
        <v>0.28302896849422776</v>
      </c>
      <c r="U2147" s="25">
        <f t="shared" si="433"/>
        <v>0.23481554094775725</v>
      </c>
      <c r="X2147">
        <f t="shared" si="428"/>
        <v>0</v>
      </c>
      <c r="Y2147">
        <f t="shared" si="425"/>
        <v>1</v>
      </c>
      <c r="Z2147">
        <f t="shared" si="422"/>
        <v>0</v>
      </c>
      <c r="AA2147">
        <f t="shared" si="437"/>
        <v>0</v>
      </c>
      <c r="AB2147">
        <f t="shared" si="434"/>
        <v>0</v>
      </c>
    </row>
    <row r="2148" spans="1:28">
      <c r="A2148" s="27">
        <v>45554</v>
      </c>
      <c r="B2148" s="24">
        <v>2003.74</v>
      </c>
      <c r="C2148" s="25">
        <f t="shared" si="430"/>
        <v>7.4865616218932498E-5</v>
      </c>
      <c r="E2148" s="25">
        <f t="shared" si="426"/>
        <v>0.36268055820026657</v>
      </c>
      <c r="F2148" s="25">
        <f t="shared" si="423"/>
        <v>0.28244342350989826</v>
      </c>
      <c r="G2148" s="25">
        <f t="shared" ref="G2148:G2211" si="438">((B2148/B1411)^(1/3))-1</f>
        <v>0.16730855115697008</v>
      </c>
      <c r="H2148" s="25">
        <f t="shared" si="435"/>
        <v>0.28667135105794883</v>
      </c>
      <c r="I2148" s="25">
        <f t="shared" si="432"/>
        <v>0.21626044420478596</v>
      </c>
      <c r="K2148" s="29">
        <v>45554</v>
      </c>
      <c r="L2148" s="24">
        <v>37642.28</v>
      </c>
      <c r="M2148" s="25">
        <f t="shared" si="431"/>
        <v>-1.8558918322694742E-3</v>
      </c>
      <c r="O2148" t="b">
        <f t="shared" si="429"/>
        <v>1</v>
      </c>
      <c r="Q2148" s="25">
        <f t="shared" si="427"/>
        <v>0.36320912729841992</v>
      </c>
      <c r="R2148" s="25">
        <f t="shared" si="424"/>
        <v>0.2624363932478182</v>
      </c>
      <c r="S2148" s="25">
        <f t="shared" ref="S2148:S2211" si="439">((L2148/L1411)^(1/3))-1</f>
        <v>0.18077623921753228</v>
      </c>
      <c r="T2148" s="25">
        <f t="shared" si="436"/>
        <v>0.29128829779374787</v>
      </c>
      <c r="U2148" s="25">
        <f t="shared" si="433"/>
        <v>0.22168786594666789</v>
      </c>
      <c r="X2148">
        <f t="shared" si="428"/>
        <v>0</v>
      </c>
      <c r="Y2148">
        <f t="shared" si="425"/>
        <v>1</v>
      </c>
      <c r="Z2148">
        <f t="shared" ref="Z2148:Z2211" si="440">IF(G2148&gt;S2148,1,0)</f>
        <v>0</v>
      </c>
      <c r="AA2148">
        <f t="shared" si="437"/>
        <v>0</v>
      </c>
      <c r="AB2148">
        <f t="shared" si="434"/>
        <v>0</v>
      </c>
    </row>
    <row r="2149" spans="1:28">
      <c r="A2149" s="26">
        <v>45555</v>
      </c>
      <c r="B2149" s="23">
        <v>2028.32</v>
      </c>
      <c r="C2149" s="25">
        <f t="shared" si="430"/>
        <v>1.2267060596684164E-2</v>
      </c>
      <c r="E2149" s="25">
        <f t="shared" si="426"/>
        <v>0.387426210557277</v>
      </c>
      <c r="F2149" s="25">
        <f t="shared" si="423"/>
        <v>0.2889371667088656</v>
      </c>
      <c r="G2149" s="25">
        <f t="shared" si="438"/>
        <v>0.1704355513425424</v>
      </c>
      <c r="H2149" s="25">
        <f t="shared" si="435"/>
        <v>0.28233481091895785</v>
      </c>
      <c r="I2149" s="25">
        <f t="shared" si="432"/>
        <v>0.21217955306452208</v>
      </c>
      <c r="K2149" s="28">
        <v>45555</v>
      </c>
      <c r="L2149" s="23">
        <v>38179.29</v>
      </c>
      <c r="M2149" s="25">
        <f t="shared" si="431"/>
        <v>1.4065478954689885E-2</v>
      </c>
      <c r="O2149" t="b">
        <f t="shared" si="429"/>
        <v>1</v>
      </c>
      <c r="Q2149" s="25">
        <f t="shared" si="427"/>
        <v>0.38673576017815048</v>
      </c>
      <c r="R2149" s="25">
        <f t="shared" si="424"/>
        <v>0.26931641674849516</v>
      </c>
      <c r="S2149" s="25">
        <f t="shared" si="439"/>
        <v>0.18519397246028713</v>
      </c>
      <c r="T2149" s="25">
        <f t="shared" si="436"/>
        <v>0.28832582292474385</v>
      </c>
      <c r="U2149" s="25">
        <f t="shared" si="433"/>
        <v>0.21846677540065151</v>
      </c>
      <c r="X2149">
        <f t="shared" si="428"/>
        <v>1</v>
      </c>
      <c r="Y2149">
        <f t="shared" si="425"/>
        <v>1</v>
      </c>
      <c r="Z2149">
        <f t="shared" si="440"/>
        <v>0</v>
      </c>
      <c r="AA2149">
        <f t="shared" si="437"/>
        <v>0</v>
      </c>
      <c r="AB2149">
        <f t="shared" si="434"/>
        <v>0</v>
      </c>
    </row>
    <row r="2150" spans="1:28">
      <c r="A2150" s="27">
        <v>45558</v>
      </c>
      <c r="B2150" s="24">
        <v>2044.02</v>
      </c>
      <c r="C2150" s="25">
        <f t="shared" si="430"/>
        <v>7.7403959927427853E-3</v>
      </c>
      <c r="E2150" s="25">
        <f t="shared" si="426"/>
        <v>0.41155753214645796</v>
      </c>
      <c r="F2150" s="25">
        <f t="shared" si="423"/>
        <v>0.2836117488115244</v>
      </c>
      <c r="G2150" s="25">
        <f t="shared" si="438"/>
        <v>0.16891592129607647</v>
      </c>
      <c r="H2150" s="25">
        <f t="shared" si="435"/>
        <v>0.27805193566087927</v>
      </c>
      <c r="I2150" s="25">
        <f t="shared" si="432"/>
        <v>0.21463704664705352</v>
      </c>
      <c r="K2150" s="29">
        <v>45558</v>
      </c>
      <c r="L2150" s="24">
        <v>38472.29</v>
      </c>
      <c r="M2150" s="25">
        <f t="shared" si="431"/>
        <v>7.6158710594040543E-3</v>
      </c>
      <c r="O2150" t="b">
        <f t="shared" si="429"/>
        <v>1</v>
      </c>
      <c r="Q2150" s="25">
        <f t="shared" si="427"/>
        <v>0.41051550594786357</v>
      </c>
      <c r="R2150" s="25">
        <f t="shared" si="424"/>
        <v>0.26686359375536961</v>
      </c>
      <c r="S2150" s="25">
        <f t="shared" si="439"/>
        <v>0.18259124049849884</v>
      </c>
      <c r="T2150" s="25">
        <f t="shared" si="436"/>
        <v>0.2847236785859304</v>
      </c>
      <c r="U2150" s="25">
        <f t="shared" si="433"/>
        <v>0.22063484600167937</v>
      </c>
      <c r="X2150">
        <f t="shared" si="428"/>
        <v>1</v>
      </c>
      <c r="Y2150">
        <f t="shared" si="425"/>
        <v>1</v>
      </c>
      <c r="Z2150">
        <f t="shared" si="440"/>
        <v>0</v>
      </c>
      <c r="AA2150">
        <f t="shared" si="437"/>
        <v>0</v>
      </c>
      <c r="AB2150">
        <f t="shared" si="434"/>
        <v>0</v>
      </c>
    </row>
    <row r="2151" spans="1:28">
      <c r="A2151" s="26">
        <v>45559</v>
      </c>
      <c r="B2151" s="23">
        <v>2045.68</v>
      </c>
      <c r="C2151" s="25">
        <f t="shared" si="430"/>
        <v>8.1212512597728093E-4</v>
      </c>
      <c r="E2151" s="25">
        <f t="shared" si="426"/>
        <v>0.42692326471962772</v>
      </c>
      <c r="F2151" s="25">
        <f t="shared" si="423"/>
        <v>0.28742162685022254</v>
      </c>
      <c r="G2151" s="25">
        <f t="shared" si="438"/>
        <v>0.16922313494833063</v>
      </c>
      <c r="H2151" s="25">
        <f t="shared" si="435"/>
        <v>0.27949878129788042</v>
      </c>
      <c r="I2151" s="25">
        <f t="shared" si="432"/>
        <v>0.21903842179932442</v>
      </c>
      <c r="K2151" s="28">
        <v>45559</v>
      </c>
      <c r="L2151" s="23">
        <v>38488.870000000003</v>
      </c>
      <c r="M2151" s="25">
        <f t="shared" si="431"/>
        <v>4.307738834629789E-4</v>
      </c>
      <c r="O2151" t="b">
        <f t="shared" si="429"/>
        <v>1</v>
      </c>
      <c r="Q2151" s="25">
        <f t="shared" si="427"/>
        <v>0.42300920749850635</v>
      </c>
      <c r="R2151" s="25">
        <f t="shared" si="424"/>
        <v>0.27162251638537049</v>
      </c>
      <c r="S2151" s="25">
        <f t="shared" si="439"/>
        <v>0.18310993575759849</v>
      </c>
      <c r="T2151" s="25">
        <f t="shared" si="436"/>
        <v>0.28522556800892618</v>
      </c>
      <c r="U2151" s="25">
        <f t="shared" si="433"/>
        <v>0.22413363603450298</v>
      </c>
      <c r="X2151">
        <f t="shared" si="428"/>
        <v>1</v>
      </c>
      <c r="Y2151">
        <f t="shared" si="425"/>
        <v>1</v>
      </c>
      <c r="Z2151">
        <f t="shared" si="440"/>
        <v>0</v>
      </c>
      <c r="AA2151">
        <f t="shared" si="437"/>
        <v>0</v>
      </c>
      <c r="AB2151">
        <f t="shared" si="434"/>
        <v>0</v>
      </c>
    </row>
    <row r="2152" spans="1:28">
      <c r="A2152" s="27">
        <v>45560</v>
      </c>
      <c r="B2152" s="24">
        <v>2045.53</v>
      </c>
      <c r="C2152" s="25">
        <f t="shared" si="430"/>
        <v>-7.3325251261238778E-5</v>
      </c>
      <c r="E2152" s="25">
        <f t="shared" si="426"/>
        <v>0.4320027442524712</v>
      </c>
      <c r="F2152" s="25">
        <f t="shared" si="423"/>
        <v>0.28888953143600649</v>
      </c>
      <c r="G2152" s="25">
        <f t="shared" si="438"/>
        <v>0.17069972159823021</v>
      </c>
      <c r="H2152" s="25">
        <f t="shared" si="435"/>
        <v>0.27893946884421594</v>
      </c>
      <c r="I2152" s="25">
        <f t="shared" si="432"/>
        <v>0.21482902467629383</v>
      </c>
      <c r="K2152" s="29">
        <v>45560</v>
      </c>
      <c r="L2152" s="24">
        <v>38460.31</v>
      </c>
      <c r="M2152" s="25">
        <f t="shared" si="431"/>
        <v>-7.4258371812408559E-4</v>
      </c>
      <c r="O2152" t="b">
        <f t="shared" si="429"/>
        <v>1</v>
      </c>
      <c r="Q2152" s="25">
        <f t="shared" si="427"/>
        <v>0.42545638512956319</v>
      </c>
      <c r="R2152" s="25">
        <f t="shared" si="424"/>
        <v>0.27218929115271262</v>
      </c>
      <c r="S2152" s="25">
        <f t="shared" si="439"/>
        <v>0.18289306817524742</v>
      </c>
      <c r="T2152" s="25">
        <f t="shared" si="436"/>
        <v>0.28422917520136992</v>
      </c>
      <c r="U2152" s="25">
        <f t="shared" si="433"/>
        <v>0.22135851840825738</v>
      </c>
      <c r="X2152">
        <f t="shared" si="428"/>
        <v>1</v>
      </c>
      <c r="Y2152">
        <f t="shared" si="425"/>
        <v>1</v>
      </c>
      <c r="Z2152">
        <f t="shared" si="440"/>
        <v>0</v>
      </c>
      <c r="AA2152">
        <f t="shared" si="437"/>
        <v>0</v>
      </c>
      <c r="AB2152">
        <f t="shared" si="434"/>
        <v>0</v>
      </c>
    </row>
    <row r="2153" spans="1:28">
      <c r="A2153" s="26">
        <v>45561</v>
      </c>
      <c r="B2153" s="23">
        <v>2058.02</v>
      </c>
      <c r="C2153" s="25">
        <f t="shared" si="430"/>
        <v>6.1059969787781209E-3</v>
      </c>
      <c r="E2153" s="25">
        <f t="shared" si="426"/>
        <v>0.43854106232918344</v>
      </c>
      <c r="F2153" s="25">
        <f t="shared" si="423"/>
        <v>0.30467057854153423</v>
      </c>
      <c r="G2153" s="25">
        <f t="shared" si="438"/>
        <v>0.17686227691017042</v>
      </c>
      <c r="H2153" s="25">
        <f t="shared" si="435"/>
        <v>0.27678230647867363</v>
      </c>
      <c r="I2153" s="25">
        <f t="shared" si="432"/>
        <v>0.21830108252153213</v>
      </c>
      <c r="K2153" s="28">
        <v>45561</v>
      </c>
      <c r="L2153" s="23">
        <v>38658.58</v>
      </c>
      <c r="M2153" s="25">
        <f t="shared" si="431"/>
        <v>5.1287450289173595E-3</v>
      </c>
      <c r="O2153" t="b">
        <f t="shared" si="429"/>
        <v>1</v>
      </c>
      <c r="Q2153" s="25">
        <f t="shared" si="427"/>
        <v>0.43182842613460637</v>
      </c>
      <c r="R2153" s="25">
        <f t="shared" si="424"/>
        <v>0.28716828847863174</v>
      </c>
      <c r="S2153" s="25">
        <f t="shared" si="439"/>
        <v>0.18734668499811025</v>
      </c>
      <c r="T2153" s="25">
        <f t="shared" si="436"/>
        <v>0.28178655598414726</v>
      </c>
      <c r="U2153" s="25">
        <f t="shared" si="433"/>
        <v>0.22386728018515734</v>
      </c>
      <c r="X2153">
        <f t="shared" si="428"/>
        <v>1</v>
      </c>
      <c r="Y2153">
        <f t="shared" si="425"/>
        <v>1</v>
      </c>
      <c r="Z2153">
        <f t="shared" si="440"/>
        <v>0</v>
      </c>
      <c r="AA2153">
        <f t="shared" si="437"/>
        <v>0</v>
      </c>
      <c r="AB2153">
        <f t="shared" si="434"/>
        <v>0</v>
      </c>
    </row>
    <row r="2154" spans="1:28">
      <c r="A2154" s="27">
        <v>45562</v>
      </c>
      <c r="B2154" s="24">
        <v>2058.5</v>
      </c>
      <c r="C2154" s="25">
        <f t="shared" si="430"/>
        <v>2.3323388499626739E-4</v>
      </c>
      <c r="E2154" s="25">
        <f t="shared" si="426"/>
        <v>0.44254689941765535</v>
      </c>
      <c r="F2154" s="25">
        <f t="shared" si="423"/>
        <v>0.31857018837757312</v>
      </c>
      <c r="G2154" s="25">
        <f t="shared" si="438"/>
        <v>0.17640120689894112</v>
      </c>
      <c r="H2154" s="25">
        <f t="shared" si="435"/>
        <v>0.27532797827064703</v>
      </c>
      <c r="I2154" s="25">
        <f t="shared" si="432"/>
        <v>0.22042442645620697</v>
      </c>
      <c r="K2154" s="29">
        <v>45562</v>
      </c>
      <c r="L2154" s="24">
        <v>38646.949999999997</v>
      </c>
      <c r="M2154" s="25">
        <f t="shared" si="431"/>
        <v>-3.0092931007504232E-4</v>
      </c>
      <c r="O2154" t="b">
        <f t="shared" si="429"/>
        <v>1</v>
      </c>
      <c r="Q2154" s="25">
        <f t="shared" si="427"/>
        <v>0.43105050729467509</v>
      </c>
      <c r="R2154" s="25">
        <f t="shared" si="424"/>
        <v>0.30139923034981431</v>
      </c>
      <c r="S2154" s="25">
        <f t="shared" si="439"/>
        <v>0.18745456858567056</v>
      </c>
      <c r="T2154" s="25">
        <f t="shared" si="436"/>
        <v>0.27984758790324449</v>
      </c>
      <c r="U2154" s="25">
        <f t="shared" si="433"/>
        <v>0.22522277099917831</v>
      </c>
      <c r="X2154">
        <f t="shared" si="428"/>
        <v>1</v>
      </c>
      <c r="Y2154">
        <f t="shared" si="425"/>
        <v>1</v>
      </c>
      <c r="Z2154">
        <f t="shared" si="440"/>
        <v>0</v>
      </c>
      <c r="AA2154">
        <f t="shared" si="437"/>
        <v>0</v>
      </c>
      <c r="AB2154">
        <f t="shared" si="434"/>
        <v>0</v>
      </c>
    </row>
    <row r="2155" spans="1:28">
      <c r="A2155" s="26">
        <v>45565</v>
      </c>
      <c r="B2155" s="23">
        <v>2039.8</v>
      </c>
      <c r="C2155" s="25">
        <f t="shared" si="430"/>
        <v>-9.0842846733058275E-3</v>
      </c>
      <c r="E2155" s="25">
        <f t="shared" si="426"/>
        <v>0.42606458468787811</v>
      </c>
      <c r="F2155" s="25">
        <f t="shared" si="423"/>
        <v>0.3132608189188284</v>
      </c>
      <c r="G2155" s="25">
        <f t="shared" si="438"/>
        <v>0.17358971183216876</v>
      </c>
      <c r="H2155" s="25">
        <f t="shared" si="435"/>
        <v>0.26977425787862552</v>
      </c>
      <c r="I2155" s="25">
        <f t="shared" si="432"/>
        <v>0.221269490619729</v>
      </c>
      <c r="K2155" s="28">
        <v>45565</v>
      </c>
      <c r="L2155" s="23">
        <v>38261.39</v>
      </c>
      <c r="M2155" s="25">
        <f t="shared" si="431"/>
        <v>-1.007699929354364E-2</v>
      </c>
      <c r="O2155" t="b">
        <f t="shared" si="429"/>
        <v>1</v>
      </c>
      <c r="Q2155" s="25">
        <f t="shared" si="427"/>
        <v>0.41147450934966434</v>
      </c>
      <c r="R2155" s="25">
        <f t="shared" si="424"/>
        <v>0.2948214826188551</v>
      </c>
      <c r="S2155" s="25">
        <f t="shared" si="439"/>
        <v>0.18438996298165256</v>
      </c>
      <c r="T2155" s="25">
        <f t="shared" si="436"/>
        <v>0.2731110596045645</v>
      </c>
      <c r="U2155" s="25">
        <f t="shared" si="433"/>
        <v>0.22552303581962208</v>
      </c>
      <c r="X2155">
        <f t="shared" si="428"/>
        <v>1</v>
      </c>
      <c r="Y2155">
        <f t="shared" si="425"/>
        <v>1</v>
      </c>
      <c r="Z2155">
        <f t="shared" si="440"/>
        <v>0</v>
      </c>
      <c r="AA2155">
        <f t="shared" si="437"/>
        <v>0</v>
      </c>
      <c r="AB2155">
        <f t="shared" si="434"/>
        <v>0</v>
      </c>
    </row>
    <row r="2156" spans="1:28">
      <c r="A2156" s="27">
        <v>45566</v>
      </c>
      <c r="B2156" s="24">
        <v>2042.9</v>
      </c>
      <c r="C2156" s="25">
        <f t="shared" si="430"/>
        <v>1.5197568389058421E-3</v>
      </c>
      <c r="E2156" s="25">
        <f t="shared" si="426"/>
        <v>0.42533210538066535</v>
      </c>
      <c r="F2156" s="25">
        <f t="shared" si="423"/>
        <v>0.31730249876371497</v>
      </c>
      <c r="G2156" s="25">
        <f t="shared" si="438"/>
        <v>0.17514076352516605</v>
      </c>
      <c r="H2156" s="25">
        <f t="shared" si="435"/>
        <v>0.26967833527095308</v>
      </c>
      <c r="I2156" s="25">
        <f t="shared" si="432"/>
        <v>0.22303805026333157</v>
      </c>
      <c r="K2156" s="29">
        <v>45566</v>
      </c>
      <c r="L2156" s="24">
        <v>38302.54</v>
      </c>
      <c r="M2156" s="25">
        <f t="shared" si="431"/>
        <v>1.0743412838940044E-3</v>
      </c>
      <c r="O2156" t="b">
        <f t="shared" si="429"/>
        <v>1</v>
      </c>
      <c r="Q2156" s="25">
        <f t="shared" si="427"/>
        <v>0.4169468928008333</v>
      </c>
      <c r="R2156" s="25">
        <f t="shared" si="424"/>
        <v>0.3002359493612301</v>
      </c>
      <c r="S2156" s="25">
        <f t="shared" si="439"/>
        <v>0.18583175372855809</v>
      </c>
      <c r="T2156" s="25">
        <f t="shared" si="436"/>
        <v>0.27239200956989307</v>
      </c>
      <c r="U2156" s="25">
        <f t="shared" si="433"/>
        <v>0.22679813957995654</v>
      </c>
      <c r="X2156">
        <f t="shared" si="428"/>
        <v>1</v>
      </c>
      <c r="Y2156">
        <f t="shared" si="425"/>
        <v>1</v>
      </c>
      <c r="Z2156">
        <f t="shared" si="440"/>
        <v>0</v>
      </c>
      <c r="AA2156">
        <f t="shared" si="437"/>
        <v>0</v>
      </c>
      <c r="AB2156">
        <f t="shared" si="434"/>
        <v>0</v>
      </c>
    </row>
    <row r="2157" spans="1:28">
      <c r="A2157" s="26">
        <v>45568</v>
      </c>
      <c r="B2157" s="23">
        <v>1999.95</v>
      </c>
      <c r="C2157" s="25">
        <f t="shared" si="430"/>
        <v>-2.1024034460815529E-2</v>
      </c>
      <c r="E2157" s="25">
        <f t="shared" si="426"/>
        <v>0.39996639996640004</v>
      </c>
      <c r="F2157" s="25">
        <f t="shared" si="423"/>
        <v>0.30278399947056878</v>
      </c>
      <c r="G2157" s="25">
        <f t="shared" si="438"/>
        <v>0.16214248009318077</v>
      </c>
      <c r="H2157" s="25">
        <f t="shared" si="435"/>
        <v>0.2609951288611454</v>
      </c>
      <c r="I2157" s="25">
        <f t="shared" si="432"/>
        <v>0.2218150422705889</v>
      </c>
      <c r="K2157" s="28">
        <v>45568</v>
      </c>
      <c r="L2157" s="23">
        <v>37488.51</v>
      </c>
      <c r="M2157" s="25">
        <f t="shared" si="431"/>
        <v>-2.1714119872995721E-2</v>
      </c>
      <c r="O2157" t="b">
        <f t="shared" si="429"/>
        <v>1</v>
      </c>
      <c r="Q2157" s="25">
        <f t="shared" si="427"/>
        <v>0.38990368537469577</v>
      </c>
      <c r="R2157" s="25">
        <f t="shared" si="424"/>
        <v>0.28714178311171823</v>
      </c>
      <c r="S2157" s="25">
        <f t="shared" si="439"/>
        <v>0.1730329878585608</v>
      </c>
      <c r="T2157" s="25">
        <f t="shared" si="436"/>
        <v>0.26370485601434357</v>
      </c>
      <c r="U2157" s="25">
        <f t="shared" si="433"/>
        <v>0.2243938277085531</v>
      </c>
      <c r="X2157">
        <f t="shared" si="428"/>
        <v>1</v>
      </c>
      <c r="Y2157">
        <f t="shared" si="425"/>
        <v>1</v>
      </c>
      <c r="Z2157">
        <f t="shared" si="440"/>
        <v>0</v>
      </c>
      <c r="AA2157">
        <f t="shared" si="437"/>
        <v>0</v>
      </c>
      <c r="AB2157">
        <f t="shared" si="434"/>
        <v>0</v>
      </c>
    </row>
    <row r="2158" spans="1:28">
      <c r="A2158" s="27">
        <v>45569</v>
      </c>
      <c r="B2158" s="24">
        <v>1983.46</v>
      </c>
      <c r="C2158" s="25">
        <f t="shared" si="430"/>
        <v>-8.2452061301532577E-3</v>
      </c>
      <c r="E2158" s="25">
        <f t="shared" si="426"/>
        <v>0.40321610742053471</v>
      </c>
      <c r="F2158" s="25">
        <f t="shared" si="423"/>
        <v>0.28648695628873377</v>
      </c>
      <c r="G2158" s="25">
        <f t="shared" si="438"/>
        <v>0.15740959148377098</v>
      </c>
      <c r="H2158" s="25">
        <f t="shared" si="435"/>
        <v>0.25669910992195666</v>
      </c>
      <c r="I2158" s="25">
        <f t="shared" si="432"/>
        <v>0.22077239199386889</v>
      </c>
      <c r="K2158" s="29">
        <v>45569</v>
      </c>
      <c r="L2158" s="24">
        <v>37140.49</v>
      </c>
      <c r="M2158" s="25">
        <f t="shared" si="431"/>
        <v>-9.3703664114287155E-3</v>
      </c>
      <c r="O2158" t="b">
        <f t="shared" si="429"/>
        <v>1</v>
      </c>
      <c r="Q2158" s="25">
        <f t="shared" si="427"/>
        <v>0.38756016790975067</v>
      </c>
      <c r="R2158" s="25">
        <f t="shared" si="424"/>
        <v>0.27131742515062851</v>
      </c>
      <c r="S2158" s="25">
        <f t="shared" si="439"/>
        <v>0.16686099293423284</v>
      </c>
      <c r="T2158" s="25">
        <f t="shared" si="436"/>
        <v>0.25952159874777725</v>
      </c>
      <c r="U2158" s="25">
        <f t="shared" si="433"/>
        <v>0.22348700481449102</v>
      </c>
      <c r="X2158">
        <f t="shared" si="428"/>
        <v>1</v>
      </c>
      <c r="Y2158">
        <f t="shared" si="425"/>
        <v>1</v>
      </c>
      <c r="Z2158">
        <f t="shared" si="440"/>
        <v>0</v>
      </c>
      <c r="AA2158">
        <f t="shared" si="437"/>
        <v>0</v>
      </c>
      <c r="AB2158">
        <f t="shared" si="434"/>
        <v>0</v>
      </c>
    </row>
    <row r="2159" spans="1:28">
      <c r="A2159" s="26">
        <v>45572</v>
      </c>
      <c r="B2159" s="23">
        <v>1962.3</v>
      </c>
      <c r="C2159" s="25">
        <f t="shared" si="430"/>
        <v>-1.066822623092983E-2</v>
      </c>
      <c r="E2159" s="25">
        <f t="shared" si="426"/>
        <v>0.38283628368474454</v>
      </c>
      <c r="F2159" s="25">
        <f t="shared" ref="F2159:F2222" si="441">((B2159/B1667)^(1/2))-1</f>
        <v>0.28592574267489534</v>
      </c>
      <c r="G2159" s="25">
        <f t="shared" si="438"/>
        <v>0.15660365768596707</v>
      </c>
      <c r="H2159" s="25">
        <f t="shared" si="435"/>
        <v>0.2536217228719444</v>
      </c>
      <c r="I2159" s="25">
        <f t="shared" si="432"/>
        <v>0.21296500972295274</v>
      </c>
      <c r="K2159" s="28">
        <v>45572</v>
      </c>
      <c r="L2159" s="23">
        <v>36583.47</v>
      </c>
      <c r="M2159" s="25">
        <f t="shared" si="431"/>
        <v>-1.5226002344774751E-2</v>
      </c>
      <c r="O2159" t="b">
        <f t="shared" si="429"/>
        <v>1</v>
      </c>
      <c r="Q2159" s="25">
        <f t="shared" si="427"/>
        <v>0.36097244124806238</v>
      </c>
      <c r="R2159" s="25">
        <f t="shared" ref="R2159:R2222" si="442">((L2159/L1667)^(1/2))-1</f>
        <v>0.26994504076514714</v>
      </c>
      <c r="S2159" s="25">
        <f t="shared" si="439"/>
        <v>0.16470917542640651</v>
      </c>
      <c r="T2159" s="25">
        <f t="shared" si="436"/>
        <v>0.25492670422963815</v>
      </c>
      <c r="U2159" s="25">
        <f t="shared" si="433"/>
        <v>0.21612402905530104</v>
      </c>
      <c r="X2159">
        <f t="shared" si="428"/>
        <v>1</v>
      </c>
      <c r="Y2159">
        <f t="shared" ref="Y2159:Y2222" si="443">IF(F2159&gt;R2159,1,0)</f>
        <v>1</v>
      </c>
      <c r="Z2159">
        <f t="shared" si="440"/>
        <v>0</v>
      </c>
      <c r="AA2159">
        <f t="shared" si="437"/>
        <v>0</v>
      </c>
      <c r="AB2159">
        <f t="shared" si="434"/>
        <v>0</v>
      </c>
    </row>
    <row r="2160" spans="1:28">
      <c r="A2160" s="27">
        <v>45573</v>
      </c>
      <c r="B2160" s="24">
        <v>1982.55</v>
      </c>
      <c r="C2160" s="25">
        <f t="shared" si="430"/>
        <v>1.0319523008714264E-2</v>
      </c>
      <c r="E2160" s="25">
        <f t="shared" si="426"/>
        <v>0.38738820697280563</v>
      </c>
      <c r="F2160" s="25">
        <f t="shared" si="441"/>
        <v>0.2792192560422071</v>
      </c>
      <c r="G2160" s="25">
        <f t="shared" si="438"/>
        <v>0.15630231573227582</v>
      </c>
      <c r="H2160" s="25">
        <f t="shared" si="435"/>
        <v>0.25772297309963199</v>
      </c>
      <c r="I2160" s="25">
        <f t="shared" si="432"/>
        <v>0.21848619166396133</v>
      </c>
      <c r="K2160" s="29">
        <v>45573</v>
      </c>
      <c r="L2160" s="24">
        <v>37105.17</v>
      </c>
      <c r="M2160" s="25">
        <f t="shared" si="431"/>
        <v>1.4060035299663015E-2</v>
      </c>
      <c r="O2160" t="b">
        <f t="shared" si="429"/>
        <v>1</v>
      </c>
      <c r="Q2160" s="25">
        <f t="shared" si="427"/>
        <v>0.37257322360689349</v>
      </c>
      <c r="R2160" s="25">
        <f t="shared" si="442"/>
        <v>0.26490509837927601</v>
      </c>
      <c r="S2160" s="25">
        <f t="shared" si="439"/>
        <v>0.16623545024253872</v>
      </c>
      <c r="T2160" s="25">
        <f t="shared" si="436"/>
        <v>0.25966334997380658</v>
      </c>
      <c r="U2160" s="25">
        <f t="shared" si="433"/>
        <v>0.22131328503145142</v>
      </c>
      <c r="X2160">
        <f t="shared" si="428"/>
        <v>1</v>
      </c>
      <c r="Y2160">
        <f t="shared" si="443"/>
        <v>1</v>
      </c>
      <c r="Z2160">
        <f t="shared" si="440"/>
        <v>0</v>
      </c>
      <c r="AA2160">
        <f t="shared" si="437"/>
        <v>0</v>
      </c>
      <c r="AB2160">
        <f t="shared" si="434"/>
        <v>0</v>
      </c>
    </row>
    <row r="2161" spans="1:28">
      <c r="A2161" s="26">
        <v>45574</v>
      </c>
      <c r="B2161" s="23">
        <v>1997.95</v>
      </c>
      <c r="C2161" s="25">
        <f t="shared" si="430"/>
        <v>7.7677738266374577E-3</v>
      </c>
      <c r="E2161" s="25">
        <f t="shared" si="426"/>
        <v>0.40997593524392917</v>
      </c>
      <c r="F2161" s="25">
        <f t="shared" si="441"/>
        <v>0.27947125302392739</v>
      </c>
      <c r="G2161" s="25">
        <f t="shared" si="438"/>
        <v>0.15795068177922578</v>
      </c>
      <c r="H2161" s="25">
        <f t="shared" si="435"/>
        <v>0.25885744984616887</v>
      </c>
      <c r="I2161" s="25">
        <f t="shared" si="432"/>
        <v>0.21863481191312695</v>
      </c>
      <c r="K2161" s="28">
        <v>45574</v>
      </c>
      <c r="L2161" s="23">
        <v>37242.54</v>
      </c>
      <c r="M2161" s="25">
        <f t="shared" si="431"/>
        <v>3.6885239298931442E-3</v>
      </c>
      <c r="O2161" t="b">
        <f t="shared" si="429"/>
        <v>1</v>
      </c>
      <c r="Q2161" s="25">
        <f t="shared" si="427"/>
        <v>0.39099908679892215</v>
      </c>
      <c r="R2161" s="25">
        <f t="shared" si="442"/>
        <v>0.26356815755757701</v>
      </c>
      <c r="S2161" s="25">
        <f t="shared" si="439"/>
        <v>0.16576962501824966</v>
      </c>
      <c r="T2161" s="25">
        <f t="shared" si="436"/>
        <v>0.25990233454724709</v>
      </c>
      <c r="U2161" s="25">
        <f t="shared" si="433"/>
        <v>0.2209147172398831</v>
      </c>
      <c r="X2161">
        <f t="shared" si="428"/>
        <v>1</v>
      </c>
      <c r="Y2161">
        <f t="shared" si="443"/>
        <v>1</v>
      </c>
      <c r="Z2161">
        <f t="shared" si="440"/>
        <v>0</v>
      </c>
      <c r="AA2161">
        <f t="shared" si="437"/>
        <v>0</v>
      </c>
      <c r="AB2161">
        <f t="shared" si="434"/>
        <v>0</v>
      </c>
    </row>
    <row r="2162" spans="1:28">
      <c r="A2162" s="27">
        <v>45575</v>
      </c>
      <c r="B2162" s="24">
        <v>1993.63</v>
      </c>
      <c r="C2162" s="25">
        <f t="shared" si="430"/>
        <v>-2.1622162716784387E-3</v>
      </c>
      <c r="E2162" s="25">
        <f t="shared" si="426"/>
        <v>0.39017077031427605</v>
      </c>
      <c r="F2162" s="25">
        <f t="shared" si="441"/>
        <v>0.27932476956434038</v>
      </c>
      <c r="G2162" s="25">
        <f t="shared" si="438"/>
        <v>0.15529285808558457</v>
      </c>
      <c r="H2162" s="25">
        <f t="shared" si="435"/>
        <v>0.26491582268465019</v>
      </c>
      <c r="I2162" s="25">
        <f t="shared" si="432"/>
        <v>0.21701899128848856</v>
      </c>
      <c r="K2162" s="29">
        <v>45575</v>
      </c>
      <c r="L2162" s="24">
        <v>37240.29</v>
      </c>
      <c r="M2162" s="25">
        <f t="shared" si="431"/>
        <v>-6.0418433905858411E-5</v>
      </c>
      <c r="O2162" t="b">
        <f t="shared" si="429"/>
        <v>1</v>
      </c>
      <c r="Q2162" s="25">
        <f t="shared" si="427"/>
        <v>0.37679482885213034</v>
      </c>
      <c r="R2162" s="25">
        <f t="shared" si="442"/>
        <v>0.26421631483128194</v>
      </c>
      <c r="S2162" s="25">
        <f t="shared" si="439"/>
        <v>0.16416206297741587</v>
      </c>
      <c r="T2162" s="25">
        <f t="shared" si="436"/>
        <v>0.26686127842496932</v>
      </c>
      <c r="U2162" s="25">
        <f t="shared" si="433"/>
        <v>0.22006941869504537</v>
      </c>
      <c r="X2162">
        <f t="shared" si="428"/>
        <v>1</v>
      </c>
      <c r="Y2162">
        <f t="shared" si="443"/>
        <v>1</v>
      </c>
      <c r="Z2162">
        <f t="shared" si="440"/>
        <v>0</v>
      </c>
      <c r="AA2162">
        <f t="shared" si="437"/>
        <v>0</v>
      </c>
      <c r="AB2162">
        <f t="shared" si="434"/>
        <v>0</v>
      </c>
    </row>
    <row r="2163" spans="1:28">
      <c r="A2163" s="26">
        <v>45576</v>
      </c>
      <c r="B2163" s="23">
        <v>1997.28</v>
      </c>
      <c r="C2163" s="25">
        <f t="shared" si="430"/>
        <v>1.8308311973635346E-3</v>
      </c>
      <c r="E2163" s="25">
        <f t="shared" si="426"/>
        <v>0.38631646896321947</v>
      </c>
      <c r="F2163" s="25">
        <f t="shared" si="441"/>
        <v>0.28253960643383369</v>
      </c>
      <c r="G2163" s="25">
        <f t="shared" si="438"/>
        <v>0.1552057893760217</v>
      </c>
      <c r="H2163" s="25">
        <f t="shared" si="435"/>
        <v>0.2623934143397797</v>
      </c>
      <c r="I2163" s="25">
        <f t="shared" si="432"/>
        <v>0.21589216257126176</v>
      </c>
      <c r="K2163" s="28">
        <v>45576</v>
      </c>
      <c r="L2163" s="23">
        <v>37261.17</v>
      </c>
      <c r="M2163" s="25">
        <f t="shared" si="431"/>
        <v>5.6036887730571484E-4</v>
      </c>
      <c r="O2163" t="b">
        <f t="shared" si="429"/>
        <v>1</v>
      </c>
      <c r="Q2163" s="25">
        <f t="shared" si="427"/>
        <v>0.3693371455031218</v>
      </c>
      <c r="R2163" s="25">
        <f t="shared" si="442"/>
        <v>0.26816214862901555</v>
      </c>
      <c r="S2163" s="25">
        <f t="shared" si="439"/>
        <v>0.16302614165725693</v>
      </c>
      <c r="T2163" s="25">
        <f t="shared" si="436"/>
        <v>0.26452451465401094</v>
      </c>
      <c r="U2163" s="25">
        <f t="shared" si="433"/>
        <v>0.21858754845642347</v>
      </c>
      <c r="X2163">
        <f t="shared" si="428"/>
        <v>1</v>
      </c>
      <c r="Y2163">
        <f t="shared" si="443"/>
        <v>1</v>
      </c>
      <c r="Z2163">
        <f t="shared" si="440"/>
        <v>0</v>
      </c>
      <c r="AA2163">
        <f t="shared" si="437"/>
        <v>0</v>
      </c>
      <c r="AB2163">
        <f t="shared" si="434"/>
        <v>0</v>
      </c>
    </row>
    <row r="2164" spans="1:28">
      <c r="A2164" s="27">
        <v>45579</v>
      </c>
      <c r="B2164" s="24">
        <v>2009.26</v>
      </c>
      <c r="C2164" s="25">
        <f t="shared" si="430"/>
        <v>5.9981574941921105E-3</v>
      </c>
      <c r="E2164" s="25">
        <f t="shared" si="426"/>
        <v>0.39462213337775554</v>
      </c>
      <c r="F2164" s="25">
        <f t="shared" si="441"/>
        <v>0.29683583360514509</v>
      </c>
      <c r="G2164" s="25">
        <f t="shared" si="438"/>
        <v>0.15543367885302684</v>
      </c>
      <c r="H2164" s="25">
        <f t="shared" si="435"/>
        <v>0.26175879761008947</v>
      </c>
      <c r="I2164" s="25">
        <f t="shared" si="432"/>
        <v>0.21695892746355661</v>
      </c>
      <c r="K2164" s="29">
        <v>45579</v>
      </c>
      <c r="L2164" s="24">
        <v>37443.97</v>
      </c>
      <c r="M2164" s="25">
        <f t="shared" si="431"/>
        <v>4.881960967279989E-3</v>
      </c>
      <c r="O2164" t="b">
        <f t="shared" si="429"/>
        <v>1</v>
      </c>
      <c r="Q2164" s="25">
        <f t="shared" si="427"/>
        <v>0.37507716545264591</v>
      </c>
      <c r="R2164" s="25">
        <f t="shared" si="442"/>
        <v>0.28114986287802712</v>
      </c>
      <c r="S2164" s="25">
        <f t="shared" si="439"/>
        <v>0.16120004170417013</v>
      </c>
      <c r="T2164" s="25">
        <f t="shared" si="436"/>
        <v>0.263355980715412</v>
      </c>
      <c r="U2164" s="25">
        <f t="shared" si="433"/>
        <v>0.21904417737246606</v>
      </c>
      <c r="X2164">
        <f t="shared" si="428"/>
        <v>1</v>
      </c>
      <c r="Y2164">
        <f t="shared" si="443"/>
        <v>1</v>
      </c>
      <c r="Z2164">
        <f t="shared" si="440"/>
        <v>0</v>
      </c>
      <c r="AA2164">
        <f t="shared" si="437"/>
        <v>0</v>
      </c>
      <c r="AB2164">
        <f t="shared" si="434"/>
        <v>0</v>
      </c>
    </row>
    <row r="2165" spans="1:28">
      <c r="A2165" s="26">
        <v>45580</v>
      </c>
      <c r="B2165" s="23">
        <v>2013.53</v>
      </c>
      <c r="C2165" s="25">
        <f t="shared" si="430"/>
        <v>2.1251605068532604E-3</v>
      </c>
      <c r="E2165" s="25">
        <f t="shared" si="426"/>
        <v>0.39856637795111505</v>
      </c>
      <c r="F2165" s="25">
        <f t="shared" si="441"/>
        <v>0.29406046292407062</v>
      </c>
      <c r="G2165" s="25">
        <f t="shared" si="438"/>
        <v>0.15444345902000878</v>
      </c>
      <c r="H2165" s="25">
        <f t="shared" si="435"/>
        <v>0.26032340273918786</v>
      </c>
      <c r="I2165" s="25">
        <f t="shared" si="432"/>
        <v>0.21471918690943981</v>
      </c>
      <c r="K2165" s="28">
        <v>45580</v>
      </c>
      <c r="L2165" s="23">
        <v>37457.599999999999</v>
      </c>
      <c r="M2165" s="25">
        <f t="shared" si="431"/>
        <v>3.6387809149538092E-4</v>
      </c>
      <c r="O2165" t="b">
        <f t="shared" si="429"/>
        <v>1</v>
      </c>
      <c r="Q2165" s="25">
        <f t="shared" si="427"/>
        <v>0.37790183530921273</v>
      </c>
      <c r="R2165" s="25">
        <f t="shared" si="442"/>
        <v>0.27670683050758882</v>
      </c>
      <c r="S2165" s="25">
        <f t="shared" si="439"/>
        <v>0.15792293071560604</v>
      </c>
      <c r="T2165" s="25">
        <f t="shared" si="436"/>
        <v>0.26270085039024704</v>
      </c>
      <c r="U2165" s="25">
        <f t="shared" si="433"/>
        <v>0.21611408833311496</v>
      </c>
      <c r="X2165">
        <f t="shared" si="428"/>
        <v>1</v>
      </c>
      <c r="Y2165">
        <f t="shared" si="443"/>
        <v>1</v>
      </c>
      <c r="Z2165">
        <f t="shared" si="440"/>
        <v>0</v>
      </c>
      <c r="AA2165">
        <f t="shared" si="437"/>
        <v>0</v>
      </c>
      <c r="AB2165">
        <f t="shared" si="434"/>
        <v>0</v>
      </c>
    </row>
    <row r="2166" spans="1:28">
      <c r="A2166" s="27">
        <v>45581</v>
      </c>
      <c r="B2166" s="24">
        <v>2011.44</v>
      </c>
      <c r="C2166" s="25">
        <f t="shared" si="430"/>
        <v>-1.0379780783002579E-3</v>
      </c>
      <c r="E2166" s="25">
        <f t="shared" si="426"/>
        <v>0.39663935564504937</v>
      </c>
      <c r="F2166" s="25">
        <f t="shared" si="441"/>
        <v>0.29651404929567171</v>
      </c>
      <c r="G2166" s="25">
        <f t="shared" si="438"/>
        <v>0.15166399658351981</v>
      </c>
      <c r="H2166" s="25">
        <f t="shared" si="435"/>
        <v>0.25848900369964345</v>
      </c>
      <c r="I2166" s="25">
        <f t="shared" si="432"/>
        <v>0.21292231720841204</v>
      </c>
      <c r="K2166" s="29">
        <v>45581</v>
      </c>
      <c r="L2166" s="24">
        <v>37358.9</v>
      </c>
      <c r="M2166" s="25">
        <f t="shared" si="431"/>
        <v>-2.6419407423665334E-3</v>
      </c>
      <c r="O2166" t="b">
        <f t="shared" si="429"/>
        <v>1</v>
      </c>
      <c r="Q2166" s="25">
        <f t="shared" si="427"/>
        <v>0.37406082237166349</v>
      </c>
      <c r="R2166" s="25">
        <f t="shared" si="442"/>
        <v>0.27932923365249618</v>
      </c>
      <c r="S2166" s="25">
        <f t="shared" si="439"/>
        <v>0.15406037571342712</v>
      </c>
      <c r="T2166" s="25">
        <f t="shared" si="436"/>
        <v>0.26110462223644904</v>
      </c>
      <c r="U2166" s="25">
        <f t="shared" si="433"/>
        <v>0.21320248967603561</v>
      </c>
      <c r="X2166">
        <f t="shared" si="428"/>
        <v>1</v>
      </c>
      <c r="Y2166">
        <f t="shared" si="443"/>
        <v>1</v>
      </c>
      <c r="Z2166">
        <f t="shared" si="440"/>
        <v>0</v>
      </c>
      <c r="AA2166">
        <f t="shared" si="437"/>
        <v>0</v>
      </c>
      <c r="AB2166">
        <f t="shared" si="434"/>
        <v>0</v>
      </c>
    </row>
    <row r="2167" spans="1:28">
      <c r="A2167" s="26">
        <v>45582</v>
      </c>
      <c r="B2167" s="23">
        <v>1988.99</v>
      </c>
      <c r="C2167" s="25">
        <f t="shared" si="430"/>
        <v>-1.1161158175237664E-2</v>
      </c>
      <c r="E2167" s="25">
        <f t="shared" si="426"/>
        <v>0.37672090978937245</v>
      </c>
      <c r="F2167" s="25">
        <f t="shared" si="441"/>
        <v>0.2837931390677404</v>
      </c>
      <c r="G2167" s="25">
        <f t="shared" si="438"/>
        <v>0.14986906946581957</v>
      </c>
      <c r="H2167" s="25">
        <f t="shared" si="435"/>
        <v>0.25508006557214125</v>
      </c>
      <c r="I2167" s="25">
        <f t="shared" si="432"/>
        <v>0.2106960271432865</v>
      </c>
      <c r="K2167" s="28">
        <v>45582</v>
      </c>
      <c r="L2167" s="23">
        <v>36891.53</v>
      </c>
      <c r="M2167" s="25">
        <f t="shared" si="431"/>
        <v>-1.2668761637156351E-2</v>
      </c>
      <c r="O2167" t="b">
        <f t="shared" si="429"/>
        <v>1</v>
      </c>
      <c r="Q2167" s="25">
        <f t="shared" si="427"/>
        <v>0.35106738686424355</v>
      </c>
      <c r="R2167" s="25">
        <f t="shared" si="442"/>
        <v>0.26765820591043155</v>
      </c>
      <c r="S2167" s="25">
        <f t="shared" si="439"/>
        <v>0.15233870222850121</v>
      </c>
      <c r="T2167" s="25">
        <f t="shared" si="436"/>
        <v>0.2574956844075218</v>
      </c>
      <c r="U2167" s="25">
        <f t="shared" si="433"/>
        <v>0.21094346828774868</v>
      </c>
      <c r="X2167">
        <f t="shared" si="428"/>
        <v>1</v>
      </c>
      <c r="Y2167">
        <f t="shared" si="443"/>
        <v>1</v>
      </c>
      <c r="Z2167">
        <f t="shared" si="440"/>
        <v>0</v>
      </c>
      <c r="AA2167">
        <f t="shared" si="437"/>
        <v>0</v>
      </c>
      <c r="AB2167">
        <f t="shared" si="434"/>
        <v>0</v>
      </c>
    </row>
    <row r="2168" spans="1:28">
      <c r="A2168" s="27">
        <v>45583</v>
      </c>
      <c r="B2168" s="24">
        <v>1994.07</v>
      </c>
      <c r="C2168" s="25">
        <f t="shared" si="430"/>
        <v>2.5540601008551714E-3</v>
      </c>
      <c r="E2168" s="25">
        <f t="shared" ref="E2168:E2231" si="444">(B2168/B1923)-1</f>
        <v>0.39162264203613617</v>
      </c>
      <c r="F2168" s="25">
        <f t="shared" si="441"/>
        <v>0.28182001384496624</v>
      </c>
      <c r="G2168" s="25">
        <f t="shared" si="438"/>
        <v>0.15436090331194285</v>
      </c>
      <c r="H2168" s="25">
        <f t="shared" si="435"/>
        <v>0.25451739933451645</v>
      </c>
      <c r="I2168" s="25">
        <f t="shared" si="432"/>
        <v>0.21093715542252167</v>
      </c>
      <c r="K2168" s="29">
        <v>45583</v>
      </c>
      <c r="L2168" s="24">
        <v>36994.04</v>
      </c>
      <c r="M2168" s="25">
        <f t="shared" si="431"/>
        <v>2.7709868941051593E-3</v>
      </c>
      <c r="O2168" t="b">
        <f t="shared" si="429"/>
        <v>1</v>
      </c>
      <c r="Q2168" s="25">
        <f t="shared" ref="Q2168:Q2231" si="445">(L2168/L1923)-1</f>
        <v>0.36448499543930413</v>
      </c>
      <c r="R2168" s="25">
        <f t="shared" si="442"/>
        <v>0.26548931009390353</v>
      </c>
      <c r="S2168" s="25">
        <f t="shared" si="439"/>
        <v>0.15805717465394387</v>
      </c>
      <c r="T2168" s="25">
        <f t="shared" si="436"/>
        <v>0.25704191303330637</v>
      </c>
      <c r="U2168" s="25">
        <f t="shared" si="433"/>
        <v>0.21121637197995957</v>
      </c>
      <c r="X2168">
        <f t="shared" ref="X2168:X2231" si="446">IF(E2168&gt;Q2168,1,0)</f>
        <v>1</v>
      </c>
      <c r="Y2168">
        <f t="shared" si="443"/>
        <v>1</v>
      </c>
      <c r="Z2168">
        <f t="shared" si="440"/>
        <v>0</v>
      </c>
      <c r="AA2168">
        <f t="shared" si="437"/>
        <v>0</v>
      </c>
      <c r="AB2168">
        <f t="shared" si="434"/>
        <v>0</v>
      </c>
    </row>
    <row r="2169" spans="1:28">
      <c r="A2169" s="26">
        <v>45586</v>
      </c>
      <c r="B2169" s="23">
        <v>1973.21</v>
      </c>
      <c r="C2169" s="25">
        <f t="shared" si="430"/>
        <v>-1.046101691515338E-2</v>
      </c>
      <c r="E2169" s="25">
        <f t="shared" si="444"/>
        <v>0.38274866505024452</v>
      </c>
      <c r="F2169" s="25">
        <f t="shared" si="441"/>
        <v>0.26960189380854871</v>
      </c>
      <c r="G2169" s="25">
        <f t="shared" si="438"/>
        <v>0.15242932690049371</v>
      </c>
      <c r="H2169" s="25">
        <f t="shared" si="435"/>
        <v>0.25542773475190383</v>
      </c>
      <c r="I2169" s="25">
        <f t="shared" si="432"/>
        <v>0.20884474214450766</v>
      </c>
      <c r="K2169" s="28">
        <v>45586</v>
      </c>
      <c r="L2169" s="23">
        <v>36713.97</v>
      </c>
      <c r="M2169" s="25">
        <f t="shared" si="431"/>
        <v>-7.6284313573280063E-3</v>
      </c>
      <c r="O2169" t="b">
        <f t="shared" si="429"/>
        <v>1</v>
      </c>
      <c r="Q2169" s="25">
        <f t="shared" si="445"/>
        <v>0.35668543378199002</v>
      </c>
      <c r="R2169" s="25">
        <f t="shared" si="442"/>
        <v>0.25437907803460957</v>
      </c>
      <c r="S2169" s="25">
        <f t="shared" si="439"/>
        <v>0.15710000790925815</v>
      </c>
      <c r="T2169" s="25">
        <f t="shared" si="436"/>
        <v>0.25894575538905218</v>
      </c>
      <c r="U2169" s="25">
        <f t="shared" si="433"/>
        <v>0.2099118819827972</v>
      </c>
      <c r="X2169">
        <f t="shared" si="446"/>
        <v>1</v>
      </c>
      <c r="Y2169">
        <f t="shared" si="443"/>
        <v>1</v>
      </c>
      <c r="Z2169">
        <f t="shared" si="440"/>
        <v>0</v>
      </c>
      <c r="AA2169">
        <f t="shared" si="437"/>
        <v>0</v>
      </c>
      <c r="AB2169">
        <f t="shared" si="434"/>
        <v>0</v>
      </c>
    </row>
    <row r="2170" spans="1:28">
      <c r="A2170" s="27">
        <v>45587</v>
      </c>
      <c r="B2170" s="24">
        <v>1942.31</v>
      </c>
      <c r="C2170" s="25">
        <f t="shared" si="430"/>
        <v>-1.5659762518941262E-2</v>
      </c>
      <c r="E2170" s="25">
        <f t="shared" si="444"/>
        <v>0.37213360272404872</v>
      </c>
      <c r="F2170" s="25">
        <f t="shared" si="441"/>
        <v>0.26029635187507294</v>
      </c>
      <c r="G2170" s="25">
        <f t="shared" si="438"/>
        <v>0.14869438247144973</v>
      </c>
      <c r="H2170" s="25">
        <f t="shared" si="435"/>
        <v>0.24670664398505893</v>
      </c>
      <c r="I2170" s="25">
        <f t="shared" si="432"/>
        <v>0.2040816967811101</v>
      </c>
      <c r="K2170" s="29">
        <v>45587</v>
      </c>
      <c r="L2170" s="24">
        <v>36008.15</v>
      </c>
      <c r="M2170" s="25">
        <f t="shared" si="431"/>
        <v>-1.9601673510024804E-2</v>
      </c>
      <c r="O2170" t="b">
        <f t="shared" si="429"/>
        <v>1</v>
      </c>
      <c r="Q2170" s="25">
        <f t="shared" si="445"/>
        <v>0.33833571763345116</v>
      </c>
      <c r="R2170" s="25">
        <f t="shared" si="442"/>
        <v>0.24170855596083074</v>
      </c>
      <c r="S2170" s="25">
        <f t="shared" si="439"/>
        <v>0.15182144569880784</v>
      </c>
      <c r="T2170" s="25">
        <f t="shared" si="436"/>
        <v>0.24960131141998221</v>
      </c>
      <c r="U2170" s="25">
        <f t="shared" si="433"/>
        <v>0.20539085344577379</v>
      </c>
      <c r="X2170">
        <f t="shared" si="446"/>
        <v>1</v>
      </c>
      <c r="Y2170">
        <f t="shared" si="443"/>
        <v>1</v>
      </c>
      <c r="Z2170">
        <f t="shared" si="440"/>
        <v>0</v>
      </c>
      <c r="AA2170">
        <f t="shared" si="437"/>
        <v>0</v>
      </c>
      <c r="AB2170">
        <f t="shared" si="434"/>
        <v>0</v>
      </c>
    </row>
    <row r="2171" spans="1:28">
      <c r="A2171" s="26">
        <v>45588</v>
      </c>
      <c r="B2171" s="23">
        <v>1946.98</v>
      </c>
      <c r="C2171" s="25">
        <f t="shared" si="430"/>
        <v>2.4043535789858841E-3</v>
      </c>
      <c r="E2171" s="25">
        <f t="shared" si="444"/>
        <v>0.39843132748193577</v>
      </c>
      <c r="F2171" s="25">
        <f t="shared" si="441"/>
        <v>0.26048668695575206</v>
      </c>
      <c r="G2171" s="25">
        <f t="shared" si="438"/>
        <v>0.14927954097979956</v>
      </c>
      <c r="H2171" s="25">
        <f t="shared" si="435"/>
        <v>0.25104963903430555</v>
      </c>
      <c r="I2171" s="25">
        <f t="shared" si="432"/>
        <v>0.20101095348416687</v>
      </c>
      <c r="K2171" s="28">
        <v>45588</v>
      </c>
      <c r="L2171" s="23">
        <v>36050.230000000003</v>
      </c>
      <c r="M2171" s="25">
        <f t="shared" si="431"/>
        <v>1.167260236619898E-3</v>
      </c>
      <c r="O2171" t="b">
        <f t="shared" si="429"/>
        <v>1</v>
      </c>
      <c r="Q2171" s="25">
        <f t="shared" si="445"/>
        <v>0.36528922928115803</v>
      </c>
      <c r="R2171" s="25">
        <f t="shared" si="442"/>
        <v>0.24064412547517988</v>
      </c>
      <c r="S2171" s="25">
        <f t="shared" si="439"/>
        <v>0.15390228530881811</v>
      </c>
      <c r="T2171" s="25">
        <f t="shared" si="436"/>
        <v>0.2536499356000661</v>
      </c>
      <c r="U2171" s="25">
        <f t="shared" si="433"/>
        <v>0.20144040531211305</v>
      </c>
      <c r="X2171">
        <f t="shared" si="446"/>
        <v>1</v>
      </c>
      <c r="Y2171">
        <f t="shared" si="443"/>
        <v>1</v>
      </c>
      <c r="Z2171">
        <f t="shared" si="440"/>
        <v>0</v>
      </c>
      <c r="AA2171">
        <f t="shared" si="437"/>
        <v>0</v>
      </c>
      <c r="AB2171">
        <f t="shared" si="434"/>
        <v>0</v>
      </c>
    </row>
    <row r="2172" spans="1:28">
      <c r="A2172" s="27">
        <v>45589</v>
      </c>
      <c r="B2172" s="24">
        <v>1943.93</v>
      </c>
      <c r="C2172" s="25">
        <f t="shared" si="430"/>
        <v>-1.5665286751789717E-3</v>
      </c>
      <c r="E2172" s="25">
        <f t="shared" si="444"/>
        <v>0.40683032031148247</v>
      </c>
      <c r="F2172" s="25">
        <f t="shared" si="441"/>
        <v>0.25917537033975457</v>
      </c>
      <c r="G2172" s="25">
        <f t="shared" si="438"/>
        <v>0.14448859958021365</v>
      </c>
      <c r="H2172" s="25">
        <f t="shared" si="435"/>
        <v>0.25191224678610191</v>
      </c>
      <c r="I2172" s="25">
        <f t="shared" si="432"/>
        <v>0.20022188904387606</v>
      </c>
      <c r="K2172" s="29">
        <v>45589</v>
      </c>
      <c r="L2172" s="24">
        <v>35966.15</v>
      </c>
      <c r="M2172" s="25">
        <f t="shared" si="431"/>
        <v>-2.337753693403429E-3</v>
      </c>
      <c r="O2172" t="b">
        <f t="shared" si="429"/>
        <v>1</v>
      </c>
      <c r="Q2172" s="25">
        <f t="shared" si="445"/>
        <v>0.37183332710341688</v>
      </c>
      <c r="R2172" s="25">
        <f t="shared" si="442"/>
        <v>0.24046853071091623</v>
      </c>
      <c r="S2172" s="25">
        <f t="shared" si="439"/>
        <v>0.14865123586525786</v>
      </c>
      <c r="T2172" s="25">
        <f t="shared" si="436"/>
        <v>0.25411507803607458</v>
      </c>
      <c r="U2172" s="25">
        <f t="shared" si="433"/>
        <v>0.19964446766752952</v>
      </c>
      <c r="X2172">
        <f t="shared" si="446"/>
        <v>1</v>
      </c>
      <c r="Y2172">
        <f t="shared" si="443"/>
        <v>1</v>
      </c>
      <c r="Z2172">
        <f t="shared" si="440"/>
        <v>0</v>
      </c>
      <c r="AA2172">
        <f t="shared" si="437"/>
        <v>0</v>
      </c>
      <c r="AB2172">
        <f t="shared" si="434"/>
        <v>1</v>
      </c>
    </row>
    <row r="2173" spans="1:28">
      <c r="A2173" s="26">
        <v>45590</v>
      </c>
      <c r="B2173" s="23">
        <v>1920.88</v>
      </c>
      <c r="C2173" s="25">
        <f t="shared" si="430"/>
        <v>-1.1857422849588182E-2</v>
      </c>
      <c r="E2173" s="25">
        <f t="shared" si="444"/>
        <v>0.40627997042308173</v>
      </c>
      <c r="F2173" s="25">
        <f t="shared" si="441"/>
        <v>0.24724005120150894</v>
      </c>
      <c r="G2173" s="25">
        <f t="shared" si="438"/>
        <v>0.1395809832399757</v>
      </c>
      <c r="H2173" s="25">
        <f t="shared" si="435"/>
        <v>0.24932270908443499</v>
      </c>
      <c r="I2173" s="25">
        <f t="shared" si="432"/>
        <v>0.19664837346829667</v>
      </c>
      <c r="K2173" s="28">
        <v>45590</v>
      </c>
      <c r="L2173" s="23">
        <v>35510.879999999997</v>
      </c>
      <c r="M2173" s="25">
        <f t="shared" si="431"/>
        <v>-1.2820577806013372E-2</v>
      </c>
      <c r="O2173" t="b">
        <f t="shared" si="429"/>
        <v>1</v>
      </c>
      <c r="Q2173" s="25">
        <f t="shared" si="445"/>
        <v>0.37127022583114044</v>
      </c>
      <c r="R2173" s="25">
        <f t="shared" si="442"/>
        <v>0.22945302595042238</v>
      </c>
      <c r="S2173" s="25">
        <f t="shared" si="439"/>
        <v>0.14415453574520432</v>
      </c>
      <c r="T2173" s="25">
        <f t="shared" si="436"/>
        <v>0.25050962932952592</v>
      </c>
      <c r="U2173" s="25">
        <f t="shared" si="433"/>
        <v>0.19554201171789365</v>
      </c>
      <c r="X2173">
        <f t="shared" si="446"/>
        <v>1</v>
      </c>
      <c r="Y2173">
        <f t="shared" si="443"/>
        <v>1</v>
      </c>
      <c r="Z2173">
        <f t="shared" si="440"/>
        <v>0</v>
      </c>
      <c r="AA2173">
        <f t="shared" si="437"/>
        <v>0</v>
      </c>
      <c r="AB2173">
        <f t="shared" si="434"/>
        <v>1</v>
      </c>
    </row>
    <row r="2174" spans="1:28">
      <c r="A2174" s="27">
        <v>45593</v>
      </c>
      <c r="B2174" s="24">
        <v>1929.14</v>
      </c>
      <c r="C2174" s="25">
        <f t="shared" si="430"/>
        <v>4.3001124484611172E-3</v>
      </c>
      <c r="E2174" s="25">
        <f t="shared" si="444"/>
        <v>0.39463296849471541</v>
      </c>
      <c r="F2174" s="25">
        <f t="shared" si="441"/>
        <v>0.24455328087393102</v>
      </c>
      <c r="G2174" s="25">
        <f t="shared" si="438"/>
        <v>0.14839098210203616</v>
      </c>
      <c r="H2174" s="25">
        <f t="shared" si="435"/>
        <v>0.24797377903350948</v>
      </c>
      <c r="I2174" s="25">
        <f t="shared" si="432"/>
        <v>0.19606968666749935</v>
      </c>
      <c r="K2174" s="29">
        <v>45593</v>
      </c>
      <c r="L2174" s="24">
        <v>35749.31</v>
      </c>
      <c r="M2174" s="25">
        <f t="shared" si="431"/>
        <v>6.6694993553721819E-3</v>
      </c>
      <c r="O2174" t="b">
        <f t="shared" si="429"/>
        <v>1</v>
      </c>
      <c r="Q2174" s="25">
        <f t="shared" si="445"/>
        <v>0.36313099884541522</v>
      </c>
      <c r="R2174" s="25">
        <f t="shared" si="442"/>
        <v>0.22976162056116078</v>
      </c>
      <c r="S2174" s="25">
        <f t="shared" si="439"/>
        <v>0.1540405271959131</v>
      </c>
      <c r="T2174" s="25">
        <f t="shared" si="436"/>
        <v>0.25213591870363605</v>
      </c>
      <c r="U2174" s="25">
        <f t="shared" si="433"/>
        <v>0.19678858957592382</v>
      </c>
      <c r="X2174">
        <f t="shared" si="446"/>
        <v>1</v>
      </c>
      <c r="Y2174">
        <f t="shared" si="443"/>
        <v>1</v>
      </c>
      <c r="Z2174">
        <f t="shared" si="440"/>
        <v>0</v>
      </c>
      <c r="AA2174">
        <f t="shared" si="437"/>
        <v>0</v>
      </c>
      <c r="AB2174">
        <f t="shared" si="434"/>
        <v>0</v>
      </c>
    </row>
    <row r="2175" spans="1:28">
      <c r="A2175" s="26">
        <v>45594</v>
      </c>
      <c r="B2175" s="23">
        <v>1936.23</v>
      </c>
      <c r="C2175" s="25">
        <f t="shared" si="430"/>
        <v>3.6752127891184249E-3</v>
      </c>
      <c r="E2175" s="25">
        <f t="shared" si="444"/>
        <v>0.39526990509544491</v>
      </c>
      <c r="F2175" s="25">
        <f t="shared" si="441"/>
        <v>0.24971120107054223</v>
      </c>
      <c r="G2175" s="25">
        <f t="shared" si="438"/>
        <v>0.15100522268371086</v>
      </c>
      <c r="H2175" s="25">
        <f t="shared" si="435"/>
        <v>0.24559819339743649</v>
      </c>
      <c r="I2175" s="25">
        <f t="shared" si="432"/>
        <v>0.19588723951407649</v>
      </c>
      <c r="K2175" s="28">
        <v>45594</v>
      </c>
      <c r="L2175" s="23">
        <v>35992.9</v>
      </c>
      <c r="M2175" s="25">
        <f t="shared" si="431"/>
        <v>6.7677236343835524E-3</v>
      </c>
      <c r="O2175" t="b">
        <f t="shared" si="429"/>
        <v>1</v>
      </c>
      <c r="Q2175" s="25">
        <f t="shared" si="445"/>
        <v>0.36747295098846</v>
      </c>
      <c r="R2175" s="25">
        <f t="shared" si="442"/>
        <v>0.23404835790291401</v>
      </c>
      <c r="S2175" s="25">
        <f t="shared" si="439"/>
        <v>0.15929921349723508</v>
      </c>
      <c r="T2175" s="25">
        <f t="shared" si="436"/>
        <v>0.25100041347691127</v>
      </c>
      <c r="U2175" s="25">
        <f t="shared" si="433"/>
        <v>0.19770623826362344</v>
      </c>
      <c r="X2175">
        <f t="shared" si="446"/>
        <v>1</v>
      </c>
      <c r="Y2175">
        <f t="shared" si="443"/>
        <v>1</v>
      </c>
      <c r="Z2175">
        <f t="shared" si="440"/>
        <v>0</v>
      </c>
      <c r="AA2175">
        <f t="shared" si="437"/>
        <v>0</v>
      </c>
      <c r="AB2175">
        <f t="shared" si="434"/>
        <v>0</v>
      </c>
    </row>
    <row r="2176" spans="1:28">
      <c r="A2176" s="27">
        <v>45595</v>
      </c>
      <c r="B2176" s="24">
        <v>1929.34</v>
      </c>
      <c r="C2176" s="25">
        <f t="shared" si="430"/>
        <v>-3.5584615464072451E-3</v>
      </c>
      <c r="E2176" s="25">
        <f t="shared" si="444"/>
        <v>0.39660501646820356</v>
      </c>
      <c r="F2176" s="25">
        <f t="shared" si="441"/>
        <v>0.24156617435555505</v>
      </c>
      <c r="G2176" s="25">
        <f t="shared" si="438"/>
        <v>0.14349067017192607</v>
      </c>
      <c r="H2176" s="25">
        <f t="shared" si="435"/>
        <v>0.24251219903182331</v>
      </c>
      <c r="I2176" s="25">
        <f t="shared" si="432"/>
        <v>0.1957214822423472</v>
      </c>
      <c r="K2176" s="29">
        <v>45595</v>
      </c>
      <c r="L2176" s="24">
        <v>35921.769999999997</v>
      </c>
      <c r="M2176" s="25">
        <f t="shared" si="431"/>
        <v>-1.9801362794763361E-3</v>
      </c>
      <c r="O2176" t="b">
        <f t="shared" si="429"/>
        <v>1</v>
      </c>
      <c r="Q2176" s="25">
        <f t="shared" si="445"/>
        <v>0.36679468954894956</v>
      </c>
      <c r="R2176" s="25">
        <f t="shared" si="442"/>
        <v>0.22546371031433554</v>
      </c>
      <c r="S2176" s="25">
        <f t="shared" si="439"/>
        <v>0.1530541507911356</v>
      </c>
      <c r="T2176" s="25">
        <f t="shared" si="436"/>
        <v>0.24809402228425914</v>
      </c>
      <c r="U2176" s="25">
        <f t="shared" si="433"/>
        <v>0.19817320864329857</v>
      </c>
      <c r="X2176">
        <f t="shared" si="446"/>
        <v>1</v>
      </c>
      <c r="Y2176">
        <f t="shared" si="443"/>
        <v>1</v>
      </c>
      <c r="Z2176">
        <f t="shared" si="440"/>
        <v>0</v>
      </c>
      <c r="AA2176">
        <f t="shared" si="437"/>
        <v>0</v>
      </c>
      <c r="AB2176">
        <f t="shared" si="434"/>
        <v>0</v>
      </c>
    </row>
    <row r="2177" spans="1:28">
      <c r="A2177" s="26">
        <v>45596</v>
      </c>
      <c r="B2177" s="23">
        <v>1920.92</v>
      </c>
      <c r="C2177" s="25">
        <f t="shared" si="430"/>
        <v>-4.3641867167009685E-3</v>
      </c>
      <c r="E2177" s="25">
        <f t="shared" si="444"/>
        <v>0.3936170984568732</v>
      </c>
      <c r="F2177" s="25">
        <f t="shared" si="441"/>
        <v>0.23449718820308485</v>
      </c>
      <c r="G2177" s="25">
        <f t="shared" si="438"/>
        <v>0.14245669475215728</v>
      </c>
      <c r="H2177" s="25">
        <f t="shared" si="435"/>
        <v>0.23563512745050663</v>
      </c>
      <c r="I2177" s="25">
        <f t="shared" si="432"/>
        <v>0.19408054505106498</v>
      </c>
      <c r="K2177" s="28">
        <v>45596</v>
      </c>
      <c r="L2177" s="23">
        <v>35830.980000000003</v>
      </c>
      <c r="M2177" s="25">
        <f t="shared" si="431"/>
        <v>-2.5338408271276306E-3</v>
      </c>
      <c r="O2177" t="b">
        <f t="shared" si="429"/>
        <v>1</v>
      </c>
      <c r="Q2177" s="25">
        <f t="shared" si="445"/>
        <v>0.3688307838299778</v>
      </c>
      <c r="R2177" s="25">
        <f t="shared" si="442"/>
        <v>0.21935811846489228</v>
      </c>
      <c r="S2177" s="25">
        <f t="shared" si="439"/>
        <v>0.15173908898098309</v>
      </c>
      <c r="T2177" s="25">
        <f t="shared" si="436"/>
        <v>0.24189514294711079</v>
      </c>
      <c r="U2177" s="25">
        <f t="shared" si="433"/>
        <v>0.19689102615407306</v>
      </c>
      <c r="X2177">
        <f t="shared" si="446"/>
        <v>1</v>
      </c>
      <c r="Y2177">
        <f t="shared" si="443"/>
        <v>1</v>
      </c>
      <c r="Z2177">
        <f t="shared" si="440"/>
        <v>0</v>
      </c>
      <c r="AA2177">
        <f t="shared" si="437"/>
        <v>0</v>
      </c>
      <c r="AB2177">
        <f t="shared" si="434"/>
        <v>0</v>
      </c>
    </row>
    <row r="2178" spans="1:28">
      <c r="A2178" s="27">
        <v>45600</v>
      </c>
      <c r="B2178" s="24">
        <v>1909.49</v>
      </c>
      <c r="C2178" s="25">
        <f t="shared" si="430"/>
        <v>-5.9502738271245354E-3</v>
      </c>
      <c r="E2178" s="25">
        <f t="shared" si="444"/>
        <v>0.36934010297893094</v>
      </c>
      <c r="F2178" s="25">
        <f t="shared" si="441"/>
        <v>0.23259016222108508</v>
      </c>
      <c r="G2178" s="25">
        <f t="shared" si="438"/>
        <v>0.14308628131861267</v>
      </c>
      <c r="H2178" s="25">
        <f t="shared" si="435"/>
        <v>0.23182442828490957</v>
      </c>
      <c r="I2178" s="25">
        <f t="shared" si="432"/>
        <v>0.19147198244697683</v>
      </c>
      <c r="K2178" s="29">
        <v>45600</v>
      </c>
      <c r="L2178" s="24">
        <v>35561.760000000002</v>
      </c>
      <c r="M2178" s="25">
        <f t="shared" si="431"/>
        <v>-7.5704914492421395E-3</v>
      </c>
      <c r="O2178" t="b">
        <f t="shared" si="429"/>
        <v>1</v>
      </c>
      <c r="Q2178" s="25">
        <f t="shared" si="445"/>
        <v>0.34559647347062339</v>
      </c>
      <c r="R2178" s="25">
        <f t="shared" si="442"/>
        <v>0.21632893974515999</v>
      </c>
      <c r="S2178" s="25">
        <f t="shared" si="439"/>
        <v>0.1496415942188527</v>
      </c>
      <c r="T2178" s="25">
        <f t="shared" si="436"/>
        <v>0.23651313158570608</v>
      </c>
      <c r="U2178" s="25">
        <f t="shared" si="433"/>
        <v>0.1940139018215894</v>
      </c>
      <c r="X2178">
        <f t="shared" si="446"/>
        <v>1</v>
      </c>
      <c r="Y2178">
        <f t="shared" si="443"/>
        <v>1</v>
      </c>
      <c r="Z2178">
        <f t="shared" si="440"/>
        <v>0</v>
      </c>
      <c r="AA2178">
        <f t="shared" si="437"/>
        <v>0</v>
      </c>
      <c r="AB2178">
        <f t="shared" si="434"/>
        <v>0</v>
      </c>
    </row>
    <row r="2179" spans="1:28">
      <c r="A2179" s="26">
        <v>45601</v>
      </c>
      <c r="B2179" s="23">
        <v>1924.12</v>
      </c>
      <c r="C2179" s="25">
        <f t="shared" si="430"/>
        <v>7.6617316665705927E-3</v>
      </c>
      <c r="E2179" s="25">
        <f t="shared" si="444"/>
        <v>0.3717259570827689</v>
      </c>
      <c r="F2179" s="25">
        <f t="shared" si="441"/>
        <v>0.23682093850796493</v>
      </c>
      <c r="G2179" s="25">
        <f t="shared" si="438"/>
        <v>0.13974736714968894</v>
      </c>
      <c r="H2179" s="25">
        <f t="shared" si="435"/>
        <v>0.22894265456569118</v>
      </c>
      <c r="I2179" s="25">
        <f t="shared" si="432"/>
        <v>0.1949072804967682</v>
      </c>
      <c r="K2179" s="28">
        <v>45601</v>
      </c>
      <c r="L2179" s="23">
        <v>35816.9</v>
      </c>
      <c r="M2179" s="25">
        <f t="shared" si="431"/>
        <v>7.1234528951416628E-3</v>
      </c>
      <c r="O2179" t="b">
        <f t="shared" ref="O2179:O2242" si="447">K2179=A2179</f>
        <v>1</v>
      </c>
      <c r="Q2179" s="25">
        <f t="shared" si="445"/>
        <v>0.34633803452216272</v>
      </c>
      <c r="R2179" s="25">
        <f t="shared" si="442"/>
        <v>0.22117684373424362</v>
      </c>
      <c r="S2179" s="25">
        <f t="shared" si="439"/>
        <v>0.14646884109796088</v>
      </c>
      <c r="T2179" s="25">
        <f t="shared" si="436"/>
        <v>0.23435101858035767</v>
      </c>
      <c r="U2179" s="25">
        <f t="shared" si="433"/>
        <v>0.19771645253529169</v>
      </c>
      <c r="X2179">
        <f t="shared" si="446"/>
        <v>1</v>
      </c>
      <c r="Y2179">
        <f t="shared" si="443"/>
        <v>1</v>
      </c>
      <c r="Z2179">
        <f t="shared" si="440"/>
        <v>0</v>
      </c>
      <c r="AA2179">
        <f t="shared" si="437"/>
        <v>0</v>
      </c>
      <c r="AB2179">
        <f t="shared" si="434"/>
        <v>0</v>
      </c>
    </row>
    <row r="2180" spans="1:28">
      <c r="A2180" s="27">
        <v>45602</v>
      </c>
      <c r="B2180" s="24">
        <v>1949.96</v>
      </c>
      <c r="C2180" s="25">
        <f t="shared" ref="C2180:C2243" si="448">(B2180-B2179)/B2179</f>
        <v>1.3429515830613551E-2</v>
      </c>
      <c r="E2180" s="25">
        <f t="shared" si="444"/>
        <v>0.37527417887394487</v>
      </c>
      <c r="F2180" s="25">
        <f t="shared" si="441"/>
        <v>0.24443055892896304</v>
      </c>
      <c r="G2180" s="25">
        <f t="shared" si="438"/>
        <v>0.14408191160860007</v>
      </c>
      <c r="H2180" s="25">
        <f t="shared" si="435"/>
        <v>0.23226726229622541</v>
      </c>
      <c r="I2180" s="25">
        <f t="shared" si="432"/>
        <v>0.19711910057209581</v>
      </c>
      <c r="K2180" s="29">
        <v>45602</v>
      </c>
      <c r="L2180" s="24">
        <v>36377.550000000003</v>
      </c>
      <c r="M2180" s="25">
        <f t="shared" ref="M2180:M2243" si="449">(L2180-L2179)/L2180</f>
        <v>1.5411977991920881E-2</v>
      </c>
      <c r="O2180" t="b">
        <f t="shared" si="447"/>
        <v>1</v>
      </c>
      <c r="Q2180" s="25">
        <f t="shared" si="445"/>
        <v>0.35469675353620911</v>
      </c>
      <c r="R2180" s="25">
        <f t="shared" si="442"/>
        <v>0.22886298021171503</v>
      </c>
      <c r="S2180" s="25">
        <f t="shared" si="439"/>
        <v>0.15185154319956351</v>
      </c>
      <c r="T2180" s="25">
        <f t="shared" si="436"/>
        <v>0.23634624324696829</v>
      </c>
      <c r="U2180" s="25">
        <f t="shared" si="433"/>
        <v>0.20113153303929021</v>
      </c>
      <c r="X2180">
        <f t="shared" si="446"/>
        <v>1</v>
      </c>
      <c r="Y2180">
        <f t="shared" si="443"/>
        <v>1</v>
      </c>
      <c r="Z2180">
        <f t="shared" si="440"/>
        <v>0</v>
      </c>
      <c r="AA2180">
        <f t="shared" si="437"/>
        <v>0</v>
      </c>
      <c r="AB2180">
        <f t="shared" si="434"/>
        <v>0</v>
      </c>
    </row>
    <row r="2181" spans="1:28">
      <c r="A2181" s="26">
        <v>45603</v>
      </c>
      <c r="B2181" s="23">
        <v>1931.33</v>
      </c>
      <c r="C2181" s="25">
        <f t="shared" si="448"/>
        <v>-9.5540421341976812E-3</v>
      </c>
      <c r="E2181" s="25">
        <f t="shared" si="444"/>
        <v>0.35965109893978009</v>
      </c>
      <c r="F2181" s="25">
        <f t="shared" si="441"/>
        <v>0.23619604435039898</v>
      </c>
      <c r="G2181" s="25">
        <f t="shared" si="438"/>
        <v>0.14130094611112165</v>
      </c>
      <c r="H2181" s="25">
        <f t="shared" si="435"/>
        <v>0.2257381311521105</v>
      </c>
      <c r="I2181" s="25">
        <f t="shared" si="432"/>
        <v>0.19792919177753987</v>
      </c>
      <c r="K2181" s="28">
        <v>45603</v>
      </c>
      <c r="L2181" s="23">
        <v>36023.67</v>
      </c>
      <c r="M2181" s="25">
        <f t="shared" si="449"/>
        <v>-9.8235410217783099E-3</v>
      </c>
      <c r="O2181" t="b">
        <f t="shared" si="447"/>
        <v>1</v>
      </c>
      <c r="Q2181" s="25">
        <f t="shared" si="445"/>
        <v>0.33927543732071075</v>
      </c>
      <c r="R2181" s="25">
        <f t="shared" si="442"/>
        <v>0.21956344388061644</v>
      </c>
      <c r="S2181" s="25">
        <f t="shared" si="439"/>
        <v>0.14861360533315549</v>
      </c>
      <c r="T2181" s="25">
        <f t="shared" si="436"/>
        <v>0.23070948859363138</v>
      </c>
      <c r="U2181" s="25">
        <f t="shared" si="433"/>
        <v>0.20031830071939938</v>
      </c>
      <c r="X2181">
        <f t="shared" si="446"/>
        <v>1</v>
      </c>
      <c r="Y2181">
        <f t="shared" si="443"/>
        <v>1</v>
      </c>
      <c r="Z2181">
        <f t="shared" si="440"/>
        <v>0</v>
      </c>
      <c r="AA2181">
        <f t="shared" si="437"/>
        <v>0</v>
      </c>
      <c r="AB2181">
        <f t="shared" si="434"/>
        <v>0</v>
      </c>
    </row>
    <row r="2182" spans="1:28">
      <c r="A2182" s="27">
        <v>45604</v>
      </c>
      <c r="B2182" s="24">
        <v>1920.42</v>
      </c>
      <c r="C2182" s="25">
        <f t="shared" si="448"/>
        <v>-5.6489569364116202E-3</v>
      </c>
      <c r="E2182" s="25">
        <f t="shared" si="444"/>
        <v>0.3496141790939884</v>
      </c>
      <c r="F2182" s="25">
        <f t="shared" si="441"/>
        <v>0.23586210869496171</v>
      </c>
      <c r="G2182" s="25">
        <f t="shared" si="438"/>
        <v>0.14296120448106775</v>
      </c>
      <c r="H2182" s="25">
        <f t="shared" si="435"/>
        <v>0.22492430384270001</v>
      </c>
      <c r="I2182" s="25">
        <f t="shared" si="432"/>
        <v>0.19550569034038134</v>
      </c>
      <c r="K2182" s="29">
        <v>45604</v>
      </c>
      <c r="L2182" s="24">
        <v>35771.65</v>
      </c>
      <c r="M2182" s="25">
        <f t="shared" si="449"/>
        <v>-7.0452439292008279E-3</v>
      </c>
      <c r="O2182" t="b">
        <f t="shared" si="447"/>
        <v>1</v>
      </c>
      <c r="Q2182" s="25">
        <f t="shared" si="445"/>
        <v>0.32434814866371786</v>
      </c>
      <c r="R2182" s="25">
        <f t="shared" si="442"/>
        <v>0.21710034347811513</v>
      </c>
      <c r="S2182" s="25">
        <f t="shared" si="439"/>
        <v>0.1485708216767847</v>
      </c>
      <c r="T2182" s="25">
        <f t="shared" si="436"/>
        <v>0.22895086416468491</v>
      </c>
      <c r="U2182" s="25">
        <f t="shared" si="433"/>
        <v>0.19822133452102841</v>
      </c>
      <c r="X2182">
        <f t="shared" si="446"/>
        <v>1</v>
      </c>
      <c r="Y2182">
        <f t="shared" si="443"/>
        <v>1</v>
      </c>
      <c r="Z2182">
        <f t="shared" si="440"/>
        <v>0</v>
      </c>
      <c r="AA2182">
        <f t="shared" si="437"/>
        <v>0</v>
      </c>
      <c r="AB2182">
        <f t="shared" si="434"/>
        <v>0</v>
      </c>
    </row>
    <row r="2183" spans="1:28">
      <c r="A2183" s="26">
        <v>45607</v>
      </c>
      <c r="B2183" s="23">
        <v>1914.59</v>
      </c>
      <c r="C2183" s="25">
        <f t="shared" si="448"/>
        <v>-3.0357942533404954E-3</v>
      </c>
      <c r="E2183" s="25">
        <f t="shared" si="444"/>
        <v>0.34619819718468303</v>
      </c>
      <c r="F2183" s="25">
        <f t="shared" si="441"/>
        <v>0.23840019899371412</v>
      </c>
      <c r="G2183" s="25">
        <f t="shared" si="438"/>
        <v>0.13852291240990389</v>
      </c>
      <c r="H2183" s="25">
        <f t="shared" si="435"/>
        <v>0.22168714123367717</v>
      </c>
      <c r="I2183" s="25">
        <f t="shared" si="432"/>
        <v>0.19371825148339572</v>
      </c>
      <c r="K2183" s="28">
        <v>45607</v>
      </c>
      <c r="L2183" s="23">
        <v>35685.949999999997</v>
      </c>
      <c r="M2183" s="25">
        <f t="shared" si="449"/>
        <v>-2.4015053543482625E-3</v>
      </c>
      <c r="O2183" t="b">
        <f t="shared" si="447"/>
        <v>1</v>
      </c>
      <c r="Q2183" s="25">
        <f t="shared" si="445"/>
        <v>0.32428174888857542</v>
      </c>
      <c r="R2183" s="25">
        <f t="shared" si="442"/>
        <v>0.22063930402669918</v>
      </c>
      <c r="S2183" s="25">
        <f t="shared" si="439"/>
        <v>0.14351391337524699</v>
      </c>
      <c r="T2183" s="25">
        <f t="shared" si="436"/>
        <v>0.22689096558325494</v>
      </c>
      <c r="U2183" s="25">
        <f t="shared" si="433"/>
        <v>0.19722651522009604</v>
      </c>
      <c r="X2183">
        <f t="shared" si="446"/>
        <v>1</v>
      </c>
      <c r="Y2183">
        <f t="shared" si="443"/>
        <v>1</v>
      </c>
      <c r="Z2183">
        <f t="shared" si="440"/>
        <v>0</v>
      </c>
      <c r="AA2183">
        <f t="shared" si="437"/>
        <v>0</v>
      </c>
      <c r="AB2183">
        <f t="shared" si="434"/>
        <v>0</v>
      </c>
    </row>
    <row r="2184" spans="1:28">
      <c r="A2184" s="27">
        <v>45608</v>
      </c>
      <c r="B2184" s="24">
        <v>1894.64</v>
      </c>
      <c r="C2184" s="25">
        <f t="shared" si="448"/>
        <v>-1.0419985479919888E-2</v>
      </c>
      <c r="E2184" s="25">
        <f t="shared" si="444"/>
        <v>0.33317383808887158</v>
      </c>
      <c r="F2184" s="25">
        <f t="shared" si="441"/>
        <v>0.22376348445726357</v>
      </c>
      <c r="G2184" s="25">
        <f t="shared" si="438"/>
        <v>0.13442639764007813</v>
      </c>
      <c r="H2184" s="25">
        <f t="shared" si="435"/>
        <v>0.21409815567119472</v>
      </c>
      <c r="I2184" s="25">
        <f t="shared" si="432"/>
        <v>0.19059975203621304</v>
      </c>
      <c r="K2184" s="29">
        <v>45608</v>
      </c>
      <c r="L2184" s="24">
        <v>35275.39</v>
      </c>
      <c r="M2184" s="25">
        <f t="shared" si="449"/>
        <v>-1.1638709026321118E-2</v>
      </c>
      <c r="O2184" t="b">
        <f t="shared" si="447"/>
        <v>1</v>
      </c>
      <c r="Q2184" s="25">
        <f t="shared" si="445"/>
        <v>0.30614229999211306</v>
      </c>
      <c r="R2184" s="25">
        <f t="shared" si="442"/>
        <v>0.20546049659819765</v>
      </c>
      <c r="S2184" s="25">
        <f t="shared" si="439"/>
        <v>0.13877919963801033</v>
      </c>
      <c r="T2184" s="25">
        <f t="shared" si="436"/>
        <v>0.21934959844368684</v>
      </c>
      <c r="U2184" s="25">
        <f t="shared" si="433"/>
        <v>0.19441534766502655</v>
      </c>
      <c r="X2184">
        <f t="shared" si="446"/>
        <v>1</v>
      </c>
      <c r="Y2184">
        <f t="shared" si="443"/>
        <v>1</v>
      </c>
      <c r="Z2184">
        <f t="shared" si="440"/>
        <v>0</v>
      </c>
      <c r="AA2184">
        <f t="shared" si="437"/>
        <v>0</v>
      </c>
      <c r="AB2184">
        <f t="shared" si="434"/>
        <v>0</v>
      </c>
    </row>
    <row r="2185" spans="1:28">
      <c r="A2185" s="26">
        <v>45609</v>
      </c>
      <c r="B2185" s="23">
        <v>1861.95</v>
      </c>
      <c r="C2185" s="25">
        <f t="shared" si="448"/>
        <v>-1.7253937423468337E-2</v>
      </c>
      <c r="E2185" s="25">
        <f t="shared" si="444"/>
        <v>0.31027275798007103</v>
      </c>
      <c r="F2185" s="25">
        <f t="shared" si="441"/>
        <v>0.21266663190957069</v>
      </c>
      <c r="G2185" s="25">
        <f t="shared" si="438"/>
        <v>0.13057993037702809</v>
      </c>
      <c r="H2185" s="25">
        <f t="shared" si="435"/>
        <v>0.2078446686808082</v>
      </c>
      <c r="I2185" s="25">
        <f t="shared" si="432"/>
        <v>0.18538089479991249</v>
      </c>
      <c r="K2185" s="28">
        <v>45609</v>
      </c>
      <c r="L2185" s="23">
        <v>34618.080000000002</v>
      </c>
      <c r="M2185" s="25">
        <f t="shared" si="449"/>
        <v>-1.8987477064008104E-2</v>
      </c>
      <c r="O2185" t="b">
        <f t="shared" si="447"/>
        <v>1</v>
      </c>
      <c r="Q2185" s="25">
        <f t="shared" si="445"/>
        <v>0.27717768659376052</v>
      </c>
      <c r="R2185" s="25">
        <f t="shared" si="442"/>
        <v>0.19413356591392072</v>
      </c>
      <c r="S2185" s="25">
        <f t="shared" si="439"/>
        <v>0.1332919268310786</v>
      </c>
      <c r="T2185" s="25">
        <f t="shared" si="436"/>
        <v>0.21176715559989479</v>
      </c>
      <c r="U2185" s="25">
        <f t="shared" si="433"/>
        <v>0.18910190339023347</v>
      </c>
      <c r="X2185">
        <f t="shared" si="446"/>
        <v>1</v>
      </c>
      <c r="Y2185">
        <f t="shared" si="443"/>
        <v>1</v>
      </c>
      <c r="Z2185">
        <f t="shared" si="440"/>
        <v>0</v>
      </c>
      <c r="AA2185">
        <f t="shared" si="437"/>
        <v>0</v>
      </c>
      <c r="AB2185">
        <f t="shared" si="434"/>
        <v>0</v>
      </c>
    </row>
    <row r="2186" spans="1:28">
      <c r="A2186" s="27">
        <v>45610</v>
      </c>
      <c r="B2186" s="24">
        <v>1865.53</v>
      </c>
      <c r="C2186" s="25">
        <f t="shared" si="448"/>
        <v>1.9227154327452012E-3</v>
      </c>
      <c r="E2186" s="25">
        <f t="shared" si="444"/>
        <v>0.29821155184411974</v>
      </c>
      <c r="F2186" s="25">
        <f t="shared" si="441"/>
        <v>0.2111040717081174</v>
      </c>
      <c r="G2186" s="25">
        <f t="shared" si="438"/>
        <v>0.1331421983956611</v>
      </c>
      <c r="H2186" s="25">
        <f t="shared" si="435"/>
        <v>0.21145502620896117</v>
      </c>
      <c r="I2186" s="25">
        <f t="shared" si="432"/>
        <v>0.18400259370380456</v>
      </c>
      <c r="K2186" s="29">
        <v>45610</v>
      </c>
      <c r="L2186" s="24">
        <v>34699.379999999997</v>
      </c>
      <c r="M2186" s="25">
        <f t="shared" si="449"/>
        <v>2.3429813443351334E-3</v>
      </c>
      <c r="O2186" t="b">
        <f t="shared" si="447"/>
        <v>1</v>
      </c>
      <c r="Q2186" s="25">
        <f t="shared" si="445"/>
        <v>0.26629813204915509</v>
      </c>
      <c r="R2186" s="25">
        <f t="shared" si="442"/>
        <v>0.19386656497714272</v>
      </c>
      <c r="S2186" s="25">
        <f t="shared" si="439"/>
        <v>0.13587414169118817</v>
      </c>
      <c r="T2186" s="25">
        <f t="shared" si="436"/>
        <v>0.21566565175369035</v>
      </c>
      <c r="U2186" s="25">
        <f t="shared" si="433"/>
        <v>0.18861283864412215</v>
      </c>
      <c r="X2186">
        <f t="shared" si="446"/>
        <v>1</v>
      </c>
      <c r="Y2186">
        <f t="shared" si="443"/>
        <v>1</v>
      </c>
      <c r="Z2186">
        <f t="shared" si="440"/>
        <v>0</v>
      </c>
      <c r="AA2186">
        <f t="shared" si="437"/>
        <v>0</v>
      </c>
      <c r="AB2186">
        <f t="shared" si="434"/>
        <v>0</v>
      </c>
    </row>
    <row r="2187" spans="1:28">
      <c r="A2187" s="26">
        <v>45614</v>
      </c>
      <c r="B2187" s="23">
        <v>1860.52</v>
      </c>
      <c r="C2187" s="25">
        <f t="shared" si="448"/>
        <v>-2.6855638880103729E-3</v>
      </c>
      <c r="E2187" s="25">
        <f t="shared" si="444"/>
        <v>0.28611522030664593</v>
      </c>
      <c r="F2187" s="25">
        <f t="shared" si="441"/>
        <v>0.21175114771189318</v>
      </c>
      <c r="G2187" s="25">
        <f t="shared" si="438"/>
        <v>0.13717809609341836</v>
      </c>
      <c r="H2187" s="25">
        <f t="shared" si="435"/>
        <v>0.20757818459140243</v>
      </c>
      <c r="I2187" s="25">
        <f t="shared" si="432"/>
        <v>0.18393651866868854</v>
      </c>
      <c r="K2187" s="28">
        <v>45614</v>
      </c>
      <c r="L2187" s="23">
        <v>34599.089999999997</v>
      </c>
      <c r="M2187" s="25">
        <f t="shared" si="449"/>
        <v>-2.8986311489695503E-3</v>
      </c>
      <c r="O2187" t="b">
        <f t="shared" si="447"/>
        <v>1</v>
      </c>
      <c r="Q2187" s="25">
        <f t="shared" si="445"/>
        <v>0.25635921489282354</v>
      </c>
      <c r="R2187" s="25">
        <f t="shared" si="442"/>
        <v>0.19330154323727378</v>
      </c>
      <c r="S2187" s="25">
        <f t="shared" si="439"/>
        <v>0.13853347245804515</v>
      </c>
      <c r="T2187" s="25">
        <f t="shared" si="436"/>
        <v>0.21239005607264461</v>
      </c>
      <c r="U2187" s="25">
        <f t="shared" si="433"/>
        <v>0.1887083471434261</v>
      </c>
      <c r="X2187">
        <f t="shared" si="446"/>
        <v>1</v>
      </c>
      <c r="Y2187">
        <f t="shared" si="443"/>
        <v>1</v>
      </c>
      <c r="Z2187">
        <f t="shared" si="440"/>
        <v>0</v>
      </c>
      <c r="AA2187">
        <f t="shared" si="437"/>
        <v>0</v>
      </c>
      <c r="AB2187">
        <f t="shared" si="434"/>
        <v>0</v>
      </c>
    </row>
    <row r="2188" spans="1:28">
      <c r="A2188" s="27">
        <v>45615</v>
      </c>
      <c r="B2188" s="24">
        <v>1867.36</v>
      </c>
      <c r="C2188" s="25">
        <f t="shared" si="448"/>
        <v>3.6763915464493356E-3</v>
      </c>
      <c r="E2188" s="25">
        <f t="shared" si="444"/>
        <v>0.29259479739177374</v>
      </c>
      <c r="F2188" s="25">
        <f t="shared" si="441"/>
        <v>0.21688033425990128</v>
      </c>
      <c r="G2188" s="25">
        <f t="shared" si="438"/>
        <v>0.14658903197997453</v>
      </c>
      <c r="H2188" s="25">
        <f t="shared" si="435"/>
        <v>0.20656154726862441</v>
      </c>
      <c r="I2188" s="25">
        <f t="shared" si="432"/>
        <v>0.1858156529775814</v>
      </c>
      <c r="K2188" s="29">
        <v>45615</v>
      </c>
      <c r="L2188" s="24">
        <v>34766.49</v>
      </c>
      <c r="M2188" s="25">
        <f t="shared" si="449"/>
        <v>4.8149813225321697E-3</v>
      </c>
      <c r="O2188" t="b">
        <f t="shared" si="447"/>
        <v>1</v>
      </c>
      <c r="Q2188" s="25">
        <f t="shared" si="445"/>
        <v>0.26186186425975255</v>
      </c>
      <c r="R2188" s="25">
        <f t="shared" si="442"/>
        <v>0.19870549054639675</v>
      </c>
      <c r="S2188" s="25">
        <f t="shared" si="439"/>
        <v>0.14850676816054253</v>
      </c>
      <c r="T2188" s="25">
        <f t="shared" si="436"/>
        <v>0.21167250963280515</v>
      </c>
      <c r="U2188" s="25">
        <f t="shared" si="433"/>
        <v>0.190667077847547</v>
      </c>
      <c r="X2188">
        <f t="shared" si="446"/>
        <v>1</v>
      </c>
      <c r="Y2188">
        <f t="shared" si="443"/>
        <v>1</v>
      </c>
      <c r="Z2188">
        <f t="shared" si="440"/>
        <v>0</v>
      </c>
      <c r="AA2188">
        <f t="shared" si="437"/>
        <v>0</v>
      </c>
      <c r="AB2188">
        <f t="shared" si="434"/>
        <v>0</v>
      </c>
    </row>
    <row r="2189" spans="1:28">
      <c r="A2189" s="26">
        <v>45617</v>
      </c>
      <c r="B2189" s="23">
        <v>1856.07</v>
      </c>
      <c r="C2189" s="25">
        <f t="shared" si="448"/>
        <v>-6.0459686402193277E-3</v>
      </c>
      <c r="E2189" s="25">
        <f t="shared" si="444"/>
        <v>0.28581226186352615</v>
      </c>
      <c r="F2189" s="25">
        <f t="shared" si="441"/>
        <v>0.21433296470702023</v>
      </c>
      <c r="G2189" s="25">
        <f t="shared" si="438"/>
        <v>0.14025016290811432</v>
      </c>
      <c r="H2189" s="25">
        <f t="shared" si="435"/>
        <v>0.20105319564054169</v>
      </c>
      <c r="I2189" s="25">
        <f t="shared" si="432"/>
        <v>0.18132371408854131</v>
      </c>
      <c r="K2189" s="28">
        <v>45617</v>
      </c>
      <c r="L2189" s="23">
        <v>34476.589999999997</v>
      </c>
      <c r="M2189" s="25">
        <f t="shared" si="449"/>
        <v>-8.4086042152081014E-3</v>
      </c>
      <c r="O2189" t="b">
        <f t="shared" si="447"/>
        <v>1</v>
      </c>
      <c r="Q2189" s="25">
        <f t="shared" si="445"/>
        <v>0.25323435873892075</v>
      </c>
      <c r="R2189" s="25">
        <f t="shared" si="442"/>
        <v>0.19545929146757524</v>
      </c>
      <c r="S2189" s="25">
        <f t="shared" si="439"/>
        <v>0.14197298742109132</v>
      </c>
      <c r="T2189" s="25">
        <f t="shared" si="436"/>
        <v>0.20637653915373866</v>
      </c>
      <c r="U2189" s="25">
        <f t="shared" si="433"/>
        <v>0.18568229029413019</v>
      </c>
      <c r="X2189">
        <f t="shared" si="446"/>
        <v>1</v>
      </c>
      <c r="Y2189">
        <f t="shared" si="443"/>
        <v>1</v>
      </c>
      <c r="Z2189">
        <f t="shared" si="440"/>
        <v>0</v>
      </c>
      <c r="AA2189">
        <f t="shared" si="437"/>
        <v>0</v>
      </c>
      <c r="AB2189">
        <f t="shared" si="434"/>
        <v>0</v>
      </c>
    </row>
    <row r="2190" spans="1:28">
      <c r="A2190" s="27">
        <v>45618</v>
      </c>
      <c r="B2190" s="24">
        <v>1886.99</v>
      </c>
      <c r="C2190" s="25">
        <f t="shared" si="448"/>
        <v>1.6658854461308072E-2</v>
      </c>
      <c r="E2190" s="25">
        <f t="shared" si="444"/>
        <v>0.30226154408872263</v>
      </c>
      <c r="F2190" s="25">
        <f t="shared" si="441"/>
        <v>0.22643425956763719</v>
      </c>
      <c r="G2190" s="25">
        <f t="shared" si="438"/>
        <v>0.14676389863555928</v>
      </c>
      <c r="H2190" s="25">
        <f t="shared" si="435"/>
        <v>0.21134900017885072</v>
      </c>
      <c r="I2190" s="25">
        <f t="shared" si="432"/>
        <v>0.18603151239110094</v>
      </c>
      <c r="K2190" s="29">
        <v>45618</v>
      </c>
      <c r="L2190" s="24">
        <v>35116</v>
      </c>
      <c r="M2190" s="25">
        <f t="shared" si="449"/>
        <v>1.8208508941793013E-2</v>
      </c>
      <c r="O2190" t="b">
        <f t="shared" si="447"/>
        <v>1</v>
      </c>
      <c r="Q2190" s="25">
        <f t="shared" si="445"/>
        <v>0.2725553698930272</v>
      </c>
      <c r="R2190" s="25">
        <f t="shared" si="442"/>
        <v>0.21027050897415256</v>
      </c>
      <c r="S2190" s="25">
        <f t="shared" si="439"/>
        <v>0.15052460933130951</v>
      </c>
      <c r="T2190" s="25">
        <f t="shared" si="436"/>
        <v>0.21645131739130807</v>
      </c>
      <c r="U2190" s="25">
        <f t="shared" si="433"/>
        <v>0.19100234283233219</v>
      </c>
      <c r="X2190">
        <f t="shared" si="446"/>
        <v>1</v>
      </c>
      <c r="Y2190">
        <f t="shared" si="443"/>
        <v>1</v>
      </c>
      <c r="Z2190">
        <f t="shared" si="440"/>
        <v>0</v>
      </c>
      <c r="AA2190">
        <f t="shared" si="437"/>
        <v>0</v>
      </c>
      <c r="AB2190">
        <f t="shared" si="434"/>
        <v>0</v>
      </c>
    </row>
    <row r="2191" spans="1:28">
      <c r="A2191" s="26">
        <v>45621</v>
      </c>
      <c r="B2191" s="23">
        <v>1911.82</v>
      </c>
      <c r="C2191" s="25">
        <f t="shared" si="448"/>
        <v>1.3158522302714868E-2</v>
      </c>
      <c r="E2191" s="25">
        <f t="shared" si="444"/>
        <v>0.31931543716789745</v>
      </c>
      <c r="F2191" s="25">
        <f t="shared" si="441"/>
        <v>0.2321758534824141</v>
      </c>
      <c r="G2191" s="25">
        <f t="shared" si="438"/>
        <v>0.15043416942918464</v>
      </c>
      <c r="H2191" s="25">
        <f t="shared" si="435"/>
        <v>0.21166703728821123</v>
      </c>
      <c r="I2191" s="25">
        <f t="shared" si="432"/>
        <v>0.18808923961242296</v>
      </c>
      <c r="K2191" s="28">
        <v>45621</v>
      </c>
      <c r="L2191" s="23">
        <v>35635.18</v>
      </c>
      <c r="M2191" s="25">
        <f t="shared" si="449"/>
        <v>1.4569310439851862E-2</v>
      </c>
      <c r="O2191" t="b">
        <f t="shared" si="447"/>
        <v>1</v>
      </c>
      <c r="Q2191" s="25">
        <f t="shared" si="445"/>
        <v>0.29133276754388193</v>
      </c>
      <c r="R2191" s="25">
        <f t="shared" si="442"/>
        <v>0.21699040547360804</v>
      </c>
      <c r="S2191" s="25">
        <f t="shared" si="439"/>
        <v>0.15351163150359737</v>
      </c>
      <c r="T2191" s="25">
        <f t="shared" si="436"/>
        <v>0.2180790243235522</v>
      </c>
      <c r="U2191" s="25">
        <f t="shared" si="433"/>
        <v>0.19320859900854548</v>
      </c>
      <c r="X2191">
        <f t="shared" si="446"/>
        <v>1</v>
      </c>
      <c r="Y2191">
        <f t="shared" si="443"/>
        <v>1</v>
      </c>
      <c r="Z2191">
        <f t="shared" si="440"/>
        <v>0</v>
      </c>
      <c r="AA2191">
        <f t="shared" si="437"/>
        <v>0</v>
      </c>
      <c r="AB2191">
        <f t="shared" si="434"/>
        <v>0</v>
      </c>
    </row>
    <row r="2192" spans="1:28">
      <c r="A2192" s="27">
        <v>45622</v>
      </c>
      <c r="B2192" s="24">
        <v>1913.52</v>
      </c>
      <c r="C2192" s="25">
        <f t="shared" si="448"/>
        <v>8.8920505068471175E-4</v>
      </c>
      <c r="E2192" s="25">
        <f t="shared" si="444"/>
        <v>0.32013328826000875</v>
      </c>
      <c r="F2192" s="25">
        <f t="shared" si="441"/>
        <v>0.23047810693047333</v>
      </c>
      <c r="G2192" s="25">
        <f t="shared" si="438"/>
        <v>0.16194987351566481</v>
      </c>
      <c r="H2192" s="25">
        <f t="shared" si="435"/>
        <v>0.21052962451672008</v>
      </c>
      <c r="I2192" s="25">
        <f t="shared" si="432"/>
        <v>0.1868286754008166</v>
      </c>
      <c r="K2192" s="29">
        <v>45622</v>
      </c>
      <c r="L2192" s="24">
        <v>35649.51</v>
      </c>
      <c r="M2192" s="25">
        <f t="shared" si="449"/>
        <v>4.0196905932232295E-4</v>
      </c>
      <c r="O2192" t="b">
        <f t="shared" si="447"/>
        <v>1</v>
      </c>
      <c r="Q2192" s="25">
        <f t="shared" si="445"/>
        <v>0.29099172341615964</v>
      </c>
      <c r="R2192" s="25">
        <f t="shared" si="442"/>
        <v>0.21609989471633129</v>
      </c>
      <c r="S2192" s="25">
        <f t="shared" si="439"/>
        <v>0.16514482510634565</v>
      </c>
      <c r="T2192" s="25">
        <f t="shared" si="436"/>
        <v>0.2169213389679685</v>
      </c>
      <c r="U2192" s="25">
        <f t="shared" si="433"/>
        <v>0.19199981027689073</v>
      </c>
      <c r="X2192">
        <f t="shared" si="446"/>
        <v>1</v>
      </c>
      <c r="Y2192">
        <f t="shared" si="443"/>
        <v>1</v>
      </c>
      <c r="Z2192">
        <f t="shared" si="440"/>
        <v>0</v>
      </c>
      <c r="AA2192">
        <f t="shared" si="437"/>
        <v>0</v>
      </c>
      <c r="AB2192">
        <f t="shared" si="434"/>
        <v>0</v>
      </c>
    </row>
    <row r="2193" spans="1:28">
      <c r="A2193" s="26">
        <v>45623</v>
      </c>
      <c r="B2193" s="23">
        <v>1920</v>
      </c>
      <c r="C2193" s="25">
        <f t="shared" si="448"/>
        <v>3.386429198545099E-3</v>
      </c>
      <c r="E2193" s="25">
        <f t="shared" si="444"/>
        <v>0.32597600812160299</v>
      </c>
      <c r="F2193" s="25">
        <f t="shared" si="441"/>
        <v>0.22589948456431719</v>
      </c>
      <c r="G2193" s="25">
        <f t="shared" si="438"/>
        <v>0.16416424390956763</v>
      </c>
      <c r="H2193" s="25">
        <f t="shared" si="435"/>
        <v>0.20813423864657565</v>
      </c>
      <c r="I2193" s="25">
        <f t="shared" si="432"/>
        <v>0.18903941270574509</v>
      </c>
      <c r="K2193" s="28">
        <v>45623</v>
      </c>
      <c r="L2193" s="23">
        <v>35853.83</v>
      </c>
      <c r="M2193" s="25">
        <f t="shared" si="449"/>
        <v>5.6986938354981797E-3</v>
      </c>
      <c r="O2193" t="b">
        <f t="shared" si="447"/>
        <v>1</v>
      </c>
      <c r="Q2193" s="25">
        <f t="shared" si="445"/>
        <v>0.29802185946658266</v>
      </c>
      <c r="R2193" s="25">
        <f t="shared" si="442"/>
        <v>0.21401619923840309</v>
      </c>
      <c r="S2193" s="25">
        <f t="shared" si="439"/>
        <v>0.16871321956727447</v>
      </c>
      <c r="T2193" s="25">
        <f t="shared" si="436"/>
        <v>0.21538163524132981</v>
      </c>
      <c r="U2193" s="25">
        <f t="shared" si="433"/>
        <v>0.19472490741410309</v>
      </c>
      <c r="X2193">
        <f t="shared" si="446"/>
        <v>1</v>
      </c>
      <c r="Y2193">
        <f t="shared" si="443"/>
        <v>1</v>
      </c>
      <c r="Z2193">
        <f t="shared" si="440"/>
        <v>0</v>
      </c>
      <c r="AA2193">
        <f t="shared" si="437"/>
        <v>0</v>
      </c>
      <c r="AB2193">
        <f t="shared" si="434"/>
        <v>0</v>
      </c>
    </row>
    <row r="2194" spans="1:28">
      <c r="A2194" s="27">
        <v>45624</v>
      </c>
      <c r="B2194" s="24">
        <v>1899.82</v>
      </c>
      <c r="C2194" s="25">
        <f t="shared" si="448"/>
        <v>-1.0510416666666699E-2</v>
      </c>
      <c r="E2194" s="25">
        <f t="shared" si="444"/>
        <v>0.30692183866928979</v>
      </c>
      <c r="F2194" s="25">
        <f t="shared" si="441"/>
        <v>0.21813932255210977</v>
      </c>
      <c r="G2194" s="25">
        <f t="shared" si="438"/>
        <v>0.15956962019549259</v>
      </c>
      <c r="H2194" s="25">
        <f t="shared" si="435"/>
        <v>0.20438293446256939</v>
      </c>
      <c r="I2194" s="25">
        <f t="shared" ref="I2194:I2257" si="450">((B2194/B963)^(1/5))-1</f>
        <v>0.18758678735609302</v>
      </c>
      <c r="K2194" s="29">
        <v>45624</v>
      </c>
      <c r="L2194" s="24">
        <v>35573.800000000003</v>
      </c>
      <c r="M2194" s="25">
        <f t="shared" si="449"/>
        <v>-7.8718045303003571E-3</v>
      </c>
      <c r="O2194" t="b">
        <f t="shared" si="447"/>
        <v>1</v>
      </c>
      <c r="Q2194" s="25">
        <f t="shared" si="445"/>
        <v>0.28075029477151836</v>
      </c>
      <c r="R2194" s="25">
        <f t="shared" si="442"/>
        <v>0.2074799191972001</v>
      </c>
      <c r="S2194" s="25">
        <f t="shared" si="439"/>
        <v>0.16587649103453805</v>
      </c>
      <c r="T2194" s="25">
        <f t="shared" si="436"/>
        <v>0.21235810843397229</v>
      </c>
      <c r="U2194" s="25">
        <f t="shared" ref="U2194:U2257" si="451">((L2194/L963)^(1/5))-1</f>
        <v>0.19323314521253532</v>
      </c>
      <c r="X2194">
        <f t="shared" si="446"/>
        <v>1</v>
      </c>
      <c r="Y2194">
        <f t="shared" si="443"/>
        <v>1</v>
      </c>
      <c r="Z2194">
        <f t="shared" si="440"/>
        <v>0</v>
      </c>
      <c r="AA2194">
        <f t="shared" si="437"/>
        <v>0</v>
      </c>
      <c r="AB2194">
        <f t="shared" ref="AB2194:AB2257" si="452">IF(I2194&gt;U2194,1,0)</f>
        <v>0</v>
      </c>
    </row>
    <row r="2195" spans="1:28">
      <c r="A2195" s="26">
        <v>45625</v>
      </c>
      <c r="B2195" s="23">
        <v>1914.42</v>
      </c>
      <c r="C2195" s="25">
        <f t="shared" si="448"/>
        <v>7.6849385731280525E-3</v>
      </c>
      <c r="E2195" s="25">
        <f t="shared" si="444"/>
        <v>0.30392317123007762</v>
      </c>
      <c r="F2195" s="25">
        <f t="shared" si="441"/>
        <v>0.22201431278331385</v>
      </c>
      <c r="G2195" s="25">
        <f t="shared" si="438"/>
        <v>0.16140248012778091</v>
      </c>
      <c r="H2195" s="25">
        <f t="shared" si="435"/>
        <v>0.20594962481462442</v>
      </c>
      <c r="I2195" s="25">
        <f t="shared" si="450"/>
        <v>0.19088799025755554</v>
      </c>
      <c r="K2195" s="28">
        <v>45625</v>
      </c>
      <c r="L2195" s="23">
        <v>35847.4</v>
      </c>
      <c r="M2195" s="25">
        <f t="shared" si="449"/>
        <v>7.6323526950350246E-3</v>
      </c>
      <c r="O2195" t="b">
        <f t="shared" si="447"/>
        <v>1</v>
      </c>
      <c r="Q2195" s="25">
        <f t="shared" si="445"/>
        <v>0.27890225481291009</v>
      </c>
      <c r="R2195" s="25">
        <f t="shared" si="442"/>
        <v>0.20991665123638814</v>
      </c>
      <c r="S2195" s="25">
        <f t="shared" si="439"/>
        <v>0.16525311351296956</v>
      </c>
      <c r="T2195" s="25">
        <f t="shared" si="436"/>
        <v>0.21369364710965866</v>
      </c>
      <c r="U2195" s="25">
        <f t="shared" si="451"/>
        <v>0.19640423133739038</v>
      </c>
      <c r="X2195">
        <f t="shared" si="446"/>
        <v>1</v>
      </c>
      <c r="Y2195">
        <f t="shared" si="443"/>
        <v>1</v>
      </c>
      <c r="Z2195">
        <f t="shared" si="440"/>
        <v>0</v>
      </c>
      <c r="AA2195">
        <f t="shared" si="437"/>
        <v>0</v>
      </c>
      <c r="AB2195">
        <f t="shared" si="452"/>
        <v>0</v>
      </c>
    </row>
    <row r="2196" spans="1:28">
      <c r="A2196" s="27">
        <v>45628</v>
      </c>
      <c r="B2196" s="24">
        <v>1925.15</v>
      </c>
      <c r="C2196" s="25">
        <f t="shared" si="448"/>
        <v>5.6048307059057148E-3</v>
      </c>
      <c r="E2196" s="25">
        <f t="shared" si="444"/>
        <v>0.3047176268866103</v>
      </c>
      <c r="F2196" s="25">
        <f t="shared" si="441"/>
        <v>0.22422671246082171</v>
      </c>
      <c r="G2196" s="25">
        <f t="shared" si="438"/>
        <v>0.15882114643399681</v>
      </c>
      <c r="H2196" s="25">
        <f t="shared" si="435"/>
        <v>0.20458000853715586</v>
      </c>
      <c r="I2196" s="25">
        <f t="shared" si="450"/>
        <v>0.19025177877136423</v>
      </c>
      <c r="K2196" s="29">
        <v>45628</v>
      </c>
      <c r="L2196" s="24">
        <v>36082.61</v>
      </c>
      <c r="M2196" s="25">
        <f t="shared" si="449"/>
        <v>6.5186526140985678E-3</v>
      </c>
      <c r="O2196" t="b">
        <f t="shared" si="447"/>
        <v>1</v>
      </c>
      <c r="Q2196" s="25">
        <f t="shared" si="445"/>
        <v>0.28128990425110323</v>
      </c>
      <c r="R2196" s="25">
        <f t="shared" si="442"/>
        <v>0.21280281173529536</v>
      </c>
      <c r="S2196" s="25">
        <f t="shared" si="439"/>
        <v>0.16285573496219108</v>
      </c>
      <c r="T2196" s="25">
        <f t="shared" si="436"/>
        <v>0.21331199644575327</v>
      </c>
      <c r="U2196" s="25">
        <f t="shared" si="451"/>
        <v>0.19701514732014025</v>
      </c>
      <c r="X2196">
        <f t="shared" si="446"/>
        <v>1</v>
      </c>
      <c r="Y2196">
        <f t="shared" si="443"/>
        <v>1</v>
      </c>
      <c r="Z2196">
        <f t="shared" si="440"/>
        <v>0</v>
      </c>
      <c r="AA2196">
        <f t="shared" si="437"/>
        <v>0</v>
      </c>
      <c r="AB2196">
        <f t="shared" si="452"/>
        <v>0</v>
      </c>
    </row>
    <row r="2197" spans="1:28">
      <c r="A2197" s="26">
        <v>45629</v>
      </c>
      <c r="B2197" s="23">
        <v>1941.42</v>
      </c>
      <c r="C2197" s="25">
        <f t="shared" si="448"/>
        <v>8.451289509908309E-3</v>
      </c>
      <c r="E2197" s="25">
        <f t="shared" si="444"/>
        <v>0.30715108097735699</v>
      </c>
      <c r="F2197" s="25">
        <f t="shared" si="441"/>
        <v>0.22520880964538481</v>
      </c>
      <c r="G2197" s="25">
        <f t="shared" si="438"/>
        <v>0.16472808312535681</v>
      </c>
      <c r="H2197" s="25">
        <f t="shared" si="435"/>
        <v>0.20491257461025181</v>
      </c>
      <c r="I2197" s="25">
        <f t="shared" si="450"/>
        <v>0.19292668210866726</v>
      </c>
      <c r="K2197" s="28">
        <v>45629</v>
      </c>
      <c r="L2197" s="23">
        <v>36374.879999999997</v>
      </c>
      <c r="M2197" s="25">
        <f t="shared" si="449"/>
        <v>8.0349405963675152E-3</v>
      </c>
      <c r="O2197" t="b">
        <f t="shared" si="447"/>
        <v>1</v>
      </c>
      <c r="Q2197" s="25">
        <f t="shared" si="445"/>
        <v>0.28258725588890199</v>
      </c>
      <c r="R2197" s="25">
        <f t="shared" si="442"/>
        <v>0.21259058229744632</v>
      </c>
      <c r="S2197" s="25">
        <f t="shared" si="439"/>
        <v>0.16905610507709667</v>
      </c>
      <c r="T2197" s="25">
        <f t="shared" si="436"/>
        <v>0.2132450217811126</v>
      </c>
      <c r="U2197" s="25">
        <f t="shared" si="451"/>
        <v>0.19954882934051477</v>
      </c>
      <c r="X2197">
        <f t="shared" si="446"/>
        <v>1</v>
      </c>
      <c r="Y2197">
        <f t="shared" si="443"/>
        <v>1</v>
      </c>
      <c r="Z2197">
        <f t="shared" si="440"/>
        <v>0</v>
      </c>
      <c r="AA2197">
        <f t="shared" si="437"/>
        <v>0</v>
      </c>
      <c r="AB2197">
        <f t="shared" si="452"/>
        <v>0</v>
      </c>
    </row>
    <row r="2198" spans="1:28">
      <c r="A2198" s="27">
        <v>45630</v>
      </c>
      <c r="B2198" s="24">
        <v>1945.84</v>
      </c>
      <c r="C2198" s="25">
        <f t="shared" si="448"/>
        <v>2.2766840766036433E-3</v>
      </c>
      <c r="E2198" s="25">
        <f t="shared" si="444"/>
        <v>0.28937010482791514</v>
      </c>
      <c r="F2198" s="25">
        <f t="shared" si="441"/>
        <v>0.22355072773150986</v>
      </c>
      <c r="G2198" s="25">
        <f t="shared" si="438"/>
        <v>0.17228328575848506</v>
      </c>
      <c r="H2198" s="25">
        <f t="shared" si="435"/>
        <v>0.20555198419399456</v>
      </c>
      <c r="I2198" s="25">
        <f t="shared" si="450"/>
        <v>0.19543044490843342</v>
      </c>
      <c r="K2198" s="29">
        <v>45630</v>
      </c>
      <c r="L2198" s="24">
        <v>36499.26</v>
      </c>
      <c r="M2198" s="25">
        <f t="shared" si="449"/>
        <v>3.4077403213107513E-3</v>
      </c>
      <c r="O2198" t="b">
        <f t="shared" si="447"/>
        <v>1</v>
      </c>
      <c r="Q2198" s="25">
        <f t="shared" si="445"/>
        <v>0.26372983747412349</v>
      </c>
      <c r="R2198" s="25">
        <f t="shared" si="442"/>
        <v>0.21246531817228509</v>
      </c>
      <c r="S2198" s="25">
        <f t="shared" si="439"/>
        <v>0.17670333233247204</v>
      </c>
      <c r="T2198" s="25">
        <f t="shared" si="436"/>
        <v>0.21377632301410232</v>
      </c>
      <c r="U2198" s="25">
        <f t="shared" si="451"/>
        <v>0.2025497123378841</v>
      </c>
      <c r="X2198">
        <f t="shared" si="446"/>
        <v>1</v>
      </c>
      <c r="Y2198">
        <f t="shared" si="443"/>
        <v>1</v>
      </c>
      <c r="Z2198">
        <f t="shared" si="440"/>
        <v>0</v>
      </c>
      <c r="AA2198">
        <f t="shared" si="437"/>
        <v>0</v>
      </c>
      <c r="AB2198">
        <f t="shared" si="452"/>
        <v>0</v>
      </c>
    </row>
    <row r="2199" spans="1:28">
      <c r="A2199" s="26">
        <v>45631</v>
      </c>
      <c r="B2199" s="23">
        <v>1959.51</v>
      </c>
      <c r="C2199" s="25">
        <f t="shared" si="448"/>
        <v>7.0252435965958522E-3</v>
      </c>
      <c r="E2199" s="25">
        <f t="shared" si="444"/>
        <v>0.29230556160101306</v>
      </c>
      <c r="F2199" s="25">
        <f t="shared" si="441"/>
        <v>0.22649242738825848</v>
      </c>
      <c r="G2199" s="25">
        <f t="shared" si="438"/>
        <v>0.16966241209549193</v>
      </c>
      <c r="H2199" s="25">
        <f t="shared" si="435"/>
        <v>0.20552332987473765</v>
      </c>
      <c r="I2199" s="25">
        <f t="shared" si="450"/>
        <v>0.19722557257305517</v>
      </c>
      <c r="K2199" s="28">
        <v>45631</v>
      </c>
      <c r="L2199" s="23">
        <v>36781.26</v>
      </c>
      <c r="M2199" s="25">
        <f t="shared" si="449"/>
        <v>7.6669477880855624E-3</v>
      </c>
      <c r="O2199" t="b">
        <f t="shared" si="447"/>
        <v>1</v>
      </c>
      <c r="Q2199" s="25">
        <f t="shared" si="445"/>
        <v>0.26390001855580825</v>
      </c>
      <c r="R2199" s="25">
        <f t="shared" si="442"/>
        <v>0.21868166464486349</v>
      </c>
      <c r="S2199" s="25">
        <f t="shared" si="439"/>
        <v>0.17396827865435727</v>
      </c>
      <c r="T2199" s="25">
        <f t="shared" si="436"/>
        <v>0.21358955158001325</v>
      </c>
      <c r="U2199" s="25">
        <f t="shared" si="451"/>
        <v>0.20435193713399502</v>
      </c>
      <c r="X2199">
        <f t="shared" si="446"/>
        <v>1</v>
      </c>
      <c r="Y2199">
        <f t="shared" si="443"/>
        <v>1</v>
      </c>
      <c r="Z2199">
        <f t="shared" si="440"/>
        <v>0</v>
      </c>
      <c r="AA2199">
        <f t="shared" si="437"/>
        <v>0</v>
      </c>
      <c r="AB2199">
        <f t="shared" si="452"/>
        <v>0</v>
      </c>
    </row>
    <row r="2200" spans="1:28">
      <c r="A2200" s="27">
        <v>45632</v>
      </c>
      <c r="B2200" s="24">
        <v>1958.32</v>
      </c>
      <c r="C2200" s="25">
        <f t="shared" si="448"/>
        <v>-6.0729468081308828E-4</v>
      </c>
      <c r="E2200" s="25">
        <f t="shared" si="444"/>
        <v>0.28973452143388712</v>
      </c>
      <c r="F2200" s="25">
        <f t="shared" si="441"/>
        <v>0.22624704116509009</v>
      </c>
      <c r="G2200" s="25">
        <f t="shared" si="438"/>
        <v>0.1627723969231516</v>
      </c>
      <c r="H2200" s="25">
        <f t="shared" ref="H2200:H2263" si="453">((B2200/B1219)^(1/4))-1</f>
        <v>0.20747708247057783</v>
      </c>
      <c r="I2200" s="25">
        <f t="shared" si="450"/>
        <v>0.19854908962365947</v>
      </c>
      <c r="K2200" s="29">
        <v>45632</v>
      </c>
      <c r="L2200" s="24">
        <v>36835.17</v>
      </c>
      <c r="M2200" s="25">
        <f t="shared" si="449"/>
        <v>1.4635469308271476E-3</v>
      </c>
      <c r="O2200" t="b">
        <f t="shared" si="447"/>
        <v>1</v>
      </c>
      <c r="Q2200" s="25">
        <f t="shared" si="445"/>
        <v>0.25955587652682177</v>
      </c>
      <c r="R2200" s="25">
        <f t="shared" si="442"/>
        <v>0.21943387342923848</v>
      </c>
      <c r="S2200" s="25">
        <f t="shared" si="439"/>
        <v>0.16830722899924333</v>
      </c>
      <c r="T2200" s="25">
        <f t="shared" ref="T2200:T2263" si="454">((L2200/L1219)^(1/4))-1</f>
        <v>0.21511895269916614</v>
      </c>
      <c r="U2200" s="25">
        <f t="shared" si="451"/>
        <v>0.20660069698802186</v>
      </c>
      <c r="X2200">
        <f t="shared" si="446"/>
        <v>1</v>
      </c>
      <c r="Y2200">
        <f t="shared" si="443"/>
        <v>1</v>
      </c>
      <c r="Z2200">
        <f t="shared" si="440"/>
        <v>0</v>
      </c>
      <c r="AA2200">
        <f t="shared" ref="AA2200:AA2263" si="455">IF(H2200&gt;T2200,1,0)</f>
        <v>0</v>
      </c>
      <c r="AB2200">
        <f t="shared" si="452"/>
        <v>0</v>
      </c>
    </row>
    <row r="2201" spans="1:28">
      <c r="A2201" s="26">
        <v>45635</v>
      </c>
      <c r="B2201" s="23">
        <v>1958.37</v>
      </c>
      <c r="C2201" s="25">
        <f t="shared" si="448"/>
        <v>2.553208872909153E-5</v>
      </c>
      <c r="E2201" s="25">
        <f t="shared" si="444"/>
        <v>0.2929692400124122</v>
      </c>
      <c r="F2201" s="25">
        <f t="shared" si="441"/>
        <v>0.23116935711449682</v>
      </c>
      <c r="G2201" s="25">
        <f t="shared" si="438"/>
        <v>0.16177899409210839</v>
      </c>
      <c r="H2201" s="25">
        <f t="shared" si="453"/>
        <v>0.2070362811511326</v>
      </c>
      <c r="I2201" s="25">
        <f t="shared" si="450"/>
        <v>0.19821944022583882</v>
      </c>
      <c r="K2201" s="28">
        <v>45635</v>
      </c>
      <c r="L2201" s="23">
        <v>36803.449999999997</v>
      </c>
      <c r="M2201" s="25">
        <f t="shared" si="449"/>
        <v>-8.6187572089032867E-4</v>
      </c>
      <c r="O2201" t="b">
        <f t="shared" si="447"/>
        <v>1</v>
      </c>
      <c r="Q2201" s="25">
        <f t="shared" si="445"/>
        <v>0.25686644074788823</v>
      </c>
      <c r="R2201" s="25">
        <f t="shared" si="442"/>
        <v>0.22060471329238185</v>
      </c>
      <c r="S2201" s="25">
        <f t="shared" si="439"/>
        <v>0.16659731909210285</v>
      </c>
      <c r="T2201" s="25">
        <f t="shared" si="454"/>
        <v>0.21403843889662943</v>
      </c>
      <c r="U2201" s="25">
        <f t="shared" si="451"/>
        <v>0.20536834933908765</v>
      </c>
      <c r="X2201">
        <f t="shared" si="446"/>
        <v>1</v>
      </c>
      <c r="Y2201">
        <f t="shared" si="443"/>
        <v>1</v>
      </c>
      <c r="Z2201">
        <f t="shared" si="440"/>
        <v>0</v>
      </c>
      <c r="AA2201">
        <f t="shared" si="455"/>
        <v>0</v>
      </c>
      <c r="AB2201">
        <f t="shared" si="452"/>
        <v>0</v>
      </c>
    </row>
    <row r="2202" spans="1:28">
      <c r="A2202" s="27">
        <v>45636</v>
      </c>
      <c r="B2202" s="24">
        <v>1965.14</v>
      </c>
      <c r="C2202" s="25">
        <f t="shared" si="448"/>
        <v>3.4569565506008615E-3</v>
      </c>
      <c r="E2202" s="25">
        <f t="shared" si="444"/>
        <v>0.2940897566757763</v>
      </c>
      <c r="F2202" s="25">
        <f t="shared" si="441"/>
        <v>0.2371605830012784</v>
      </c>
      <c r="G2202" s="25">
        <f t="shared" si="438"/>
        <v>0.16349206942095296</v>
      </c>
      <c r="H2202" s="25">
        <f t="shared" si="453"/>
        <v>0.20644358490269865</v>
      </c>
      <c r="I2202" s="25">
        <f t="shared" si="450"/>
        <v>0.19762424967820658</v>
      </c>
      <c r="K2202" s="29">
        <v>45636</v>
      </c>
      <c r="L2202" s="24">
        <v>36839.599999999999</v>
      </c>
      <c r="M2202" s="25">
        <f t="shared" si="449"/>
        <v>9.8128101282319723E-4</v>
      </c>
      <c r="O2202" t="b">
        <f t="shared" si="447"/>
        <v>1</v>
      </c>
      <c r="Q2202" s="25">
        <f t="shared" si="445"/>
        <v>0.25812548196223251</v>
      </c>
      <c r="R2202" s="25">
        <f t="shared" si="442"/>
        <v>0.22354316121672135</v>
      </c>
      <c r="S2202" s="25">
        <f t="shared" si="439"/>
        <v>0.16625009660027845</v>
      </c>
      <c r="T2202" s="25">
        <f t="shared" si="454"/>
        <v>0.21314809003533886</v>
      </c>
      <c r="U2202" s="25">
        <f t="shared" si="451"/>
        <v>0.20423691422248114</v>
      </c>
      <c r="X2202">
        <f t="shared" si="446"/>
        <v>1</v>
      </c>
      <c r="Y2202">
        <f t="shared" si="443"/>
        <v>1</v>
      </c>
      <c r="Z2202">
        <f t="shared" si="440"/>
        <v>0</v>
      </c>
      <c r="AA2202">
        <f t="shared" si="455"/>
        <v>0</v>
      </c>
      <c r="AB2202">
        <f t="shared" si="452"/>
        <v>0</v>
      </c>
    </row>
    <row r="2203" spans="1:28">
      <c r="A2203" s="26">
        <v>45637</v>
      </c>
      <c r="B2203" s="23">
        <v>1966.6</v>
      </c>
      <c r="C2203" s="25">
        <f t="shared" si="448"/>
        <v>7.4294961173240021E-4</v>
      </c>
      <c r="E2203" s="25">
        <f t="shared" si="444"/>
        <v>0.28783413880266662</v>
      </c>
      <c r="F2203" s="25">
        <f t="shared" si="441"/>
        <v>0.23522205121657658</v>
      </c>
      <c r="G2203" s="25">
        <f t="shared" si="438"/>
        <v>0.16540454598388776</v>
      </c>
      <c r="H2203" s="25">
        <f t="shared" si="453"/>
        <v>0.20677820051396023</v>
      </c>
      <c r="I2203" s="25">
        <f t="shared" si="450"/>
        <v>0.19603494493582851</v>
      </c>
      <c r="K2203" s="28">
        <v>45637</v>
      </c>
      <c r="L2203" s="23">
        <v>36907.949999999997</v>
      </c>
      <c r="M2203" s="25">
        <f t="shared" si="449"/>
        <v>1.8519045354726705E-3</v>
      </c>
      <c r="O2203" t="b">
        <f t="shared" si="447"/>
        <v>1</v>
      </c>
      <c r="Q2203" s="25">
        <f t="shared" si="445"/>
        <v>0.25597865092029104</v>
      </c>
      <c r="R2203" s="25">
        <f t="shared" si="442"/>
        <v>0.22278642719168706</v>
      </c>
      <c r="S2203" s="25">
        <f t="shared" si="439"/>
        <v>0.16930875037146009</v>
      </c>
      <c r="T2203" s="25">
        <f t="shared" si="454"/>
        <v>0.21347645129463877</v>
      </c>
      <c r="U2203" s="25">
        <f t="shared" si="451"/>
        <v>0.20239768074853148</v>
      </c>
      <c r="X2203">
        <f t="shared" si="446"/>
        <v>1</v>
      </c>
      <c r="Y2203">
        <f t="shared" si="443"/>
        <v>1</v>
      </c>
      <c r="Z2203">
        <f t="shared" si="440"/>
        <v>0</v>
      </c>
      <c r="AA2203">
        <f t="shared" si="455"/>
        <v>0</v>
      </c>
      <c r="AB2203">
        <f t="shared" si="452"/>
        <v>0</v>
      </c>
    </row>
    <row r="2204" spans="1:28">
      <c r="A2204" s="27">
        <v>45638</v>
      </c>
      <c r="B2204" s="24">
        <v>1958.02</v>
      </c>
      <c r="C2204" s="25">
        <f t="shared" si="448"/>
        <v>-4.3628597579578599E-3</v>
      </c>
      <c r="E2204" s="25">
        <f t="shared" si="444"/>
        <v>0.29004671265458337</v>
      </c>
      <c r="F2204" s="25">
        <f t="shared" si="441"/>
        <v>0.2368889852348206</v>
      </c>
      <c r="G2204" s="25">
        <f t="shared" si="438"/>
        <v>0.16470174479817667</v>
      </c>
      <c r="H2204" s="25">
        <f t="shared" si="453"/>
        <v>0.20379181420701653</v>
      </c>
      <c r="I2204" s="25">
        <f t="shared" si="450"/>
        <v>0.19570462718722648</v>
      </c>
      <c r="K2204" s="29">
        <v>45638</v>
      </c>
      <c r="L2204" s="24">
        <v>36747.199999999997</v>
      </c>
      <c r="M2204" s="25">
        <f t="shared" si="449"/>
        <v>-4.3744829538032836E-3</v>
      </c>
      <c r="O2204" t="b">
        <f t="shared" si="447"/>
        <v>1</v>
      </c>
      <c r="Q2204" s="25">
        <f t="shared" si="445"/>
        <v>0.25609122480789726</v>
      </c>
      <c r="R2204" s="25">
        <f t="shared" si="442"/>
        <v>0.22390867246142077</v>
      </c>
      <c r="S2204" s="25">
        <f t="shared" si="439"/>
        <v>0.16815170780793953</v>
      </c>
      <c r="T2204" s="25">
        <f t="shared" si="454"/>
        <v>0.2095700000271572</v>
      </c>
      <c r="U2204" s="25">
        <f t="shared" si="451"/>
        <v>0.2021010222032098</v>
      </c>
      <c r="X2204">
        <f t="shared" si="446"/>
        <v>1</v>
      </c>
      <c r="Y2204">
        <f t="shared" si="443"/>
        <v>1</v>
      </c>
      <c r="Z2204">
        <f t="shared" si="440"/>
        <v>0</v>
      </c>
      <c r="AA2204">
        <f t="shared" si="455"/>
        <v>0</v>
      </c>
      <c r="AB2204">
        <f t="shared" si="452"/>
        <v>0</v>
      </c>
    </row>
    <row r="2205" spans="1:28">
      <c r="A2205" s="26">
        <v>45639</v>
      </c>
      <c r="B2205" s="23">
        <v>1964.45</v>
      </c>
      <c r="C2205" s="25">
        <f t="shared" si="448"/>
        <v>3.2839296840686326E-3</v>
      </c>
      <c r="E2205" s="25">
        <f t="shared" si="444"/>
        <v>0.28865404547303242</v>
      </c>
      <c r="F2205" s="25">
        <f t="shared" si="441"/>
        <v>0.23925235286838387</v>
      </c>
      <c r="G2205" s="25">
        <f t="shared" si="438"/>
        <v>0.1686849084197859</v>
      </c>
      <c r="H2205" s="25">
        <f t="shared" si="453"/>
        <v>0.20455933464193432</v>
      </c>
      <c r="I2205" s="25">
        <f t="shared" si="450"/>
        <v>0.1944916693176395</v>
      </c>
      <c r="K2205" s="28">
        <v>45639</v>
      </c>
      <c r="L2205" s="23">
        <v>36909.230000000003</v>
      </c>
      <c r="M2205" s="25">
        <f t="shared" si="449"/>
        <v>4.3899588260173971E-3</v>
      </c>
      <c r="O2205" t="b">
        <f t="shared" si="447"/>
        <v>1</v>
      </c>
      <c r="Q2205" s="25">
        <f t="shared" si="445"/>
        <v>0.25728095314171817</v>
      </c>
      <c r="R2205" s="25">
        <f t="shared" si="442"/>
        <v>0.22601217185560341</v>
      </c>
      <c r="S2205" s="25">
        <f t="shared" si="439"/>
        <v>0.17221238243328707</v>
      </c>
      <c r="T2205" s="25">
        <f t="shared" si="454"/>
        <v>0.21014881823113329</v>
      </c>
      <c r="U2205" s="25">
        <f t="shared" si="451"/>
        <v>0.20123595618351886</v>
      </c>
      <c r="X2205">
        <f t="shared" si="446"/>
        <v>1</v>
      </c>
      <c r="Y2205">
        <f t="shared" si="443"/>
        <v>1</v>
      </c>
      <c r="Z2205">
        <f t="shared" si="440"/>
        <v>0</v>
      </c>
      <c r="AA2205">
        <f t="shared" si="455"/>
        <v>0</v>
      </c>
      <c r="AB2205">
        <f t="shared" si="452"/>
        <v>0</v>
      </c>
    </row>
    <row r="2206" spans="1:28">
      <c r="A2206" s="27">
        <v>45642</v>
      </c>
      <c r="B2206" s="24">
        <v>1962.08</v>
      </c>
      <c r="C2206" s="25">
        <f t="shared" si="448"/>
        <v>-1.2064445519102641E-3</v>
      </c>
      <c r="E2206" s="25">
        <f t="shared" si="444"/>
        <v>0.26971636391874654</v>
      </c>
      <c r="F2206" s="25">
        <f t="shared" si="441"/>
        <v>0.23571586069457284</v>
      </c>
      <c r="G2206" s="25">
        <f t="shared" si="438"/>
        <v>0.16873411170381547</v>
      </c>
      <c r="H2206" s="25">
        <f t="shared" si="453"/>
        <v>0.20328453673461411</v>
      </c>
      <c r="I2206" s="25">
        <f t="shared" si="450"/>
        <v>0.19324475148473308</v>
      </c>
      <c r="K2206" s="29">
        <v>45642</v>
      </c>
      <c r="L2206" s="24">
        <v>36898.980000000003</v>
      </c>
      <c r="M2206" s="25">
        <f t="shared" si="449"/>
        <v>-2.7778545640014978E-4</v>
      </c>
      <c r="O2206" t="b">
        <f t="shared" si="447"/>
        <v>1</v>
      </c>
      <c r="Q2206" s="25">
        <f t="shared" si="445"/>
        <v>0.24218454120884414</v>
      </c>
      <c r="R2206" s="25">
        <f t="shared" si="442"/>
        <v>0.22289026673143697</v>
      </c>
      <c r="S2206" s="25">
        <f t="shared" si="439"/>
        <v>0.17253947583677709</v>
      </c>
      <c r="T2206" s="25">
        <f t="shared" si="454"/>
        <v>0.2098353328866025</v>
      </c>
      <c r="U2206" s="25">
        <f t="shared" si="451"/>
        <v>0.20035933829202968</v>
      </c>
      <c r="X2206">
        <f t="shared" si="446"/>
        <v>1</v>
      </c>
      <c r="Y2206">
        <f t="shared" si="443"/>
        <v>1</v>
      </c>
      <c r="Z2206">
        <f t="shared" si="440"/>
        <v>0</v>
      </c>
      <c r="AA2206">
        <f t="shared" si="455"/>
        <v>0</v>
      </c>
      <c r="AB2206">
        <f t="shared" si="452"/>
        <v>0</v>
      </c>
    </row>
    <row r="2207" spans="1:28">
      <c r="A2207" s="26">
        <v>45643</v>
      </c>
      <c r="B2207" s="23">
        <v>1941.29</v>
      </c>
      <c r="C2207" s="25">
        <f t="shared" si="448"/>
        <v>-1.0595898230449301E-2</v>
      </c>
      <c r="E2207" s="25">
        <f t="shared" si="444"/>
        <v>0.24566232899566232</v>
      </c>
      <c r="F2207" s="25">
        <f t="shared" si="441"/>
        <v>0.22700021687040661</v>
      </c>
      <c r="G2207" s="25">
        <f t="shared" si="438"/>
        <v>0.17064562065293831</v>
      </c>
      <c r="H2207" s="25">
        <f t="shared" si="453"/>
        <v>0.21104309746212935</v>
      </c>
      <c r="I2207" s="25">
        <f t="shared" si="450"/>
        <v>0.19062013777192588</v>
      </c>
      <c r="K2207" s="28">
        <v>45643</v>
      </c>
      <c r="L2207" s="23">
        <v>36493.339999999997</v>
      </c>
      <c r="M2207" s="25">
        <f t="shared" si="449"/>
        <v>-1.1115452847012817E-2</v>
      </c>
      <c r="O2207" t="b">
        <f t="shared" si="447"/>
        <v>1</v>
      </c>
      <c r="Q2207" s="25">
        <f t="shared" si="445"/>
        <v>0.21754167171287975</v>
      </c>
      <c r="R2207" s="25">
        <f t="shared" si="442"/>
        <v>0.21388895558103926</v>
      </c>
      <c r="S2207" s="25">
        <f t="shared" si="439"/>
        <v>0.17511207665345041</v>
      </c>
      <c r="T2207" s="25">
        <f t="shared" si="454"/>
        <v>0.2171041116021879</v>
      </c>
      <c r="U2207" s="25">
        <f t="shared" si="451"/>
        <v>0.19702839111885551</v>
      </c>
      <c r="X2207">
        <f t="shared" si="446"/>
        <v>1</v>
      </c>
      <c r="Y2207">
        <f t="shared" si="443"/>
        <v>1</v>
      </c>
      <c r="Z2207">
        <f t="shared" si="440"/>
        <v>0</v>
      </c>
      <c r="AA2207">
        <f t="shared" si="455"/>
        <v>0</v>
      </c>
      <c r="AB2207">
        <f t="shared" si="452"/>
        <v>0</v>
      </c>
    </row>
    <row r="2208" spans="1:28">
      <c r="A2208" s="27">
        <v>45644</v>
      </c>
      <c r="B2208" s="24">
        <v>1932.59</v>
      </c>
      <c r="C2208" s="25">
        <f t="shared" si="448"/>
        <v>-4.4815560786899671E-3</v>
      </c>
      <c r="E2208" s="25">
        <f t="shared" si="444"/>
        <v>0.23934024638155149</v>
      </c>
      <c r="F2208" s="25">
        <f t="shared" si="441"/>
        <v>0.23094357241999686</v>
      </c>
      <c r="G2208" s="25">
        <f t="shared" si="438"/>
        <v>0.17840719184210618</v>
      </c>
      <c r="H2208" s="25">
        <f t="shared" si="453"/>
        <v>0.20608853748504319</v>
      </c>
      <c r="I2208" s="25">
        <f t="shared" si="450"/>
        <v>0.18877846877855475</v>
      </c>
      <c r="K2208" s="29">
        <v>45644</v>
      </c>
      <c r="L2208" s="24">
        <v>36238.39</v>
      </c>
      <c r="M2208" s="25">
        <f t="shared" si="449"/>
        <v>-7.0353567032088648E-3</v>
      </c>
      <c r="O2208" t="b">
        <f t="shared" si="447"/>
        <v>1</v>
      </c>
      <c r="Q2208" s="25">
        <f t="shared" si="445"/>
        <v>0.20837369483007162</v>
      </c>
      <c r="R2208" s="25">
        <f t="shared" si="442"/>
        <v>0.21651769461245118</v>
      </c>
      <c r="S2208" s="25">
        <f t="shared" si="439"/>
        <v>0.18245917031128811</v>
      </c>
      <c r="T2208" s="25">
        <f t="shared" si="454"/>
        <v>0.21190394515434896</v>
      </c>
      <c r="U2208" s="25">
        <f t="shared" si="451"/>
        <v>0.1950356830331843</v>
      </c>
      <c r="X2208">
        <f t="shared" si="446"/>
        <v>1</v>
      </c>
      <c r="Y2208">
        <f t="shared" si="443"/>
        <v>1</v>
      </c>
      <c r="Z2208">
        <f t="shared" si="440"/>
        <v>0</v>
      </c>
      <c r="AA2208">
        <f t="shared" si="455"/>
        <v>0</v>
      </c>
      <c r="AB2208">
        <f t="shared" si="452"/>
        <v>0</v>
      </c>
    </row>
    <row r="2209" spans="1:28">
      <c r="A2209" s="26">
        <v>45645</v>
      </c>
      <c r="B2209" s="23">
        <v>1918.94</v>
      </c>
      <c r="C2209" s="25">
        <f t="shared" si="448"/>
        <v>-7.0630604525532392E-3</v>
      </c>
      <c r="E2209" s="25">
        <f t="shared" si="444"/>
        <v>0.23071298927020734</v>
      </c>
      <c r="F2209" s="25">
        <f t="shared" si="441"/>
        <v>0.23393911065122319</v>
      </c>
      <c r="G2209" s="25">
        <f t="shared" si="438"/>
        <v>0.17016593717736139</v>
      </c>
      <c r="H2209" s="25">
        <f t="shared" si="453"/>
        <v>0.19887602985097219</v>
      </c>
      <c r="I2209" s="25">
        <f t="shared" si="450"/>
        <v>0.187050676887065</v>
      </c>
      <c r="K2209" s="28">
        <v>45645</v>
      </c>
      <c r="L2209" s="23">
        <v>35950.449999999997</v>
      </c>
      <c r="M2209" s="25">
        <f t="shared" si="449"/>
        <v>-8.0093573237609642E-3</v>
      </c>
      <c r="O2209" t="b">
        <f t="shared" si="447"/>
        <v>1</v>
      </c>
      <c r="Q2209" s="25">
        <f t="shared" si="445"/>
        <v>0.19791508737673214</v>
      </c>
      <c r="R2209" s="25">
        <f t="shared" si="442"/>
        <v>0.21737581502603609</v>
      </c>
      <c r="S2209" s="25">
        <f t="shared" si="439"/>
        <v>0.17493461983017</v>
      </c>
      <c r="T2209" s="25">
        <f t="shared" si="454"/>
        <v>0.20543229909185712</v>
      </c>
      <c r="U2209" s="25">
        <f t="shared" si="451"/>
        <v>0.19331470473507806</v>
      </c>
      <c r="X2209">
        <f t="shared" si="446"/>
        <v>1</v>
      </c>
      <c r="Y2209">
        <f t="shared" si="443"/>
        <v>1</v>
      </c>
      <c r="Z2209">
        <f t="shared" si="440"/>
        <v>0</v>
      </c>
      <c r="AA2209">
        <f t="shared" si="455"/>
        <v>0</v>
      </c>
      <c r="AB2209">
        <f t="shared" si="452"/>
        <v>0</v>
      </c>
    </row>
    <row r="2210" spans="1:28">
      <c r="A2210" s="27">
        <v>45646</v>
      </c>
      <c r="B2210" s="24">
        <v>1888.46</v>
      </c>
      <c r="C2210" s="25">
        <f t="shared" si="448"/>
        <v>-1.5883769164226094E-2</v>
      </c>
      <c r="E2210" s="25">
        <f t="shared" si="444"/>
        <v>0.23540186573510757</v>
      </c>
      <c r="F2210" s="25">
        <f t="shared" si="441"/>
        <v>0.22046915707117232</v>
      </c>
      <c r="G2210" s="25">
        <f t="shared" si="438"/>
        <v>0.15817967457942395</v>
      </c>
      <c r="H2210" s="25">
        <f t="shared" si="453"/>
        <v>0.19159627185736094</v>
      </c>
      <c r="I2210" s="25">
        <f t="shared" si="450"/>
        <v>0.1836978264113529</v>
      </c>
      <c r="K2210" s="29">
        <v>45646</v>
      </c>
      <c r="L2210" s="24">
        <v>35266.620000000003</v>
      </c>
      <c r="M2210" s="25">
        <f t="shared" si="449"/>
        <v>-1.9390290308512536E-2</v>
      </c>
      <c r="O2210" t="b">
        <f t="shared" si="447"/>
        <v>1</v>
      </c>
      <c r="Q2210" s="25">
        <f t="shared" si="445"/>
        <v>0.19952082594260867</v>
      </c>
      <c r="R2210" s="25">
        <f t="shared" si="442"/>
        <v>0.20118575526118132</v>
      </c>
      <c r="S2210" s="25">
        <f t="shared" si="439"/>
        <v>0.16259404599479321</v>
      </c>
      <c r="T2210" s="25">
        <f t="shared" si="454"/>
        <v>0.19700973810658984</v>
      </c>
      <c r="U2210" s="25">
        <f t="shared" si="451"/>
        <v>0.18944444691295725</v>
      </c>
      <c r="X2210">
        <f t="shared" si="446"/>
        <v>1</v>
      </c>
      <c r="Y2210">
        <f t="shared" si="443"/>
        <v>1</v>
      </c>
      <c r="Z2210">
        <f t="shared" si="440"/>
        <v>0</v>
      </c>
      <c r="AA2210">
        <f t="shared" si="455"/>
        <v>0</v>
      </c>
      <c r="AB2210">
        <f t="shared" si="452"/>
        <v>0</v>
      </c>
    </row>
    <row r="2211" spans="1:28">
      <c r="A2211" s="26">
        <v>45649</v>
      </c>
      <c r="B2211" s="23">
        <v>1892.59</v>
      </c>
      <c r="C2211" s="25">
        <f t="shared" si="448"/>
        <v>2.1869671584253212E-3</v>
      </c>
      <c r="E2211" s="25">
        <f t="shared" si="444"/>
        <v>0.22823674475955591</v>
      </c>
      <c r="F2211" s="25">
        <f t="shared" si="441"/>
        <v>0.22316893007373717</v>
      </c>
      <c r="G2211" s="25">
        <f t="shared" si="438"/>
        <v>0.15604794927649812</v>
      </c>
      <c r="H2211" s="25">
        <f t="shared" si="453"/>
        <v>0.18947274073497122</v>
      </c>
      <c r="I2211" s="25">
        <f t="shared" si="450"/>
        <v>0.18534624310540404</v>
      </c>
      <c r="K2211" s="28">
        <v>45649</v>
      </c>
      <c r="L2211" s="23">
        <v>35413.410000000003</v>
      </c>
      <c r="M2211" s="25">
        <f t="shared" si="449"/>
        <v>4.1450399721461688E-3</v>
      </c>
      <c r="O2211" t="b">
        <f t="shared" si="447"/>
        <v>1</v>
      </c>
      <c r="Q2211" s="25">
        <f t="shared" si="445"/>
        <v>0.19419174896669045</v>
      </c>
      <c r="R2211" s="25">
        <f t="shared" si="442"/>
        <v>0.20479108275293068</v>
      </c>
      <c r="S2211" s="25">
        <f t="shared" si="439"/>
        <v>0.16125883620849502</v>
      </c>
      <c r="T2211" s="25">
        <f t="shared" si="454"/>
        <v>0.1953767606888841</v>
      </c>
      <c r="U2211" s="25">
        <f t="shared" si="451"/>
        <v>0.19167137412972846</v>
      </c>
      <c r="X2211">
        <f t="shared" si="446"/>
        <v>1</v>
      </c>
      <c r="Y2211">
        <f t="shared" si="443"/>
        <v>1</v>
      </c>
      <c r="Z2211">
        <f t="shared" si="440"/>
        <v>0</v>
      </c>
      <c r="AA2211">
        <f t="shared" si="455"/>
        <v>0</v>
      </c>
      <c r="AB2211">
        <f t="shared" si="452"/>
        <v>0</v>
      </c>
    </row>
    <row r="2212" spans="1:28">
      <c r="A2212" s="27">
        <v>45650</v>
      </c>
      <c r="B2212" s="24">
        <v>1893.87</v>
      </c>
      <c r="C2212" s="25">
        <f t="shared" si="448"/>
        <v>6.7632186580293295E-4</v>
      </c>
      <c r="E2212" s="25">
        <f t="shared" si="444"/>
        <v>0.21873009131450405</v>
      </c>
      <c r="F2212" s="25">
        <f t="shared" si="441"/>
        <v>0.22803680953287264</v>
      </c>
      <c r="G2212" s="25">
        <f t="shared" ref="G2212:G2275" si="456">((B2212/B1475)^(1/3))-1</f>
        <v>0.1578733854505896</v>
      </c>
      <c r="H2212" s="25">
        <f t="shared" si="453"/>
        <v>0.18912706811825841</v>
      </c>
      <c r="I2212" s="25">
        <f t="shared" si="450"/>
        <v>0.183259115704975</v>
      </c>
      <c r="K2212" s="29">
        <v>45650</v>
      </c>
      <c r="L2212" s="24">
        <v>35401.019999999997</v>
      </c>
      <c r="M2212" s="25">
        <f t="shared" si="449"/>
        <v>-3.4998991554499543E-4</v>
      </c>
      <c r="O2212" t="b">
        <f t="shared" si="447"/>
        <v>1</v>
      </c>
      <c r="Q2212" s="25">
        <f t="shared" si="445"/>
        <v>0.18669969217092386</v>
      </c>
      <c r="R2212" s="25">
        <f t="shared" si="442"/>
        <v>0.21226182351478684</v>
      </c>
      <c r="S2212" s="25">
        <f t="shared" ref="S2212:S2275" si="457">((L2212/L1475)^(1/3))-1</f>
        <v>0.1634058902408273</v>
      </c>
      <c r="T2212" s="25">
        <f t="shared" si="454"/>
        <v>0.1944296327343451</v>
      </c>
      <c r="U2212" s="25">
        <f t="shared" si="451"/>
        <v>0.18937969374252273</v>
      </c>
      <c r="X2212">
        <f t="shared" si="446"/>
        <v>1</v>
      </c>
      <c r="Y2212">
        <f t="shared" si="443"/>
        <v>1</v>
      </c>
      <c r="Z2212">
        <f t="shared" ref="Z2212:Z2275" si="458">IF(G2212&gt;S2212,1,0)</f>
        <v>0</v>
      </c>
      <c r="AA2212">
        <f t="shared" si="455"/>
        <v>0</v>
      </c>
      <c r="AB2212">
        <f t="shared" si="452"/>
        <v>0</v>
      </c>
    </row>
    <row r="2213" spans="1:28">
      <c r="A2213" s="26">
        <v>45652</v>
      </c>
      <c r="B2213" s="23">
        <v>1898.27</v>
      </c>
      <c r="C2213" s="25">
        <f t="shared" si="448"/>
        <v>2.3232851251670343E-3</v>
      </c>
      <c r="E2213" s="25">
        <f t="shared" si="444"/>
        <v>0.21477618148657718</v>
      </c>
      <c r="F2213" s="25">
        <f t="shared" si="441"/>
        <v>0.2322178846966223</v>
      </c>
      <c r="G2213" s="25">
        <f t="shared" si="456"/>
        <v>0.15701127684767946</v>
      </c>
      <c r="H2213" s="25">
        <f t="shared" si="453"/>
        <v>0.18884873173027716</v>
      </c>
      <c r="I2213" s="25">
        <f t="shared" si="450"/>
        <v>0.18362581541158995</v>
      </c>
      <c r="K2213" s="28">
        <v>45652</v>
      </c>
      <c r="L2213" s="23">
        <v>35444.76</v>
      </c>
      <c r="M2213" s="25">
        <f t="shared" si="449"/>
        <v>1.2340329007730687E-3</v>
      </c>
      <c r="O2213" t="b">
        <f t="shared" si="447"/>
        <v>1</v>
      </c>
      <c r="Q2213" s="25">
        <f t="shared" si="445"/>
        <v>0.18232356757586166</v>
      </c>
      <c r="R2213" s="25">
        <f t="shared" si="442"/>
        <v>0.21678070499391278</v>
      </c>
      <c r="S2213" s="25">
        <f t="shared" si="457"/>
        <v>0.16222823480355819</v>
      </c>
      <c r="T2213" s="25">
        <f t="shared" si="454"/>
        <v>0.19369002421861747</v>
      </c>
      <c r="U2213" s="25">
        <f t="shared" si="451"/>
        <v>0.18928925729793455</v>
      </c>
      <c r="X2213">
        <f t="shared" si="446"/>
        <v>1</v>
      </c>
      <c r="Y2213">
        <f t="shared" si="443"/>
        <v>1</v>
      </c>
      <c r="Z2213">
        <f t="shared" si="458"/>
        <v>0</v>
      </c>
      <c r="AA2213">
        <f t="shared" si="455"/>
        <v>0</v>
      </c>
      <c r="AB2213">
        <f t="shared" si="452"/>
        <v>0</v>
      </c>
    </row>
    <row r="2214" spans="1:28">
      <c r="A2214" s="27">
        <v>45653</v>
      </c>
      <c r="B2214" s="24">
        <v>1900.52</v>
      </c>
      <c r="C2214" s="25">
        <f t="shared" si="448"/>
        <v>1.1852897638375995E-3</v>
      </c>
      <c r="E2214" s="25">
        <f t="shared" si="444"/>
        <v>0.20530952124252444</v>
      </c>
      <c r="F2214" s="25">
        <f t="shared" si="441"/>
        <v>0.24627738196100291</v>
      </c>
      <c r="G2214" s="25">
        <f t="shared" si="456"/>
        <v>0.15367463758680389</v>
      </c>
      <c r="H2214" s="25">
        <f t="shared" si="453"/>
        <v>0.18836699773295429</v>
      </c>
      <c r="I2214" s="25">
        <f t="shared" si="450"/>
        <v>0.18490271096711286</v>
      </c>
      <c r="K2214" s="29">
        <v>45653</v>
      </c>
      <c r="L2214" s="24">
        <v>35468.25</v>
      </c>
      <c r="M2214" s="25">
        <f t="shared" si="449"/>
        <v>6.6228246389370669E-4</v>
      </c>
      <c r="O2214" t="b">
        <f t="shared" si="447"/>
        <v>1</v>
      </c>
      <c r="Q2214" s="25">
        <f t="shared" si="445"/>
        <v>0.17402629127748437</v>
      </c>
      <c r="R2214" s="25">
        <f t="shared" si="442"/>
        <v>0.23267798208819324</v>
      </c>
      <c r="S2214" s="25">
        <f t="shared" si="457"/>
        <v>0.15881715618248893</v>
      </c>
      <c r="T2214" s="25">
        <f t="shared" si="454"/>
        <v>0.19366319823627043</v>
      </c>
      <c r="U2214" s="25">
        <f t="shared" si="451"/>
        <v>0.19070032678455617</v>
      </c>
      <c r="X2214">
        <f t="shared" si="446"/>
        <v>1</v>
      </c>
      <c r="Y2214">
        <f t="shared" si="443"/>
        <v>1</v>
      </c>
      <c r="Z2214">
        <f t="shared" si="458"/>
        <v>0</v>
      </c>
      <c r="AA2214">
        <f t="shared" si="455"/>
        <v>0</v>
      </c>
      <c r="AB2214">
        <f t="shared" si="452"/>
        <v>0</v>
      </c>
    </row>
    <row r="2215" spans="1:28">
      <c r="A2215" s="26">
        <v>45656</v>
      </c>
      <c r="B2215" s="23">
        <v>1895.37</v>
      </c>
      <c r="C2215" s="25">
        <f t="shared" si="448"/>
        <v>-2.7097846905058042E-3</v>
      </c>
      <c r="E2215" s="25">
        <f t="shared" si="444"/>
        <v>0.19666262595651163</v>
      </c>
      <c r="F2215" s="25">
        <f t="shared" si="441"/>
        <v>0.23668409769517651</v>
      </c>
      <c r="G2215" s="25">
        <f t="shared" si="456"/>
        <v>0.15235548531093013</v>
      </c>
      <c r="H2215" s="25">
        <f t="shared" si="453"/>
        <v>0.18642358493782218</v>
      </c>
      <c r="I2215" s="25">
        <f t="shared" si="450"/>
        <v>0.18432389635972379</v>
      </c>
      <c r="K2215" s="28">
        <v>45656</v>
      </c>
      <c r="L2215" s="23">
        <v>35329.040000000001</v>
      </c>
      <c r="M2215" s="25">
        <f t="shared" si="449"/>
        <v>-3.9403844542619648E-3</v>
      </c>
      <c r="O2215" t="b">
        <f t="shared" si="447"/>
        <v>1</v>
      </c>
      <c r="Q2215" s="25">
        <f t="shared" si="445"/>
        <v>0.16325145023499443</v>
      </c>
      <c r="R2215" s="25">
        <f t="shared" si="442"/>
        <v>0.2200586931132833</v>
      </c>
      <c r="S2215" s="25">
        <f t="shared" si="457"/>
        <v>0.15741436299473532</v>
      </c>
      <c r="T2215" s="25">
        <f t="shared" si="454"/>
        <v>0.19103110274303403</v>
      </c>
      <c r="U2215" s="25">
        <f t="shared" si="451"/>
        <v>0.18937918232672013</v>
      </c>
      <c r="X2215">
        <f t="shared" si="446"/>
        <v>1</v>
      </c>
      <c r="Y2215">
        <f t="shared" si="443"/>
        <v>1</v>
      </c>
      <c r="Z2215">
        <f t="shared" si="458"/>
        <v>0</v>
      </c>
      <c r="AA2215">
        <f t="shared" si="455"/>
        <v>0</v>
      </c>
      <c r="AB2215">
        <f t="shared" si="452"/>
        <v>0</v>
      </c>
    </row>
    <row r="2216" spans="1:28">
      <c r="A2216" s="27">
        <v>45657</v>
      </c>
      <c r="B2216" s="24">
        <v>1894.56</v>
      </c>
      <c r="C2216" s="25">
        <f t="shared" si="448"/>
        <v>-4.2735719147182105E-4</v>
      </c>
      <c r="E2216" s="25">
        <f t="shared" si="444"/>
        <v>0.19487629054535605</v>
      </c>
      <c r="F2216" s="25">
        <f t="shared" si="441"/>
        <v>0.23236435079551776</v>
      </c>
      <c r="G2216" s="25">
        <f t="shared" si="456"/>
        <v>0.15199912286166706</v>
      </c>
      <c r="H2216" s="25">
        <f t="shared" si="453"/>
        <v>0.18212665907700898</v>
      </c>
      <c r="I2216" s="25">
        <f t="shared" si="450"/>
        <v>0.18206828011493115</v>
      </c>
      <c r="K2216" s="29">
        <v>45657</v>
      </c>
      <c r="L2216" s="24">
        <v>35357.9</v>
      </c>
      <c r="M2216" s="25">
        <f t="shared" si="449"/>
        <v>8.1622494548603229E-4</v>
      </c>
      <c r="O2216" t="b">
        <f t="shared" si="447"/>
        <v>1</v>
      </c>
      <c r="Q2216" s="25">
        <f t="shared" si="445"/>
        <v>0.16240819520149397</v>
      </c>
      <c r="R2216" s="25">
        <f t="shared" si="442"/>
        <v>0.21580624211165778</v>
      </c>
      <c r="S2216" s="25">
        <f t="shared" si="457"/>
        <v>0.15825952359739603</v>
      </c>
      <c r="T2216" s="25">
        <f t="shared" si="454"/>
        <v>0.18828399017142883</v>
      </c>
      <c r="U2216" s="25">
        <f t="shared" si="451"/>
        <v>0.18738565797833306</v>
      </c>
      <c r="X2216">
        <f t="shared" si="446"/>
        <v>1</v>
      </c>
      <c r="Y2216">
        <f t="shared" si="443"/>
        <v>1</v>
      </c>
      <c r="Z2216">
        <f t="shared" si="458"/>
        <v>0</v>
      </c>
      <c r="AA2216">
        <f t="shared" si="455"/>
        <v>0</v>
      </c>
      <c r="AB2216">
        <f t="shared" si="452"/>
        <v>0</v>
      </c>
    </row>
    <row r="2217" spans="1:28">
      <c r="A2217" s="26">
        <v>45658</v>
      </c>
      <c r="B2217" s="23">
        <v>1900.57</v>
      </c>
      <c r="C2217" s="25">
        <f t="shared" si="448"/>
        <v>3.1722405202263275E-3</v>
      </c>
      <c r="E2217" s="25">
        <f t="shared" si="444"/>
        <v>0.19622985901309153</v>
      </c>
      <c r="F2217" s="25">
        <f t="shared" si="441"/>
        <v>0.23496608612157854</v>
      </c>
      <c r="G2217" s="25">
        <f t="shared" si="456"/>
        <v>0.14929093829336426</v>
      </c>
      <c r="H2217" s="25">
        <f t="shared" si="453"/>
        <v>0.18080269971426</v>
      </c>
      <c r="I2217" s="25">
        <f t="shared" si="450"/>
        <v>0.18382848229205195</v>
      </c>
      <c r="K2217" s="28">
        <v>45658</v>
      </c>
      <c r="L2217" s="23">
        <v>35526.080000000002</v>
      </c>
      <c r="M2217" s="25">
        <f t="shared" si="449"/>
        <v>4.7339869752024508E-3</v>
      </c>
      <c r="O2217" t="b">
        <f t="shared" si="447"/>
        <v>1</v>
      </c>
      <c r="Q2217" s="25">
        <f t="shared" si="445"/>
        <v>0.16551594944914849</v>
      </c>
      <c r="R2217" s="25">
        <f t="shared" si="442"/>
        <v>0.21812356672783739</v>
      </c>
      <c r="S2217" s="25">
        <f t="shared" si="457"/>
        <v>0.15610487258452221</v>
      </c>
      <c r="T2217" s="25">
        <f t="shared" si="454"/>
        <v>0.18778836834810031</v>
      </c>
      <c r="U2217" s="25">
        <f t="shared" si="451"/>
        <v>0.18942835714521089</v>
      </c>
      <c r="X2217">
        <f t="shared" si="446"/>
        <v>1</v>
      </c>
      <c r="Y2217">
        <f t="shared" si="443"/>
        <v>1</v>
      </c>
      <c r="Z2217">
        <f t="shared" si="458"/>
        <v>0</v>
      </c>
      <c r="AA2217">
        <f t="shared" si="455"/>
        <v>0</v>
      </c>
      <c r="AB2217">
        <f t="shared" si="452"/>
        <v>0</v>
      </c>
    </row>
    <row r="2218" spans="1:28">
      <c r="A2218" s="27">
        <v>45659</v>
      </c>
      <c r="B2218" s="24">
        <v>1930.05</v>
      </c>
      <c r="C2218" s="25">
        <f t="shared" si="448"/>
        <v>1.5511136132844367E-2</v>
      </c>
      <c r="E2218" s="25">
        <f t="shared" si="444"/>
        <v>0.21689101856814097</v>
      </c>
      <c r="F2218" s="25">
        <f t="shared" si="441"/>
        <v>0.24201293472423191</v>
      </c>
      <c r="G2218" s="25">
        <f t="shared" si="456"/>
        <v>0.150528860866878</v>
      </c>
      <c r="H2218" s="25">
        <f t="shared" si="453"/>
        <v>0.18474671338941762</v>
      </c>
      <c r="I2218" s="25">
        <f t="shared" si="450"/>
        <v>0.19204276361139994</v>
      </c>
      <c r="K2218" s="29">
        <v>45659</v>
      </c>
      <c r="L2218" s="24">
        <v>36060.050000000003</v>
      </c>
      <c r="M2218" s="25">
        <f t="shared" si="449"/>
        <v>1.4807799767332578E-2</v>
      </c>
      <c r="O2218" t="b">
        <f t="shared" si="447"/>
        <v>1</v>
      </c>
      <c r="Q2218" s="25">
        <f t="shared" si="445"/>
        <v>0.18614995861967354</v>
      </c>
      <c r="R2218" s="25">
        <f t="shared" si="442"/>
        <v>0.22516547782937324</v>
      </c>
      <c r="S2218" s="25">
        <f t="shared" si="457"/>
        <v>0.15653555958824605</v>
      </c>
      <c r="T2218" s="25">
        <f t="shared" si="454"/>
        <v>0.19296491859644127</v>
      </c>
      <c r="U2218" s="25">
        <f t="shared" si="451"/>
        <v>0.19769994294171056</v>
      </c>
      <c r="X2218">
        <f t="shared" si="446"/>
        <v>1</v>
      </c>
      <c r="Y2218">
        <f t="shared" si="443"/>
        <v>1</v>
      </c>
      <c r="Z2218">
        <f t="shared" si="458"/>
        <v>0</v>
      </c>
      <c r="AA2218">
        <f t="shared" si="455"/>
        <v>0</v>
      </c>
      <c r="AB2218">
        <f t="shared" si="452"/>
        <v>0</v>
      </c>
    </row>
    <row r="2219" spans="1:28">
      <c r="A2219" s="26">
        <v>45660</v>
      </c>
      <c r="B2219" s="23">
        <v>1921.13</v>
      </c>
      <c r="C2219" s="25">
        <f t="shared" si="448"/>
        <v>-4.621641926374884E-3</v>
      </c>
      <c r="E2219" s="25">
        <f t="shared" si="444"/>
        <v>0.21655954152550416</v>
      </c>
      <c r="F2219" s="25">
        <f t="shared" si="441"/>
        <v>0.24043401895941718</v>
      </c>
      <c r="G2219" s="25">
        <f t="shared" si="456"/>
        <v>0.1471506990991196</v>
      </c>
      <c r="H2219" s="25">
        <f t="shared" si="453"/>
        <v>0.18204441059168541</v>
      </c>
      <c r="I2219" s="25">
        <f t="shared" si="450"/>
        <v>0.18971294518887194</v>
      </c>
      <c r="K2219" s="28">
        <v>45660</v>
      </c>
      <c r="L2219" s="23">
        <v>35883.72</v>
      </c>
      <c r="M2219" s="25">
        <f t="shared" si="449"/>
        <v>-4.9139275415146962E-3</v>
      </c>
      <c r="O2219" t="b">
        <f t="shared" si="447"/>
        <v>1</v>
      </c>
      <c r="Q2219" s="25">
        <f t="shared" si="445"/>
        <v>0.18347267708199344</v>
      </c>
      <c r="R2219" s="25">
        <f t="shared" si="442"/>
        <v>0.22360376448271246</v>
      </c>
      <c r="S2219" s="25">
        <f t="shared" si="457"/>
        <v>0.15177244481340257</v>
      </c>
      <c r="T2219" s="25">
        <f t="shared" si="454"/>
        <v>0.19078985866541776</v>
      </c>
      <c r="U2219" s="25">
        <f t="shared" si="451"/>
        <v>0.19510746309089955</v>
      </c>
      <c r="X2219">
        <f t="shared" si="446"/>
        <v>1</v>
      </c>
      <c r="Y2219">
        <f t="shared" si="443"/>
        <v>1</v>
      </c>
      <c r="Z2219">
        <f t="shared" si="458"/>
        <v>0</v>
      </c>
      <c r="AA2219">
        <f t="shared" si="455"/>
        <v>0</v>
      </c>
      <c r="AB2219">
        <f t="shared" si="452"/>
        <v>0</v>
      </c>
    </row>
    <row r="2220" spans="1:28">
      <c r="A2220" s="27">
        <v>45663</v>
      </c>
      <c r="B2220" s="24">
        <v>1888.85</v>
      </c>
      <c r="C2220" s="25">
        <f t="shared" si="448"/>
        <v>-1.6802610963339387E-2</v>
      </c>
      <c r="E2220" s="25">
        <f t="shared" si="444"/>
        <v>0.18186823844474054</v>
      </c>
      <c r="F2220" s="25">
        <f t="shared" si="441"/>
        <v>0.22615434545700852</v>
      </c>
      <c r="G2220" s="25">
        <f t="shared" si="456"/>
        <v>0.13916367043429734</v>
      </c>
      <c r="H2220" s="25">
        <f t="shared" si="453"/>
        <v>0.1740760203181404</v>
      </c>
      <c r="I2220" s="25">
        <f t="shared" si="450"/>
        <v>0.18566126623822132</v>
      </c>
      <c r="K2220" s="29">
        <v>45663</v>
      </c>
      <c r="L2220" s="24">
        <v>35120.870000000003</v>
      </c>
      <c r="M2220" s="25">
        <f t="shared" si="449"/>
        <v>-2.172070338804245E-2</v>
      </c>
      <c r="O2220" t="b">
        <f t="shared" si="447"/>
        <v>1</v>
      </c>
      <c r="Q2220" s="25">
        <f t="shared" si="445"/>
        <v>0.14799333317425711</v>
      </c>
      <c r="R2220" s="25">
        <f t="shared" si="442"/>
        <v>0.20760826747406957</v>
      </c>
      <c r="S2220" s="25">
        <f t="shared" si="457"/>
        <v>0.14162568701231271</v>
      </c>
      <c r="T2220" s="25">
        <f t="shared" si="454"/>
        <v>0.18042891053355814</v>
      </c>
      <c r="U2220" s="25">
        <f t="shared" si="451"/>
        <v>0.19030309642150556</v>
      </c>
      <c r="X2220">
        <f t="shared" si="446"/>
        <v>1</v>
      </c>
      <c r="Y2220">
        <f t="shared" si="443"/>
        <v>1</v>
      </c>
      <c r="Z2220">
        <f t="shared" si="458"/>
        <v>0</v>
      </c>
      <c r="AA2220">
        <f t="shared" si="455"/>
        <v>0</v>
      </c>
      <c r="AB2220">
        <f t="shared" si="452"/>
        <v>0</v>
      </c>
    </row>
    <row r="2221" spans="1:28">
      <c r="A2221" s="26">
        <v>45664</v>
      </c>
      <c r="B2221" s="23">
        <v>1896.42</v>
      </c>
      <c r="C2221" s="25">
        <f t="shared" si="448"/>
        <v>4.0077295709030174E-3</v>
      </c>
      <c r="E2221" s="25">
        <f t="shared" si="444"/>
        <v>0.18569972677424795</v>
      </c>
      <c r="F2221" s="25">
        <f t="shared" si="441"/>
        <v>0.22616653110134388</v>
      </c>
      <c r="G2221" s="25">
        <f t="shared" si="456"/>
        <v>0.14278016298865204</v>
      </c>
      <c r="H2221" s="25">
        <f t="shared" si="453"/>
        <v>0.17287154228711388</v>
      </c>
      <c r="I2221" s="25">
        <f t="shared" si="450"/>
        <v>0.18282523279113616</v>
      </c>
      <c r="K2221" s="28">
        <v>45664</v>
      </c>
      <c r="L2221" s="23">
        <v>35304.550000000003</v>
      </c>
      <c r="M2221" s="25">
        <f t="shared" si="449"/>
        <v>5.2027288267376378E-3</v>
      </c>
      <c r="O2221" t="b">
        <f t="shared" si="447"/>
        <v>1</v>
      </c>
      <c r="Q2221" s="25">
        <f t="shared" si="445"/>
        <v>0.15109106434813135</v>
      </c>
      <c r="R2221" s="25">
        <f t="shared" si="442"/>
        <v>0.20941565009532259</v>
      </c>
      <c r="S2221" s="25">
        <f t="shared" si="457"/>
        <v>0.14625620299540154</v>
      </c>
      <c r="T2221" s="25">
        <f t="shared" si="454"/>
        <v>0.17997333818139771</v>
      </c>
      <c r="U2221" s="25">
        <f t="shared" si="451"/>
        <v>0.18788618058915429</v>
      </c>
      <c r="X2221">
        <f t="shared" si="446"/>
        <v>1</v>
      </c>
      <c r="Y2221">
        <f t="shared" si="443"/>
        <v>1</v>
      </c>
      <c r="Z2221">
        <f t="shared" si="458"/>
        <v>0</v>
      </c>
      <c r="AA2221">
        <f t="shared" si="455"/>
        <v>0</v>
      </c>
      <c r="AB2221">
        <f t="shared" si="452"/>
        <v>0</v>
      </c>
    </row>
    <row r="2222" spans="1:28">
      <c r="A2222" s="27">
        <v>45665</v>
      </c>
      <c r="B2222" s="24">
        <v>1884.97</v>
      </c>
      <c r="C2222" s="25">
        <f t="shared" si="448"/>
        <v>-6.0376920724312362E-3</v>
      </c>
      <c r="E2222" s="25">
        <f t="shared" si="444"/>
        <v>0.18812361724792148</v>
      </c>
      <c r="F2222" s="25">
        <f t="shared" si="441"/>
        <v>0.22874404629624601</v>
      </c>
      <c r="G2222" s="25">
        <f t="shared" si="456"/>
        <v>0.13957949992151453</v>
      </c>
      <c r="H2222" s="25">
        <f t="shared" si="453"/>
        <v>0.16996636828021727</v>
      </c>
      <c r="I2222" s="25">
        <f t="shared" si="450"/>
        <v>0.18048976172093467</v>
      </c>
      <c r="K2222" s="29">
        <v>45665</v>
      </c>
      <c r="L2222" s="24">
        <v>35131.01</v>
      </c>
      <c r="M2222" s="25">
        <f t="shared" si="449"/>
        <v>-4.9397953545884639E-3</v>
      </c>
      <c r="O2222" t="b">
        <f t="shared" si="447"/>
        <v>1</v>
      </c>
      <c r="Q2222" s="25">
        <f t="shared" si="445"/>
        <v>0.15563065093062933</v>
      </c>
      <c r="R2222" s="25">
        <f t="shared" si="442"/>
        <v>0.21288038450775759</v>
      </c>
      <c r="S2222" s="25">
        <f t="shared" si="457"/>
        <v>0.14292031144515893</v>
      </c>
      <c r="T2222" s="25">
        <f t="shared" si="454"/>
        <v>0.17725096328878776</v>
      </c>
      <c r="U2222" s="25">
        <f t="shared" si="451"/>
        <v>0.18590424481292911</v>
      </c>
      <c r="X2222">
        <f t="shared" si="446"/>
        <v>1</v>
      </c>
      <c r="Y2222">
        <f t="shared" si="443"/>
        <v>1</v>
      </c>
      <c r="Z2222">
        <f t="shared" si="458"/>
        <v>0</v>
      </c>
      <c r="AA2222">
        <f t="shared" si="455"/>
        <v>0</v>
      </c>
      <c r="AB2222">
        <f t="shared" si="452"/>
        <v>0</v>
      </c>
    </row>
    <row r="2223" spans="1:28">
      <c r="A2223" s="26">
        <v>45666</v>
      </c>
      <c r="B2223" s="23">
        <v>1877.37</v>
      </c>
      <c r="C2223" s="25">
        <f t="shared" si="448"/>
        <v>-4.0318944068076078E-3</v>
      </c>
      <c r="E2223" s="25">
        <f t="shared" si="444"/>
        <v>0.17818681594537589</v>
      </c>
      <c r="F2223" s="25">
        <f t="shared" ref="F2223:F2286" si="459">((B2223/B1731)^(1/2))-1</f>
        <v>0.22913271258479551</v>
      </c>
      <c r="G2223" s="25">
        <f t="shared" si="456"/>
        <v>0.13459717438167274</v>
      </c>
      <c r="H2223" s="25">
        <f t="shared" si="453"/>
        <v>0.16880561784306281</v>
      </c>
      <c r="I2223" s="25">
        <f t="shared" si="450"/>
        <v>0.17781379631906979</v>
      </c>
      <c r="K2223" s="28">
        <v>45666</v>
      </c>
      <c r="L2223" s="23">
        <v>34838.29</v>
      </c>
      <c r="M2223" s="25">
        <f t="shared" si="449"/>
        <v>-8.4022493641335762E-3</v>
      </c>
      <c r="O2223" t="b">
        <f t="shared" si="447"/>
        <v>1</v>
      </c>
      <c r="Q2223" s="25">
        <f t="shared" si="445"/>
        <v>0.14353664929285337</v>
      </c>
      <c r="R2223" s="25">
        <f t="shared" ref="R2223:R2286" si="460">((L2223/L1731)^(1/2))-1</f>
        <v>0.20808545894348063</v>
      </c>
      <c r="S2223" s="25">
        <f t="shared" si="457"/>
        <v>0.13612232947949887</v>
      </c>
      <c r="T2223" s="25">
        <f t="shared" si="454"/>
        <v>0.17521078376267019</v>
      </c>
      <c r="U2223" s="25">
        <f t="shared" si="451"/>
        <v>0.18239695154096403</v>
      </c>
      <c r="X2223">
        <f t="shared" si="446"/>
        <v>1</v>
      </c>
      <c r="Y2223">
        <f t="shared" ref="Y2223:Y2286" si="461">IF(F2223&gt;R2223,1,0)</f>
        <v>1</v>
      </c>
      <c r="Z2223">
        <f t="shared" si="458"/>
        <v>0</v>
      </c>
      <c r="AA2223">
        <f t="shared" si="455"/>
        <v>0</v>
      </c>
      <c r="AB2223">
        <f t="shared" si="452"/>
        <v>0</v>
      </c>
    </row>
    <row r="2224" spans="1:28">
      <c r="A2224" s="27">
        <v>45667</v>
      </c>
      <c r="B2224" s="24">
        <v>1859.16</v>
      </c>
      <c r="C2224" s="25">
        <f t="shared" si="448"/>
        <v>-9.6997395292349464E-3</v>
      </c>
      <c r="E2224" s="25">
        <f t="shared" si="444"/>
        <v>0.16309447843549418</v>
      </c>
      <c r="F2224" s="25">
        <f t="shared" si="459"/>
        <v>0.22802380733720784</v>
      </c>
      <c r="G2224" s="25">
        <f t="shared" si="456"/>
        <v>0.13038354777893812</v>
      </c>
      <c r="H2224" s="25">
        <f t="shared" si="453"/>
        <v>0.16636989667843549</v>
      </c>
      <c r="I2224" s="25">
        <f t="shared" si="450"/>
        <v>0.17462222866563337</v>
      </c>
      <c r="K2224" s="29">
        <v>45667</v>
      </c>
      <c r="L2224" s="24">
        <v>34447.06</v>
      </c>
      <c r="M2224" s="25">
        <f t="shared" si="449"/>
        <v>-1.1357427890798322E-2</v>
      </c>
      <c r="O2224" t="b">
        <f t="shared" si="447"/>
        <v>1</v>
      </c>
      <c r="Q2224" s="25">
        <f t="shared" si="445"/>
        <v>0.12731794879347036</v>
      </c>
      <c r="R2224" s="25">
        <f t="shared" si="460"/>
        <v>0.20576598767470133</v>
      </c>
      <c r="S2224" s="25">
        <f t="shared" si="457"/>
        <v>0.13100255641962111</v>
      </c>
      <c r="T2224" s="25">
        <f t="shared" si="454"/>
        <v>0.17118659953079973</v>
      </c>
      <c r="U2224" s="25">
        <f t="shared" si="451"/>
        <v>0.17894731944533815</v>
      </c>
      <c r="X2224">
        <f t="shared" si="446"/>
        <v>1</v>
      </c>
      <c r="Y2224">
        <f t="shared" si="461"/>
        <v>1</v>
      </c>
      <c r="Z2224">
        <f t="shared" si="458"/>
        <v>0</v>
      </c>
      <c r="AA2224">
        <f t="shared" si="455"/>
        <v>0</v>
      </c>
      <c r="AB2224">
        <f t="shared" si="452"/>
        <v>0</v>
      </c>
    </row>
    <row r="2225" spans="1:28">
      <c r="A2225" s="26">
        <v>45670</v>
      </c>
      <c r="B2225" s="23">
        <v>1816.24</v>
      </c>
      <c r="C2225" s="25">
        <f t="shared" si="448"/>
        <v>-2.3085694614772299E-2</v>
      </c>
      <c r="E2225" s="25">
        <f t="shared" si="444"/>
        <v>0.1344268029131428</v>
      </c>
      <c r="F2225" s="25">
        <f t="shared" si="459"/>
        <v>0.20731508213619598</v>
      </c>
      <c r="G2225" s="25">
        <f t="shared" si="456"/>
        <v>0.11784064814503825</v>
      </c>
      <c r="H2225" s="25">
        <f t="shared" si="453"/>
        <v>0.16231077328394239</v>
      </c>
      <c r="I2225" s="25">
        <f t="shared" si="450"/>
        <v>0.16909462055011981</v>
      </c>
      <c r="K2225" s="28">
        <v>45670</v>
      </c>
      <c r="L2225" s="23">
        <v>33569.22</v>
      </c>
      <c r="M2225" s="25">
        <f t="shared" si="449"/>
        <v>-2.6150145877681892E-2</v>
      </c>
      <c r="O2225" t="b">
        <f t="shared" si="447"/>
        <v>1</v>
      </c>
      <c r="Q2225" s="25">
        <f t="shared" si="445"/>
        <v>9.4858643517875318E-2</v>
      </c>
      <c r="R2225" s="25">
        <f t="shared" si="460"/>
        <v>0.18342213524324902</v>
      </c>
      <c r="S2225" s="25">
        <f t="shared" si="457"/>
        <v>0.11802605312878867</v>
      </c>
      <c r="T2225" s="25">
        <f t="shared" si="454"/>
        <v>0.16701007943179835</v>
      </c>
      <c r="U2225" s="25">
        <f t="shared" si="451"/>
        <v>0.17261530907892819</v>
      </c>
      <c r="X2225">
        <f t="shared" si="446"/>
        <v>1</v>
      </c>
      <c r="Y2225">
        <f t="shared" si="461"/>
        <v>1</v>
      </c>
      <c r="Z2225">
        <f t="shared" si="458"/>
        <v>0</v>
      </c>
      <c r="AA2225">
        <f t="shared" si="455"/>
        <v>0</v>
      </c>
      <c r="AB2225">
        <f t="shared" si="452"/>
        <v>0</v>
      </c>
    </row>
    <row r="2226" spans="1:28">
      <c r="A2226" s="27">
        <v>45671</v>
      </c>
      <c r="B2226" s="24">
        <v>1826.21</v>
      </c>
      <c r="C2226" s="25">
        <f t="shared" si="448"/>
        <v>5.489362639298786E-3</v>
      </c>
      <c r="E2226" s="25">
        <f t="shared" si="444"/>
        <v>0.13195068584852465</v>
      </c>
      <c r="F2226" s="25">
        <f t="shared" si="459"/>
        <v>0.21499561386916022</v>
      </c>
      <c r="G2226" s="25">
        <f t="shared" si="456"/>
        <v>0.11836201868545571</v>
      </c>
      <c r="H2226" s="25">
        <f t="shared" si="453"/>
        <v>0.16871805161383491</v>
      </c>
      <c r="I2226" s="25">
        <f t="shared" si="450"/>
        <v>0.16980478212370942</v>
      </c>
      <c r="K2226" s="29">
        <v>45671</v>
      </c>
      <c r="L2226" s="24">
        <v>33944.68</v>
      </c>
      <c r="M2226" s="25">
        <f t="shared" si="449"/>
        <v>1.1060937973196364E-2</v>
      </c>
      <c r="O2226" t="b">
        <f t="shared" si="447"/>
        <v>1</v>
      </c>
      <c r="Q2226" s="25">
        <f t="shared" si="445"/>
        <v>9.8064612548882879E-2</v>
      </c>
      <c r="R2226" s="25">
        <f t="shared" si="460"/>
        <v>0.19485971783714473</v>
      </c>
      <c r="S2226" s="25">
        <f t="shared" si="457"/>
        <v>0.12091241064467106</v>
      </c>
      <c r="T2226" s="25">
        <f t="shared" si="454"/>
        <v>0.17409219996026648</v>
      </c>
      <c r="U2226" s="25">
        <f t="shared" si="451"/>
        <v>0.17469188253859702</v>
      </c>
      <c r="X2226">
        <f t="shared" si="446"/>
        <v>1</v>
      </c>
      <c r="Y2226">
        <f t="shared" si="461"/>
        <v>1</v>
      </c>
      <c r="Z2226">
        <f t="shared" si="458"/>
        <v>0</v>
      </c>
      <c r="AA2226">
        <f t="shared" si="455"/>
        <v>0</v>
      </c>
      <c r="AB2226">
        <f t="shared" si="452"/>
        <v>0</v>
      </c>
    </row>
    <row r="2227" spans="1:28">
      <c r="A2227" s="26">
        <v>45672</v>
      </c>
      <c r="B2227" s="23">
        <v>1828.9</v>
      </c>
      <c r="C2227" s="25">
        <f t="shared" si="448"/>
        <v>1.4729959862228629E-3</v>
      </c>
      <c r="E2227" s="25">
        <f t="shared" si="444"/>
        <v>0.12578867994213794</v>
      </c>
      <c r="F2227" s="25">
        <f t="shared" si="459"/>
        <v>0.21670672471231112</v>
      </c>
      <c r="G2227" s="25">
        <f t="shared" si="456"/>
        <v>0.1184056770552071</v>
      </c>
      <c r="H2227" s="25">
        <f t="shared" si="453"/>
        <v>0.16466757912271146</v>
      </c>
      <c r="I2227" s="25">
        <f t="shared" si="450"/>
        <v>0.16932001024063892</v>
      </c>
      <c r="K2227" s="28">
        <v>45672</v>
      </c>
      <c r="L2227" s="23">
        <v>34055.47</v>
      </c>
      <c r="M2227" s="25">
        <f t="shared" si="449"/>
        <v>3.2532218759571039E-3</v>
      </c>
      <c r="O2227" t="b">
        <f t="shared" si="447"/>
        <v>1</v>
      </c>
      <c r="Q2227" s="25">
        <f t="shared" si="445"/>
        <v>9.3894735083904779E-2</v>
      </c>
      <c r="R2227" s="25">
        <f t="shared" si="460"/>
        <v>0.19774087059452383</v>
      </c>
      <c r="S2227" s="25">
        <f t="shared" si="457"/>
        <v>0.1219084341964658</v>
      </c>
      <c r="T2227" s="25">
        <f t="shared" si="454"/>
        <v>0.1699746234096382</v>
      </c>
      <c r="U2227" s="25">
        <f t="shared" si="451"/>
        <v>0.17525671197208181</v>
      </c>
      <c r="X2227">
        <f t="shared" si="446"/>
        <v>1</v>
      </c>
      <c r="Y2227">
        <f t="shared" si="461"/>
        <v>1</v>
      </c>
      <c r="Z2227">
        <f t="shared" si="458"/>
        <v>0</v>
      </c>
      <c r="AA2227">
        <f t="shared" si="455"/>
        <v>0</v>
      </c>
      <c r="AB2227">
        <f t="shared" si="452"/>
        <v>0</v>
      </c>
    </row>
    <row r="2228" spans="1:28">
      <c r="A2228" s="27">
        <v>45673</v>
      </c>
      <c r="B2228" s="24">
        <v>1843.48</v>
      </c>
      <c r="C2228" s="25">
        <f t="shared" si="448"/>
        <v>7.9720050303460702E-3</v>
      </c>
      <c r="E2228" s="25">
        <f t="shared" si="444"/>
        <v>0.13994199743997227</v>
      </c>
      <c r="F2228" s="25">
        <f t="shared" si="459"/>
        <v>0.22191784831996531</v>
      </c>
      <c r="G2228" s="25">
        <f t="shared" si="456"/>
        <v>0.12175031686077209</v>
      </c>
      <c r="H2228" s="25">
        <f t="shared" si="453"/>
        <v>0.16511965351354041</v>
      </c>
      <c r="I2228" s="25">
        <f t="shared" si="450"/>
        <v>0.17261725349230539</v>
      </c>
      <c r="K2228" s="29">
        <v>45673</v>
      </c>
      <c r="L2228" s="24">
        <v>34313.800000000003</v>
      </c>
      <c r="M2228" s="25">
        <f t="shared" si="449"/>
        <v>7.52845793820567E-3</v>
      </c>
      <c r="O2228" t="b">
        <f t="shared" si="447"/>
        <v>1</v>
      </c>
      <c r="Q2228" s="25">
        <f t="shared" si="445"/>
        <v>0.10541658572666091</v>
      </c>
      <c r="R2228" s="25">
        <f t="shared" si="460"/>
        <v>0.20313087175775868</v>
      </c>
      <c r="S2228" s="25">
        <f t="shared" si="457"/>
        <v>0.12352313699910145</v>
      </c>
      <c r="T2228" s="25">
        <f t="shared" si="454"/>
        <v>0.16983762207787789</v>
      </c>
      <c r="U2228" s="25">
        <f t="shared" si="451"/>
        <v>0.17920917463003394</v>
      </c>
      <c r="X2228">
        <f t="shared" si="446"/>
        <v>1</v>
      </c>
      <c r="Y2228">
        <f t="shared" si="461"/>
        <v>1</v>
      </c>
      <c r="Z2228">
        <f t="shared" si="458"/>
        <v>0</v>
      </c>
      <c r="AA2228">
        <f t="shared" si="455"/>
        <v>0</v>
      </c>
      <c r="AB2228">
        <f t="shared" si="452"/>
        <v>0</v>
      </c>
    </row>
    <row r="2229" spans="1:28">
      <c r="A2229" s="26">
        <v>45674</v>
      </c>
      <c r="B2229" s="23">
        <v>1837.66</v>
      </c>
      <c r="C2229" s="25">
        <f t="shared" si="448"/>
        <v>-3.1570724933278017E-3</v>
      </c>
      <c r="E2229" s="25">
        <f t="shared" si="444"/>
        <v>0.15515799928339313</v>
      </c>
      <c r="F2229" s="25">
        <f t="shared" si="459"/>
        <v>0.21706827621938074</v>
      </c>
      <c r="G2229" s="25">
        <f t="shared" si="456"/>
        <v>0.12572363485942106</v>
      </c>
      <c r="H2229" s="25">
        <f t="shared" si="453"/>
        <v>0.16659701822523831</v>
      </c>
      <c r="I2229" s="25">
        <f t="shared" si="450"/>
        <v>0.17255640872458522</v>
      </c>
      <c r="K2229" s="28">
        <v>45674</v>
      </c>
      <c r="L2229" s="23">
        <v>34278.129999999997</v>
      </c>
      <c r="M2229" s="25">
        <f t="shared" si="449"/>
        <v>-1.0406051905400187E-3</v>
      </c>
      <c r="O2229" t="b">
        <f t="shared" si="447"/>
        <v>1</v>
      </c>
      <c r="Q2229" s="25">
        <f t="shared" si="445"/>
        <v>0.12353089829360164</v>
      </c>
      <c r="R2229" s="25">
        <f t="shared" si="460"/>
        <v>0.19989709747185125</v>
      </c>
      <c r="S2229" s="25">
        <f t="shared" si="457"/>
        <v>0.1281157676722815</v>
      </c>
      <c r="T2229" s="25">
        <f t="shared" si="454"/>
        <v>0.17103550147881585</v>
      </c>
      <c r="U2229" s="25">
        <f t="shared" si="451"/>
        <v>0.17986296054492601</v>
      </c>
      <c r="X2229">
        <f t="shared" si="446"/>
        <v>1</v>
      </c>
      <c r="Y2229">
        <f t="shared" si="461"/>
        <v>1</v>
      </c>
      <c r="Z2229">
        <f t="shared" si="458"/>
        <v>0</v>
      </c>
      <c r="AA2229">
        <f t="shared" si="455"/>
        <v>0</v>
      </c>
      <c r="AB2229">
        <f t="shared" si="452"/>
        <v>0</v>
      </c>
    </row>
    <row r="2230" spans="1:28">
      <c r="A2230" s="27">
        <v>45677</v>
      </c>
      <c r="B2230" s="24">
        <v>1850.04</v>
      </c>
      <c r="C2230" s="25">
        <f t="shared" si="448"/>
        <v>6.7368283578027937E-3</v>
      </c>
      <c r="E2230" s="25">
        <f t="shared" si="444"/>
        <v>0.16541623358216007</v>
      </c>
      <c r="F2230" s="25">
        <f t="shared" si="459"/>
        <v>0.22332237709589542</v>
      </c>
      <c r="G2230" s="25">
        <f t="shared" si="456"/>
        <v>0.13209367388371174</v>
      </c>
      <c r="H2230" s="25">
        <f t="shared" si="453"/>
        <v>0.17249717939046838</v>
      </c>
      <c r="I2230" s="25">
        <f t="shared" si="450"/>
        <v>0.17470784879214185</v>
      </c>
      <c r="K2230" s="29">
        <v>45677</v>
      </c>
      <c r="L2230" s="24">
        <v>34481.71</v>
      </c>
      <c r="M2230" s="25">
        <f t="shared" si="449"/>
        <v>5.9039995406260813E-3</v>
      </c>
      <c r="O2230" t="b">
        <f t="shared" si="447"/>
        <v>1</v>
      </c>
      <c r="Q2230" s="25">
        <f t="shared" si="445"/>
        <v>0.13444254027515434</v>
      </c>
      <c r="R2230" s="25">
        <f t="shared" si="460"/>
        <v>0.20505290988403191</v>
      </c>
      <c r="S2230" s="25">
        <f t="shared" si="457"/>
        <v>0.132766508070711</v>
      </c>
      <c r="T2230" s="25">
        <f t="shared" si="454"/>
        <v>0.17673852557086067</v>
      </c>
      <c r="U2230" s="25">
        <f t="shared" si="451"/>
        <v>0.18222282513370325</v>
      </c>
      <c r="X2230">
        <f t="shared" si="446"/>
        <v>1</v>
      </c>
      <c r="Y2230">
        <f t="shared" si="461"/>
        <v>1</v>
      </c>
      <c r="Z2230">
        <f t="shared" si="458"/>
        <v>0</v>
      </c>
      <c r="AA2230">
        <f t="shared" si="455"/>
        <v>0</v>
      </c>
      <c r="AB2230">
        <f t="shared" si="452"/>
        <v>0</v>
      </c>
    </row>
    <row r="2231" spans="1:28">
      <c r="A2231" s="26">
        <v>45678</v>
      </c>
      <c r="B2231" s="23">
        <v>1824.28</v>
      </c>
      <c r="C2231" s="25">
        <f t="shared" si="448"/>
        <v>-1.3924023264361847E-2</v>
      </c>
      <c r="E2231" s="25">
        <f t="shared" si="444"/>
        <v>0.13858809284559648</v>
      </c>
      <c r="F2231" s="25">
        <f t="shared" si="459"/>
        <v>0.21243400346665697</v>
      </c>
      <c r="G2231" s="25">
        <f t="shared" si="456"/>
        <v>0.12889020848031607</v>
      </c>
      <c r="H2231" s="25">
        <f t="shared" si="453"/>
        <v>0.17017646599516145</v>
      </c>
      <c r="I2231" s="25">
        <f t="shared" si="450"/>
        <v>0.16949850534584532</v>
      </c>
      <c r="K2231" s="28">
        <v>45678</v>
      </c>
      <c r="L2231" s="23">
        <v>33887.69</v>
      </c>
      <c r="M2231" s="25">
        <f t="shared" si="449"/>
        <v>-1.7529079143488294E-2</v>
      </c>
      <c r="O2231" t="b">
        <f t="shared" si="447"/>
        <v>1</v>
      </c>
      <c r="Q2231" s="25">
        <f t="shared" si="445"/>
        <v>0.10371958335246823</v>
      </c>
      <c r="R2231" s="25">
        <f t="shared" si="460"/>
        <v>0.19110311306060113</v>
      </c>
      <c r="S2231" s="25">
        <f t="shared" si="457"/>
        <v>0.12890239402929415</v>
      </c>
      <c r="T2231" s="25">
        <f t="shared" si="454"/>
        <v>0.17439110961314208</v>
      </c>
      <c r="U2231" s="25">
        <f t="shared" si="451"/>
        <v>0.17634994491049905</v>
      </c>
      <c r="X2231">
        <f t="shared" si="446"/>
        <v>1</v>
      </c>
      <c r="Y2231">
        <f t="shared" si="461"/>
        <v>1</v>
      </c>
      <c r="Z2231">
        <f t="shared" si="458"/>
        <v>0</v>
      </c>
      <c r="AA2231">
        <f t="shared" si="455"/>
        <v>0</v>
      </c>
      <c r="AB2231">
        <f t="shared" si="452"/>
        <v>0</v>
      </c>
    </row>
    <row r="2232" spans="1:28">
      <c r="A2232" s="27">
        <v>45679</v>
      </c>
      <c r="B2232" s="24">
        <v>1824.19</v>
      </c>
      <c r="C2232" s="25">
        <f t="shared" si="448"/>
        <v>-4.9334531979695083E-5</v>
      </c>
      <c r="E2232" s="25">
        <f t="shared" ref="E2232:E2295" si="462">(B2232/B1987)-1</f>
        <v>0.15909899606049049</v>
      </c>
      <c r="F2232" s="25">
        <f t="shared" si="459"/>
        <v>0.2094741330695209</v>
      </c>
      <c r="G2232" s="25">
        <f t="shared" si="456"/>
        <v>0.13439429678423465</v>
      </c>
      <c r="H2232" s="25">
        <f t="shared" si="453"/>
        <v>0.17574234587245452</v>
      </c>
      <c r="I2232" s="25">
        <f t="shared" si="450"/>
        <v>0.16758884580133215</v>
      </c>
      <c r="K2232" s="29">
        <v>45679</v>
      </c>
      <c r="L2232" s="24">
        <v>33829.919999999998</v>
      </c>
      <c r="M2232" s="25">
        <f t="shared" si="449"/>
        <v>-1.707659964906925E-3</v>
      </c>
      <c r="O2232" t="b">
        <f t="shared" si="447"/>
        <v>1</v>
      </c>
      <c r="Q2232" s="25">
        <f t="shared" ref="Q2232:Q2295" si="463">(L2232/L1987)-1</f>
        <v>0.1247774461473703</v>
      </c>
      <c r="R2232" s="25">
        <f t="shared" si="460"/>
        <v>0.18738326240537351</v>
      </c>
      <c r="S2232" s="25">
        <f t="shared" si="457"/>
        <v>0.13270516517468733</v>
      </c>
      <c r="T2232" s="25">
        <f t="shared" si="454"/>
        <v>0.17885596151514327</v>
      </c>
      <c r="U2232" s="25">
        <f t="shared" si="451"/>
        <v>0.17447940002305939</v>
      </c>
      <c r="X2232">
        <f t="shared" ref="X2232:X2295" si="464">IF(E2232&gt;Q2232,1,0)</f>
        <v>1</v>
      </c>
      <c r="Y2232">
        <f t="shared" si="461"/>
        <v>1</v>
      </c>
      <c r="Z2232">
        <f t="shared" si="458"/>
        <v>1</v>
      </c>
      <c r="AA2232">
        <f t="shared" si="455"/>
        <v>0</v>
      </c>
      <c r="AB2232">
        <f t="shared" si="452"/>
        <v>0</v>
      </c>
    </row>
    <row r="2233" spans="1:28">
      <c r="A2233" s="26">
        <v>45680</v>
      </c>
      <c r="B2233" s="23">
        <v>1832.53</v>
      </c>
      <c r="C2233" s="25">
        <f t="shared" si="448"/>
        <v>4.5718921822835989E-3</v>
      </c>
      <c r="E2233" s="25">
        <f t="shared" si="462"/>
        <v>0.14927469881029287</v>
      </c>
      <c r="F2233" s="25">
        <f t="shared" si="459"/>
        <v>0.2136233919009598</v>
      </c>
      <c r="G2233" s="25">
        <f t="shared" si="456"/>
        <v>0.14747813653641861</v>
      </c>
      <c r="H2233" s="25">
        <f t="shared" si="453"/>
        <v>0.17930148174308136</v>
      </c>
      <c r="I2233" s="25">
        <f t="shared" si="450"/>
        <v>0.16971671124248866</v>
      </c>
      <c r="K2233" s="28">
        <v>45680</v>
      </c>
      <c r="L2233" s="23">
        <v>34053.660000000003</v>
      </c>
      <c r="M2233" s="25">
        <f t="shared" si="449"/>
        <v>6.5702188839615247E-3</v>
      </c>
      <c r="O2233" t="b">
        <f t="shared" si="447"/>
        <v>1</v>
      </c>
      <c r="Q2233" s="25">
        <f t="shared" si="463"/>
        <v>0.11797120376307091</v>
      </c>
      <c r="R2233" s="25">
        <f t="shared" si="460"/>
        <v>0.19305225055271347</v>
      </c>
      <c r="S2233" s="25">
        <f t="shared" si="457"/>
        <v>0.14711548550641473</v>
      </c>
      <c r="T2233" s="25">
        <f t="shared" si="454"/>
        <v>0.18346323144217114</v>
      </c>
      <c r="U2233" s="25">
        <f t="shared" si="451"/>
        <v>0.17800044088618883</v>
      </c>
      <c r="X2233">
        <f t="shared" si="464"/>
        <v>1</v>
      </c>
      <c r="Y2233">
        <f t="shared" si="461"/>
        <v>1</v>
      </c>
      <c r="Z2233">
        <f t="shared" si="458"/>
        <v>1</v>
      </c>
      <c r="AA2233">
        <f t="shared" si="455"/>
        <v>0</v>
      </c>
      <c r="AB2233">
        <f t="shared" si="452"/>
        <v>0</v>
      </c>
    </row>
    <row r="2234" spans="1:28">
      <c r="A2234" s="27">
        <v>45681</v>
      </c>
      <c r="B2234" s="24">
        <v>1816.05</v>
      </c>
      <c r="C2234" s="25">
        <f t="shared" si="448"/>
        <v>-8.9930314919810413E-3</v>
      </c>
      <c r="E2234" s="25">
        <f t="shared" si="462"/>
        <v>0.14506488101993709</v>
      </c>
      <c r="F2234" s="25">
        <f t="shared" si="459"/>
        <v>0.21179725528436033</v>
      </c>
      <c r="G2234" s="25">
        <f t="shared" si="456"/>
        <v>0.1404629117259637</v>
      </c>
      <c r="H2234" s="25">
        <f t="shared" si="453"/>
        <v>0.18004988694489787</v>
      </c>
      <c r="I2234" s="25">
        <f t="shared" si="450"/>
        <v>0.16833772370797928</v>
      </c>
      <c r="K2234" s="29">
        <v>45681</v>
      </c>
      <c r="L2234" s="24">
        <v>33707.25</v>
      </c>
      <c r="M2234" s="25">
        <f t="shared" si="449"/>
        <v>-1.0277017555570494E-2</v>
      </c>
      <c r="O2234" t="b">
        <f t="shared" si="447"/>
        <v>1</v>
      </c>
      <c r="Q2234" s="25">
        <f t="shared" si="463"/>
        <v>0.1099013849050976</v>
      </c>
      <c r="R2234" s="25">
        <f t="shared" si="460"/>
        <v>0.18974221719751116</v>
      </c>
      <c r="S2234" s="25">
        <f t="shared" si="457"/>
        <v>0.14011616505507307</v>
      </c>
      <c r="T2234" s="25">
        <f t="shared" si="454"/>
        <v>0.18408283098975864</v>
      </c>
      <c r="U2234" s="25">
        <f t="shared" si="451"/>
        <v>0.17659941376338373</v>
      </c>
      <c r="X2234">
        <f t="shared" si="464"/>
        <v>1</v>
      </c>
      <c r="Y2234">
        <f t="shared" si="461"/>
        <v>1</v>
      </c>
      <c r="Z2234">
        <f t="shared" si="458"/>
        <v>1</v>
      </c>
      <c r="AA2234">
        <f t="shared" si="455"/>
        <v>0</v>
      </c>
      <c r="AB2234">
        <f t="shared" si="452"/>
        <v>0</v>
      </c>
    </row>
    <row r="2235" spans="1:28">
      <c r="A2235" s="26">
        <v>45684</v>
      </c>
      <c r="B2235" s="23">
        <v>1784.33</v>
      </c>
      <c r="C2235" s="25">
        <f t="shared" si="448"/>
        <v>-1.7466479447151802E-2</v>
      </c>
      <c r="E2235" s="25">
        <f t="shared" si="462"/>
        <v>0.1098443146548238</v>
      </c>
      <c r="F2235" s="25">
        <f t="shared" si="459"/>
        <v>0.19869863913191144</v>
      </c>
      <c r="G2235" s="25">
        <f t="shared" si="456"/>
        <v>0.13880415559381443</v>
      </c>
      <c r="H2235" s="25">
        <f t="shared" si="453"/>
        <v>0.16393811518841095</v>
      </c>
      <c r="I2235" s="25">
        <f t="shared" si="450"/>
        <v>0.16308932572925605</v>
      </c>
      <c r="K2235" s="28">
        <v>45684</v>
      </c>
      <c r="L2235" s="23">
        <v>33062.339999999997</v>
      </c>
      <c r="M2235" s="25">
        <f t="shared" si="449"/>
        <v>-1.9505878894234455E-2</v>
      </c>
      <c r="O2235" t="b">
        <f t="shared" si="447"/>
        <v>1</v>
      </c>
      <c r="Q2235" s="25">
        <f t="shared" si="463"/>
        <v>7.1057670721344834E-2</v>
      </c>
      <c r="R2235" s="25">
        <f t="shared" si="460"/>
        <v>0.17618825494564883</v>
      </c>
      <c r="S2235" s="25">
        <f t="shared" si="457"/>
        <v>0.13670409388793003</v>
      </c>
      <c r="T2235" s="25">
        <f t="shared" si="454"/>
        <v>0.16648953424723456</v>
      </c>
      <c r="U2235" s="25">
        <f t="shared" si="451"/>
        <v>0.17083337215557837</v>
      </c>
      <c r="X2235">
        <f t="shared" si="464"/>
        <v>1</v>
      </c>
      <c r="Y2235">
        <f t="shared" si="461"/>
        <v>1</v>
      </c>
      <c r="Z2235">
        <f t="shared" si="458"/>
        <v>1</v>
      </c>
      <c r="AA2235">
        <f t="shared" si="455"/>
        <v>0</v>
      </c>
      <c r="AB2235">
        <f t="shared" si="452"/>
        <v>0</v>
      </c>
    </row>
    <row r="2236" spans="1:28">
      <c r="A2236" s="27">
        <v>45685</v>
      </c>
      <c r="B2236" s="24">
        <v>1786.24</v>
      </c>
      <c r="C2236" s="25">
        <f t="shared" si="448"/>
        <v>1.070429797178819E-3</v>
      </c>
      <c r="E2236" s="25">
        <f t="shared" si="462"/>
        <v>0.1200963178489014</v>
      </c>
      <c r="F2236" s="25">
        <f t="shared" si="459"/>
        <v>0.20102406108830406</v>
      </c>
      <c r="G2236" s="25">
        <f t="shared" si="456"/>
        <v>0.13734633483441705</v>
      </c>
      <c r="H2236" s="25">
        <f t="shared" si="453"/>
        <v>0.15734446801870083</v>
      </c>
      <c r="I2236" s="25">
        <f t="shared" si="450"/>
        <v>0.16490710002824072</v>
      </c>
      <c r="K2236" s="29">
        <v>45685</v>
      </c>
      <c r="L2236" s="24">
        <v>33084.22</v>
      </c>
      <c r="M2236" s="25">
        <f t="shared" si="449"/>
        <v>6.613424768667557E-4</v>
      </c>
      <c r="O2236" t="b">
        <f t="shared" si="447"/>
        <v>1</v>
      </c>
      <c r="Q2236" s="25">
        <f t="shared" si="463"/>
        <v>7.9274120885466148E-2</v>
      </c>
      <c r="R2236" s="25">
        <f t="shared" si="460"/>
        <v>0.17712792463298621</v>
      </c>
      <c r="S2236" s="25">
        <f t="shared" si="457"/>
        <v>0.13583322286083588</v>
      </c>
      <c r="T2236" s="25">
        <f t="shared" si="454"/>
        <v>0.15976602117453487</v>
      </c>
      <c r="U2236" s="25">
        <f t="shared" si="451"/>
        <v>0.17310787194233357</v>
      </c>
      <c r="X2236">
        <f t="shared" si="464"/>
        <v>1</v>
      </c>
      <c r="Y2236">
        <f t="shared" si="461"/>
        <v>1</v>
      </c>
      <c r="Z2236">
        <f t="shared" si="458"/>
        <v>1</v>
      </c>
      <c r="AA2236">
        <f t="shared" si="455"/>
        <v>0</v>
      </c>
      <c r="AB2236">
        <f t="shared" si="452"/>
        <v>0</v>
      </c>
    </row>
    <row r="2237" spans="1:28">
      <c r="A2237" s="26">
        <v>45686</v>
      </c>
      <c r="B2237" s="23">
        <v>1813.68</v>
      </c>
      <c r="C2237" s="25">
        <f t="shared" si="448"/>
        <v>1.5361877463274842E-2</v>
      </c>
      <c r="E2237" s="25">
        <f t="shared" si="462"/>
        <v>0.12444201964090862</v>
      </c>
      <c r="F2237" s="25">
        <f t="shared" si="459"/>
        <v>0.21814372501748336</v>
      </c>
      <c r="G2237" s="25">
        <f t="shared" si="456"/>
        <v>0.1388916126470976</v>
      </c>
      <c r="H2237" s="25">
        <f t="shared" si="453"/>
        <v>0.15845317899376021</v>
      </c>
      <c r="I2237" s="25">
        <f t="shared" si="450"/>
        <v>0.16929401667336275</v>
      </c>
      <c r="K2237" s="28">
        <v>45686</v>
      </c>
      <c r="L2237" s="23">
        <v>33593.199999999997</v>
      </c>
      <c r="M2237" s="25">
        <f t="shared" si="449"/>
        <v>1.5151280616315087E-2</v>
      </c>
      <c r="O2237" t="b">
        <f t="shared" si="447"/>
        <v>1</v>
      </c>
      <c r="Q2237" s="25">
        <f t="shared" si="463"/>
        <v>8.3261289399916283E-2</v>
      </c>
      <c r="R2237" s="25">
        <f t="shared" si="460"/>
        <v>0.19457042473398167</v>
      </c>
      <c r="S2237" s="25">
        <f t="shared" si="457"/>
        <v>0.13654976180699907</v>
      </c>
      <c r="T2237" s="25">
        <f t="shared" si="454"/>
        <v>0.16130217192357965</v>
      </c>
      <c r="U2237" s="25">
        <f t="shared" si="451"/>
        <v>0.17807005126330444</v>
      </c>
      <c r="X2237">
        <f t="shared" si="464"/>
        <v>1</v>
      </c>
      <c r="Y2237">
        <f t="shared" si="461"/>
        <v>1</v>
      </c>
      <c r="Z2237">
        <f t="shared" si="458"/>
        <v>1</v>
      </c>
      <c r="AA2237">
        <f t="shared" si="455"/>
        <v>0</v>
      </c>
      <c r="AB2237">
        <f t="shared" si="452"/>
        <v>0</v>
      </c>
    </row>
    <row r="2238" spans="1:28">
      <c r="A2238" s="27">
        <v>45687</v>
      </c>
      <c r="B2238" s="24">
        <v>1813.48</v>
      </c>
      <c r="C2238" s="25">
        <f t="shared" si="448"/>
        <v>-1.1027303603725325E-4</v>
      </c>
      <c r="E2238" s="25">
        <f t="shared" si="462"/>
        <v>0.12847382110988037</v>
      </c>
      <c r="F2238" s="25">
        <f t="shared" si="459"/>
        <v>0.22653001862313027</v>
      </c>
      <c r="G2238" s="25">
        <f t="shared" si="456"/>
        <v>0.13264745937828892</v>
      </c>
      <c r="H2238" s="25">
        <f t="shared" si="453"/>
        <v>0.15690491406005003</v>
      </c>
      <c r="I2238" s="25">
        <f t="shared" si="450"/>
        <v>0.17366909011875342</v>
      </c>
      <c r="K2238" s="29">
        <v>45687</v>
      </c>
      <c r="L2238" s="24">
        <v>33676.11</v>
      </c>
      <c r="M2238" s="25">
        <f t="shared" si="449"/>
        <v>2.4619826933693794E-3</v>
      </c>
      <c r="O2238" t="b">
        <f t="shared" si="447"/>
        <v>1</v>
      </c>
      <c r="Q2238" s="25">
        <f t="shared" si="463"/>
        <v>8.72885547723532E-2</v>
      </c>
      <c r="R2238" s="25">
        <f t="shared" si="460"/>
        <v>0.20793149446723147</v>
      </c>
      <c r="S2238" s="25">
        <f t="shared" si="457"/>
        <v>0.13257441870052333</v>
      </c>
      <c r="T2238" s="25">
        <f t="shared" si="454"/>
        <v>0.15935266935393755</v>
      </c>
      <c r="U2238" s="25">
        <f t="shared" si="451"/>
        <v>0.18375443000835157</v>
      </c>
      <c r="X2238">
        <f t="shared" si="464"/>
        <v>1</v>
      </c>
      <c r="Y2238">
        <f t="shared" si="461"/>
        <v>1</v>
      </c>
      <c r="Z2238">
        <f t="shared" si="458"/>
        <v>1</v>
      </c>
      <c r="AA2238">
        <f t="shared" si="455"/>
        <v>0</v>
      </c>
      <c r="AB2238">
        <f t="shared" si="452"/>
        <v>0</v>
      </c>
    </row>
    <row r="2239" spans="1:28">
      <c r="A2239" s="26">
        <v>45688</v>
      </c>
      <c r="B2239" s="23">
        <v>1826.07</v>
      </c>
      <c r="C2239" s="25">
        <f t="shared" si="448"/>
        <v>6.9424531839336074E-3</v>
      </c>
      <c r="E2239" s="25">
        <f t="shared" si="462"/>
        <v>0.1301546631018029</v>
      </c>
      <c r="F2239" s="25">
        <f t="shared" si="459"/>
        <v>0.22829145195329681</v>
      </c>
      <c r="G2239" s="25">
        <f t="shared" si="456"/>
        <v>0.13115660118283623</v>
      </c>
      <c r="H2239" s="25">
        <f t="shared" si="453"/>
        <v>0.1602854835894143</v>
      </c>
      <c r="I2239" s="25">
        <f t="shared" si="450"/>
        <v>0.17014921071838884</v>
      </c>
      <c r="K2239" s="28">
        <v>45688</v>
      </c>
      <c r="L2239" s="23">
        <v>34130.93</v>
      </c>
      <c r="M2239" s="25">
        <f t="shared" si="449"/>
        <v>1.332574295514361E-2</v>
      </c>
      <c r="O2239" t="b">
        <f t="shared" si="447"/>
        <v>1</v>
      </c>
      <c r="Q2239" s="25">
        <f t="shared" si="463"/>
        <v>9.4573653852197737E-2</v>
      </c>
      <c r="R2239" s="25">
        <f t="shared" si="460"/>
        <v>0.21689948186914543</v>
      </c>
      <c r="S2239" s="25">
        <f t="shared" si="457"/>
        <v>0.13323432581092964</v>
      </c>
      <c r="T2239" s="25">
        <f t="shared" si="454"/>
        <v>0.16338761005707747</v>
      </c>
      <c r="U2239" s="25">
        <f t="shared" si="451"/>
        <v>0.18201506481256624</v>
      </c>
      <c r="X2239">
        <f t="shared" si="464"/>
        <v>1</v>
      </c>
      <c r="Y2239">
        <f t="shared" si="461"/>
        <v>1</v>
      </c>
      <c r="Z2239">
        <f t="shared" si="458"/>
        <v>0</v>
      </c>
      <c r="AA2239">
        <f t="shared" si="455"/>
        <v>0</v>
      </c>
      <c r="AB2239">
        <f t="shared" si="452"/>
        <v>0</v>
      </c>
    </row>
    <row r="2240" spans="1:28">
      <c r="A2240" s="27">
        <v>45691</v>
      </c>
      <c r="B2240" s="24">
        <v>1818.03</v>
      </c>
      <c r="C2240" s="25">
        <f t="shared" si="448"/>
        <v>-4.4028980269102298E-3</v>
      </c>
      <c r="E2240" s="25">
        <f t="shared" si="462"/>
        <v>0.12984276924989135</v>
      </c>
      <c r="F2240" s="25">
        <f t="shared" si="459"/>
        <v>0.22278919775913431</v>
      </c>
      <c r="G2240" s="25">
        <f t="shared" si="456"/>
        <v>0.13326411122584436</v>
      </c>
      <c r="H2240" s="25">
        <f t="shared" si="453"/>
        <v>0.15475188443510968</v>
      </c>
      <c r="I2240" s="25">
        <f t="shared" si="450"/>
        <v>0.16692140459484528</v>
      </c>
      <c r="K2240" s="29">
        <v>45691</v>
      </c>
      <c r="L2240" s="24">
        <v>33849.51</v>
      </c>
      <c r="M2240" s="25">
        <f t="shared" si="449"/>
        <v>-8.3138574236376901E-3</v>
      </c>
      <c r="O2240" t="b">
        <f t="shared" si="447"/>
        <v>1</v>
      </c>
      <c r="Q2240" s="25">
        <f t="shared" si="463"/>
        <v>8.8657567694736761E-2</v>
      </c>
      <c r="R2240" s="25">
        <f t="shared" si="460"/>
        <v>0.2085534243469751</v>
      </c>
      <c r="S2240" s="25">
        <f t="shared" si="457"/>
        <v>0.13394618943912828</v>
      </c>
      <c r="T2240" s="25">
        <f t="shared" si="454"/>
        <v>0.15719140083129934</v>
      </c>
      <c r="U2240" s="25">
        <f t="shared" si="451"/>
        <v>0.17771619850812503</v>
      </c>
      <c r="X2240">
        <f t="shared" si="464"/>
        <v>1</v>
      </c>
      <c r="Y2240">
        <f t="shared" si="461"/>
        <v>1</v>
      </c>
      <c r="Z2240">
        <f t="shared" si="458"/>
        <v>0</v>
      </c>
      <c r="AA2240">
        <f t="shared" si="455"/>
        <v>0</v>
      </c>
      <c r="AB2240">
        <f t="shared" si="452"/>
        <v>0</v>
      </c>
    </row>
    <row r="2241" spans="1:28">
      <c r="A2241" s="26">
        <v>45692</v>
      </c>
      <c r="B2241" s="23">
        <v>1842.63</v>
      </c>
      <c r="C2241" s="25">
        <f t="shared" si="448"/>
        <v>1.3531129849342495E-2</v>
      </c>
      <c r="E2241" s="25">
        <f t="shared" si="462"/>
        <v>0.13374475468540425</v>
      </c>
      <c r="F2241" s="25">
        <f t="shared" si="459"/>
        <v>0.23224592059271898</v>
      </c>
      <c r="G2241" s="25">
        <f t="shared" si="456"/>
        <v>0.13886651482504364</v>
      </c>
      <c r="H2241" s="25">
        <f t="shared" si="453"/>
        <v>0.15876034239740977</v>
      </c>
      <c r="I2241" s="25">
        <f t="shared" si="450"/>
        <v>0.1687024423495298</v>
      </c>
      <c r="K2241" s="28">
        <v>45692</v>
      </c>
      <c r="L2241" s="23">
        <v>34363.72</v>
      </c>
      <c r="M2241" s="25">
        <f t="shared" si="449"/>
        <v>1.4963746649082205E-2</v>
      </c>
      <c r="O2241" t="b">
        <f t="shared" si="447"/>
        <v>1</v>
      </c>
      <c r="Q2241" s="25">
        <f t="shared" si="463"/>
        <v>9.5152594077000385E-2</v>
      </c>
      <c r="R2241" s="25">
        <f t="shared" si="460"/>
        <v>0.22129381727777098</v>
      </c>
      <c r="S2241" s="25">
        <f t="shared" si="457"/>
        <v>0.14091552155718556</v>
      </c>
      <c r="T2241" s="25">
        <f t="shared" si="454"/>
        <v>0.16170089541131283</v>
      </c>
      <c r="U2241" s="25">
        <f t="shared" si="451"/>
        <v>0.18001286380148041</v>
      </c>
      <c r="X2241">
        <f t="shared" si="464"/>
        <v>1</v>
      </c>
      <c r="Y2241">
        <f t="shared" si="461"/>
        <v>1</v>
      </c>
      <c r="Z2241">
        <f t="shared" si="458"/>
        <v>0</v>
      </c>
      <c r="AA2241">
        <f t="shared" si="455"/>
        <v>0</v>
      </c>
      <c r="AB2241">
        <f t="shared" si="452"/>
        <v>0</v>
      </c>
    </row>
    <row r="2242" spans="1:28">
      <c r="A2242" s="27">
        <v>45693</v>
      </c>
      <c r="B2242" s="24">
        <v>1843.43</v>
      </c>
      <c r="C2242" s="25">
        <f t="shared" si="448"/>
        <v>4.3416204012740187E-4</v>
      </c>
      <c r="E2242" s="25">
        <f t="shared" si="462"/>
        <v>0.13250191982798354</v>
      </c>
      <c r="F2242" s="25">
        <f t="shared" si="459"/>
        <v>0.22990131355759469</v>
      </c>
      <c r="G2242" s="25">
        <f t="shared" si="456"/>
        <v>0.14528403157460801</v>
      </c>
      <c r="H2242" s="25">
        <f t="shared" si="453"/>
        <v>0.15898249643083662</v>
      </c>
      <c r="I2242" s="25">
        <f t="shared" si="450"/>
        <v>0.16863801621763264</v>
      </c>
      <c r="K2242" s="29">
        <v>45693</v>
      </c>
      <c r="L2242" s="24">
        <v>34453.97</v>
      </c>
      <c r="M2242" s="25">
        <f t="shared" si="449"/>
        <v>2.6194368892757496E-3</v>
      </c>
      <c r="O2242" t="b">
        <f t="shared" si="447"/>
        <v>1</v>
      </c>
      <c r="Q2242" s="25">
        <f t="shared" si="463"/>
        <v>9.3876142405310503E-2</v>
      </c>
      <c r="R2242" s="25">
        <f t="shared" si="460"/>
        <v>0.22322999557722301</v>
      </c>
      <c r="S2242" s="25">
        <f t="shared" si="457"/>
        <v>0.14738147916102551</v>
      </c>
      <c r="T2242" s="25">
        <f t="shared" si="454"/>
        <v>0.16203001982221155</v>
      </c>
      <c r="U2242" s="25">
        <f t="shared" si="451"/>
        <v>0.18070939326479429</v>
      </c>
      <c r="X2242">
        <f t="shared" si="464"/>
        <v>1</v>
      </c>
      <c r="Y2242">
        <f t="shared" si="461"/>
        <v>1</v>
      </c>
      <c r="Z2242">
        <f t="shared" si="458"/>
        <v>0</v>
      </c>
      <c r="AA2242">
        <f t="shared" si="455"/>
        <v>0</v>
      </c>
      <c r="AB2242">
        <f t="shared" si="452"/>
        <v>0</v>
      </c>
    </row>
    <row r="2243" spans="1:28">
      <c r="A2243" s="26">
        <v>45694</v>
      </c>
      <c r="B2243" s="23">
        <v>1838.09</v>
      </c>
      <c r="C2243" s="25">
        <f t="shared" si="448"/>
        <v>-2.8967739485633551E-3</v>
      </c>
      <c r="E2243" s="25">
        <f t="shared" si="462"/>
        <v>0.13646143763370366</v>
      </c>
      <c r="F2243" s="25">
        <f t="shared" si="459"/>
        <v>0.22236475805959821</v>
      </c>
      <c r="G2243" s="25">
        <f t="shared" si="456"/>
        <v>0.14420195101945033</v>
      </c>
      <c r="H2243" s="25">
        <f t="shared" si="453"/>
        <v>0.1569889061811871</v>
      </c>
      <c r="I2243" s="25">
        <f t="shared" si="450"/>
        <v>0.16985584956008726</v>
      </c>
      <c r="K2243" s="28">
        <v>45694</v>
      </c>
      <c r="L2243" s="23">
        <v>34279.629999999997</v>
      </c>
      <c r="M2243" s="25">
        <f t="shared" si="449"/>
        <v>-5.0858191876634552E-3</v>
      </c>
      <c r="O2243" t="b">
        <f t="shared" ref="O2243:O2306" si="465">K2243=A2243</f>
        <v>1</v>
      </c>
      <c r="Q2243" s="25">
        <f t="shared" si="463"/>
        <v>9.4581062776881053E-2</v>
      </c>
      <c r="R2243" s="25">
        <f t="shared" si="460"/>
        <v>0.21509319181501918</v>
      </c>
      <c r="S2243" s="25">
        <f t="shared" si="457"/>
        <v>0.14578762477747942</v>
      </c>
      <c r="T2243" s="25">
        <f t="shared" si="454"/>
        <v>0.15906680244728078</v>
      </c>
      <c r="U2243" s="25">
        <f t="shared" si="451"/>
        <v>0.18081521910921983</v>
      </c>
      <c r="X2243">
        <f t="shared" si="464"/>
        <v>1</v>
      </c>
      <c r="Y2243">
        <f t="shared" si="461"/>
        <v>1</v>
      </c>
      <c r="Z2243">
        <f t="shared" si="458"/>
        <v>0</v>
      </c>
      <c r="AA2243">
        <f t="shared" si="455"/>
        <v>0</v>
      </c>
      <c r="AB2243">
        <f t="shared" si="452"/>
        <v>0</v>
      </c>
    </row>
    <row r="2244" spans="1:28">
      <c r="A2244" s="27">
        <v>45695</v>
      </c>
      <c r="B2244" s="24">
        <v>1840.07</v>
      </c>
      <c r="C2244" s="25">
        <f t="shared" ref="C2244:C2307" si="466">(B2244-B2243)/B2243</f>
        <v>1.0772051422944569E-3</v>
      </c>
      <c r="E2244" s="25">
        <f t="shared" si="462"/>
        <v>0.13420038832557712</v>
      </c>
      <c r="F2244" s="25">
        <f t="shared" si="459"/>
        <v>0.22283409727168046</v>
      </c>
      <c r="G2244" s="25">
        <f t="shared" si="456"/>
        <v>0.13940547997285568</v>
      </c>
      <c r="H2244" s="25">
        <f t="shared" si="453"/>
        <v>0.15650070180908404</v>
      </c>
      <c r="I2244" s="25">
        <f t="shared" si="450"/>
        <v>0.16921156930134806</v>
      </c>
      <c r="K2244" s="29">
        <v>45695</v>
      </c>
      <c r="L2244" s="24">
        <v>34246.839999999997</v>
      </c>
      <c r="M2244" s="25">
        <f t="shared" ref="M2244:M2307" si="467">(L2244-L2243)/L2244</f>
        <v>-9.5746060074450301E-4</v>
      </c>
      <c r="O2244" t="b">
        <f t="shared" si="465"/>
        <v>1</v>
      </c>
      <c r="Q2244" s="25">
        <f t="shared" si="463"/>
        <v>9.4859026690810033E-2</v>
      </c>
      <c r="R2244" s="25">
        <f t="shared" si="460"/>
        <v>0.21565098900229129</v>
      </c>
      <c r="S2244" s="25">
        <f t="shared" si="457"/>
        <v>0.14129177124158399</v>
      </c>
      <c r="T2244" s="25">
        <f t="shared" si="454"/>
        <v>0.15891814278613903</v>
      </c>
      <c r="U2244" s="25">
        <f t="shared" si="451"/>
        <v>0.17960247694239895</v>
      </c>
      <c r="X2244">
        <f t="shared" si="464"/>
        <v>1</v>
      </c>
      <c r="Y2244">
        <f t="shared" si="461"/>
        <v>1</v>
      </c>
      <c r="Z2244">
        <f t="shared" si="458"/>
        <v>0</v>
      </c>
      <c r="AA2244">
        <f t="shared" si="455"/>
        <v>0</v>
      </c>
      <c r="AB2244">
        <f t="shared" si="452"/>
        <v>0</v>
      </c>
    </row>
    <row r="2245" spans="1:28">
      <c r="A2245" s="26">
        <v>45698</v>
      </c>
      <c r="B2245" s="23">
        <v>1822.69</v>
      </c>
      <c r="C2245" s="25">
        <f t="shared" si="466"/>
        <v>-9.4452928421200726E-3</v>
      </c>
      <c r="E2245" s="25">
        <f t="shared" si="462"/>
        <v>0.1359296513729451</v>
      </c>
      <c r="F2245" s="25">
        <f t="shared" si="459"/>
        <v>0.22074132570111415</v>
      </c>
      <c r="G2245" s="25">
        <f t="shared" si="456"/>
        <v>0.13319226567420994</v>
      </c>
      <c r="H2245" s="25">
        <f t="shared" si="453"/>
        <v>0.15015148547742618</v>
      </c>
      <c r="I2245" s="25">
        <f t="shared" si="450"/>
        <v>0.16561908918029489</v>
      </c>
      <c r="K2245" s="28">
        <v>45698</v>
      </c>
      <c r="L2245" s="23">
        <v>33812.230000000003</v>
      </c>
      <c r="M2245" s="25">
        <f t="shared" si="467"/>
        <v>-1.2853633138068482E-2</v>
      </c>
      <c r="O2245" t="b">
        <f t="shared" si="465"/>
        <v>1</v>
      </c>
      <c r="Q2245" s="25">
        <f t="shared" si="463"/>
        <v>9.6667046144874424E-2</v>
      </c>
      <c r="R2245" s="25">
        <f t="shared" si="460"/>
        <v>0.20919362466273261</v>
      </c>
      <c r="S2245" s="25">
        <f t="shared" si="457"/>
        <v>0.13400131802768267</v>
      </c>
      <c r="T2245" s="25">
        <f t="shared" si="454"/>
        <v>0.15235760357436723</v>
      </c>
      <c r="U2245" s="25">
        <f t="shared" si="451"/>
        <v>0.17541489609798244</v>
      </c>
      <c r="X2245">
        <f t="shared" si="464"/>
        <v>1</v>
      </c>
      <c r="Y2245">
        <f t="shared" si="461"/>
        <v>1</v>
      </c>
      <c r="Z2245">
        <f t="shared" si="458"/>
        <v>0</v>
      </c>
      <c r="AA2245">
        <f t="shared" si="455"/>
        <v>0</v>
      </c>
      <c r="AB2245">
        <f t="shared" si="452"/>
        <v>0</v>
      </c>
    </row>
    <row r="2246" spans="1:28">
      <c r="A2246" s="27">
        <v>45699</v>
      </c>
      <c r="B2246" s="24">
        <v>1793.37</v>
      </c>
      <c r="C2246" s="25">
        <f t="shared" si="466"/>
        <v>-1.6086114479149038E-2</v>
      </c>
      <c r="E2246" s="25">
        <f t="shared" si="462"/>
        <v>0.11191919943454476</v>
      </c>
      <c r="F2246" s="25">
        <f t="shared" si="459"/>
        <v>0.2051766501499297</v>
      </c>
      <c r="G2246" s="25">
        <f t="shared" si="456"/>
        <v>0.13309451544506112</v>
      </c>
      <c r="H2246" s="25">
        <f t="shared" si="453"/>
        <v>0.14621391959392804</v>
      </c>
      <c r="I2246" s="25">
        <f t="shared" si="450"/>
        <v>0.16179803985560248</v>
      </c>
      <c r="K2246" s="29">
        <v>45699</v>
      </c>
      <c r="L2246" s="24">
        <v>33146.32</v>
      </c>
      <c r="M2246" s="25">
        <f t="shared" si="467"/>
        <v>-2.0090013008985719E-2</v>
      </c>
      <c r="O2246" t="b">
        <f t="shared" si="465"/>
        <v>1</v>
      </c>
      <c r="Q2246" s="25">
        <f t="shared" si="463"/>
        <v>6.9209916143991412E-2</v>
      </c>
      <c r="R2246" s="25">
        <f t="shared" si="460"/>
        <v>0.19214424072840708</v>
      </c>
      <c r="S2246" s="25">
        <f t="shared" si="457"/>
        <v>0.13204867501513928</v>
      </c>
      <c r="T2246" s="25">
        <f t="shared" si="454"/>
        <v>0.14629489911359461</v>
      </c>
      <c r="U2246" s="25">
        <f t="shared" si="451"/>
        <v>0.17118822549087609</v>
      </c>
      <c r="X2246">
        <f t="shared" si="464"/>
        <v>1</v>
      </c>
      <c r="Y2246">
        <f t="shared" si="461"/>
        <v>1</v>
      </c>
      <c r="Z2246">
        <f t="shared" si="458"/>
        <v>1</v>
      </c>
      <c r="AA2246">
        <f t="shared" si="455"/>
        <v>0</v>
      </c>
      <c r="AB2246">
        <f t="shared" si="452"/>
        <v>0</v>
      </c>
    </row>
    <row r="2247" spans="1:28">
      <c r="A2247" s="26">
        <v>45700</v>
      </c>
      <c r="B2247" s="23">
        <v>1790.35</v>
      </c>
      <c r="C2247" s="25">
        <f t="shared" si="466"/>
        <v>-1.6839804390616447E-3</v>
      </c>
      <c r="E2247" s="25">
        <f t="shared" si="462"/>
        <v>0.10586425853634429</v>
      </c>
      <c r="F2247" s="25">
        <f t="shared" si="459"/>
        <v>0.20357675142441867</v>
      </c>
      <c r="G2247" s="25">
        <f t="shared" si="456"/>
        <v>0.1455167228157086</v>
      </c>
      <c r="H2247" s="25">
        <f t="shared" si="453"/>
        <v>0.14682262072478558</v>
      </c>
      <c r="I2247" s="25">
        <f t="shared" si="450"/>
        <v>0.16209034142173095</v>
      </c>
      <c r="K2247" s="28">
        <v>45700</v>
      </c>
      <c r="L2247" s="23">
        <v>33091.14</v>
      </c>
      <c r="M2247" s="25">
        <f t="shared" si="467"/>
        <v>-1.6675158365653251E-3</v>
      </c>
      <c r="O2247" t="b">
        <f t="shared" si="465"/>
        <v>1</v>
      </c>
      <c r="Q2247" s="25">
        <f t="shared" si="463"/>
        <v>5.9955745409258743E-2</v>
      </c>
      <c r="R2247" s="25">
        <f t="shared" si="460"/>
        <v>0.19108053759954169</v>
      </c>
      <c r="S2247" s="25">
        <f t="shared" si="457"/>
        <v>0.14397215301954902</v>
      </c>
      <c r="T2247" s="25">
        <f t="shared" si="454"/>
        <v>0.14687459867470798</v>
      </c>
      <c r="U2247" s="25">
        <f t="shared" si="451"/>
        <v>0.17212385599578583</v>
      </c>
      <c r="X2247">
        <f t="shared" si="464"/>
        <v>1</v>
      </c>
      <c r="Y2247">
        <f t="shared" si="461"/>
        <v>1</v>
      </c>
      <c r="Z2247">
        <f t="shared" si="458"/>
        <v>1</v>
      </c>
      <c r="AA2247">
        <f t="shared" si="455"/>
        <v>0</v>
      </c>
      <c r="AB2247">
        <f t="shared" si="452"/>
        <v>0</v>
      </c>
    </row>
    <row r="2248" spans="1:28">
      <c r="A2248" s="27">
        <v>45701</v>
      </c>
      <c r="B2248" s="24">
        <v>1790.68</v>
      </c>
      <c r="C2248" s="25">
        <f t="shared" si="466"/>
        <v>1.8432150138249763E-4</v>
      </c>
      <c r="E2248" s="25">
        <f t="shared" si="462"/>
        <v>0.10108960326635019</v>
      </c>
      <c r="F2248" s="25">
        <f t="shared" si="459"/>
        <v>0.20496553659300765</v>
      </c>
      <c r="G2248" s="25">
        <f t="shared" si="456"/>
        <v>0.13599706034424663</v>
      </c>
      <c r="H2248" s="25">
        <f t="shared" si="453"/>
        <v>0.14824244064465408</v>
      </c>
      <c r="I2248" s="25">
        <f t="shared" si="450"/>
        <v>0.16351376459864531</v>
      </c>
      <c r="K2248" s="29">
        <v>45701</v>
      </c>
      <c r="L2248" s="24">
        <v>33086.76</v>
      </c>
      <c r="M2248" s="25">
        <f t="shared" si="467"/>
        <v>-1.323792356821091E-4</v>
      </c>
      <c r="O2248" t="b">
        <f t="shared" si="465"/>
        <v>1</v>
      </c>
      <c r="Q2248" s="25">
        <f t="shared" si="463"/>
        <v>5.3593315188992019E-2</v>
      </c>
      <c r="R2248" s="25">
        <f t="shared" si="460"/>
        <v>0.19154587260469524</v>
      </c>
      <c r="S2248" s="25">
        <f t="shared" si="457"/>
        <v>0.13337037453377487</v>
      </c>
      <c r="T2248" s="25">
        <f t="shared" si="454"/>
        <v>0.14755788499461753</v>
      </c>
      <c r="U2248" s="25">
        <f t="shared" si="451"/>
        <v>0.17369439515192475</v>
      </c>
      <c r="X2248">
        <f t="shared" si="464"/>
        <v>1</v>
      </c>
      <c r="Y2248">
        <f t="shared" si="461"/>
        <v>1</v>
      </c>
      <c r="Z2248">
        <f t="shared" si="458"/>
        <v>1</v>
      </c>
      <c r="AA2248">
        <f t="shared" si="455"/>
        <v>1</v>
      </c>
      <c r="AB2248">
        <f t="shared" si="452"/>
        <v>0</v>
      </c>
    </row>
    <row r="2249" spans="1:28">
      <c r="A2249" s="26">
        <v>45702</v>
      </c>
      <c r="B2249" s="23">
        <v>1769.75</v>
      </c>
      <c r="C2249" s="25">
        <f t="shared" si="466"/>
        <v>-1.1688297183193011E-2</v>
      </c>
      <c r="E2249" s="25">
        <f t="shared" si="462"/>
        <v>8.0776559103011847E-2</v>
      </c>
      <c r="F2249" s="25">
        <f t="shared" si="459"/>
        <v>0.20120428538217427</v>
      </c>
      <c r="G2249" s="25">
        <f t="shared" si="456"/>
        <v>0.13229582210350888</v>
      </c>
      <c r="H2249" s="25">
        <f t="shared" si="453"/>
        <v>0.14868831336820909</v>
      </c>
      <c r="I2249" s="25">
        <f t="shared" si="450"/>
        <v>0.16130426062447478</v>
      </c>
      <c r="K2249" s="28">
        <v>45702</v>
      </c>
      <c r="L2249" s="23">
        <v>32659.9</v>
      </c>
      <c r="M2249" s="25">
        <f t="shared" si="467"/>
        <v>-1.3069850183252261E-2</v>
      </c>
      <c r="O2249" t="b">
        <f t="shared" si="465"/>
        <v>1</v>
      </c>
      <c r="Q2249" s="25">
        <f t="shared" si="463"/>
        <v>3.3238034285511864E-2</v>
      </c>
      <c r="R2249" s="25">
        <f t="shared" si="460"/>
        <v>0.18840016845844221</v>
      </c>
      <c r="S2249" s="25">
        <f t="shared" si="457"/>
        <v>0.12880851340254251</v>
      </c>
      <c r="T2249" s="25">
        <f t="shared" si="454"/>
        <v>0.14674475313636215</v>
      </c>
      <c r="U2249" s="25">
        <f t="shared" si="451"/>
        <v>0.17169131685589933</v>
      </c>
      <c r="X2249">
        <f t="shared" si="464"/>
        <v>1</v>
      </c>
      <c r="Y2249">
        <f t="shared" si="461"/>
        <v>1</v>
      </c>
      <c r="Z2249">
        <f t="shared" si="458"/>
        <v>1</v>
      </c>
      <c r="AA2249">
        <f t="shared" si="455"/>
        <v>1</v>
      </c>
      <c r="AB2249">
        <f t="shared" si="452"/>
        <v>0</v>
      </c>
    </row>
    <row r="2250" spans="1:28">
      <c r="A2250" s="27">
        <v>45705</v>
      </c>
      <c r="B2250" s="24">
        <v>1768.23</v>
      </c>
      <c r="C2250" s="25">
        <f t="shared" si="466"/>
        <v>-8.5887837265149417E-4</v>
      </c>
      <c r="E2250" s="25">
        <f t="shared" si="462"/>
        <v>7.4637478576898175E-2</v>
      </c>
      <c r="F2250" s="25">
        <f t="shared" si="459"/>
        <v>0.19835063533186026</v>
      </c>
      <c r="G2250" s="25">
        <f t="shared" si="456"/>
        <v>0.13396565409780981</v>
      </c>
      <c r="H2250" s="25">
        <f t="shared" si="453"/>
        <v>0.15283590054356844</v>
      </c>
      <c r="I2250" s="25">
        <f t="shared" si="450"/>
        <v>0.15908925786305139</v>
      </c>
      <c r="K2250" s="29">
        <v>45705</v>
      </c>
      <c r="L2250" s="24">
        <v>32691.24</v>
      </c>
      <c r="M2250" s="25">
        <f t="shared" si="467"/>
        <v>9.5866660304106375E-4</v>
      </c>
      <c r="O2250" t="b">
        <f t="shared" si="465"/>
        <v>1</v>
      </c>
      <c r="Q2250" s="25">
        <f t="shared" si="463"/>
        <v>3.0336572251620897E-2</v>
      </c>
      <c r="R2250" s="25">
        <f t="shared" si="460"/>
        <v>0.18624592681407948</v>
      </c>
      <c r="S2250" s="25">
        <f t="shared" si="457"/>
        <v>0.12957122136338195</v>
      </c>
      <c r="T2250" s="25">
        <f t="shared" si="454"/>
        <v>0.15215535435433858</v>
      </c>
      <c r="U2250" s="25">
        <f t="shared" si="451"/>
        <v>0.16896400600999151</v>
      </c>
      <c r="X2250">
        <f t="shared" si="464"/>
        <v>1</v>
      </c>
      <c r="Y2250">
        <f t="shared" si="461"/>
        <v>1</v>
      </c>
      <c r="Z2250">
        <f t="shared" si="458"/>
        <v>1</v>
      </c>
      <c r="AA2250">
        <f t="shared" si="455"/>
        <v>1</v>
      </c>
      <c r="AB2250">
        <f t="shared" si="452"/>
        <v>0</v>
      </c>
    </row>
    <row r="2251" spans="1:28">
      <c r="A2251" s="26">
        <v>45706</v>
      </c>
      <c r="B2251" s="23">
        <v>1764.33</v>
      </c>
      <c r="C2251" s="25">
        <f t="shared" si="466"/>
        <v>-2.2055954259344603E-3</v>
      </c>
      <c r="E2251" s="25">
        <f t="shared" si="462"/>
        <v>6.9200189074866358E-2</v>
      </c>
      <c r="F2251" s="25">
        <f t="shared" si="459"/>
        <v>0.19370293940023853</v>
      </c>
      <c r="G2251" s="25">
        <f t="shared" si="456"/>
        <v>0.13460532801178204</v>
      </c>
      <c r="H2251" s="25">
        <f t="shared" si="453"/>
        <v>0.15107737994174286</v>
      </c>
      <c r="I2251" s="25">
        <f t="shared" si="450"/>
        <v>0.15839391132085234</v>
      </c>
      <c r="K2251" s="28">
        <v>45706</v>
      </c>
      <c r="L2251" s="23">
        <v>32627.75</v>
      </c>
      <c r="M2251" s="25">
        <f t="shared" si="467"/>
        <v>-1.9458896184996392E-3</v>
      </c>
      <c r="O2251" t="b">
        <f t="shared" si="465"/>
        <v>1</v>
      </c>
      <c r="Q2251" s="25">
        <f t="shared" si="463"/>
        <v>2.6622280466873205E-2</v>
      </c>
      <c r="R2251" s="25">
        <f t="shared" si="460"/>
        <v>0.18203190030250971</v>
      </c>
      <c r="S2251" s="25">
        <f t="shared" si="457"/>
        <v>0.13040502051633784</v>
      </c>
      <c r="T2251" s="25">
        <f t="shared" si="454"/>
        <v>0.15038934323449249</v>
      </c>
      <c r="U2251" s="25">
        <f t="shared" si="451"/>
        <v>0.1687866136885865</v>
      </c>
      <c r="X2251">
        <f t="shared" si="464"/>
        <v>1</v>
      </c>
      <c r="Y2251">
        <f t="shared" si="461"/>
        <v>1</v>
      </c>
      <c r="Z2251">
        <f t="shared" si="458"/>
        <v>1</v>
      </c>
      <c r="AA2251">
        <f t="shared" si="455"/>
        <v>1</v>
      </c>
      <c r="AB2251">
        <f t="shared" si="452"/>
        <v>0</v>
      </c>
    </row>
    <row r="2252" spans="1:28">
      <c r="A2252" s="27">
        <v>45707</v>
      </c>
      <c r="B2252" s="24">
        <v>1773.4</v>
      </c>
      <c r="C2252" s="25">
        <f t="shared" si="466"/>
        <v>5.1407616488979751E-3</v>
      </c>
      <c r="E2252" s="25">
        <f t="shared" si="462"/>
        <v>8.1209608584319026E-2</v>
      </c>
      <c r="F2252" s="25">
        <f t="shared" si="459"/>
        <v>0.19433418937715641</v>
      </c>
      <c r="G2252" s="25">
        <f t="shared" si="456"/>
        <v>0.13836484896979062</v>
      </c>
      <c r="H2252" s="25">
        <f t="shared" si="453"/>
        <v>0.14887063999437</v>
      </c>
      <c r="I2252" s="25">
        <f t="shared" si="450"/>
        <v>0.16426684522486235</v>
      </c>
      <c r="K2252" s="29">
        <v>45707</v>
      </c>
      <c r="L2252" s="24">
        <v>32817.74</v>
      </c>
      <c r="M2252" s="25">
        <f t="shared" si="467"/>
        <v>5.7892469134071377E-3</v>
      </c>
      <c r="O2252" t="b">
        <f t="shared" si="465"/>
        <v>1</v>
      </c>
      <c r="Q2252" s="25">
        <f t="shared" si="463"/>
        <v>3.9933404188032373E-2</v>
      </c>
      <c r="R2252" s="25">
        <f t="shared" si="460"/>
        <v>0.18372869139217207</v>
      </c>
      <c r="S2252" s="25">
        <f t="shared" si="457"/>
        <v>0.13542721993391238</v>
      </c>
      <c r="T2252" s="25">
        <f t="shared" si="454"/>
        <v>0.14760584831985324</v>
      </c>
      <c r="U2252" s="25">
        <f t="shared" si="451"/>
        <v>0.1748978112438051</v>
      </c>
      <c r="X2252">
        <f t="shared" si="464"/>
        <v>1</v>
      </c>
      <c r="Y2252">
        <f t="shared" si="461"/>
        <v>1</v>
      </c>
      <c r="Z2252">
        <f t="shared" si="458"/>
        <v>1</v>
      </c>
      <c r="AA2252">
        <f t="shared" si="455"/>
        <v>1</v>
      </c>
      <c r="AB2252">
        <f t="shared" si="452"/>
        <v>0</v>
      </c>
    </row>
    <row r="2253" spans="1:28">
      <c r="A2253" s="26">
        <v>45708</v>
      </c>
      <c r="B2253" s="23">
        <v>1784.09</v>
      </c>
      <c r="C2253" s="25">
        <f t="shared" si="466"/>
        <v>6.027968873350528E-3</v>
      </c>
      <c r="E2253" s="25">
        <f t="shared" si="462"/>
        <v>8.063793186994217E-2</v>
      </c>
      <c r="F2253" s="25">
        <f t="shared" si="459"/>
        <v>0.20249765062897218</v>
      </c>
      <c r="G2253" s="25">
        <f t="shared" si="456"/>
        <v>0.1432880524557183</v>
      </c>
      <c r="H2253" s="25">
        <f t="shared" si="453"/>
        <v>0.14768066007083425</v>
      </c>
      <c r="I2253" s="25">
        <f t="shared" si="450"/>
        <v>0.16623320046012702</v>
      </c>
      <c r="K2253" s="28">
        <v>45708</v>
      </c>
      <c r="L2253" s="23">
        <v>32975.85</v>
      </c>
      <c r="M2253" s="25">
        <f t="shared" si="467"/>
        <v>4.7947209852058576E-3</v>
      </c>
      <c r="O2253" t="b">
        <f t="shared" si="465"/>
        <v>1</v>
      </c>
      <c r="Q2253" s="25">
        <f t="shared" si="463"/>
        <v>3.6898484673636212E-2</v>
      </c>
      <c r="R2253" s="25">
        <f t="shared" si="460"/>
        <v>0.18969695194462566</v>
      </c>
      <c r="S2253" s="25">
        <f t="shared" si="457"/>
        <v>0.14004762780110913</v>
      </c>
      <c r="T2253" s="25">
        <f t="shared" si="454"/>
        <v>0.14640096084637633</v>
      </c>
      <c r="U2253" s="25">
        <f t="shared" si="451"/>
        <v>0.1768285595487733</v>
      </c>
      <c r="X2253">
        <f t="shared" si="464"/>
        <v>1</v>
      </c>
      <c r="Y2253">
        <f t="shared" si="461"/>
        <v>1</v>
      </c>
      <c r="Z2253">
        <f t="shared" si="458"/>
        <v>1</v>
      </c>
      <c r="AA2253">
        <f t="shared" si="455"/>
        <v>1</v>
      </c>
      <c r="AB2253">
        <f t="shared" si="452"/>
        <v>0</v>
      </c>
    </row>
    <row r="2254" spans="1:28">
      <c r="A2254" s="27">
        <v>45709</v>
      </c>
      <c r="B2254" s="24">
        <v>1769.75</v>
      </c>
      <c r="C2254" s="25">
        <f t="shared" si="466"/>
        <v>-8.0377111020183498E-3</v>
      </c>
      <c r="E2254" s="25">
        <f t="shared" si="462"/>
        <v>7.0376620156163971E-2</v>
      </c>
      <c r="F2254" s="25">
        <f t="shared" si="459"/>
        <v>0.19989898153824526</v>
      </c>
      <c r="G2254" s="25">
        <f t="shared" si="456"/>
        <v>0.13948855910798952</v>
      </c>
      <c r="H2254" s="25">
        <f t="shared" si="453"/>
        <v>0.15361979820586136</v>
      </c>
      <c r="I2254" s="25">
        <f t="shared" si="450"/>
        <v>0.16634499166452144</v>
      </c>
      <c r="K2254" s="29">
        <v>45709</v>
      </c>
      <c r="L2254" s="24">
        <v>32753.5</v>
      </c>
      <c r="M2254" s="25">
        <f t="shared" si="467"/>
        <v>-6.7885874792006518E-3</v>
      </c>
      <c r="O2254" t="b">
        <f t="shared" si="465"/>
        <v>1</v>
      </c>
      <c r="Q2254" s="25">
        <f t="shared" si="463"/>
        <v>2.837961646010223E-2</v>
      </c>
      <c r="R2254" s="25">
        <f t="shared" si="460"/>
        <v>0.18826401763619649</v>
      </c>
      <c r="S2254" s="25">
        <f t="shared" si="457"/>
        <v>0.13700844503609244</v>
      </c>
      <c r="T2254" s="25">
        <f t="shared" si="454"/>
        <v>0.15343460757012228</v>
      </c>
      <c r="U2254" s="25">
        <f t="shared" si="451"/>
        <v>0.17771816691966147</v>
      </c>
      <c r="X2254">
        <f t="shared" si="464"/>
        <v>1</v>
      </c>
      <c r="Y2254">
        <f t="shared" si="461"/>
        <v>1</v>
      </c>
      <c r="Z2254">
        <f t="shared" si="458"/>
        <v>1</v>
      </c>
      <c r="AA2254">
        <f t="shared" si="455"/>
        <v>1</v>
      </c>
      <c r="AB2254">
        <f t="shared" si="452"/>
        <v>0</v>
      </c>
    </row>
    <row r="2255" spans="1:28">
      <c r="A2255" s="26">
        <v>45712</v>
      </c>
      <c r="B2255" s="23">
        <v>1751.66</v>
      </c>
      <c r="C2255" s="25">
        <f t="shared" si="466"/>
        <v>-1.0221782737674767E-2</v>
      </c>
      <c r="E2255" s="25">
        <f t="shared" si="462"/>
        <v>6.2455646604273607E-2</v>
      </c>
      <c r="F2255" s="25">
        <f t="shared" si="459"/>
        <v>0.1953660759241731</v>
      </c>
      <c r="G2255" s="25">
        <f t="shared" si="456"/>
        <v>0.15325842322427219</v>
      </c>
      <c r="H2255" s="25">
        <f t="shared" si="453"/>
        <v>0.14654891916898816</v>
      </c>
      <c r="I2255" s="25">
        <f t="shared" si="450"/>
        <v>0.16496984298504946</v>
      </c>
      <c r="K2255" s="28">
        <v>45712</v>
      </c>
      <c r="L2255" s="23">
        <v>32402.38</v>
      </c>
      <c r="M2255" s="25">
        <f t="shared" si="467"/>
        <v>-1.0836241041553089E-2</v>
      </c>
      <c r="O2255" t="b">
        <f t="shared" si="465"/>
        <v>1</v>
      </c>
      <c r="Q2255" s="25">
        <f t="shared" si="463"/>
        <v>2.0250805828730734E-2</v>
      </c>
      <c r="R2255" s="25">
        <f t="shared" si="460"/>
        <v>0.18284797073392989</v>
      </c>
      <c r="S2255" s="25">
        <f t="shared" si="457"/>
        <v>0.15262810081894318</v>
      </c>
      <c r="T2255" s="25">
        <f t="shared" si="454"/>
        <v>0.14596017384681814</v>
      </c>
      <c r="U2255" s="25">
        <f t="shared" si="451"/>
        <v>0.1762420596572627</v>
      </c>
      <c r="X2255">
        <f t="shared" si="464"/>
        <v>1</v>
      </c>
      <c r="Y2255">
        <f t="shared" si="461"/>
        <v>1</v>
      </c>
      <c r="Z2255">
        <f t="shared" si="458"/>
        <v>1</v>
      </c>
      <c r="AA2255">
        <f t="shared" si="455"/>
        <v>1</v>
      </c>
      <c r="AB2255">
        <f t="shared" si="452"/>
        <v>0</v>
      </c>
    </row>
    <row r="2256" spans="1:28">
      <c r="A2256" s="27">
        <v>45713</v>
      </c>
      <c r="B2256" s="24">
        <v>1747.14</v>
      </c>
      <c r="C2256" s="25">
        <f t="shared" si="466"/>
        <v>-2.5804094401881538E-3</v>
      </c>
      <c r="E2256" s="25">
        <f t="shared" si="462"/>
        <v>5.7353982461555431E-2</v>
      </c>
      <c r="F2256" s="25">
        <f t="shared" si="459"/>
        <v>0.20112001108350674</v>
      </c>
      <c r="G2256" s="25">
        <f t="shared" si="456"/>
        <v>0.14059344116593353</v>
      </c>
      <c r="H2256" s="25">
        <f t="shared" si="453"/>
        <v>0.14166938181865318</v>
      </c>
      <c r="I2256" s="25">
        <f t="shared" si="450"/>
        <v>0.17284846607117044</v>
      </c>
      <c r="K2256" s="29">
        <v>45713</v>
      </c>
      <c r="L2256" s="24">
        <v>32323.82</v>
      </c>
      <c r="M2256" s="25">
        <f t="shared" si="467"/>
        <v>-2.4304058121843676E-3</v>
      </c>
      <c r="O2256" t="b">
        <f t="shared" si="465"/>
        <v>1</v>
      </c>
      <c r="Q2256" s="25">
        <f t="shared" si="463"/>
        <v>1.5919641201484813E-2</v>
      </c>
      <c r="R2256" s="25">
        <f t="shared" si="460"/>
        <v>0.18988517908498115</v>
      </c>
      <c r="S2256" s="25">
        <f t="shared" si="457"/>
        <v>0.1404212436541985</v>
      </c>
      <c r="T2256" s="25">
        <f t="shared" si="454"/>
        <v>0.14179322314604659</v>
      </c>
      <c r="U2256" s="25">
        <f t="shared" si="451"/>
        <v>0.18428385624751242</v>
      </c>
      <c r="X2256">
        <f t="shared" si="464"/>
        <v>1</v>
      </c>
      <c r="Y2256">
        <f t="shared" si="461"/>
        <v>1</v>
      </c>
      <c r="Z2256">
        <f t="shared" si="458"/>
        <v>1</v>
      </c>
      <c r="AA2256">
        <f t="shared" si="455"/>
        <v>0</v>
      </c>
      <c r="AB2256">
        <f t="shared" si="452"/>
        <v>0</v>
      </c>
    </row>
    <row r="2257" spans="1:28">
      <c r="A2257" s="26">
        <v>45715</v>
      </c>
      <c r="B2257" s="23">
        <v>1745.07</v>
      </c>
      <c r="C2257" s="25">
        <f t="shared" si="466"/>
        <v>-1.1847934338405414E-3</v>
      </c>
      <c r="E2257" s="25">
        <f t="shared" si="462"/>
        <v>6.886392591140722E-2</v>
      </c>
      <c r="F2257" s="25">
        <f t="shared" si="459"/>
        <v>0.20121692884227116</v>
      </c>
      <c r="G2257" s="25">
        <f t="shared" si="456"/>
        <v>0.13790829281969552</v>
      </c>
      <c r="H2257" s="25">
        <f t="shared" si="453"/>
        <v>0.13639631817542486</v>
      </c>
      <c r="I2257" s="25">
        <f t="shared" si="450"/>
        <v>0.17478428306846583</v>
      </c>
      <c r="K2257" s="28">
        <v>45715</v>
      </c>
      <c r="L2257" s="23">
        <v>32160.49</v>
      </c>
      <c r="M2257" s="25">
        <f t="shared" si="467"/>
        <v>-5.0785917751874458E-3</v>
      </c>
      <c r="O2257" t="b">
        <f t="shared" si="465"/>
        <v>1</v>
      </c>
      <c r="Q2257" s="25">
        <f t="shared" si="463"/>
        <v>2.4542777672825977E-2</v>
      </c>
      <c r="R2257" s="25">
        <f t="shared" si="460"/>
        <v>0.18829539181657862</v>
      </c>
      <c r="S2257" s="25">
        <f t="shared" si="457"/>
        <v>0.13529105134752406</v>
      </c>
      <c r="T2257" s="25">
        <f t="shared" si="454"/>
        <v>0.13482729461866638</v>
      </c>
      <c r="U2257" s="25">
        <f t="shared" si="451"/>
        <v>0.18453328621859399</v>
      </c>
      <c r="X2257">
        <f t="shared" si="464"/>
        <v>1</v>
      </c>
      <c r="Y2257">
        <f t="shared" si="461"/>
        <v>1</v>
      </c>
      <c r="Z2257">
        <f t="shared" si="458"/>
        <v>1</v>
      </c>
      <c r="AA2257">
        <f t="shared" si="455"/>
        <v>1</v>
      </c>
      <c r="AB2257">
        <f t="shared" si="452"/>
        <v>0</v>
      </c>
    </row>
    <row r="2258" spans="1:28">
      <c r="A2258" s="27">
        <v>45716</v>
      </c>
      <c r="B2258" s="24">
        <v>1708.49</v>
      </c>
      <c r="C2258" s="25">
        <f t="shared" si="466"/>
        <v>-2.0961909837427684E-2</v>
      </c>
      <c r="E2258" s="25">
        <f t="shared" si="462"/>
        <v>4.4660490996361935E-2</v>
      </c>
      <c r="F2258" s="25">
        <f t="shared" si="459"/>
        <v>0.18895857190504528</v>
      </c>
      <c r="G2258" s="25">
        <f t="shared" si="456"/>
        <v>0.13433367177776945</v>
      </c>
      <c r="H2258" s="25">
        <f t="shared" si="453"/>
        <v>0.13204439996243922</v>
      </c>
      <c r="I2258" s="25">
        <f t="shared" ref="I2258:I2321" si="468">((B2258/B1027)^(1/5))-1</f>
        <v>0.16587347719844558</v>
      </c>
      <c r="K2258" s="29">
        <v>45716</v>
      </c>
      <c r="L2258" s="24">
        <v>31473.37</v>
      </c>
      <c r="M2258" s="25">
        <f t="shared" si="467"/>
        <v>-2.1831789859173091E-2</v>
      </c>
      <c r="O2258" t="b">
        <f t="shared" si="465"/>
        <v>1</v>
      </c>
      <c r="Q2258" s="25">
        <f t="shared" si="463"/>
        <v>-8.2351010228487453E-4</v>
      </c>
      <c r="R2258" s="25">
        <f t="shared" si="460"/>
        <v>0.17697974596153476</v>
      </c>
      <c r="S2258" s="25">
        <f t="shared" si="457"/>
        <v>0.13000214448641856</v>
      </c>
      <c r="T2258" s="25">
        <f t="shared" si="454"/>
        <v>0.13040204430746649</v>
      </c>
      <c r="U2258" s="25">
        <f t="shared" ref="U2258:U2321" si="469">((L2258/L1027)^(1/5))-1</f>
        <v>0.17563416403941434</v>
      </c>
      <c r="X2258">
        <f t="shared" si="464"/>
        <v>1</v>
      </c>
      <c r="Y2258">
        <f t="shared" si="461"/>
        <v>1</v>
      </c>
      <c r="Z2258">
        <f t="shared" si="458"/>
        <v>1</v>
      </c>
      <c r="AA2258">
        <f t="shared" si="455"/>
        <v>1</v>
      </c>
      <c r="AB2258">
        <f t="shared" ref="AB2258:AB2321" si="470">IF(I2258&gt;U2258,1,0)</f>
        <v>0</v>
      </c>
    </row>
    <row r="2259" spans="1:28">
      <c r="A2259" s="26">
        <v>45719</v>
      </c>
      <c r="B2259" s="23">
        <v>1708.11</v>
      </c>
      <c r="C2259" s="25">
        <f t="shared" si="466"/>
        <v>-2.2241862697476084E-4</v>
      </c>
      <c r="E2259" s="25">
        <f t="shared" si="462"/>
        <v>3.3583241055058277E-2</v>
      </c>
      <c r="F2259" s="25">
        <f t="shared" si="459"/>
        <v>0.19219980182059127</v>
      </c>
      <c r="G2259" s="25">
        <f t="shared" si="456"/>
        <v>0.13729882252615733</v>
      </c>
      <c r="H2259" s="25">
        <f t="shared" si="453"/>
        <v>0.13609079925566059</v>
      </c>
      <c r="I2259" s="25">
        <f t="shared" si="468"/>
        <v>0.16807468520804325</v>
      </c>
      <c r="K2259" s="28">
        <v>45719</v>
      </c>
      <c r="L2259" s="23">
        <v>31498.76</v>
      </c>
      <c r="M2259" s="25">
        <f t="shared" si="467"/>
        <v>8.0606347678446454E-4</v>
      </c>
      <c r="O2259" t="b">
        <f t="shared" si="465"/>
        <v>1</v>
      </c>
      <c r="Q2259" s="25">
        <f t="shared" si="463"/>
        <v>-1.278168954491532E-2</v>
      </c>
      <c r="R2259" s="25">
        <f t="shared" si="460"/>
        <v>0.18075783157374992</v>
      </c>
      <c r="S2259" s="25">
        <f t="shared" si="457"/>
        <v>0.13200429483024756</v>
      </c>
      <c r="T2259" s="25">
        <f t="shared" si="454"/>
        <v>0.13398977280265734</v>
      </c>
      <c r="U2259" s="25">
        <f t="shared" si="469"/>
        <v>0.17748665757340198</v>
      </c>
      <c r="X2259">
        <f t="shared" si="464"/>
        <v>1</v>
      </c>
      <c r="Y2259">
        <f t="shared" si="461"/>
        <v>1</v>
      </c>
      <c r="Z2259">
        <f t="shared" si="458"/>
        <v>1</v>
      </c>
      <c r="AA2259">
        <f t="shared" si="455"/>
        <v>1</v>
      </c>
      <c r="AB2259">
        <f t="shared" si="470"/>
        <v>0</v>
      </c>
    </row>
    <row r="2260" spans="1:28">
      <c r="A2260" s="27">
        <v>45720</v>
      </c>
      <c r="B2260" s="24">
        <v>1708.24</v>
      </c>
      <c r="C2260" s="25">
        <f t="shared" si="466"/>
        <v>7.6107510640479332E-5</v>
      </c>
      <c r="E2260" s="25">
        <f t="shared" si="462"/>
        <v>3.3443035524150622E-2</v>
      </c>
      <c r="F2260" s="25">
        <f t="shared" si="459"/>
        <v>0.19515265085822198</v>
      </c>
      <c r="G2260" s="25">
        <f t="shared" si="456"/>
        <v>0.14267988318594726</v>
      </c>
      <c r="H2260" s="25">
        <f t="shared" si="453"/>
        <v>0.13536295162756518</v>
      </c>
      <c r="I2260" s="25">
        <f t="shared" si="468"/>
        <v>0.16772106606566517</v>
      </c>
      <c r="K2260" s="29">
        <v>45720</v>
      </c>
      <c r="L2260" s="24">
        <v>31531.88</v>
      </c>
      <c r="M2260" s="25">
        <f t="shared" si="467"/>
        <v>1.0503655348175439E-3</v>
      </c>
      <c r="O2260" t="b">
        <f t="shared" si="465"/>
        <v>1</v>
      </c>
      <c r="Q2260" s="25">
        <f t="shared" si="463"/>
        <v>-1.5720992111566079E-2</v>
      </c>
      <c r="R2260" s="25">
        <f t="shared" si="460"/>
        <v>0.18259710168964305</v>
      </c>
      <c r="S2260" s="25">
        <f t="shared" si="457"/>
        <v>0.13895957009016224</v>
      </c>
      <c r="T2260" s="25">
        <f t="shared" si="454"/>
        <v>0.13380606719069132</v>
      </c>
      <c r="U2260" s="25">
        <f t="shared" si="469"/>
        <v>0.17714837905393788</v>
      </c>
      <c r="X2260">
        <f t="shared" si="464"/>
        <v>1</v>
      </c>
      <c r="Y2260">
        <f t="shared" si="461"/>
        <v>1</v>
      </c>
      <c r="Z2260">
        <f t="shared" si="458"/>
        <v>1</v>
      </c>
      <c r="AA2260">
        <f t="shared" si="455"/>
        <v>1</v>
      </c>
      <c r="AB2260">
        <f t="shared" si="470"/>
        <v>0</v>
      </c>
    </row>
    <row r="2261" spans="1:28">
      <c r="A2261" s="26">
        <v>45721</v>
      </c>
      <c r="B2261" s="23">
        <v>1735.79</v>
      </c>
      <c r="C2261" s="25">
        <f t="shared" si="466"/>
        <v>1.6127710391982363E-2</v>
      </c>
      <c r="E2261" s="25">
        <f t="shared" si="462"/>
        <v>5.3475189357156561E-2</v>
      </c>
      <c r="F2261" s="25">
        <f t="shared" si="459"/>
        <v>0.19926882912581068</v>
      </c>
      <c r="G2261" s="25">
        <f t="shared" si="456"/>
        <v>0.15487083507606503</v>
      </c>
      <c r="H2261" s="25">
        <f t="shared" si="453"/>
        <v>0.13897543044861327</v>
      </c>
      <c r="I2261" s="25">
        <f t="shared" si="468"/>
        <v>0.17700878518537122</v>
      </c>
      <c r="K2261" s="28">
        <v>45721</v>
      </c>
      <c r="L2261" s="23">
        <v>32068</v>
      </c>
      <c r="M2261" s="25">
        <f t="shared" si="467"/>
        <v>1.67182237744792E-2</v>
      </c>
      <c r="O2261" t="b">
        <f t="shared" si="465"/>
        <v>1</v>
      </c>
      <c r="Q2261" s="25">
        <f t="shared" si="463"/>
        <v>3.4702773405597132E-3</v>
      </c>
      <c r="R2261" s="25">
        <f t="shared" si="460"/>
        <v>0.18665136879258237</v>
      </c>
      <c r="S2261" s="25">
        <f t="shared" si="457"/>
        <v>0.15456284512243856</v>
      </c>
      <c r="T2261" s="25">
        <f t="shared" si="454"/>
        <v>0.13727753855051228</v>
      </c>
      <c r="U2261" s="25">
        <f t="shared" si="469"/>
        <v>0.18680195204099004</v>
      </c>
      <c r="X2261">
        <f t="shared" si="464"/>
        <v>1</v>
      </c>
      <c r="Y2261">
        <f t="shared" si="461"/>
        <v>1</v>
      </c>
      <c r="Z2261">
        <f t="shared" si="458"/>
        <v>1</v>
      </c>
      <c r="AA2261">
        <f t="shared" si="455"/>
        <v>1</v>
      </c>
      <c r="AB2261">
        <f t="shared" si="470"/>
        <v>0</v>
      </c>
    </row>
    <row r="2262" spans="1:28">
      <c r="A2262" s="27">
        <v>45722</v>
      </c>
      <c r="B2262" s="24">
        <v>1755.24</v>
      </c>
      <c r="C2262" s="25">
        <f t="shared" si="466"/>
        <v>1.1205272527206659E-2</v>
      </c>
      <c r="E2262" s="25">
        <f t="shared" si="462"/>
        <v>6.2731967813614453E-2</v>
      </c>
      <c r="F2262" s="25">
        <f t="shared" si="459"/>
        <v>0.20962296987246454</v>
      </c>
      <c r="G2262" s="25">
        <f t="shared" si="456"/>
        <v>0.15426595961015566</v>
      </c>
      <c r="H2262" s="25">
        <f t="shared" si="453"/>
        <v>0.14020659101037047</v>
      </c>
      <c r="I2262" s="25">
        <f t="shared" si="468"/>
        <v>0.1899715978996448</v>
      </c>
      <c r="K2262" s="29">
        <v>45722</v>
      </c>
      <c r="L2262" s="24">
        <v>32369.7</v>
      </c>
      <c r="M2262" s="25">
        <f t="shared" si="467"/>
        <v>9.3204447368990355E-3</v>
      </c>
      <c r="O2262" t="b">
        <f t="shared" si="465"/>
        <v>1</v>
      </c>
      <c r="Q2262" s="25">
        <f t="shared" si="463"/>
        <v>1.3012179104216148E-2</v>
      </c>
      <c r="R2262" s="25">
        <f t="shared" si="460"/>
        <v>0.19538820703285453</v>
      </c>
      <c r="S2262" s="25">
        <f t="shared" si="457"/>
        <v>0.15414393590333075</v>
      </c>
      <c r="T2262" s="25">
        <f t="shared" si="454"/>
        <v>0.13826780662870597</v>
      </c>
      <c r="U2262" s="25">
        <f t="shared" si="469"/>
        <v>0.20060043536725058</v>
      </c>
      <c r="X2262">
        <f t="shared" si="464"/>
        <v>1</v>
      </c>
      <c r="Y2262">
        <f t="shared" si="461"/>
        <v>1</v>
      </c>
      <c r="Z2262">
        <f t="shared" si="458"/>
        <v>1</v>
      </c>
      <c r="AA2262">
        <f t="shared" si="455"/>
        <v>1</v>
      </c>
      <c r="AB2262">
        <f t="shared" si="470"/>
        <v>0</v>
      </c>
    </row>
    <row r="2263" spans="1:28">
      <c r="A2263" s="26">
        <v>45723</v>
      </c>
      <c r="B2263" s="23">
        <v>1754.99</v>
      </c>
      <c r="C2263" s="25">
        <f t="shared" si="466"/>
        <v>-1.4243066475239853E-4</v>
      </c>
      <c r="E2263" s="25">
        <f t="shared" si="462"/>
        <v>5.6789989642796801E-2</v>
      </c>
      <c r="F2263" s="25">
        <f t="shared" si="459"/>
        <v>0.20250038867369935</v>
      </c>
      <c r="G2263" s="25">
        <f t="shared" si="456"/>
        <v>0.14764919038080992</v>
      </c>
      <c r="H2263" s="25">
        <f t="shared" si="453"/>
        <v>0.14257484144789956</v>
      </c>
      <c r="I2263" s="25">
        <f t="shared" si="468"/>
        <v>0.19126206904887244</v>
      </c>
      <c r="K2263" s="28">
        <v>45723</v>
      </c>
      <c r="L2263" s="23">
        <v>32364.23</v>
      </c>
      <c r="M2263" s="25">
        <f t="shared" si="467"/>
        <v>-1.6901375376460878E-4</v>
      </c>
      <c r="O2263" t="b">
        <f t="shared" si="465"/>
        <v>1</v>
      </c>
      <c r="Q2263" s="25">
        <f t="shared" si="463"/>
        <v>1.0099991822879906E-2</v>
      </c>
      <c r="R2263" s="25">
        <f t="shared" si="460"/>
        <v>0.18767728660998184</v>
      </c>
      <c r="S2263" s="25">
        <f t="shared" si="457"/>
        <v>0.14646104804749616</v>
      </c>
      <c r="T2263" s="25">
        <f t="shared" si="454"/>
        <v>0.14041507101095108</v>
      </c>
      <c r="U2263" s="25">
        <f t="shared" si="469"/>
        <v>0.20092638719995537</v>
      </c>
      <c r="X2263">
        <f t="shared" si="464"/>
        <v>1</v>
      </c>
      <c r="Y2263">
        <f t="shared" si="461"/>
        <v>1</v>
      </c>
      <c r="Z2263">
        <f t="shared" si="458"/>
        <v>1</v>
      </c>
      <c r="AA2263">
        <f t="shared" si="455"/>
        <v>1</v>
      </c>
      <c r="AB2263">
        <f t="shared" si="470"/>
        <v>0</v>
      </c>
    </row>
    <row r="2264" spans="1:28">
      <c r="A2264" s="27">
        <v>45726</v>
      </c>
      <c r="B2264" s="24">
        <v>1743.28</v>
      </c>
      <c r="C2264" s="25">
        <f t="shared" si="466"/>
        <v>-6.6724026917532502E-3</v>
      </c>
      <c r="E2264" s="25">
        <f t="shared" si="462"/>
        <v>5.6712654268603169E-2</v>
      </c>
      <c r="F2264" s="25">
        <f t="shared" si="459"/>
        <v>0.19551569391162493</v>
      </c>
      <c r="G2264" s="25">
        <f t="shared" si="456"/>
        <v>0.14010476536083316</v>
      </c>
      <c r="H2264" s="25">
        <f t="shared" ref="H2264:H2327" si="471">((B2264/B1283)^(1/4))-1</f>
        <v>0.14285399195108894</v>
      </c>
      <c r="I2264" s="25">
        <f t="shared" si="468"/>
        <v>0.20977685222172493</v>
      </c>
      <c r="K2264" s="29">
        <v>45726</v>
      </c>
      <c r="L2264" s="24">
        <v>32084.18</v>
      </c>
      <c r="M2264" s="25">
        <f t="shared" si="467"/>
        <v>-8.7286008244561418E-3</v>
      </c>
      <c r="O2264" t="b">
        <f t="shared" si="465"/>
        <v>1</v>
      </c>
      <c r="Q2264" s="25">
        <f t="shared" si="463"/>
        <v>8.5669872515257151E-3</v>
      </c>
      <c r="R2264" s="25">
        <f t="shared" si="460"/>
        <v>0.17829810084414377</v>
      </c>
      <c r="S2264" s="25">
        <f t="shared" si="457"/>
        <v>0.137491614080268</v>
      </c>
      <c r="T2264" s="25">
        <f t="shared" ref="T2264:T2327" si="472">((L2264/L1283)^(1/4))-1</f>
        <v>0.13980759774525531</v>
      </c>
      <c r="U2264" s="25">
        <f t="shared" si="469"/>
        <v>0.2198233654263515</v>
      </c>
      <c r="X2264">
        <f t="shared" si="464"/>
        <v>1</v>
      </c>
      <c r="Y2264">
        <f t="shared" si="461"/>
        <v>1</v>
      </c>
      <c r="Z2264">
        <f t="shared" si="458"/>
        <v>1</v>
      </c>
      <c r="AA2264">
        <f t="shared" ref="AA2264:AA2327" si="473">IF(H2264&gt;T2264,1,0)</f>
        <v>1</v>
      </c>
      <c r="AB2264">
        <f t="shared" si="470"/>
        <v>0</v>
      </c>
    </row>
    <row r="2265" spans="1:28">
      <c r="A2265" s="26">
        <v>45727</v>
      </c>
      <c r="B2265" s="23">
        <v>1750.44</v>
      </c>
      <c r="C2265" s="25">
        <f t="shared" si="466"/>
        <v>4.1072002202744724E-3</v>
      </c>
      <c r="E2265" s="25">
        <f t="shared" si="462"/>
        <v>6.5483364376757613E-2</v>
      </c>
      <c r="F2265" s="25">
        <f t="shared" si="459"/>
        <v>0.19796337848447831</v>
      </c>
      <c r="G2265" s="25">
        <f t="shared" si="456"/>
        <v>0.14036918911482932</v>
      </c>
      <c r="H2265" s="25">
        <f t="shared" si="471"/>
        <v>0.14363696882009314</v>
      </c>
      <c r="I2265" s="25">
        <f t="shared" si="468"/>
        <v>0.20209636736532866</v>
      </c>
      <c r="K2265" s="28">
        <v>45727</v>
      </c>
      <c r="L2265" s="23">
        <v>32142.17</v>
      </c>
      <c r="M2265" s="25">
        <f t="shared" si="467"/>
        <v>1.8041719025192751E-3</v>
      </c>
      <c r="O2265" t="b">
        <f t="shared" si="465"/>
        <v>1</v>
      </c>
      <c r="Q2265" s="25">
        <f t="shared" si="463"/>
        <v>1.6267401297661133E-2</v>
      </c>
      <c r="R2265" s="25">
        <f t="shared" si="460"/>
        <v>0.17773222885695139</v>
      </c>
      <c r="S2265" s="25">
        <f t="shared" si="457"/>
        <v>0.13688288407466076</v>
      </c>
      <c r="T2265" s="25">
        <f t="shared" si="472"/>
        <v>0.14026454950738576</v>
      </c>
      <c r="U2265" s="25">
        <f t="shared" si="469"/>
        <v>0.21233416465299793</v>
      </c>
      <c r="X2265">
        <f t="shared" si="464"/>
        <v>1</v>
      </c>
      <c r="Y2265">
        <f t="shared" si="461"/>
        <v>1</v>
      </c>
      <c r="Z2265">
        <f t="shared" si="458"/>
        <v>1</v>
      </c>
      <c r="AA2265">
        <f t="shared" si="473"/>
        <v>1</v>
      </c>
      <c r="AB2265">
        <f t="shared" si="470"/>
        <v>0</v>
      </c>
    </row>
    <row r="2266" spans="1:28">
      <c r="A2266" s="27">
        <v>45728</v>
      </c>
      <c r="B2266" s="24">
        <v>1745.08</v>
      </c>
      <c r="C2266" s="25">
        <f t="shared" si="466"/>
        <v>-3.0620872466352042E-3</v>
      </c>
      <c r="E2266" s="25">
        <f t="shared" si="462"/>
        <v>8.522850941835669E-2</v>
      </c>
      <c r="F2266" s="25">
        <f t="shared" si="459"/>
        <v>0.19983224917790032</v>
      </c>
      <c r="G2266" s="25">
        <f t="shared" si="456"/>
        <v>0.13535673007697313</v>
      </c>
      <c r="H2266" s="25">
        <f t="shared" si="471"/>
        <v>0.14722899667992917</v>
      </c>
      <c r="I2266" s="25">
        <f t="shared" si="468"/>
        <v>0.21886505970980985</v>
      </c>
      <c r="K2266" s="29">
        <v>45728</v>
      </c>
      <c r="L2266" s="24">
        <v>32081.82</v>
      </c>
      <c r="M2266" s="25">
        <f t="shared" si="467"/>
        <v>-1.8811276916334094E-3</v>
      </c>
      <c r="O2266" t="b">
        <f t="shared" si="465"/>
        <v>1</v>
      </c>
      <c r="Q2266" s="25">
        <f t="shared" si="463"/>
        <v>4.1470441674633651E-2</v>
      </c>
      <c r="R2266" s="25">
        <f t="shared" si="460"/>
        <v>0.18130641810418058</v>
      </c>
      <c r="S2266" s="25">
        <f t="shared" si="457"/>
        <v>0.13253757368722718</v>
      </c>
      <c r="T2266" s="25">
        <f t="shared" si="472"/>
        <v>0.14416188547150632</v>
      </c>
      <c r="U2266" s="25">
        <f t="shared" si="469"/>
        <v>0.22950239702236197</v>
      </c>
      <c r="X2266">
        <f t="shared" si="464"/>
        <v>1</v>
      </c>
      <c r="Y2266">
        <f t="shared" si="461"/>
        <v>1</v>
      </c>
      <c r="Z2266">
        <f t="shared" si="458"/>
        <v>1</v>
      </c>
      <c r="AA2266">
        <f t="shared" si="473"/>
        <v>1</v>
      </c>
      <c r="AB2266">
        <f t="shared" si="470"/>
        <v>0</v>
      </c>
    </row>
    <row r="2267" spans="1:28">
      <c r="A2267" s="26">
        <v>45729</v>
      </c>
      <c r="B2267" s="23">
        <v>1737.94</v>
      </c>
      <c r="C2267" s="25">
        <f t="shared" si="466"/>
        <v>-4.0915029683452177E-3</v>
      </c>
      <c r="E2267" s="25">
        <f t="shared" si="462"/>
        <v>6.7891486681618485E-2</v>
      </c>
      <c r="F2267" s="25">
        <f t="shared" si="459"/>
        <v>0.20310560809969225</v>
      </c>
      <c r="G2267" s="25">
        <f t="shared" si="456"/>
        <v>0.13806296570753585</v>
      </c>
      <c r="H2267" s="25">
        <f t="shared" si="471"/>
        <v>0.15073399666954446</v>
      </c>
      <c r="I2267" s="25">
        <f t="shared" si="468"/>
        <v>0.22506611920130148</v>
      </c>
      <c r="K2267" s="28">
        <v>45729</v>
      </c>
      <c r="L2267" s="23">
        <v>31942.25</v>
      </c>
      <c r="M2267" s="25">
        <f t="shared" si="467"/>
        <v>-4.3694479881661343E-3</v>
      </c>
      <c r="O2267" t="b">
        <f t="shared" si="465"/>
        <v>1</v>
      </c>
      <c r="Q2267" s="25">
        <f t="shared" si="463"/>
        <v>2.2879963212218968E-2</v>
      </c>
      <c r="R2267" s="25">
        <f t="shared" si="460"/>
        <v>0.18370588650979491</v>
      </c>
      <c r="S2267" s="25">
        <f t="shared" si="457"/>
        <v>0.13508697265841629</v>
      </c>
      <c r="T2267" s="25">
        <f t="shared" si="472"/>
        <v>0.14629358439144569</v>
      </c>
      <c r="U2267" s="25">
        <f t="shared" si="469"/>
        <v>0.23413702232172251</v>
      </c>
      <c r="X2267">
        <f t="shared" si="464"/>
        <v>1</v>
      </c>
      <c r="Y2267">
        <f t="shared" si="461"/>
        <v>1</v>
      </c>
      <c r="Z2267">
        <f t="shared" si="458"/>
        <v>1</v>
      </c>
      <c r="AA2267">
        <f t="shared" si="473"/>
        <v>1</v>
      </c>
      <c r="AB2267">
        <f t="shared" si="470"/>
        <v>0</v>
      </c>
    </row>
    <row r="2268" spans="1:28">
      <c r="A2268" s="27">
        <v>45733</v>
      </c>
      <c r="B2268" s="24">
        <v>1752.35</v>
      </c>
      <c r="C2268" s="25">
        <f t="shared" si="466"/>
        <v>8.2914254807414829E-3</v>
      </c>
      <c r="E2268" s="25">
        <f t="shared" si="462"/>
        <v>8.2405771677764417E-2</v>
      </c>
      <c r="F2268" s="25">
        <f t="shared" si="459"/>
        <v>0.21816899852311433</v>
      </c>
      <c r="G2268" s="25">
        <f t="shared" si="456"/>
        <v>0.13449752199007081</v>
      </c>
      <c r="H2268" s="25">
        <f t="shared" si="471"/>
        <v>0.1502273203907285</v>
      </c>
      <c r="I2268" s="25">
        <f t="shared" si="468"/>
        <v>0.24036549304422428</v>
      </c>
      <c r="K2268" s="29">
        <v>45733</v>
      </c>
      <c r="L2268" s="24">
        <v>32119.96</v>
      </c>
      <c r="M2268" s="25">
        <f t="shared" si="467"/>
        <v>5.5326968028602506E-3</v>
      </c>
      <c r="O2268" t="b">
        <f t="shared" si="465"/>
        <v>1</v>
      </c>
      <c r="Q2268" s="25">
        <f t="shared" si="463"/>
        <v>3.329218817908397E-2</v>
      </c>
      <c r="R2268" s="25">
        <f t="shared" si="460"/>
        <v>0.19621332215604137</v>
      </c>
      <c r="S2268" s="25">
        <f t="shared" si="457"/>
        <v>0.13017947514393957</v>
      </c>
      <c r="T2268" s="25">
        <f t="shared" si="472"/>
        <v>0.14460482878993819</v>
      </c>
      <c r="U2268" s="25">
        <f t="shared" si="469"/>
        <v>0.249518102378816</v>
      </c>
      <c r="X2268">
        <f t="shared" si="464"/>
        <v>1</v>
      </c>
      <c r="Y2268">
        <f t="shared" si="461"/>
        <v>1</v>
      </c>
      <c r="Z2268">
        <f t="shared" si="458"/>
        <v>1</v>
      </c>
      <c r="AA2268">
        <f t="shared" si="473"/>
        <v>1</v>
      </c>
      <c r="AB2268">
        <f t="shared" si="470"/>
        <v>0</v>
      </c>
    </row>
    <row r="2269" spans="1:28">
      <c r="A2269" s="26">
        <v>45734</v>
      </c>
      <c r="B2269" s="23">
        <v>1781.49</v>
      </c>
      <c r="C2269" s="25">
        <f t="shared" si="466"/>
        <v>1.662909806830833E-2</v>
      </c>
      <c r="E2269" s="25">
        <f t="shared" si="462"/>
        <v>9.8017824784586427E-2</v>
      </c>
      <c r="F2269" s="25">
        <f t="shared" si="459"/>
        <v>0.23059228075008109</v>
      </c>
      <c r="G2269" s="25">
        <f t="shared" si="456"/>
        <v>0.13525056718754613</v>
      </c>
      <c r="H2269" s="25">
        <f t="shared" si="471"/>
        <v>0.15401827280670499</v>
      </c>
      <c r="I2269" s="25">
        <f t="shared" si="468"/>
        <v>0.25119769712633588</v>
      </c>
      <c r="K2269" s="28">
        <v>45734</v>
      </c>
      <c r="L2269" s="23">
        <v>32703.97</v>
      </c>
      <c r="M2269" s="25">
        <f t="shared" si="467"/>
        <v>1.7857465011128681E-2</v>
      </c>
      <c r="O2269" t="b">
        <f t="shared" si="465"/>
        <v>1</v>
      </c>
      <c r="Q2269" s="25">
        <f t="shared" si="463"/>
        <v>5.1109879072757325E-2</v>
      </c>
      <c r="R2269" s="25">
        <f t="shared" si="460"/>
        <v>0.21106343740989519</v>
      </c>
      <c r="S2269" s="25">
        <f t="shared" si="457"/>
        <v>0.13077651410748259</v>
      </c>
      <c r="T2269" s="25">
        <f t="shared" si="472"/>
        <v>0.14918854696511796</v>
      </c>
      <c r="U2269" s="25">
        <f t="shared" si="469"/>
        <v>0.26132581246726172</v>
      </c>
      <c r="X2269">
        <f t="shared" si="464"/>
        <v>1</v>
      </c>
      <c r="Y2269">
        <f t="shared" si="461"/>
        <v>1</v>
      </c>
      <c r="Z2269">
        <f t="shared" si="458"/>
        <v>1</v>
      </c>
      <c r="AA2269">
        <f t="shared" si="473"/>
        <v>1</v>
      </c>
      <c r="AB2269">
        <f t="shared" si="470"/>
        <v>0</v>
      </c>
    </row>
    <row r="2270" spans="1:28">
      <c r="A2270" s="27">
        <v>45735</v>
      </c>
      <c r="B2270" s="24">
        <v>1793.4</v>
      </c>
      <c r="C2270" s="25">
        <f t="shared" si="466"/>
        <v>6.6854150177660734E-3</v>
      </c>
      <c r="E2270" s="25">
        <f t="shared" si="462"/>
        <v>0.11558989288246946</v>
      </c>
      <c r="F2270" s="25">
        <f t="shared" si="459"/>
        <v>0.23542902778016739</v>
      </c>
      <c r="G2270" s="25">
        <f t="shared" si="456"/>
        <v>0.14073046253124688</v>
      </c>
      <c r="H2270" s="25">
        <f t="shared" si="471"/>
        <v>0.15369758130186995</v>
      </c>
      <c r="I2270" s="25">
        <f t="shared" si="468"/>
        <v>0.24252584615932093</v>
      </c>
      <c r="K2270" s="29">
        <v>45735</v>
      </c>
      <c r="L2270" s="24">
        <v>33033.14</v>
      </c>
      <c r="M2270" s="25">
        <f t="shared" si="467"/>
        <v>9.9648413683954429E-3</v>
      </c>
      <c r="O2270" t="b">
        <f t="shared" si="465"/>
        <v>1</v>
      </c>
      <c r="Q2270" s="25">
        <f t="shared" si="463"/>
        <v>7.4266621744497829E-2</v>
      </c>
      <c r="R2270" s="25">
        <f t="shared" si="460"/>
        <v>0.21876215906136132</v>
      </c>
      <c r="S2270" s="25">
        <f t="shared" si="457"/>
        <v>0.13760951742499627</v>
      </c>
      <c r="T2270" s="25">
        <f t="shared" si="472"/>
        <v>0.15021084901438653</v>
      </c>
      <c r="U2270" s="25">
        <f t="shared" si="469"/>
        <v>0.25114198020263201</v>
      </c>
      <c r="X2270">
        <f t="shared" si="464"/>
        <v>1</v>
      </c>
      <c r="Y2270">
        <f t="shared" si="461"/>
        <v>1</v>
      </c>
      <c r="Z2270">
        <f t="shared" si="458"/>
        <v>1</v>
      </c>
      <c r="AA2270">
        <f t="shared" si="473"/>
        <v>1</v>
      </c>
      <c r="AB2270">
        <f t="shared" si="470"/>
        <v>0</v>
      </c>
    </row>
    <row r="2271" spans="1:28">
      <c r="A2271" s="26">
        <v>45736</v>
      </c>
      <c r="B2271" s="23">
        <v>1811.57</v>
      </c>
      <c r="C2271" s="25">
        <f t="shared" si="466"/>
        <v>1.0131593621054893E-2</v>
      </c>
      <c r="E2271" s="25">
        <f t="shared" si="462"/>
        <v>0.12588407850741445</v>
      </c>
      <c r="F2271" s="25">
        <f t="shared" si="459"/>
        <v>0.24193595559332537</v>
      </c>
      <c r="G2271" s="25">
        <f t="shared" si="456"/>
        <v>0.14171694197743023</v>
      </c>
      <c r="H2271" s="25">
        <f t="shared" si="471"/>
        <v>0.16150455057786361</v>
      </c>
      <c r="I2271" s="25">
        <f t="shared" si="468"/>
        <v>0.28339968466761656</v>
      </c>
      <c r="K2271" s="28">
        <v>45736</v>
      </c>
      <c r="L2271" s="23">
        <v>33358.699999999997</v>
      </c>
      <c r="M2271" s="25">
        <f t="shared" si="467"/>
        <v>9.7593731170578495E-3</v>
      </c>
      <c r="O2271" t="b">
        <f t="shared" si="465"/>
        <v>1</v>
      </c>
      <c r="Q2271" s="25">
        <f t="shared" si="463"/>
        <v>8.3666117774018778E-2</v>
      </c>
      <c r="R2271" s="25">
        <f t="shared" si="460"/>
        <v>0.22431700572938418</v>
      </c>
      <c r="S2271" s="25">
        <f t="shared" si="457"/>
        <v>0.13818214955510988</v>
      </c>
      <c r="T2271" s="25">
        <f t="shared" si="472"/>
        <v>0.15820175124215985</v>
      </c>
      <c r="U2271" s="25">
        <f t="shared" si="469"/>
        <v>0.28827145084337036</v>
      </c>
      <c r="X2271">
        <f t="shared" si="464"/>
        <v>1</v>
      </c>
      <c r="Y2271">
        <f t="shared" si="461"/>
        <v>1</v>
      </c>
      <c r="Z2271">
        <f t="shared" si="458"/>
        <v>1</v>
      </c>
      <c r="AA2271">
        <f t="shared" si="473"/>
        <v>1</v>
      </c>
      <c r="AB2271">
        <f t="shared" si="470"/>
        <v>0</v>
      </c>
    </row>
    <row r="2272" spans="1:28">
      <c r="A2272" s="27">
        <v>45737</v>
      </c>
      <c r="B2272" s="24">
        <v>1827.98</v>
      </c>
      <c r="C2272" s="25">
        <f t="shared" si="466"/>
        <v>9.0584410207720824E-3</v>
      </c>
      <c r="E2272" s="25">
        <f t="shared" si="462"/>
        <v>0.12598478548769587</v>
      </c>
      <c r="F2272" s="25">
        <f t="shared" si="459"/>
        <v>0.24127066070263425</v>
      </c>
      <c r="G2272" s="25">
        <f t="shared" si="456"/>
        <v>0.145753561682054</v>
      </c>
      <c r="H2272" s="25">
        <f t="shared" si="471"/>
        <v>0.16822316871835308</v>
      </c>
      <c r="I2272" s="25">
        <f t="shared" si="468"/>
        <v>0.27970292654528239</v>
      </c>
      <c r="K2272" s="29">
        <v>45737</v>
      </c>
      <c r="L2272" s="24">
        <v>33681.839999999997</v>
      </c>
      <c r="M2272" s="25">
        <f t="shared" si="467"/>
        <v>9.5938939202846237E-3</v>
      </c>
      <c r="O2272" t="b">
        <f t="shared" si="465"/>
        <v>1</v>
      </c>
      <c r="Q2272" s="25">
        <f t="shared" si="463"/>
        <v>7.9566222705422129E-2</v>
      </c>
      <c r="R2272" s="25">
        <f t="shared" si="460"/>
        <v>0.22636528922213528</v>
      </c>
      <c r="S2272" s="25">
        <f t="shared" si="457"/>
        <v>0.14259273171164577</v>
      </c>
      <c r="T2272" s="25">
        <f t="shared" si="472"/>
        <v>0.16588650492341817</v>
      </c>
      <c r="U2272" s="25">
        <f t="shared" si="469"/>
        <v>0.28568171095206374</v>
      </c>
      <c r="X2272">
        <f t="shared" si="464"/>
        <v>1</v>
      </c>
      <c r="Y2272">
        <f t="shared" si="461"/>
        <v>1</v>
      </c>
      <c r="Z2272">
        <f t="shared" si="458"/>
        <v>1</v>
      </c>
      <c r="AA2272">
        <f t="shared" si="473"/>
        <v>1</v>
      </c>
      <c r="AB2272">
        <f t="shared" si="470"/>
        <v>0</v>
      </c>
    </row>
    <row r="2273" spans="1:28">
      <c r="A2273" s="26">
        <v>45740</v>
      </c>
      <c r="B2273" s="23">
        <v>1848.85</v>
      </c>
      <c r="C2273" s="25">
        <f t="shared" si="466"/>
        <v>1.1416973927504617E-2</v>
      </c>
      <c r="E2273" s="25">
        <f t="shared" si="462"/>
        <v>0.13279742174240705</v>
      </c>
      <c r="F2273" s="25">
        <f t="shared" si="459"/>
        <v>0.25360411843677455</v>
      </c>
      <c r="G2273" s="25">
        <f t="shared" si="456"/>
        <v>0.14826113314141387</v>
      </c>
      <c r="H2273" s="25">
        <f t="shared" si="471"/>
        <v>0.16692200419108016</v>
      </c>
      <c r="I2273" s="25">
        <f t="shared" si="468"/>
        <v>0.26835737225416878</v>
      </c>
      <c r="K2273" s="28">
        <v>45740</v>
      </c>
      <c r="L2273" s="23">
        <v>34100.120000000003</v>
      </c>
      <c r="M2273" s="25">
        <f t="shared" si="467"/>
        <v>1.226623249419668E-2</v>
      </c>
      <c r="O2273" t="b">
        <f t="shared" si="465"/>
        <v>1</v>
      </c>
      <c r="Q2273" s="25">
        <f t="shared" si="463"/>
        <v>8.7611762878506028E-2</v>
      </c>
      <c r="R2273" s="25">
        <f t="shared" si="460"/>
        <v>0.23841032102574378</v>
      </c>
      <c r="S2273" s="25">
        <f t="shared" si="457"/>
        <v>0.1471833533378677</v>
      </c>
      <c r="T2273" s="25">
        <f t="shared" si="472"/>
        <v>0.1657264509918126</v>
      </c>
      <c r="U2273" s="25">
        <f t="shared" si="469"/>
        <v>0.2748113702429793</v>
      </c>
      <c r="X2273">
        <f t="shared" si="464"/>
        <v>1</v>
      </c>
      <c r="Y2273">
        <f t="shared" si="461"/>
        <v>1</v>
      </c>
      <c r="Z2273">
        <f t="shared" si="458"/>
        <v>1</v>
      </c>
      <c r="AA2273">
        <f t="shared" si="473"/>
        <v>1</v>
      </c>
      <c r="AB2273">
        <f t="shared" si="470"/>
        <v>0</v>
      </c>
    </row>
    <row r="2274" spans="1:28">
      <c r="A2274" s="27">
        <v>45741</v>
      </c>
      <c r="B2274" s="24">
        <v>1843.04</v>
      </c>
      <c r="C2274" s="25">
        <f t="shared" si="466"/>
        <v>-3.1424939827460019E-3</v>
      </c>
      <c r="E2274" s="25">
        <f t="shared" si="462"/>
        <v>0.13032492303163368</v>
      </c>
      <c r="F2274" s="25">
        <f t="shared" si="459"/>
        <v>0.24843222246829733</v>
      </c>
      <c r="G2274" s="25">
        <f t="shared" si="456"/>
        <v>0.14857019861623821</v>
      </c>
      <c r="H2274" s="25">
        <f t="shared" si="471"/>
        <v>0.16027782730578632</v>
      </c>
      <c r="I2274" s="25">
        <f t="shared" si="468"/>
        <v>0.25800742128929488</v>
      </c>
      <c r="K2274" s="29">
        <v>45741</v>
      </c>
      <c r="L2274" s="24">
        <v>33941.26</v>
      </c>
      <c r="M2274" s="25">
        <f t="shared" si="467"/>
        <v>-4.6804390880008746E-3</v>
      </c>
      <c r="O2274" t="b">
        <f t="shared" si="465"/>
        <v>1</v>
      </c>
      <c r="Q2274" s="25">
        <f t="shared" si="463"/>
        <v>8.1968676352593972E-2</v>
      </c>
      <c r="R2274" s="25">
        <f t="shared" si="460"/>
        <v>0.23147498663227051</v>
      </c>
      <c r="S2274" s="25">
        <f t="shared" si="457"/>
        <v>0.14663695751886108</v>
      </c>
      <c r="T2274" s="25">
        <f t="shared" si="472"/>
        <v>0.15869527816240159</v>
      </c>
      <c r="U2274" s="25">
        <f t="shared" si="469"/>
        <v>0.26360982898819874</v>
      </c>
      <c r="X2274">
        <f t="shared" si="464"/>
        <v>1</v>
      </c>
      <c r="Y2274">
        <f t="shared" si="461"/>
        <v>1</v>
      </c>
      <c r="Z2274">
        <f t="shared" si="458"/>
        <v>1</v>
      </c>
      <c r="AA2274">
        <f t="shared" si="473"/>
        <v>1</v>
      </c>
      <c r="AB2274">
        <f t="shared" si="470"/>
        <v>0</v>
      </c>
    </row>
    <row r="2275" spans="1:28">
      <c r="A2275" s="26">
        <v>45742</v>
      </c>
      <c r="B2275" s="23">
        <v>1831.46</v>
      </c>
      <c r="C2275" s="25">
        <f t="shared" si="466"/>
        <v>-6.2830974911016191E-3</v>
      </c>
      <c r="E2275" s="25">
        <f t="shared" si="462"/>
        <v>0.11840104545149233</v>
      </c>
      <c r="F2275" s="25">
        <f t="shared" si="459"/>
        <v>0.24254588886910278</v>
      </c>
      <c r="G2275" s="25">
        <f t="shared" si="456"/>
        <v>0.14556032157304211</v>
      </c>
      <c r="H2275" s="25">
        <f t="shared" si="471"/>
        <v>0.16043879934040706</v>
      </c>
      <c r="I2275" s="25">
        <f t="shared" si="468"/>
        <v>0.25852084095171723</v>
      </c>
      <c r="K2275" s="28">
        <v>45742</v>
      </c>
      <c r="L2275" s="23">
        <v>33685.64</v>
      </c>
      <c r="M2275" s="25">
        <f t="shared" si="467"/>
        <v>-7.588396717414383E-3</v>
      </c>
      <c r="O2275" t="b">
        <f t="shared" si="465"/>
        <v>1</v>
      </c>
      <c r="Q2275" s="25">
        <f t="shared" si="463"/>
        <v>6.9408482468827915E-2</v>
      </c>
      <c r="R2275" s="25">
        <f t="shared" si="460"/>
        <v>0.22476214184033627</v>
      </c>
      <c r="S2275" s="25">
        <f t="shared" si="457"/>
        <v>0.1431117750506139</v>
      </c>
      <c r="T2275" s="25">
        <f t="shared" si="472"/>
        <v>0.15824583848648133</v>
      </c>
      <c r="U2275" s="25">
        <f t="shared" si="469"/>
        <v>0.26135351586012301</v>
      </c>
      <c r="X2275">
        <f t="shared" si="464"/>
        <v>1</v>
      </c>
      <c r="Y2275">
        <f t="shared" si="461"/>
        <v>1</v>
      </c>
      <c r="Z2275">
        <f t="shared" si="458"/>
        <v>1</v>
      </c>
      <c r="AA2275">
        <f t="shared" si="473"/>
        <v>1</v>
      </c>
      <c r="AB2275">
        <f t="shared" si="470"/>
        <v>0</v>
      </c>
    </row>
    <row r="2276" spans="1:28">
      <c r="A2276" s="27">
        <v>45743</v>
      </c>
      <c r="B2276" s="24">
        <v>1842.31</v>
      </c>
      <c r="C2276" s="25">
        <f t="shared" si="466"/>
        <v>5.9242353095344197E-3</v>
      </c>
      <c r="E2276" s="25">
        <f t="shared" si="462"/>
        <v>0.11428243092853352</v>
      </c>
      <c r="F2276" s="25">
        <f t="shared" si="459"/>
        <v>0.24927887436719187</v>
      </c>
      <c r="G2276" s="25">
        <f t="shared" ref="G2276:G2339" si="474">((B2276/B1539)^(1/3))-1</f>
        <v>0.14523250084297978</v>
      </c>
      <c r="H2276" s="25">
        <f t="shared" si="471"/>
        <v>0.15822020833951767</v>
      </c>
      <c r="I2276" s="25">
        <f t="shared" si="468"/>
        <v>0.26942566364509157</v>
      </c>
      <c r="K2276" s="29">
        <v>45743</v>
      </c>
      <c r="L2276" s="24">
        <v>33895.46</v>
      </c>
      <c r="M2276" s="25">
        <f t="shared" si="467"/>
        <v>6.1902095442870437E-3</v>
      </c>
      <c r="O2276" t="b">
        <f t="shared" si="465"/>
        <v>1</v>
      </c>
      <c r="Q2276" s="25">
        <f t="shared" si="463"/>
        <v>6.7128206339086782E-2</v>
      </c>
      <c r="R2276" s="25">
        <f t="shared" si="460"/>
        <v>0.23097471291346072</v>
      </c>
      <c r="S2276" s="25">
        <f t="shared" ref="S2276:S2339" si="475">((L2276/L1539)^(1/3))-1</f>
        <v>0.14324612422223537</v>
      </c>
      <c r="T2276" s="25">
        <f t="shared" si="472"/>
        <v>0.15618371934511699</v>
      </c>
      <c r="U2276" s="25">
        <f t="shared" si="469"/>
        <v>0.27228911592559113</v>
      </c>
      <c r="X2276">
        <f t="shared" si="464"/>
        <v>1</v>
      </c>
      <c r="Y2276">
        <f t="shared" si="461"/>
        <v>1</v>
      </c>
      <c r="Z2276">
        <f t="shared" ref="Z2276:Z2339" si="476">IF(G2276&gt;S2276,1,0)</f>
        <v>1</v>
      </c>
      <c r="AA2276">
        <f t="shared" si="473"/>
        <v>1</v>
      </c>
      <c r="AB2276">
        <f t="shared" si="470"/>
        <v>0</v>
      </c>
    </row>
    <row r="2277" spans="1:28">
      <c r="A2277" s="26">
        <v>45744</v>
      </c>
      <c r="B2277" s="23">
        <v>1841.87</v>
      </c>
      <c r="C2277" s="25">
        <f t="shared" si="466"/>
        <v>-2.3883059854207738E-4</v>
      </c>
      <c r="E2277" s="25">
        <f t="shared" si="462"/>
        <v>0.10154418448878033</v>
      </c>
      <c r="F2277" s="25">
        <f t="shared" si="459"/>
        <v>0.25447592355883408</v>
      </c>
      <c r="G2277" s="25">
        <f t="shared" si="474"/>
        <v>0.14171986594461861</v>
      </c>
      <c r="H2277" s="25">
        <f t="shared" si="471"/>
        <v>0.16156707701122541</v>
      </c>
      <c r="I2277" s="25">
        <f t="shared" si="468"/>
        <v>0.26198239039354521</v>
      </c>
      <c r="K2277" s="28">
        <v>45744</v>
      </c>
      <c r="L2277" s="23">
        <v>33787.56</v>
      </c>
      <c r="M2277" s="25">
        <f t="shared" si="467"/>
        <v>-3.1934830452391787E-3</v>
      </c>
      <c r="O2277" t="b">
        <f t="shared" si="465"/>
        <v>1</v>
      </c>
      <c r="Q2277" s="25">
        <f t="shared" si="463"/>
        <v>5.1407553317120769E-2</v>
      </c>
      <c r="R2277" s="25">
        <f t="shared" si="460"/>
        <v>0.23434263873972405</v>
      </c>
      <c r="S2277" s="25">
        <f t="shared" si="475"/>
        <v>0.13855122620651139</v>
      </c>
      <c r="T2277" s="25">
        <f t="shared" si="472"/>
        <v>0.15946924636968562</v>
      </c>
      <c r="U2277" s="25">
        <f t="shared" si="469"/>
        <v>0.26234975561491236</v>
      </c>
      <c r="X2277">
        <f t="shared" si="464"/>
        <v>1</v>
      </c>
      <c r="Y2277">
        <f t="shared" si="461"/>
        <v>1</v>
      </c>
      <c r="Z2277">
        <f t="shared" si="476"/>
        <v>1</v>
      </c>
      <c r="AA2277">
        <f t="shared" si="473"/>
        <v>1</v>
      </c>
      <c r="AB2277">
        <f t="shared" si="470"/>
        <v>0</v>
      </c>
    </row>
    <row r="2278" spans="1:28">
      <c r="A2278" s="26">
        <v>45748</v>
      </c>
      <c r="B2278" s="23">
        <v>1812.56</v>
      </c>
      <c r="C2278" s="25">
        <f t="shared" si="466"/>
        <v>-1.5913175196946554E-2</v>
      </c>
      <c r="E2278" s="25">
        <f t="shared" si="462"/>
        <v>8.3542063952271928E-2</v>
      </c>
      <c r="F2278" s="25">
        <f t="shared" si="459"/>
        <v>0.24503443690294779</v>
      </c>
      <c r="G2278" s="25">
        <f t="shared" si="474"/>
        <v>0.13628357540869218</v>
      </c>
      <c r="H2278" s="25">
        <f t="shared" si="471"/>
        <v>0.15665819628561128</v>
      </c>
      <c r="I2278" s="25">
        <f t="shared" si="468"/>
        <v>0.26650700618424539</v>
      </c>
      <c r="K2278" s="28">
        <v>45748</v>
      </c>
      <c r="L2278" s="23">
        <v>33361.96</v>
      </c>
      <c r="M2278" s="25">
        <f t="shared" si="467"/>
        <v>-1.2757044250397715E-2</v>
      </c>
      <c r="O2278" t="b">
        <f t="shared" si="465"/>
        <v>1</v>
      </c>
      <c r="Q2278" s="25">
        <f t="shared" si="463"/>
        <v>3.4265791932580614E-2</v>
      </c>
      <c r="R2278" s="25">
        <f t="shared" si="460"/>
        <v>0.22724360191927873</v>
      </c>
      <c r="S2278" s="25">
        <f t="shared" si="475"/>
        <v>0.13381107265835479</v>
      </c>
      <c r="T2278" s="25">
        <f t="shared" si="472"/>
        <v>0.15440649123531824</v>
      </c>
      <c r="U2278" s="25">
        <f t="shared" si="469"/>
        <v>0.26777816356673623</v>
      </c>
      <c r="X2278">
        <f t="shared" si="464"/>
        <v>1</v>
      </c>
      <c r="Y2278">
        <f t="shared" si="461"/>
        <v>1</v>
      </c>
      <c r="Z2278">
        <f t="shared" si="476"/>
        <v>1</v>
      </c>
      <c r="AA2278">
        <f t="shared" si="473"/>
        <v>1</v>
      </c>
      <c r="AB2278">
        <f t="shared" si="470"/>
        <v>0</v>
      </c>
    </row>
    <row r="2279" spans="1:28">
      <c r="A2279" s="27">
        <v>45749</v>
      </c>
      <c r="B2279" s="24">
        <v>1831.61</v>
      </c>
      <c r="C2279" s="25">
        <f t="shared" si="466"/>
        <v>1.0509996910447078E-2</v>
      </c>
      <c r="E2279" s="25">
        <f t="shared" si="462"/>
        <v>9.4943178761231151E-2</v>
      </c>
      <c r="F2279" s="25">
        <f t="shared" si="459"/>
        <v>0.25287322115906141</v>
      </c>
      <c r="G2279" s="25">
        <f t="shared" si="474"/>
        <v>0.1374250066951106</v>
      </c>
      <c r="H2279" s="25">
        <f t="shared" si="471"/>
        <v>0.15592558763871245</v>
      </c>
      <c r="I2279" s="25">
        <f t="shared" si="468"/>
        <v>0.27381803791449633</v>
      </c>
      <c r="K2279" s="29">
        <v>45749</v>
      </c>
      <c r="L2279" s="24">
        <v>33670.61</v>
      </c>
      <c r="M2279" s="25">
        <f t="shared" si="467"/>
        <v>9.1667480927729392E-3</v>
      </c>
      <c r="O2279" t="b">
        <f t="shared" si="465"/>
        <v>1</v>
      </c>
      <c r="Q2279" s="25">
        <f t="shared" si="463"/>
        <v>4.2013392120763715E-2</v>
      </c>
      <c r="R2279" s="25">
        <f t="shared" si="460"/>
        <v>0.23511474036183899</v>
      </c>
      <c r="S2279" s="25">
        <f t="shared" si="475"/>
        <v>0.13243215621438664</v>
      </c>
      <c r="T2279" s="25">
        <f t="shared" si="472"/>
        <v>0.15419990298354058</v>
      </c>
      <c r="U2279" s="25">
        <f t="shared" si="469"/>
        <v>0.27480197413781648</v>
      </c>
      <c r="X2279">
        <f t="shared" si="464"/>
        <v>1</v>
      </c>
      <c r="Y2279">
        <f t="shared" si="461"/>
        <v>1</v>
      </c>
      <c r="Z2279">
        <f t="shared" si="476"/>
        <v>1</v>
      </c>
      <c r="AA2279">
        <f t="shared" si="473"/>
        <v>1</v>
      </c>
      <c r="AB2279">
        <f t="shared" si="470"/>
        <v>0</v>
      </c>
    </row>
    <row r="2280" spans="1:28">
      <c r="A2280" s="26">
        <v>45750</v>
      </c>
      <c r="B2280" s="23">
        <v>1824.37</v>
      </c>
      <c r="C2280" s="25">
        <f t="shared" si="466"/>
        <v>-3.9528065472453251E-3</v>
      </c>
      <c r="E2280" s="25">
        <f t="shared" si="462"/>
        <v>8.7909597781686832E-2</v>
      </c>
      <c r="F2280" s="25">
        <f t="shared" si="459"/>
        <v>0.24460030931668109</v>
      </c>
      <c r="G2280" s="25">
        <f t="shared" si="474"/>
        <v>0.12983022199841532</v>
      </c>
      <c r="H2280" s="25">
        <f t="shared" si="471"/>
        <v>0.15314962860230841</v>
      </c>
      <c r="I2280" s="25">
        <f t="shared" si="468"/>
        <v>0.25310066087188421</v>
      </c>
      <c r="K2280" s="28">
        <v>45750</v>
      </c>
      <c r="L2280" s="23">
        <v>33635.56</v>
      </c>
      <c r="M2280" s="25">
        <f t="shared" si="467"/>
        <v>-1.0420519236190185E-3</v>
      </c>
      <c r="O2280" t="b">
        <f t="shared" si="465"/>
        <v>1</v>
      </c>
      <c r="Q2280" s="25">
        <f t="shared" si="463"/>
        <v>3.7955488543797378E-2</v>
      </c>
      <c r="R2280" s="25">
        <f t="shared" si="460"/>
        <v>0.22869633974712111</v>
      </c>
      <c r="S2280" s="25">
        <f t="shared" si="475"/>
        <v>0.12469409453226121</v>
      </c>
      <c r="T2280" s="25">
        <f t="shared" si="472"/>
        <v>0.15248635850602654</v>
      </c>
      <c r="U2280" s="25">
        <f t="shared" si="469"/>
        <v>0.25578759488966374</v>
      </c>
      <c r="X2280">
        <f t="shared" si="464"/>
        <v>1</v>
      </c>
      <c r="Y2280">
        <f t="shared" si="461"/>
        <v>1</v>
      </c>
      <c r="Z2280">
        <f t="shared" si="476"/>
        <v>1</v>
      </c>
      <c r="AA2280">
        <f t="shared" si="473"/>
        <v>1</v>
      </c>
      <c r="AB2280">
        <f t="shared" si="470"/>
        <v>0</v>
      </c>
    </row>
    <row r="2281" spans="1:28">
      <c r="A2281" s="27">
        <v>45751</v>
      </c>
      <c r="B2281" s="24">
        <v>1790.8</v>
      </c>
      <c r="C2281" s="25">
        <f t="shared" si="466"/>
        <v>-1.8400872630003749E-2</v>
      </c>
      <c r="E2281" s="25">
        <f t="shared" si="462"/>
        <v>6.5362626641204402E-2</v>
      </c>
      <c r="F2281" s="25">
        <f t="shared" si="459"/>
        <v>0.22451240841196873</v>
      </c>
      <c r="G2281" s="25">
        <f t="shared" si="474"/>
        <v>0.12257341178054704</v>
      </c>
      <c r="H2281" s="25">
        <f t="shared" si="471"/>
        <v>0.14810845727539013</v>
      </c>
      <c r="I2281" s="25">
        <f t="shared" si="468"/>
        <v>0.24726979054663434</v>
      </c>
      <c r="K2281" s="29">
        <v>45751</v>
      </c>
      <c r="L2281" s="24">
        <v>32942.089999999997</v>
      </c>
      <c r="M2281" s="25">
        <f t="shared" si="467"/>
        <v>-2.1051184062699155E-2</v>
      </c>
      <c r="O2281" t="b">
        <f t="shared" si="465"/>
        <v>1</v>
      </c>
      <c r="Q2281" s="25">
        <f t="shared" si="463"/>
        <v>1.4079854799381009E-2</v>
      </c>
      <c r="R2281" s="25">
        <f t="shared" si="460"/>
        <v>0.20706237098139679</v>
      </c>
      <c r="S2281" s="25">
        <f t="shared" si="475"/>
        <v>0.11673518255597459</v>
      </c>
      <c r="T2281" s="25">
        <f t="shared" si="472"/>
        <v>0.14682457270744664</v>
      </c>
      <c r="U2281" s="25">
        <f t="shared" si="469"/>
        <v>0.25013098910662035</v>
      </c>
      <c r="X2281">
        <f t="shared" si="464"/>
        <v>1</v>
      </c>
      <c r="Y2281">
        <f t="shared" si="461"/>
        <v>1</v>
      </c>
      <c r="Z2281">
        <f t="shared" si="476"/>
        <v>1</v>
      </c>
      <c r="AA2281">
        <f t="shared" si="473"/>
        <v>1</v>
      </c>
      <c r="AB2281">
        <f t="shared" si="470"/>
        <v>0</v>
      </c>
    </row>
    <row r="2282" spans="1:28">
      <c r="A2282" s="26">
        <v>45754</v>
      </c>
      <c r="B2282" s="23">
        <v>1728.79</v>
      </c>
      <c r="C2282" s="25">
        <f t="shared" si="466"/>
        <v>-3.4626982354255077E-2</v>
      </c>
      <c r="E2282" s="25">
        <f t="shared" si="462"/>
        <v>1.9868917061429681E-2</v>
      </c>
      <c r="F2282" s="25">
        <f t="shared" si="459"/>
        <v>0.20089990587958906</v>
      </c>
      <c r="G2282" s="25">
        <f t="shared" si="474"/>
        <v>0.11157815462933085</v>
      </c>
      <c r="H2282" s="25">
        <f t="shared" si="471"/>
        <v>0.14856798707784713</v>
      </c>
      <c r="I2282" s="25">
        <f t="shared" si="468"/>
        <v>0.22941127660896066</v>
      </c>
      <c r="K2282" s="28">
        <v>45754</v>
      </c>
      <c r="L2282" s="23">
        <v>31834.33</v>
      </c>
      <c r="M2282" s="25">
        <f t="shared" si="467"/>
        <v>-3.4797653979210329E-2</v>
      </c>
      <c r="O2282" t="b">
        <f t="shared" si="465"/>
        <v>1</v>
      </c>
      <c r="Q2282" s="25">
        <f t="shared" si="463"/>
        <v>-2.4918922760068907E-2</v>
      </c>
      <c r="R2282" s="25">
        <f t="shared" si="460"/>
        <v>0.18480040571666079</v>
      </c>
      <c r="S2282" s="25">
        <f t="shared" si="475"/>
        <v>0.10557503550689251</v>
      </c>
      <c r="T2282" s="25">
        <f t="shared" si="472"/>
        <v>0.14877644831109671</v>
      </c>
      <c r="U2282" s="25">
        <f t="shared" si="469"/>
        <v>0.23211333995250416</v>
      </c>
      <c r="X2282">
        <f t="shared" si="464"/>
        <v>1</v>
      </c>
      <c r="Y2282">
        <f t="shared" si="461"/>
        <v>1</v>
      </c>
      <c r="Z2282">
        <f t="shared" si="476"/>
        <v>1</v>
      </c>
      <c r="AA2282">
        <f t="shared" si="473"/>
        <v>0</v>
      </c>
      <c r="AB2282">
        <f t="shared" si="470"/>
        <v>0</v>
      </c>
    </row>
    <row r="2283" spans="1:28">
      <c r="A2283" s="27">
        <v>45755</v>
      </c>
      <c r="B2283" s="24">
        <v>1761.26</v>
      </c>
      <c r="C2283" s="25">
        <f t="shared" si="466"/>
        <v>1.8781922616396454E-2</v>
      </c>
      <c r="E2283" s="25">
        <f t="shared" si="462"/>
        <v>3.6724410931972429E-2</v>
      </c>
      <c r="F2283" s="25">
        <f t="shared" si="459"/>
        <v>0.20906277326207179</v>
      </c>
      <c r="G2283" s="25">
        <f t="shared" si="474"/>
        <v>0.11935750948700563</v>
      </c>
      <c r="H2283" s="25">
        <f t="shared" si="471"/>
        <v>0.15112364606074991</v>
      </c>
      <c r="I2283" s="25">
        <f t="shared" si="468"/>
        <v>0.23572240209796846</v>
      </c>
      <c r="K2283" s="29">
        <v>45755</v>
      </c>
      <c r="L2283" s="24">
        <v>32428.26</v>
      </c>
      <c r="M2283" s="25">
        <f t="shared" si="467"/>
        <v>1.8315197916878571E-2</v>
      </c>
      <c r="O2283" t="b">
        <f t="shared" si="465"/>
        <v>1</v>
      </c>
      <c r="Q2283" s="25">
        <f t="shared" si="463"/>
        <v>-5.3693918288076903E-3</v>
      </c>
      <c r="R2283" s="25">
        <f t="shared" si="460"/>
        <v>0.19142554481206653</v>
      </c>
      <c r="S2283" s="25">
        <f t="shared" si="475"/>
        <v>0.11548939611023434</v>
      </c>
      <c r="T2283" s="25">
        <f t="shared" si="472"/>
        <v>0.15022840975931095</v>
      </c>
      <c r="U2283" s="25">
        <f t="shared" si="469"/>
        <v>0.23939689590423163</v>
      </c>
      <c r="X2283">
        <f t="shared" si="464"/>
        <v>1</v>
      </c>
      <c r="Y2283">
        <f t="shared" si="461"/>
        <v>1</v>
      </c>
      <c r="Z2283">
        <f t="shared" si="476"/>
        <v>1</v>
      </c>
      <c r="AA2283">
        <f t="shared" si="473"/>
        <v>1</v>
      </c>
      <c r="AB2283">
        <f t="shared" si="470"/>
        <v>0</v>
      </c>
    </row>
    <row r="2284" spans="1:28">
      <c r="A2284" s="26">
        <v>45756</v>
      </c>
      <c r="B2284" s="23">
        <v>1753.53</v>
      </c>
      <c r="C2284" s="25">
        <f t="shared" si="466"/>
        <v>-4.3889033987032115E-3</v>
      </c>
      <c r="E2284" s="25">
        <f t="shared" si="462"/>
        <v>2.4653195741348943E-2</v>
      </c>
      <c r="F2284" s="25">
        <f t="shared" si="459"/>
        <v>0.20450364506586927</v>
      </c>
      <c r="G2284" s="25">
        <f t="shared" si="474"/>
        <v>0.11486616871301258</v>
      </c>
      <c r="H2284" s="25">
        <f t="shared" si="471"/>
        <v>0.14890046870595453</v>
      </c>
      <c r="I2284" s="25">
        <f t="shared" si="468"/>
        <v>0.23505231071586552</v>
      </c>
      <c r="K2284" s="28">
        <v>45756</v>
      </c>
      <c r="L2284" s="23">
        <v>32231.86</v>
      </c>
      <c r="M2284" s="25">
        <f t="shared" si="467"/>
        <v>-6.0933498718348184E-3</v>
      </c>
      <c r="O2284" t="b">
        <f t="shared" si="465"/>
        <v>1</v>
      </c>
      <c r="Q2284" s="25">
        <f t="shared" si="463"/>
        <v>-1.7277897955854771E-2</v>
      </c>
      <c r="R2284" s="25">
        <f t="shared" si="460"/>
        <v>0.18580817626802038</v>
      </c>
      <c r="S2284" s="25">
        <f t="shared" si="475"/>
        <v>0.10980709274526856</v>
      </c>
      <c r="T2284" s="25">
        <f t="shared" si="472"/>
        <v>0.14728582246160071</v>
      </c>
      <c r="U2284" s="25">
        <f t="shared" si="469"/>
        <v>0.23843144607908417</v>
      </c>
      <c r="X2284">
        <f t="shared" si="464"/>
        <v>1</v>
      </c>
      <c r="Y2284">
        <f t="shared" si="461"/>
        <v>1</v>
      </c>
      <c r="Z2284">
        <f t="shared" si="476"/>
        <v>1</v>
      </c>
      <c r="AA2284">
        <f t="shared" si="473"/>
        <v>1</v>
      </c>
      <c r="AB2284">
        <f t="shared" si="470"/>
        <v>0</v>
      </c>
    </row>
    <row r="2285" spans="1:28">
      <c r="A2285" s="27">
        <v>45758</v>
      </c>
      <c r="B2285" s="24">
        <v>1785.74</v>
      </c>
      <c r="C2285" s="25">
        <f t="shared" si="466"/>
        <v>1.8368662070224084E-2</v>
      </c>
      <c r="E2285" s="25">
        <f t="shared" si="462"/>
        <v>5.2422515455654572E-2</v>
      </c>
      <c r="F2285" s="25">
        <f t="shared" si="459"/>
        <v>0.21634137056303593</v>
      </c>
      <c r="G2285" s="25">
        <f t="shared" si="474"/>
        <v>0.12347395240005499</v>
      </c>
      <c r="H2285" s="25">
        <f t="shared" si="471"/>
        <v>0.15231288341280647</v>
      </c>
      <c r="I2285" s="25">
        <f t="shared" si="468"/>
        <v>0.23655188462308319</v>
      </c>
      <c r="K2285" s="29">
        <v>45758</v>
      </c>
      <c r="L2285" s="24">
        <v>32859.129999999997</v>
      </c>
      <c r="M2285" s="25">
        <f t="shared" si="467"/>
        <v>1.908967157681889E-2</v>
      </c>
      <c r="O2285" t="b">
        <f t="shared" si="465"/>
        <v>1</v>
      </c>
      <c r="Q2285" s="25">
        <f t="shared" si="463"/>
        <v>1.0042287034814024E-2</v>
      </c>
      <c r="R2285" s="25">
        <f t="shared" si="460"/>
        <v>0.19602004259933725</v>
      </c>
      <c r="S2285" s="25">
        <f t="shared" si="475"/>
        <v>0.11737110721640964</v>
      </c>
      <c r="T2285" s="25">
        <f t="shared" si="472"/>
        <v>0.15140809752986817</v>
      </c>
      <c r="U2285" s="25">
        <f t="shared" si="469"/>
        <v>0.24092769065430875</v>
      </c>
      <c r="X2285">
        <f t="shared" si="464"/>
        <v>1</v>
      </c>
      <c r="Y2285">
        <f t="shared" si="461"/>
        <v>1</v>
      </c>
      <c r="Z2285">
        <f t="shared" si="476"/>
        <v>1</v>
      </c>
      <c r="AA2285">
        <f t="shared" si="473"/>
        <v>1</v>
      </c>
      <c r="AB2285">
        <f t="shared" si="470"/>
        <v>0</v>
      </c>
    </row>
    <row r="2286" spans="1:28">
      <c r="A2286" s="26">
        <v>45762</v>
      </c>
      <c r="B2286" s="23">
        <v>1828.34</v>
      </c>
      <c r="C2286" s="25">
        <f t="shared" si="466"/>
        <v>2.3855656478546657E-2</v>
      </c>
      <c r="E2286" s="25">
        <f t="shared" si="462"/>
        <v>9.1057735342384039E-2</v>
      </c>
      <c r="F2286" s="25">
        <f t="shared" si="459"/>
        <v>0.2285371134210723</v>
      </c>
      <c r="G2286" s="25">
        <f t="shared" si="474"/>
        <v>0.13559325598416394</v>
      </c>
      <c r="H2286" s="25">
        <f t="shared" si="471"/>
        <v>0.16332814469029922</v>
      </c>
      <c r="I2286" s="25">
        <f t="shared" si="468"/>
        <v>0.23525565541323434</v>
      </c>
      <c r="K2286" s="28">
        <v>45762</v>
      </c>
      <c r="L2286" s="23">
        <v>33692.800000000003</v>
      </c>
      <c r="M2286" s="25">
        <f t="shared" si="467"/>
        <v>2.4743268591509326E-2</v>
      </c>
      <c r="O2286" t="b">
        <f t="shared" si="465"/>
        <v>1</v>
      </c>
      <c r="Q2286" s="25">
        <f t="shared" si="463"/>
        <v>4.915811202109488E-2</v>
      </c>
      <c r="R2286" s="25">
        <f t="shared" si="460"/>
        <v>0.20796415251779066</v>
      </c>
      <c r="S2286" s="25">
        <f t="shared" si="475"/>
        <v>0.13070968522715232</v>
      </c>
      <c r="T2286" s="25">
        <f t="shared" si="472"/>
        <v>0.16390941670662595</v>
      </c>
      <c r="U2286" s="25">
        <f t="shared" si="469"/>
        <v>0.24046954064496684</v>
      </c>
      <c r="X2286">
        <f t="shared" si="464"/>
        <v>1</v>
      </c>
      <c r="Y2286">
        <f t="shared" si="461"/>
        <v>1</v>
      </c>
      <c r="Z2286">
        <f t="shared" si="476"/>
        <v>1</v>
      </c>
      <c r="AA2286">
        <f t="shared" si="473"/>
        <v>0</v>
      </c>
      <c r="AB2286">
        <f t="shared" si="470"/>
        <v>0</v>
      </c>
    </row>
    <row r="2287" spans="1:28">
      <c r="A2287" s="27">
        <v>45763</v>
      </c>
      <c r="B2287" s="24">
        <v>1837.95</v>
      </c>
      <c r="C2287" s="25">
        <f t="shared" si="466"/>
        <v>5.2561339794568451E-3</v>
      </c>
      <c r="E2287" s="25">
        <f t="shared" si="462"/>
        <v>9.967989948245437E-2</v>
      </c>
      <c r="F2287" s="25">
        <f t="shared" ref="F2287:F2350" si="477">((B2287/B1795)^(1/2))-1</f>
        <v>0.22828859328755269</v>
      </c>
      <c r="G2287" s="25">
        <f t="shared" si="474"/>
        <v>0.13859562465751618</v>
      </c>
      <c r="H2287" s="25">
        <f t="shared" si="471"/>
        <v>0.16402096988572845</v>
      </c>
      <c r="I2287" s="25">
        <f t="shared" si="468"/>
        <v>0.23691357218660269</v>
      </c>
      <c r="K2287" s="29">
        <v>45763</v>
      </c>
      <c r="L2287" s="24">
        <v>33890.74</v>
      </c>
      <c r="M2287" s="25">
        <f t="shared" si="467"/>
        <v>5.8405334318458397E-3</v>
      </c>
      <c r="O2287" t="b">
        <f t="shared" si="465"/>
        <v>1</v>
      </c>
      <c r="Q2287" s="25">
        <f t="shared" si="463"/>
        <v>5.8202356720374882E-2</v>
      </c>
      <c r="R2287" s="25">
        <f t="shared" ref="R2287:R2350" si="478">((L2287/L1795)^(1/2))-1</f>
        <v>0.20848983559089151</v>
      </c>
      <c r="S2287" s="25">
        <f t="shared" si="475"/>
        <v>0.13357188245105323</v>
      </c>
      <c r="T2287" s="25">
        <f t="shared" si="472"/>
        <v>0.16612373134545511</v>
      </c>
      <c r="U2287" s="25">
        <f t="shared" si="469"/>
        <v>0.24191714522097585</v>
      </c>
      <c r="X2287">
        <f t="shared" si="464"/>
        <v>1</v>
      </c>
      <c r="Y2287">
        <f t="shared" ref="Y2287:Y2350" si="479">IF(F2287&gt;R2287,1,0)</f>
        <v>1</v>
      </c>
      <c r="Z2287">
        <f t="shared" si="476"/>
        <v>1</v>
      </c>
      <c r="AA2287">
        <f t="shared" si="473"/>
        <v>0</v>
      </c>
      <c r="AB2287">
        <f t="shared" si="470"/>
        <v>0</v>
      </c>
    </row>
    <row r="2288" spans="1:28">
      <c r="A2288" s="26">
        <v>45764</v>
      </c>
      <c r="B2288" s="23">
        <v>1864.19</v>
      </c>
      <c r="C2288" s="25">
        <f t="shared" si="466"/>
        <v>1.4276775755597272E-2</v>
      </c>
      <c r="E2288" s="25">
        <f t="shared" si="462"/>
        <v>0.11984213276946454</v>
      </c>
      <c r="F2288" s="25">
        <f t="shared" si="477"/>
        <v>0.23691383932101173</v>
      </c>
      <c r="G2288" s="25">
        <f t="shared" si="474"/>
        <v>0.14995471459409648</v>
      </c>
      <c r="H2288" s="25">
        <f t="shared" si="471"/>
        <v>0.16594699974136184</v>
      </c>
      <c r="I2288" s="25">
        <f t="shared" si="468"/>
        <v>0.24881560960575899</v>
      </c>
      <c r="K2288" s="28">
        <v>45764</v>
      </c>
      <c r="L2288" s="23">
        <v>34329.58</v>
      </c>
      <c r="M2288" s="25">
        <f t="shared" si="467"/>
        <v>1.2783145031194782E-2</v>
      </c>
      <c r="O2288" t="b">
        <f t="shared" si="465"/>
        <v>1</v>
      </c>
      <c r="Q2288" s="25">
        <f t="shared" si="463"/>
        <v>7.7089557343092308E-2</v>
      </c>
      <c r="R2288" s="25">
        <f t="shared" si="478"/>
        <v>0.21572840306930741</v>
      </c>
      <c r="S2288" s="25">
        <f t="shared" si="475"/>
        <v>0.14382027621875926</v>
      </c>
      <c r="T2288" s="25">
        <f t="shared" si="472"/>
        <v>0.16801668580070483</v>
      </c>
      <c r="U2288" s="25">
        <f t="shared" si="469"/>
        <v>0.25239560515881942</v>
      </c>
      <c r="X2288">
        <f t="shared" si="464"/>
        <v>1</v>
      </c>
      <c r="Y2288">
        <f t="shared" si="479"/>
        <v>1</v>
      </c>
      <c r="Z2288">
        <f t="shared" si="476"/>
        <v>1</v>
      </c>
      <c r="AA2288">
        <f t="shared" si="473"/>
        <v>0</v>
      </c>
      <c r="AB2288">
        <f t="shared" si="470"/>
        <v>0</v>
      </c>
    </row>
    <row r="2289" spans="1:28">
      <c r="A2289" s="27">
        <v>45768</v>
      </c>
      <c r="B2289" s="24">
        <v>1892.07</v>
      </c>
      <c r="C2289" s="25">
        <f t="shared" si="466"/>
        <v>1.4955557105230626E-2</v>
      </c>
      <c r="E2289" s="25">
        <f t="shared" si="462"/>
        <v>0.13105258123909036</v>
      </c>
      <c r="F2289" s="25">
        <f t="shared" si="477"/>
        <v>0.2495330568735139</v>
      </c>
      <c r="G2289" s="25">
        <f t="shared" si="474"/>
        <v>0.16055849872638572</v>
      </c>
      <c r="H2289" s="25">
        <f t="shared" si="471"/>
        <v>0.17143057307852416</v>
      </c>
      <c r="I2289" s="25">
        <f t="shared" si="468"/>
        <v>0.24967907364213304</v>
      </c>
      <c r="K2289" s="29">
        <v>45768</v>
      </c>
      <c r="L2289" s="24">
        <v>34842.910000000003</v>
      </c>
      <c r="M2289" s="25">
        <f t="shared" si="467"/>
        <v>1.4732695977460025E-2</v>
      </c>
      <c r="O2289" t="b">
        <f t="shared" si="465"/>
        <v>1</v>
      </c>
      <c r="Q2289" s="25">
        <f t="shared" si="463"/>
        <v>8.9944165359875372E-2</v>
      </c>
      <c r="R2289" s="25">
        <f t="shared" si="478"/>
        <v>0.22683410109287694</v>
      </c>
      <c r="S2289" s="25">
        <f t="shared" si="475"/>
        <v>0.15465162712639313</v>
      </c>
      <c r="T2289" s="25">
        <f t="shared" si="472"/>
        <v>0.17299936206457933</v>
      </c>
      <c r="U2289" s="25">
        <f t="shared" si="469"/>
        <v>0.25148537221155642</v>
      </c>
      <c r="X2289">
        <f t="shared" si="464"/>
        <v>1</v>
      </c>
      <c r="Y2289">
        <f t="shared" si="479"/>
        <v>1</v>
      </c>
      <c r="Z2289">
        <f t="shared" si="476"/>
        <v>1</v>
      </c>
      <c r="AA2289">
        <f t="shared" si="473"/>
        <v>0</v>
      </c>
      <c r="AB2289">
        <f t="shared" si="470"/>
        <v>0</v>
      </c>
    </row>
    <row r="2290" spans="1:28">
      <c r="A2290" s="26">
        <v>45769</v>
      </c>
      <c r="B2290" s="23">
        <v>1895.39</v>
      </c>
      <c r="C2290" s="25">
        <f t="shared" si="466"/>
        <v>1.7546919511435431E-3</v>
      </c>
      <c r="E2290" s="25">
        <f t="shared" si="462"/>
        <v>0.11945261466860391</v>
      </c>
      <c r="F2290" s="25">
        <f t="shared" si="477"/>
        <v>0.24945400764824388</v>
      </c>
      <c r="G2290" s="25">
        <f t="shared" si="474"/>
        <v>0.15950880953923341</v>
      </c>
      <c r="H2290" s="25">
        <f t="shared" si="471"/>
        <v>0.16904043155961523</v>
      </c>
      <c r="I2290" s="25">
        <f t="shared" si="468"/>
        <v>0.24639318046107772</v>
      </c>
      <c r="K2290" s="28">
        <v>45769</v>
      </c>
      <c r="L2290" s="23">
        <v>34968.69</v>
      </c>
      <c r="M2290" s="25">
        <f t="shared" si="467"/>
        <v>3.596931998310455E-3</v>
      </c>
      <c r="O2290" t="b">
        <f t="shared" si="465"/>
        <v>1</v>
      </c>
      <c r="Q2290" s="25">
        <f t="shared" si="463"/>
        <v>8.3793350646162779E-2</v>
      </c>
      <c r="R2290" s="25">
        <f t="shared" si="478"/>
        <v>0.22934816181463202</v>
      </c>
      <c r="S2290" s="25">
        <f t="shared" si="475"/>
        <v>0.15282105697924608</v>
      </c>
      <c r="T2290" s="25">
        <f t="shared" si="472"/>
        <v>0.17137353971224023</v>
      </c>
      <c r="U2290" s="25">
        <f t="shared" si="469"/>
        <v>0.24936694544832294</v>
      </c>
      <c r="X2290">
        <f t="shared" si="464"/>
        <v>1</v>
      </c>
      <c r="Y2290">
        <f t="shared" si="479"/>
        <v>1</v>
      </c>
      <c r="Z2290">
        <f t="shared" si="476"/>
        <v>1</v>
      </c>
      <c r="AA2290">
        <f t="shared" si="473"/>
        <v>0</v>
      </c>
      <c r="AB2290">
        <f t="shared" si="470"/>
        <v>0</v>
      </c>
    </row>
    <row r="2291" spans="1:28">
      <c r="A2291" s="27">
        <v>45770</v>
      </c>
      <c r="B2291" s="24">
        <v>1911.94</v>
      </c>
      <c r="C2291" s="25">
        <f t="shared" si="466"/>
        <v>8.7317122069864011E-3</v>
      </c>
      <c r="E2291" s="25">
        <f t="shared" si="462"/>
        <v>0.12631368113483199</v>
      </c>
      <c r="F2291" s="25">
        <f t="shared" si="477"/>
        <v>0.25773355632370487</v>
      </c>
      <c r="G2291" s="25">
        <f t="shared" si="474"/>
        <v>0.15907310129847207</v>
      </c>
      <c r="H2291" s="25">
        <f t="shared" si="471"/>
        <v>0.16780204111250918</v>
      </c>
      <c r="I2291" s="25">
        <f t="shared" si="468"/>
        <v>0.25368944164654694</v>
      </c>
      <c r="K2291" s="29">
        <v>45770</v>
      </c>
      <c r="L2291" s="24">
        <v>35210.269999999997</v>
      </c>
      <c r="M2291" s="25">
        <f t="shared" si="467"/>
        <v>6.8610663877327407E-3</v>
      </c>
      <c r="O2291" t="b">
        <f t="shared" si="465"/>
        <v>1</v>
      </c>
      <c r="Q2291" s="25">
        <f t="shared" si="463"/>
        <v>8.7170254311286888E-2</v>
      </c>
      <c r="R2291" s="25">
        <f t="shared" si="478"/>
        <v>0.2352516641300646</v>
      </c>
      <c r="S2291" s="25">
        <f t="shared" si="475"/>
        <v>0.1502261693676985</v>
      </c>
      <c r="T2291" s="25">
        <f t="shared" si="472"/>
        <v>0.16991894644816452</v>
      </c>
      <c r="U2291" s="25">
        <f t="shared" si="469"/>
        <v>0.25546014470836398</v>
      </c>
      <c r="X2291">
        <f t="shared" si="464"/>
        <v>1</v>
      </c>
      <c r="Y2291">
        <f t="shared" si="479"/>
        <v>1</v>
      </c>
      <c r="Z2291">
        <f t="shared" si="476"/>
        <v>1</v>
      </c>
      <c r="AA2291">
        <f t="shared" si="473"/>
        <v>0</v>
      </c>
      <c r="AB2291">
        <f t="shared" si="470"/>
        <v>0</v>
      </c>
    </row>
    <row r="2292" spans="1:28">
      <c r="A2292" s="26">
        <v>45771</v>
      </c>
      <c r="B2292" s="23">
        <v>1907.6</v>
      </c>
      <c r="C2292" s="25">
        <f t="shared" si="466"/>
        <v>-2.2699457095934732E-3</v>
      </c>
      <c r="E2292" s="25">
        <f t="shared" si="462"/>
        <v>0.12127998495241776</v>
      </c>
      <c r="F2292" s="25">
        <f t="shared" si="477"/>
        <v>0.25597276404265057</v>
      </c>
      <c r="G2292" s="25">
        <f t="shared" si="474"/>
        <v>0.1631392387514814</v>
      </c>
      <c r="H2292" s="25">
        <f t="shared" si="471"/>
        <v>0.16346942330610581</v>
      </c>
      <c r="I2292" s="25">
        <f t="shared" si="468"/>
        <v>0.2489000025109418</v>
      </c>
      <c r="K2292" s="28">
        <v>45771</v>
      </c>
      <c r="L2292" s="23">
        <v>35120.1</v>
      </c>
      <c r="M2292" s="25">
        <f t="shared" si="467"/>
        <v>-2.567475605137749E-3</v>
      </c>
      <c r="O2292" t="b">
        <f t="shared" si="465"/>
        <v>1</v>
      </c>
      <c r="Q2292" s="25">
        <f t="shared" si="463"/>
        <v>8.0305006885694308E-2</v>
      </c>
      <c r="R2292" s="25">
        <f t="shared" si="478"/>
        <v>0.2334672046569306</v>
      </c>
      <c r="S2292" s="25">
        <f t="shared" si="475"/>
        <v>0.15331979777985727</v>
      </c>
      <c r="T2292" s="25">
        <f t="shared" si="472"/>
        <v>0.16552347041348692</v>
      </c>
      <c r="U2292" s="25">
        <f t="shared" si="469"/>
        <v>0.25114874730678327</v>
      </c>
      <c r="X2292">
        <f t="shared" si="464"/>
        <v>1</v>
      </c>
      <c r="Y2292">
        <f t="shared" si="479"/>
        <v>1</v>
      </c>
      <c r="Z2292">
        <f t="shared" si="476"/>
        <v>1</v>
      </c>
      <c r="AA2292">
        <f t="shared" si="473"/>
        <v>0</v>
      </c>
      <c r="AB2292">
        <f t="shared" si="470"/>
        <v>0</v>
      </c>
    </row>
    <row r="2293" spans="1:28">
      <c r="A2293" s="27">
        <v>45772</v>
      </c>
      <c r="B2293" s="24">
        <v>1885.68</v>
      </c>
      <c r="C2293" s="25">
        <f t="shared" si="466"/>
        <v>-1.149087859089948E-2</v>
      </c>
      <c r="E2293" s="25">
        <f t="shared" si="462"/>
        <v>0.1009534263211056</v>
      </c>
      <c r="F2293" s="25">
        <f t="shared" si="477"/>
        <v>0.25003894665701076</v>
      </c>
      <c r="G2293" s="25">
        <f t="shared" si="474"/>
        <v>0.16401418976462101</v>
      </c>
      <c r="H2293" s="25">
        <f t="shared" si="471"/>
        <v>0.15870718022614705</v>
      </c>
      <c r="I2293" s="25">
        <f t="shared" si="468"/>
        <v>0.24370350296518528</v>
      </c>
      <c r="K2293" s="29">
        <v>45772</v>
      </c>
      <c r="L2293" s="24">
        <v>34594.15</v>
      </c>
      <c r="M2293" s="25">
        <f t="shared" si="467"/>
        <v>-1.5203437575428131E-2</v>
      </c>
      <c r="O2293" t="b">
        <f t="shared" si="465"/>
        <v>1</v>
      </c>
      <c r="Q2293" s="25">
        <f t="shared" si="463"/>
        <v>5.7129481451421382E-2</v>
      </c>
      <c r="R2293" s="25">
        <f t="shared" si="478"/>
        <v>0.22477903694431278</v>
      </c>
      <c r="S2293" s="25">
        <f t="shared" si="475"/>
        <v>0.15328105105814283</v>
      </c>
      <c r="T2293" s="25">
        <f t="shared" si="472"/>
        <v>0.1607279008761251</v>
      </c>
      <c r="U2293" s="25">
        <f t="shared" si="469"/>
        <v>0.24514222156406063</v>
      </c>
      <c r="X2293">
        <f t="shared" si="464"/>
        <v>1</v>
      </c>
      <c r="Y2293">
        <f t="shared" si="479"/>
        <v>1</v>
      </c>
      <c r="Z2293">
        <f t="shared" si="476"/>
        <v>1</v>
      </c>
      <c r="AA2293">
        <f t="shared" si="473"/>
        <v>0</v>
      </c>
      <c r="AB2293">
        <f t="shared" si="470"/>
        <v>0</v>
      </c>
    </row>
    <row r="2294" spans="1:28">
      <c r="A2294" s="26">
        <v>45775</v>
      </c>
      <c r="B2294" s="23">
        <v>1907.12</v>
      </c>
      <c r="C2294" s="25">
        <f t="shared" si="466"/>
        <v>1.1369903695218609E-2</v>
      </c>
      <c r="E2294" s="25">
        <f t="shared" si="462"/>
        <v>0.11764740355257075</v>
      </c>
      <c r="F2294" s="25">
        <f t="shared" si="477"/>
        <v>0.25341753411383161</v>
      </c>
      <c r="G2294" s="25">
        <f t="shared" si="474"/>
        <v>0.16369800739766505</v>
      </c>
      <c r="H2294" s="25">
        <f t="shared" si="471"/>
        <v>0.16495199075480382</v>
      </c>
      <c r="I2294" s="25">
        <f t="shared" si="468"/>
        <v>0.24127853253099918</v>
      </c>
      <c r="K2294" s="28">
        <v>45775</v>
      </c>
      <c r="L2294" s="23">
        <v>34999.51</v>
      </c>
      <c r="M2294" s="25">
        <f t="shared" si="467"/>
        <v>1.1581876431984349E-2</v>
      </c>
      <c r="O2294" t="b">
        <f t="shared" si="465"/>
        <v>1</v>
      </c>
      <c r="Q2294" s="25">
        <f t="shared" si="463"/>
        <v>7.0981026234506528E-2</v>
      </c>
      <c r="R2294" s="25">
        <f t="shared" si="478"/>
        <v>0.22850216423839953</v>
      </c>
      <c r="S2294" s="25">
        <f t="shared" si="475"/>
        <v>0.15190064800375236</v>
      </c>
      <c r="T2294" s="25">
        <f t="shared" si="472"/>
        <v>0.16805772428923893</v>
      </c>
      <c r="U2294" s="25">
        <f t="shared" si="469"/>
        <v>0.24401006345194975</v>
      </c>
      <c r="X2294">
        <f t="shared" si="464"/>
        <v>1</v>
      </c>
      <c r="Y2294">
        <f t="shared" si="479"/>
        <v>1</v>
      </c>
      <c r="Z2294">
        <f t="shared" si="476"/>
        <v>1</v>
      </c>
      <c r="AA2294">
        <f t="shared" si="473"/>
        <v>0</v>
      </c>
      <c r="AB2294">
        <f t="shared" si="470"/>
        <v>0</v>
      </c>
    </row>
    <row r="2295" spans="1:28">
      <c r="A2295" s="27">
        <v>45776</v>
      </c>
      <c r="B2295" s="24">
        <v>1909.9</v>
      </c>
      <c r="C2295" s="25">
        <f t="shared" si="466"/>
        <v>1.4576953731281724E-3</v>
      </c>
      <c r="E2295" s="25">
        <f t="shared" si="462"/>
        <v>0.11488596629482406</v>
      </c>
      <c r="F2295" s="25">
        <f t="shared" si="477"/>
        <v>0.25365964719549305</v>
      </c>
      <c r="G2295" s="25">
        <f t="shared" si="474"/>
        <v>0.16887884860030034</v>
      </c>
      <c r="H2295" s="25">
        <f t="shared" si="471"/>
        <v>0.16430957778034849</v>
      </c>
      <c r="I2295" s="25">
        <f t="shared" si="468"/>
        <v>0.23608660096656142</v>
      </c>
      <c r="K2295" s="29">
        <v>45776</v>
      </c>
      <c r="L2295" s="24">
        <v>35016.370000000003</v>
      </c>
      <c r="M2295" s="25">
        <f t="shared" si="467"/>
        <v>4.814890863901821E-4</v>
      </c>
      <c r="O2295" t="b">
        <f t="shared" si="465"/>
        <v>1</v>
      </c>
      <c r="Q2295" s="25">
        <f t="shared" si="463"/>
        <v>6.3694635136485767E-2</v>
      </c>
      <c r="R2295" s="25">
        <f t="shared" si="478"/>
        <v>0.22774758026342545</v>
      </c>
      <c r="S2295" s="25">
        <f t="shared" si="475"/>
        <v>0.15577784317487309</v>
      </c>
      <c r="T2295" s="25">
        <f t="shared" si="472"/>
        <v>0.1674703907354762</v>
      </c>
      <c r="U2295" s="25">
        <f t="shared" si="469"/>
        <v>0.23735775722400998</v>
      </c>
      <c r="X2295">
        <f t="shared" si="464"/>
        <v>1</v>
      </c>
      <c r="Y2295">
        <f t="shared" si="479"/>
        <v>1</v>
      </c>
      <c r="Z2295">
        <f t="shared" si="476"/>
        <v>1</v>
      </c>
      <c r="AA2295">
        <f t="shared" si="473"/>
        <v>0</v>
      </c>
      <c r="AB2295">
        <f t="shared" si="470"/>
        <v>0</v>
      </c>
    </row>
    <row r="2296" spans="1:28">
      <c r="A2296" s="26">
        <v>45777</v>
      </c>
      <c r="B2296" s="23">
        <v>1907.59</v>
      </c>
      <c r="C2296" s="25">
        <f t="shared" si="466"/>
        <v>-1.2094874077177721E-3</v>
      </c>
      <c r="E2296" s="25">
        <f t="shared" ref="E2296:E2359" si="480">(B2296/B2051)-1</f>
        <v>0.11456550063978588</v>
      </c>
      <c r="F2296" s="25">
        <f t="shared" si="477"/>
        <v>0.25102389845794137</v>
      </c>
      <c r="G2296" s="25">
        <f t="shared" si="474"/>
        <v>0.16531054351609931</v>
      </c>
      <c r="H2296" s="25">
        <f t="shared" si="471"/>
        <v>0.16668354150428311</v>
      </c>
      <c r="I2296" s="25">
        <f t="shared" si="468"/>
        <v>0.24795002168571911</v>
      </c>
      <c r="K2296" s="28">
        <v>45777</v>
      </c>
      <c r="L2296" s="23">
        <v>34886.080000000002</v>
      </c>
      <c r="M2296" s="25">
        <f t="shared" si="467"/>
        <v>-3.734727432832834E-3</v>
      </c>
      <c r="O2296" t="b">
        <f t="shared" si="465"/>
        <v>1</v>
      </c>
      <c r="Q2296" s="25">
        <f t="shared" ref="Q2296:Q2359" si="481">(L2296/L2051)-1</f>
        <v>5.9485449495222609E-2</v>
      </c>
      <c r="R2296" s="25">
        <f t="shared" si="478"/>
        <v>0.22387917434765114</v>
      </c>
      <c r="S2296" s="25">
        <f t="shared" si="475"/>
        <v>0.1501909747799075</v>
      </c>
      <c r="T2296" s="25">
        <f t="shared" si="472"/>
        <v>0.16862315098478375</v>
      </c>
      <c r="U2296" s="25">
        <f t="shared" si="469"/>
        <v>0.24968882671342607</v>
      </c>
      <c r="X2296">
        <f t="shared" ref="X2296:X2359" si="482">IF(E2296&gt;Q2296,1,0)</f>
        <v>1</v>
      </c>
      <c r="Y2296">
        <f t="shared" si="479"/>
        <v>1</v>
      </c>
      <c r="Z2296">
        <f t="shared" si="476"/>
        <v>1</v>
      </c>
      <c r="AA2296">
        <f t="shared" si="473"/>
        <v>0</v>
      </c>
      <c r="AB2296">
        <f t="shared" si="470"/>
        <v>0</v>
      </c>
    </row>
    <row r="2297" spans="1:28">
      <c r="A2297" s="27">
        <v>45779</v>
      </c>
      <c r="B2297" s="24">
        <v>1906.97</v>
      </c>
      <c r="C2297" s="25">
        <f t="shared" si="466"/>
        <v>-3.2501743037020056E-4</v>
      </c>
      <c r="E2297" s="25">
        <f t="shared" si="480"/>
        <v>0.1116700963618027</v>
      </c>
      <c r="F2297" s="25">
        <f t="shared" si="477"/>
        <v>0.24646658388931009</v>
      </c>
      <c r="G2297" s="25">
        <f t="shared" si="474"/>
        <v>0.16771801590567637</v>
      </c>
      <c r="H2297" s="25">
        <f t="shared" si="471"/>
        <v>0.16277624887273801</v>
      </c>
      <c r="I2297" s="25">
        <f t="shared" si="468"/>
        <v>0.25147587712901487</v>
      </c>
      <c r="K2297" s="29">
        <v>45779</v>
      </c>
      <c r="L2297" s="24">
        <v>34848.28</v>
      </c>
      <c r="M2297" s="25">
        <f t="shared" si="467"/>
        <v>-1.0847020283354849E-3</v>
      </c>
      <c r="O2297" t="b">
        <f t="shared" si="465"/>
        <v>1</v>
      </c>
      <c r="Q2297" s="25">
        <f t="shared" si="481"/>
        <v>5.3996310074705844E-2</v>
      </c>
      <c r="R2297" s="25">
        <f t="shared" si="478"/>
        <v>0.21993719285969826</v>
      </c>
      <c r="S2297" s="25">
        <f t="shared" si="475"/>
        <v>0.15315065860515653</v>
      </c>
      <c r="T2297" s="25">
        <f t="shared" si="472"/>
        <v>0.16564866913885035</v>
      </c>
      <c r="U2297" s="25">
        <f t="shared" si="469"/>
        <v>0.25184595919410002</v>
      </c>
      <c r="X2297">
        <f t="shared" si="482"/>
        <v>1</v>
      </c>
      <c r="Y2297">
        <f t="shared" si="479"/>
        <v>1</v>
      </c>
      <c r="Z2297">
        <f t="shared" si="476"/>
        <v>1</v>
      </c>
      <c r="AA2297">
        <f t="shared" si="473"/>
        <v>0</v>
      </c>
      <c r="AB2297">
        <f t="shared" si="470"/>
        <v>0</v>
      </c>
    </row>
    <row r="2298" spans="1:28">
      <c r="A2298" s="26">
        <v>45782</v>
      </c>
      <c r="B2298" s="23">
        <v>1920.28</v>
      </c>
      <c r="C2298" s="25">
        <f t="shared" si="466"/>
        <v>6.979658830500713E-3</v>
      </c>
      <c r="E2298" s="25">
        <f t="shared" si="480"/>
        <v>0.12590733726561676</v>
      </c>
      <c r="F2298" s="25">
        <f t="shared" si="477"/>
        <v>0.24588043360389955</v>
      </c>
      <c r="G2298" s="25">
        <f t="shared" si="474"/>
        <v>0.1728786194936498</v>
      </c>
      <c r="H2298" s="25">
        <f t="shared" si="471"/>
        <v>0.16211333078911183</v>
      </c>
      <c r="I2298" s="25">
        <f t="shared" si="468"/>
        <v>0.25028520298873325</v>
      </c>
      <c r="K2298" s="28">
        <v>45782</v>
      </c>
      <c r="L2298" s="23">
        <v>35147.86</v>
      </c>
      <c r="M2298" s="25">
        <f t="shared" si="467"/>
        <v>8.5234207715633829E-3</v>
      </c>
      <c r="O2298" t="b">
        <f t="shared" si="465"/>
        <v>1</v>
      </c>
      <c r="Q2298" s="25">
        <f t="shared" si="481"/>
        <v>6.9333541026878276E-2</v>
      </c>
      <c r="R2298" s="25">
        <f t="shared" si="478"/>
        <v>0.21924089097793154</v>
      </c>
      <c r="S2298" s="25">
        <f t="shared" si="475"/>
        <v>0.15767514392381465</v>
      </c>
      <c r="T2298" s="25">
        <f t="shared" si="472"/>
        <v>0.16606433045939384</v>
      </c>
      <c r="U2298" s="25">
        <f t="shared" si="469"/>
        <v>0.25225006371620462</v>
      </c>
      <c r="X2298">
        <f t="shared" si="482"/>
        <v>1</v>
      </c>
      <c r="Y2298">
        <f t="shared" si="479"/>
        <v>1</v>
      </c>
      <c r="Z2298">
        <f t="shared" si="476"/>
        <v>1</v>
      </c>
      <c r="AA2298">
        <f t="shared" si="473"/>
        <v>0</v>
      </c>
      <c r="AB2298">
        <f t="shared" si="470"/>
        <v>0</v>
      </c>
    </row>
    <row r="2299" spans="1:28">
      <c r="A2299" s="27">
        <v>45783</v>
      </c>
      <c r="B2299" s="24">
        <v>1902.49</v>
      </c>
      <c r="C2299" s="25">
        <f t="shared" si="466"/>
        <v>-9.2642739600474738E-3</v>
      </c>
      <c r="E2299" s="25">
        <f t="shared" si="480"/>
        <v>0.11735685717138367</v>
      </c>
      <c r="F2299" s="25">
        <f t="shared" si="477"/>
        <v>0.23931477863683992</v>
      </c>
      <c r="G2299" s="25">
        <f t="shared" si="474"/>
        <v>0.17873030441292759</v>
      </c>
      <c r="H2299" s="25">
        <f t="shared" si="471"/>
        <v>0.15873614271741454</v>
      </c>
      <c r="I2299" s="25">
        <f t="shared" si="468"/>
        <v>0.24989091990716239</v>
      </c>
      <c r="K2299" s="29">
        <v>45783</v>
      </c>
      <c r="L2299" s="24">
        <v>34770.1</v>
      </c>
      <c r="M2299" s="25">
        <f t="shared" si="467"/>
        <v>-1.0864507148383296E-2</v>
      </c>
      <c r="O2299" t="b">
        <f t="shared" si="465"/>
        <v>1</v>
      </c>
      <c r="Q2299" s="25">
        <f t="shared" si="481"/>
        <v>6.2636381973435684E-2</v>
      </c>
      <c r="R2299" s="25">
        <f t="shared" si="478"/>
        <v>0.20944822857099443</v>
      </c>
      <c r="S2299" s="25">
        <f t="shared" si="475"/>
        <v>0.16260149284036429</v>
      </c>
      <c r="T2299" s="25">
        <f t="shared" si="472"/>
        <v>0.16149954387890664</v>
      </c>
      <c r="U2299" s="25">
        <f t="shared" si="469"/>
        <v>0.25135619467134651</v>
      </c>
      <c r="X2299">
        <f t="shared" si="482"/>
        <v>1</v>
      </c>
      <c r="Y2299">
        <f t="shared" si="479"/>
        <v>1</v>
      </c>
      <c r="Z2299">
        <f t="shared" si="476"/>
        <v>1</v>
      </c>
      <c r="AA2299">
        <f t="shared" si="473"/>
        <v>0</v>
      </c>
      <c r="AB2299">
        <f t="shared" si="470"/>
        <v>0</v>
      </c>
    </row>
    <row r="2300" spans="1:28">
      <c r="A2300" s="26">
        <v>45784</v>
      </c>
      <c r="B2300" s="23">
        <v>1912.21</v>
      </c>
      <c r="C2300" s="25">
        <f t="shared" si="466"/>
        <v>5.109093871715503E-3</v>
      </c>
      <c r="E2300" s="25">
        <f t="shared" si="480"/>
        <v>0.13539526653920597</v>
      </c>
      <c r="F2300" s="25">
        <f t="shared" si="477"/>
        <v>0.2438933742317666</v>
      </c>
      <c r="G2300" s="25">
        <f t="shared" si="474"/>
        <v>0.1800202924449541</v>
      </c>
      <c r="H2300" s="25">
        <f t="shared" si="471"/>
        <v>0.15727738314107986</v>
      </c>
      <c r="I2300" s="25">
        <f t="shared" si="468"/>
        <v>0.25008498987879446</v>
      </c>
      <c r="K2300" s="28">
        <v>45784</v>
      </c>
      <c r="L2300" s="23">
        <v>34953.839999999997</v>
      </c>
      <c r="M2300" s="25">
        <f t="shared" si="467"/>
        <v>5.2566470522265362E-3</v>
      </c>
      <c r="O2300" t="b">
        <f t="shared" si="465"/>
        <v>1</v>
      </c>
      <c r="Q2300" s="25">
        <f t="shared" si="481"/>
        <v>7.9977531519829448E-2</v>
      </c>
      <c r="R2300" s="25">
        <f t="shared" si="478"/>
        <v>0.21360574499897966</v>
      </c>
      <c r="S2300" s="25">
        <f t="shared" si="475"/>
        <v>0.16457807295563387</v>
      </c>
      <c r="T2300" s="25">
        <f t="shared" si="472"/>
        <v>0.16057192042668422</v>
      </c>
      <c r="U2300" s="25">
        <f t="shared" si="469"/>
        <v>0.25164160641828048</v>
      </c>
      <c r="X2300">
        <f t="shared" si="482"/>
        <v>1</v>
      </c>
      <c r="Y2300">
        <f t="shared" si="479"/>
        <v>1</v>
      </c>
      <c r="Z2300">
        <f t="shared" si="476"/>
        <v>1</v>
      </c>
      <c r="AA2300">
        <f t="shared" si="473"/>
        <v>0</v>
      </c>
      <c r="AB2300">
        <f t="shared" si="470"/>
        <v>0</v>
      </c>
    </row>
    <row r="2301" spans="1:28">
      <c r="A2301" s="27">
        <v>45785</v>
      </c>
      <c r="B2301" s="24">
        <v>1894.22</v>
      </c>
      <c r="C2301" s="25">
        <f t="shared" si="466"/>
        <v>-9.4079625145773779E-3</v>
      </c>
      <c r="E2301" s="25">
        <f t="shared" si="480"/>
        <v>0.12046895703198945</v>
      </c>
      <c r="F2301" s="25">
        <f t="shared" si="477"/>
        <v>0.23211055867580743</v>
      </c>
      <c r="G2301" s="25">
        <f t="shared" si="474"/>
        <v>0.18398464573822193</v>
      </c>
      <c r="H2301" s="25">
        <f t="shared" si="471"/>
        <v>0.15494416479474737</v>
      </c>
      <c r="I2301" s="25">
        <f t="shared" si="468"/>
        <v>0.24872631269804613</v>
      </c>
      <c r="K2301" s="29">
        <v>45785</v>
      </c>
      <c r="L2301" s="24">
        <v>34590.6</v>
      </c>
      <c r="M2301" s="25">
        <f t="shared" si="467"/>
        <v>-1.0501118801061502E-2</v>
      </c>
      <c r="O2301" t="b">
        <f t="shared" si="465"/>
        <v>1</v>
      </c>
      <c r="Q2301" s="25">
        <f t="shared" si="481"/>
        <v>6.5199289509924485E-2</v>
      </c>
      <c r="R2301" s="25">
        <f t="shared" si="478"/>
        <v>0.20221290222028299</v>
      </c>
      <c r="S2301" s="25">
        <f t="shared" si="475"/>
        <v>0.16731995088414608</v>
      </c>
      <c r="T2301" s="25">
        <f t="shared" si="472"/>
        <v>0.15817016187336508</v>
      </c>
      <c r="U2301" s="25">
        <f t="shared" si="469"/>
        <v>0.24888381308438179</v>
      </c>
      <c r="X2301">
        <f t="shared" si="482"/>
        <v>1</v>
      </c>
      <c r="Y2301">
        <f t="shared" si="479"/>
        <v>1</v>
      </c>
      <c r="Z2301">
        <f t="shared" si="476"/>
        <v>1</v>
      </c>
      <c r="AA2301">
        <f t="shared" si="473"/>
        <v>0</v>
      </c>
      <c r="AB2301">
        <f t="shared" si="470"/>
        <v>0</v>
      </c>
    </row>
    <row r="2302" spans="1:28">
      <c r="A2302" s="26">
        <v>45786</v>
      </c>
      <c r="B2302" s="23">
        <v>1878.69</v>
      </c>
      <c r="C2302" s="25">
        <f t="shared" si="466"/>
        <v>-8.1986252916767706E-3</v>
      </c>
      <c r="E2302" s="25">
        <f t="shared" si="480"/>
        <v>0.12805778722484407</v>
      </c>
      <c r="F2302" s="25">
        <f t="shared" si="477"/>
        <v>0.2313993476239129</v>
      </c>
      <c r="G2302" s="25">
        <f t="shared" si="474"/>
        <v>0.18306666782645697</v>
      </c>
      <c r="H2302" s="25">
        <f t="shared" si="471"/>
        <v>0.1550403717265989</v>
      </c>
      <c r="I2302" s="25">
        <f t="shared" si="468"/>
        <v>0.24634852602374213</v>
      </c>
      <c r="K2302" s="28">
        <v>45786</v>
      </c>
      <c r="L2302" s="23">
        <v>34326.370000000003</v>
      </c>
      <c r="M2302" s="25">
        <f t="shared" si="467"/>
        <v>-7.6975806063966541E-3</v>
      </c>
      <c r="O2302" t="b">
        <f t="shared" si="465"/>
        <v>1</v>
      </c>
      <c r="Q2302" s="25">
        <f t="shared" si="481"/>
        <v>7.5774095516152107E-2</v>
      </c>
      <c r="R2302" s="25">
        <f t="shared" si="478"/>
        <v>0.20257554687911128</v>
      </c>
      <c r="S2302" s="25">
        <f t="shared" si="475"/>
        <v>0.16859612374296828</v>
      </c>
      <c r="T2302" s="25">
        <f t="shared" si="472"/>
        <v>0.15834785189444722</v>
      </c>
      <c r="U2302" s="25">
        <f t="shared" si="469"/>
        <v>0.24814430434102497</v>
      </c>
      <c r="X2302">
        <f t="shared" si="482"/>
        <v>1</v>
      </c>
      <c r="Y2302">
        <f t="shared" si="479"/>
        <v>1</v>
      </c>
      <c r="Z2302">
        <f t="shared" si="476"/>
        <v>1</v>
      </c>
      <c r="AA2302">
        <f t="shared" si="473"/>
        <v>0</v>
      </c>
      <c r="AB2302">
        <f t="shared" si="470"/>
        <v>0</v>
      </c>
    </row>
    <row r="2303" spans="1:28">
      <c r="A2303" s="27">
        <v>45789</v>
      </c>
      <c r="B2303" s="24">
        <v>1945.1</v>
      </c>
      <c r="C2303" s="25">
        <f t="shared" si="466"/>
        <v>3.5349099638577866E-2</v>
      </c>
      <c r="E2303" s="25">
        <f t="shared" si="480"/>
        <v>0.16205155778594249</v>
      </c>
      <c r="F2303" s="25">
        <f t="shared" si="477"/>
        <v>0.24580091342878907</v>
      </c>
      <c r="G2303" s="25">
        <f t="shared" si="474"/>
        <v>0.19979274859237717</v>
      </c>
      <c r="H2303" s="25">
        <f t="shared" si="471"/>
        <v>0.16786609788854356</v>
      </c>
      <c r="I2303" s="25">
        <f t="shared" si="468"/>
        <v>0.25092788552864032</v>
      </c>
      <c r="K2303" s="29">
        <v>45789</v>
      </c>
      <c r="L2303" s="24">
        <v>35650</v>
      </c>
      <c r="M2303" s="25">
        <f t="shared" si="467"/>
        <v>3.7128471248246774E-2</v>
      </c>
      <c r="O2303" t="b">
        <f t="shared" si="465"/>
        <v>1</v>
      </c>
      <c r="Q2303" s="25">
        <f t="shared" si="481"/>
        <v>0.10947792916955978</v>
      </c>
      <c r="R2303" s="25">
        <f t="shared" si="478"/>
        <v>0.21963024076107329</v>
      </c>
      <c r="S2303" s="25">
        <f t="shared" si="475"/>
        <v>0.1872791490248833</v>
      </c>
      <c r="T2303" s="25">
        <f t="shared" si="472"/>
        <v>0.1708955135695196</v>
      </c>
      <c r="U2303" s="25">
        <f t="shared" si="469"/>
        <v>0.25280630264600679</v>
      </c>
      <c r="X2303">
        <f t="shared" si="482"/>
        <v>1</v>
      </c>
      <c r="Y2303">
        <f t="shared" si="479"/>
        <v>1</v>
      </c>
      <c r="Z2303">
        <f t="shared" si="476"/>
        <v>1</v>
      </c>
      <c r="AA2303">
        <f t="shared" si="473"/>
        <v>0</v>
      </c>
      <c r="AB2303">
        <f t="shared" si="470"/>
        <v>0</v>
      </c>
    </row>
    <row r="2304" spans="1:28">
      <c r="A2304" s="26">
        <v>45790</v>
      </c>
      <c r="B2304" s="23">
        <v>1930.13</v>
      </c>
      <c r="C2304" s="25">
        <f t="shared" si="466"/>
        <v>-7.696262402961185E-3</v>
      </c>
      <c r="E2304" s="25">
        <f t="shared" si="480"/>
        <v>0.15072258126058236</v>
      </c>
      <c r="F2304" s="25">
        <f t="shared" si="477"/>
        <v>0.24159715823872818</v>
      </c>
      <c r="G2304" s="25">
        <f t="shared" si="474"/>
        <v>0.19850446237285002</v>
      </c>
      <c r="H2304" s="25">
        <f t="shared" si="471"/>
        <v>0.16200645287194582</v>
      </c>
      <c r="I2304" s="25">
        <f t="shared" si="468"/>
        <v>0.25371893823465985</v>
      </c>
      <c r="K2304" s="28">
        <v>45790</v>
      </c>
      <c r="L2304" s="23">
        <v>35393.94</v>
      </c>
      <c r="M2304" s="25">
        <f t="shared" si="467"/>
        <v>-7.2345717939284989E-3</v>
      </c>
      <c r="O2304" t="b">
        <f t="shared" si="465"/>
        <v>1</v>
      </c>
      <c r="Q2304" s="25">
        <f t="shared" si="481"/>
        <v>9.9259984402743529E-2</v>
      </c>
      <c r="R2304" s="25">
        <f t="shared" si="478"/>
        <v>0.21549741564134073</v>
      </c>
      <c r="S2304" s="25">
        <f t="shared" si="475"/>
        <v>0.18683601789463</v>
      </c>
      <c r="T2304" s="25">
        <f t="shared" si="472"/>
        <v>0.16414965225691835</v>
      </c>
      <c r="U2304" s="25">
        <f t="shared" si="469"/>
        <v>0.25603529217607202</v>
      </c>
      <c r="X2304">
        <f t="shared" si="482"/>
        <v>1</v>
      </c>
      <c r="Y2304">
        <f t="shared" si="479"/>
        <v>1</v>
      </c>
      <c r="Z2304">
        <f t="shared" si="476"/>
        <v>1</v>
      </c>
      <c r="AA2304">
        <f t="shared" si="473"/>
        <v>0</v>
      </c>
      <c r="AB2304">
        <f t="shared" si="470"/>
        <v>0</v>
      </c>
    </row>
    <row r="2305" spans="1:28">
      <c r="A2305" s="27">
        <v>45791</v>
      </c>
      <c r="B2305" s="24">
        <v>1940.76</v>
      </c>
      <c r="C2305" s="25">
        <f t="shared" si="466"/>
        <v>5.5074010558873654E-3</v>
      </c>
      <c r="E2305" s="25">
        <f t="shared" si="480"/>
        <v>0.15111003030860215</v>
      </c>
      <c r="F2305" s="25">
        <f t="shared" si="477"/>
        <v>0.24480268520333071</v>
      </c>
      <c r="G2305" s="25">
        <f t="shared" si="474"/>
        <v>0.20897763743428577</v>
      </c>
      <c r="H2305" s="25">
        <f t="shared" si="471"/>
        <v>0.16037488047300208</v>
      </c>
      <c r="I2305" s="25">
        <f t="shared" si="468"/>
        <v>0.25543550367552226</v>
      </c>
      <c r="K2305" s="29">
        <v>45791</v>
      </c>
      <c r="L2305" s="24">
        <v>35632.269999999997</v>
      </c>
      <c r="M2305" s="25">
        <f t="shared" si="467"/>
        <v>6.6885999685115348E-3</v>
      </c>
      <c r="O2305" t="b">
        <f t="shared" si="465"/>
        <v>1</v>
      </c>
      <c r="Q2305" s="25">
        <f t="shared" si="481"/>
        <v>9.7392204176476982E-2</v>
      </c>
      <c r="R2305" s="25">
        <f t="shared" si="478"/>
        <v>0.2177837191069445</v>
      </c>
      <c r="S2305" s="25">
        <f t="shared" si="475"/>
        <v>0.19819167153254802</v>
      </c>
      <c r="T2305" s="25">
        <f t="shared" si="472"/>
        <v>0.16229149067181825</v>
      </c>
      <c r="U2305" s="25">
        <f t="shared" si="469"/>
        <v>0.25807317748411229</v>
      </c>
      <c r="X2305">
        <f t="shared" si="482"/>
        <v>1</v>
      </c>
      <c r="Y2305">
        <f t="shared" si="479"/>
        <v>1</v>
      </c>
      <c r="Z2305">
        <f t="shared" si="476"/>
        <v>1</v>
      </c>
      <c r="AA2305">
        <f t="shared" si="473"/>
        <v>0</v>
      </c>
      <c r="AB2305">
        <f t="shared" si="470"/>
        <v>0</v>
      </c>
    </row>
    <row r="2306" spans="1:28">
      <c r="A2306" s="26">
        <v>45792</v>
      </c>
      <c r="B2306" s="23">
        <v>1966.22</v>
      </c>
      <c r="C2306" s="25">
        <f t="shared" si="466"/>
        <v>1.3118572105773016E-2</v>
      </c>
      <c r="E2306" s="25">
        <f t="shared" si="480"/>
        <v>0.16349886385154333</v>
      </c>
      <c r="F2306" s="25">
        <f t="shared" si="477"/>
        <v>0.2520816664426786</v>
      </c>
      <c r="G2306" s="25">
        <f t="shared" si="474"/>
        <v>0.2145437141565516</v>
      </c>
      <c r="H2306" s="25">
        <f t="shared" si="471"/>
        <v>0.16507176534351609</v>
      </c>
      <c r="I2306" s="25">
        <f t="shared" si="468"/>
        <v>0.26883476515998161</v>
      </c>
      <c r="K2306" s="28">
        <v>45792</v>
      </c>
      <c r="L2306" s="23">
        <v>36090.629999999997</v>
      </c>
      <c r="M2306" s="25">
        <f t="shared" si="467"/>
        <v>1.2700249344497467E-2</v>
      </c>
      <c r="O2306" t="b">
        <f t="shared" si="465"/>
        <v>1</v>
      </c>
      <c r="Q2306" s="25">
        <f t="shared" si="481"/>
        <v>0.1083842012095273</v>
      </c>
      <c r="R2306" s="25">
        <f t="shared" si="478"/>
        <v>0.22487724035746259</v>
      </c>
      <c r="S2306" s="25">
        <f t="shared" si="475"/>
        <v>0.20312068944370143</v>
      </c>
      <c r="T2306" s="25">
        <f t="shared" si="472"/>
        <v>0.1666954624276229</v>
      </c>
      <c r="U2306" s="25">
        <f t="shared" si="469"/>
        <v>0.27017779518025176</v>
      </c>
      <c r="X2306">
        <f t="shared" si="482"/>
        <v>1</v>
      </c>
      <c r="Y2306">
        <f t="shared" si="479"/>
        <v>1</v>
      </c>
      <c r="Z2306">
        <f t="shared" si="476"/>
        <v>1</v>
      </c>
      <c r="AA2306">
        <f t="shared" si="473"/>
        <v>0</v>
      </c>
      <c r="AB2306">
        <f t="shared" si="470"/>
        <v>0</v>
      </c>
    </row>
    <row r="2307" spans="1:28">
      <c r="A2307" s="27">
        <v>45793</v>
      </c>
      <c r="B2307" s="24">
        <v>1971.01</v>
      </c>
      <c r="C2307" s="25">
        <f t="shared" si="466"/>
        <v>2.4361465146321183E-3</v>
      </c>
      <c r="E2307" s="25">
        <f t="shared" si="480"/>
        <v>0.15236786716557527</v>
      </c>
      <c r="F2307" s="25">
        <f t="shared" si="477"/>
        <v>0.2524280867823423</v>
      </c>
      <c r="G2307" s="25">
        <f t="shared" si="474"/>
        <v>0.2127984075418996</v>
      </c>
      <c r="H2307" s="25">
        <f t="shared" si="471"/>
        <v>0.16711178847752106</v>
      </c>
      <c r="I2307" s="25">
        <f t="shared" si="468"/>
        <v>0.26625772784664181</v>
      </c>
      <c r="K2307" s="29">
        <v>45793</v>
      </c>
      <c r="L2307" s="24">
        <v>36232.61</v>
      </c>
      <c r="M2307" s="25">
        <f t="shared" si="467"/>
        <v>3.9185694875418361E-3</v>
      </c>
      <c r="O2307" t="b">
        <f t="shared" ref="O2307:O2370" si="483">K2307=A2307</f>
        <v>1</v>
      </c>
      <c r="Q2307" s="25">
        <f t="shared" si="481"/>
        <v>0.10260619922534042</v>
      </c>
      <c r="R2307" s="25">
        <f t="shared" si="478"/>
        <v>0.22754524761481076</v>
      </c>
      <c r="S2307" s="25">
        <f t="shared" si="475"/>
        <v>0.20173921160596331</v>
      </c>
      <c r="T2307" s="25">
        <f t="shared" si="472"/>
        <v>0.16950123195251821</v>
      </c>
      <c r="U2307" s="25">
        <f t="shared" si="469"/>
        <v>0.26979298750664849</v>
      </c>
      <c r="X2307">
        <f t="shared" si="482"/>
        <v>1</v>
      </c>
      <c r="Y2307">
        <f t="shared" si="479"/>
        <v>1</v>
      </c>
      <c r="Z2307">
        <f t="shared" si="476"/>
        <v>1</v>
      </c>
      <c r="AA2307">
        <f t="shared" si="473"/>
        <v>0</v>
      </c>
      <c r="AB2307">
        <f t="shared" si="470"/>
        <v>0</v>
      </c>
    </row>
    <row r="2308" spans="1:28">
      <c r="A2308" s="26">
        <v>45796</v>
      </c>
      <c r="B2308" s="23">
        <v>1968.7</v>
      </c>
      <c r="C2308" s="25">
        <f t="shared" ref="C2308:C2371" si="484">(B2308-B2307)/B2307</f>
        <v>-1.1719879655607761E-3</v>
      </c>
      <c r="E2308" s="25">
        <f t="shared" si="480"/>
        <v>0.14564541846580004</v>
      </c>
      <c r="F2308" s="25">
        <f t="shared" si="477"/>
        <v>0.24906748907548026</v>
      </c>
      <c r="G2308" s="25">
        <f t="shared" si="474"/>
        <v>0.20330577391058702</v>
      </c>
      <c r="H2308" s="25">
        <f t="shared" si="471"/>
        <v>0.16310808478420769</v>
      </c>
      <c r="I2308" s="25">
        <f t="shared" si="468"/>
        <v>0.26130790783936919</v>
      </c>
      <c r="K2308" s="28">
        <v>45796</v>
      </c>
      <c r="L2308" s="23">
        <v>36224.519999999997</v>
      </c>
      <c r="M2308" s="25">
        <f t="shared" ref="M2308:M2371" si="485">(L2308-L2307)/L2308</f>
        <v>-2.2332939125221767E-4</v>
      </c>
      <c r="O2308" t="b">
        <f t="shared" si="483"/>
        <v>1</v>
      </c>
      <c r="Q2308" s="25">
        <f t="shared" si="481"/>
        <v>9.5268949915688017E-2</v>
      </c>
      <c r="R2308" s="25">
        <f t="shared" si="478"/>
        <v>0.22454890594407395</v>
      </c>
      <c r="S2308" s="25">
        <f t="shared" si="475"/>
        <v>0.19135332478752565</v>
      </c>
      <c r="T2308" s="25">
        <f t="shared" si="472"/>
        <v>0.1653090881943069</v>
      </c>
      <c r="U2308" s="25">
        <f t="shared" si="469"/>
        <v>0.26483097430691749</v>
      </c>
      <c r="X2308">
        <f t="shared" si="482"/>
        <v>1</v>
      </c>
      <c r="Y2308">
        <f t="shared" si="479"/>
        <v>1</v>
      </c>
      <c r="Z2308">
        <f t="shared" si="476"/>
        <v>1</v>
      </c>
      <c r="AA2308">
        <f t="shared" si="473"/>
        <v>0</v>
      </c>
      <c r="AB2308">
        <f t="shared" si="470"/>
        <v>0</v>
      </c>
    </row>
    <row r="2309" spans="1:28">
      <c r="A2309" s="27">
        <v>45797</v>
      </c>
      <c r="B2309" s="24">
        <v>1946.94</v>
      </c>
      <c r="C2309" s="25">
        <f t="shared" si="484"/>
        <v>-1.1052979123279317E-2</v>
      </c>
      <c r="E2309" s="25">
        <f t="shared" si="480"/>
        <v>0.1294269156471346</v>
      </c>
      <c r="F2309" s="25">
        <f t="shared" si="477"/>
        <v>0.24331842694265871</v>
      </c>
      <c r="G2309" s="25">
        <f t="shared" si="474"/>
        <v>0.19979110483087115</v>
      </c>
      <c r="H2309" s="25">
        <f t="shared" si="471"/>
        <v>0.15886670657327873</v>
      </c>
      <c r="I2309" s="25">
        <f t="shared" si="468"/>
        <v>0.2574365795208573</v>
      </c>
      <c r="K2309" s="29">
        <v>45797</v>
      </c>
      <c r="L2309" s="24">
        <v>35780.620000000003</v>
      </c>
      <c r="M2309" s="25">
        <f t="shared" si="485"/>
        <v>-1.2406157299677707E-2</v>
      </c>
      <c r="O2309" t="b">
        <f t="shared" si="483"/>
        <v>1</v>
      </c>
      <c r="Q2309" s="25">
        <f t="shared" si="481"/>
        <v>7.5561872142618558E-2</v>
      </c>
      <c r="R2309" s="25">
        <f t="shared" si="478"/>
        <v>0.21844758069316672</v>
      </c>
      <c r="S2309" s="25">
        <f t="shared" si="475"/>
        <v>0.18668951532338984</v>
      </c>
      <c r="T2309" s="25">
        <f t="shared" si="472"/>
        <v>0.16072149206096653</v>
      </c>
      <c r="U2309" s="25">
        <f t="shared" si="469"/>
        <v>0.26023450531854286</v>
      </c>
      <c r="X2309">
        <f t="shared" si="482"/>
        <v>1</v>
      </c>
      <c r="Y2309">
        <f t="shared" si="479"/>
        <v>1</v>
      </c>
      <c r="Z2309">
        <f t="shared" si="476"/>
        <v>1</v>
      </c>
      <c r="AA2309">
        <f t="shared" si="473"/>
        <v>0</v>
      </c>
      <c r="AB2309">
        <f t="shared" si="470"/>
        <v>0</v>
      </c>
    </row>
    <row r="2310" spans="1:28">
      <c r="A2310" s="26">
        <v>45798</v>
      </c>
      <c r="B2310" s="23">
        <v>1956.24</v>
      </c>
      <c r="C2310" s="25">
        <f t="shared" si="484"/>
        <v>4.7767265555178663E-3</v>
      </c>
      <c r="E2310" s="25">
        <f t="shared" si="480"/>
        <v>0.13415079572136723</v>
      </c>
      <c r="F2310" s="25">
        <f t="shared" si="477"/>
        <v>0.24928854352284113</v>
      </c>
      <c r="G2310" s="25">
        <f t="shared" si="474"/>
        <v>0.21362911100708915</v>
      </c>
      <c r="H2310" s="25">
        <f t="shared" si="471"/>
        <v>0.15986152204187776</v>
      </c>
      <c r="I2310" s="25">
        <f t="shared" si="468"/>
        <v>0.26077625800720794</v>
      </c>
      <c r="K2310" s="28">
        <v>45798</v>
      </c>
      <c r="L2310" s="23">
        <v>36010.699999999997</v>
      </c>
      <c r="M2310" s="25">
        <f t="shared" si="485"/>
        <v>6.389212095293746E-3</v>
      </c>
      <c r="O2310" t="b">
        <f t="shared" si="483"/>
        <v>1</v>
      </c>
      <c r="Q2310" s="25">
        <f t="shared" si="481"/>
        <v>7.9548690866553917E-2</v>
      </c>
      <c r="R2310" s="25">
        <f t="shared" si="478"/>
        <v>0.22497408201796221</v>
      </c>
      <c r="S2310" s="25">
        <f t="shared" si="475"/>
        <v>0.1998776702006424</v>
      </c>
      <c r="T2310" s="25">
        <f t="shared" si="472"/>
        <v>0.1625083603822417</v>
      </c>
      <c r="U2310" s="25">
        <f t="shared" si="469"/>
        <v>0.26370308499611128</v>
      </c>
      <c r="X2310">
        <f t="shared" si="482"/>
        <v>1</v>
      </c>
      <c r="Y2310">
        <f t="shared" si="479"/>
        <v>1</v>
      </c>
      <c r="Z2310">
        <f t="shared" si="476"/>
        <v>1</v>
      </c>
      <c r="AA2310">
        <f t="shared" si="473"/>
        <v>0</v>
      </c>
      <c r="AB2310">
        <f t="shared" si="470"/>
        <v>0</v>
      </c>
    </row>
    <row r="2311" spans="1:28">
      <c r="A2311" s="27">
        <v>45799</v>
      </c>
      <c r="B2311" s="24">
        <v>1946.63</v>
      </c>
      <c r="C2311" s="25">
        <f t="shared" si="484"/>
        <v>-4.9124851756430195E-3</v>
      </c>
      <c r="E2311" s="25">
        <f t="shared" si="480"/>
        <v>0.1176031553746435</v>
      </c>
      <c r="F2311" s="25">
        <f t="shared" si="477"/>
        <v>0.24643997706402931</v>
      </c>
      <c r="G2311" s="25">
        <f t="shared" si="474"/>
        <v>0.20170278729868474</v>
      </c>
      <c r="H2311" s="25">
        <f t="shared" si="471"/>
        <v>0.15723456811548009</v>
      </c>
      <c r="I2311" s="25">
        <f t="shared" si="468"/>
        <v>0.25953100573806798</v>
      </c>
      <c r="K2311" s="29">
        <v>45799</v>
      </c>
      <c r="L2311" s="24">
        <v>35797.03</v>
      </c>
      <c r="M2311" s="25">
        <f t="shared" si="485"/>
        <v>-5.9689309420362041E-3</v>
      </c>
      <c r="O2311" t="b">
        <f t="shared" si="483"/>
        <v>1</v>
      </c>
      <c r="Q2311" s="25">
        <f t="shared" si="481"/>
        <v>6.0568837961559874E-2</v>
      </c>
      <c r="R2311" s="25">
        <f t="shared" si="478"/>
        <v>0.22390527871000954</v>
      </c>
      <c r="S2311" s="25">
        <f t="shared" si="475"/>
        <v>0.18752851091569012</v>
      </c>
      <c r="T2311" s="25">
        <f t="shared" si="472"/>
        <v>0.15945835651630014</v>
      </c>
      <c r="U2311" s="25">
        <f t="shared" si="469"/>
        <v>0.26191134710319641</v>
      </c>
      <c r="X2311">
        <f t="shared" si="482"/>
        <v>1</v>
      </c>
      <c r="Y2311">
        <f t="shared" si="479"/>
        <v>1</v>
      </c>
      <c r="Z2311">
        <f t="shared" si="476"/>
        <v>1</v>
      </c>
      <c r="AA2311">
        <f t="shared" si="473"/>
        <v>0</v>
      </c>
      <c r="AB2311">
        <f t="shared" si="470"/>
        <v>0</v>
      </c>
    </row>
    <row r="2312" spans="1:28">
      <c r="A2312" s="26">
        <v>45800</v>
      </c>
      <c r="B2312" s="23">
        <v>1961.09</v>
      </c>
      <c r="C2312" s="25">
        <f t="shared" si="484"/>
        <v>7.4282221069231482E-3</v>
      </c>
      <c r="E2312" s="25">
        <f t="shared" si="480"/>
        <v>0.12526538059881331</v>
      </c>
      <c r="F2312" s="25">
        <f t="shared" si="477"/>
        <v>0.24833394473194814</v>
      </c>
      <c r="G2312" s="25">
        <f t="shared" si="474"/>
        <v>0.20689141261694277</v>
      </c>
      <c r="H2312" s="25">
        <f t="shared" si="471"/>
        <v>0.15878293330676918</v>
      </c>
      <c r="I2312" s="25">
        <f t="shared" si="468"/>
        <v>0.25583869146368632</v>
      </c>
      <c r="K2312" s="28">
        <v>45800</v>
      </c>
      <c r="L2312" s="23">
        <v>36092.879999999997</v>
      </c>
      <c r="M2312" s="25">
        <f t="shared" si="485"/>
        <v>8.1969075341174931E-3</v>
      </c>
      <c r="O2312" t="b">
        <f t="shared" si="483"/>
        <v>1</v>
      </c>
      <c r="Q2312" s="25">
        <f t="shared" si="481"/>
        <v>6.9593604642892437E-2</v>
      </c>
      <c r="R2312" s="25">
        <f t="shared" si="478"/>
        <v>0.22707430888139046</v>
      </c>
      <c r="S2312" s="25">
        <f t="shared" si="475"/>
        <v>0.19248212792011388</v>
      </c>
      <c r="T2312" s="25">
        <f t="shared" si="472"/>
        <v>0.16086659686108806</v>
      </c>
      <c r="U2312" s="25">
        <f t="shared" si="469"/>
        <v>0.25824509597567835</v>
      </c>
      <c r="X2312">
        <f t="shared" si="482"/>
        <v>1</v>
      </c>
      <c r="Y2312">
        <f t="shared" si="479"/>
        <v>1</v>
      </c>
      <c r="Z2312">
        <f t="shared" si="476"/>
        <v>1</v>
      </c>
      <c r="AA2312">
        <f t="shared" si="473"/>
        <v>0</v>
      </c>
      <c r="AB2312">
        <f t="shared" si="470"/>
        <v>0</v>
      </c>
    </row>
    <row r="2313" spans="1:28">
      <c r="A2313" s="27">
        <v>45803</v>
      </c>
      <c r="B2313" s="24">
        <v>1970.13</v>
      </c>
      <c r="C2313" s="25">
        <f t="shared" si="484"/>
        <v>4.609681350677527E-3</v>
      </c>
      <c r="E2313" s="25">
        <f t="shared" si="480"/>
        <v>0.12939618552977805</v>
      </c>
      <c r="F2313" s="25">
        <f t="shared" si="477"/>
        <v>0.24811235664559361</v>
      </c>
      <c r="G2313" s="25">
        <f t="shared" si="474"/>
        <v>0.21156247742256684</v>
      </c>
      <c r="H2313" s="25">
        <f t="shared" si="471"/>
        <v>0.160081373328266</v>
      </c>
      <c r="I2313" s="25">
        <f t="shared" si="468"/>
        <v>0.25307497123495981</v>
      </c>
      <c r="K2313" s="29">
        <v>45803</v>
      </c>
      <c r="L2313" s="24">
        <v>36294.53</v>
      </c>
      <c r="M2313" s="25">
        <f t="shared" si="485"/>
        <v>5.5559336351786743E-3</v>
      </c>
      <c r="O2313" t="b">
        <f t="shared" si="483"/>
        <v>1</v>
      </c>
      <c r="Q2313" s="25">
        <f t="shared" si="481"/>
        <v>7.5105830943602347E-2</v>
      </c>
      <c r="R2313" s="25">
        <f t="shared" si="478"/>
        <v>0.22666455088460813</v>
      </c>
      <c r="S2313" s="25">
        <f t="shared" si="475"/>
        <v>0.19725838396271222</v>
      </c>
      <c r="T2313" s="25">
        <f t="shared" si="472"/>
        <v>0.1613472799290383</v>
      </c>
      <c r="U2313" s="25">
        <f t="shared" si="469"/>
        <v>0.25516260978115923</v>
      </c>
      <c r="X2313">
        <f t="shared" si="482"/>
        <v>1</v>
      </c>
      <c r="Y2313">
        <f t="shared" si="479"/>
        <v>1</v>
      </c>
      <c r="Z2313">
        <f t="shared" si="476"/>
        <v>1</v>
      </c>
      <c r="AA2313">
        <f t="shared" si="473"/>
        <v>0</v>
      </c>
      <c r="AB2313">
        <f t="shared" si="470"/>
        <v>0</v>
      </c>
    </row>
    <row r="2314" spans="1:28">
      <c r="A2314" s="26">
        <v>45804</v>
      </c>
      <c r="B2314" s="23">
        <v>1962.73</v>
      </c>
      <c r="C2314" s="25">
        <f t="shared" si="484"/>
        <v>-3.7560973133753056E-3</v>
      </c>
      <c r="E2314" s="25">
        <f t="shared" si="480"/>
        <v>0.12761043542206485</v>
      </c>
      <c r="F2314" s="25">
        <f t="shared" si="477"/>
        <v>0.2455297959997782</v>
      </c>
      <c r="G2314" s="25">
        <f t="shared" si="474"/>
        <v>0.21345992434586547</v>
      </c>
      <c r="H2314" s="25">
        <f t="shared" si="471"/>
        <v>0.15650008639178159</v>
      </c>
      <c r="I2314" s="25">
        <f t="shared" si="468"/>
        <v>0.24914943301129711</v>
      </c>
      <c r="K2314" s="28">
        <v>45804</v>
      </c>
      <c r="L2314" s="23">
        <v>36149.56</v>
      </c>
      <c r="M2314" s="25">
        <f t="shared" si="485"/>
        <v>-4.0102839425985035E-3</v>
      </c>
      <c r="O2314" t="b">
        <f t="shared" si="483"/>
        <v>1</v>
      </c>
      <c r="Q2314" s="25">
        <f t="shared" si="481"/>
        <v>7.6098504547204016E-2</v>
      </c>
      <c r="R2314" s="25">
        <f t="shared" si="478"/>
        <v>0.22260681469936894</v>
      </c>
      <c r="S2314" s="25">
        <f t="shared" si="475"/>
        <v>0.20013223367891353</v>
      </c>
      <c r="T2314" s="25">
        <f t="shared" si="472"/>
        <v>0.15750034895521559</v>
      </c>
      <c r="U2314" s="25">
        <f t="shared" si="469"/>
        <v>0.25109946935964356</v>
      </c>
      <c r="X2314">
        <f t="shared" si="482"/>
        <v>1</v>
      </c>
      <c r="Y2314">
        <f t="shared" si="479"/>
        <v>1</v>
      </c>
      <c r="Z2314">
        <f t="shared" si="476"/>
        <v>1</v>
      </c>
      <c r="AA2314">
        <f t="shared" si="473"/>
        <v>0</v>
      </c>
      <c r="AB2314">
        <f t="shared" si="470"/>
        <v>0</v>
      </c>
    </row>
    <row r="2315" spans="1:28">
      <c r="A2315" s="27">
        <v>45805</v>
      </c>
      <c r="B2315" s="24">
        <v>1958.89</v>
      </c>
      <c r="C2315" s="25">
        <f t="shared" si="484"/>
        <v>-1.9564586061251001E-3</v>
      </c>
      <c r="E2315" s="25">
        <f t="shared" si="480"/>
        <v>0.13207078295845953</v>
      </c>
      <c r="F2315" s="25">
        <f t="shared" si="477"/>
        <v>0.24571465252847924</v>
      </c>
      <c r="G2315" s="25">
        <f t="shared" si="474"/>
        <v>0.20777670135671666</v>
      </c>
      <c r="H2315" s="25">
        <f t="shared" si="471"/>
        <v>0.15691324778444704</v>
      </c>
      <c r="I2315" s="25">
        <f t="shared" si="468"/>
        <v>0.24350820411633523</v>
      </c>
      <c r="K2315" s="29">
        <v>45805</v>
      </c>
      <c r="L2315" s="24">
        <v>36105.43</v>
      </c>
      <c r="M2315" s="25">
        <f t="shared" si="485"/>
        <v>-1.2222538271943412E-3</v>
      </c>
      <c r="O2315" t="b">
        <f t="shared" si="483"/>
        <v>1</v>
      </c>
      <c r="Q2315" s="25">
        <f t="shared" si="481"/>
        <v>8.1409826530211893E-2</v>
      </c>
      <c r="R2315" s="25">
        <f t="shared" si="478"/>
        <v>0.22298653600207197</v>
      </c>
      <c r="S2315" s="25">
        <f t="shared" si="475"/>
        <v>0.19549682236550958</v>
      </c>
      <c r="T2315" s="25">
        <f t="shared" si="472"/>
        <v>0.15749640948352317</v>
      </c>
      <c r="U2315" s="25">
        <f t="shared" si="469"/>
        <v>0.24455662542072831</v>
      </c>
      <c r="X2315">
        <f t="shared" si="482"/>
        <v>1</v>
      </c>
      <c r="Y2315">
        <f t="shared" si="479"/>
        <v>1</v>
      </c>
      <c r="Z2315">
        <f t="shared" si="476"/>
        <v>1</v>
      </c>
      <c r="AA2315">
        <f t="shared" si="473"/>
        <v>0</v>
      </c>
      <c r="AB2315">
        <f t="shared" si="470"/>
        <v>0</v>
      </c>
    </row>
    <row r="2316" spans="1:28">
      <c r="A2316" s="26">
        <v>45806</v>
      </c>
      <c r="B2316" s="23">
        <v>1968.03</v>
      </c>
      <c r="C2316" s="25">
        <f t="shared" si="484"/>
        <v>4.6659077334612314E-3</v>
      </c>
      <c r="E2316" s="25">
        <f t="shared" si="480"/>
        <v>0.15004061311189942</v>
      </c>
      <c r="F2316" s="25">
        <f t="shared" si="477"/>
        <v>0.24722511428897898</v>
      </c>
      <c r="G2316" s="25">
        <f t="shared" si="474"/>
        <v>0.20396181032781047</v>
      </c>
      <c r="H2316" s="25">
        <f t="shared" si="471"/>
        <v>0.15757555334444517</v>
      </c>
      <c r="I2316" s="25">
        <f t="shared" si="468"/>
        <v>0.24176981688630539</v>
      </c>
      <c r="K2316" s="28">
        <v>45806</v>
      </c>
      <c r="L2316" s="23">
        <v>36236.36</v>
      </c>
      <c r="M2316" s="25">
        <f t="shared" si="485"/>
        <v>3.6132216370518533E-3</v>
      </c>
      <c r="O2316" t="b">
        <f t="shared" si="483"/>
        <v>1</v>
      </c>
      <c r="Q2316" s="25">
        <f t="shared" si="481"/>
        <v>9.6565896945739249E-2</v>
      </c>
      <c r="R2316" s="25">
        <f t="shared" si="478"/>
        <v>0.22364881350406374</v>
      </c>
      <c r="S2316" s="25">
        <f t="shared" si="475"/>
        <v>0.19259157411512029</v>
      </c>
      <c r="T2316" s="25">
        <f t="shared" si="472"/>
        <v>0.157148894051093</v>
      </c>
      <c r="U2316" s="25">
        <f t="shared" si="469"/>
        <v>0.24184511650555351</v>
      </c>
      <c r="X2316">
        <f t="shared" si="482"/>
        <v>1</v>
      </c>
      <c r="Y2316">
        <f t="shared" si="479"/>
        <v>1</v>
      </c>
      <c r="Z2316">
        <f t="shared" si="476"/>
        <v>1</v>
      </c>
      <c r="AA2316">
        <f t="shared" si="473"/>
        <v>1</v>
      </c>
      <c r="AB2316">
        <f t="shared" si="470"/>
        <v>0</v>
      </c>
    </row>
    <row r="2317" spans="1:28">
      <c r="A2317" s="27">
        <v>45807</v>
      </c>
      <c r="B2317" s="24">
        <v>1965.1</v>
      </c>
      <c r="C2317" s="25">
        <f t="shared" si="484"/>
        <v>-1.4887984431131963E-3</v>
      </c>
      <c r="E2317" s="25">
        <f t="shared" si="480"/>
        <v>0.14631215437384792</v>
      </c>
      <c r="F2317" s="25">
        <f t="shared" si="477"/>
        <v>0.24002459502209961</v>
      </c>
      <c r="G2317" s="25">
        <f t="shared" si="474"/>
        <v>0.19614198311635733</v>
      </c>
      <c r="H2317" s="25">
        <f t="shared" si="471"/>
        <v>0.15537498148549789</v>
      </c>
      <c r="I2317" s="25">
        <f t="shared" si="468"/>
        <v>0.23990782959612122</v>
      </c>
      <c r="K2317" s="29">
        <v>45807</v>
      </c>
      <c r="L2317" s="24">
        <v>36160.26</v>
      </c>
      <c r="M2317" s="25">
        <f t="shared" si="485"/>
        <v>-2.1045202661706124E-3</v>
      </c>
      <c r="O2317" t="b">
        <f t="shared" si="483"/>
        <v>1</v>
      </c>
      <c r="Q2317" s="25">
        <f t="shared" si="481"/>
        <v>9.0208693869429313E-2</v>
      </c>
      <c r="R2317" s="25">
        <f t="shared" si="478"/>
        <v>0.21684235292385612</v>
      </c>
      <c r="S2317" s="25">
        <f t="shared" si="475"/>
        <v>0.18379530462100813</v>
      </c>
      <c r="T2317" s="25">
        <f t="shared" si="472"/>
        <v>0.15419026554788973</v>
      </c>
      <c r="U2317" s="25">
        <f t="shared" si="469"/>
        <v>0.23930538747408803</v>
      </c>
      <c r="X2317">
        <f t="shared" si="482"/>
        <v>1</v>
      </c>
      <c r="Y2317">
        <f t="shared" si="479"/>
        <v>1</v>
      </c>
      <c r="Z2317">
        <f t="shared" si="476"/>
        <v>1</v>
      </c>
      <c r="AA2317">
        <f t="shared" si="473"/>
        <v>1</v>
      </c>
      <c r="AB2317">
        <f t="shared" si="470"/>
        <v>1</v>
      </c>
    </row>
    <row r="2318" spans="1:28">
      <c r="A2318" s="26">
        <v>45810</v>
      </c>
      <c r="B2318" s="23">
        <v>1967.19</v>
      </c>
      <c r="C2318" s="25">
        <f t="shared" si="484"/>
        <v>1.0635591064068728E-3</v>
      </c>
      <c r="E2318" s="25">
        <f t="shared" si="480"/>
        <v>0.11760729016350591</v>
      </c>
      <c r="F2318" s="25">
        <f t="shared" si="477"/>
        <v>0.23730469203173921</v>
      </c>
      <c r="G2318" s="25">
        <f t="shared" si="474"/>
        <v>0.19817151449856918</v>
      </c>
      <c r="H2318" s="25">
        <f t="shared" si="471"/>
        <v>0.15521095900722104</v>
      </c>
      <c r="I2318" s="25">
        <f t="shared" si="468"/>
        <v>0.23992747634377576</v>
      </c>
      <c r="K2318" s="28">
        <v>45810</v>
      </c>
      <c r="L2318" s="23">
        <v>36211.9</v>
      </c>
      <c r="M2318" s="25">
        <f t="shared" si="485"/>
        <v>1.4260505524426891E-3</v>
      </c>
      <c r="O2318" t="b">
        <f t="shared" si="483"/>
        <v>1</v>
      </c>
      <c r="Q2318" s="25">
        <f t="shared" si="481"/>
        <v>5.6997519791028628E-2</v>
      </c>
      <c r="R2318" s="25">
        <f t="shared" si="478"/>
        <v>0.21478727664627151</v>
      </c>
      <c r="S2318" s="25">
        <f t="shared" si="475"/>
        <v>0.18492835740999225</v>
      </c>
      <c r="T2318" s="25">
        <f t="shared" si="472"/>
        <v>0.1543114689818581</v>
      </c>
      <c r="U2318" s="25">
        <f t="shared" si="469"/>
        <v>0.2401765437259713</v>
      </c>
      <c r="X2318">
        <f t="shared" si="482"/>
        <v>1</v>
      </c>
      <c r="Y2318">
        <f t="shared" si="479"/>
        <v>1</v>
      </c>
      <c r="Z2318">
        <f t="shared" si="476"/>
        <v>1</v>
      </c>
      <c r="AA2318">
        <f t="shared" si="473"/>
        <v>1</v>
      </c>
      <c r="AB2318">
        <f t="shared" si="470"/>
        <v>0</v>
      </c>
    </row>
    <row r="2319" spans="1:28">
      <c r="A2319" s="27">
        <v>45811</v>
      </c>
      <c r="B2319" s="24">
        <v>1961.87</v>
      </c>
      <c r="C2319" s="25">
        <f t="shared" si="484"/>
        <v>-2.7043651096234547E-3</v>
      </c>
      <c r="E2319" s="25">
        <f t="shared" si="480"/>
        <v>0.18147929564232879</v>
      </c>
      <c r="F2319" s="25">
        <f t="shared" si="477"/>
        <v>0.2351787921273909</v>
      </c>
      <c r="G2319" s="25">
        <f t="shared" si="474"/>
        <v>0.19940919543862945</v>
      </c>
      <c r="H2319" s="25">
        <f t="shared" si="471"/>
        <v>0.15175352878199089</v>
      </c>
      <c r="I2319" s="25">
        <f t="shared" si="468"/>
        <v>0.23541853364486487</v>
      </c>
      <c r="K2319" s="29">
        <v>45811</v>
      </c>
      <c r="L2319" s="24">
        <v>36024.39</v>
      </c>
      <c r="M2319" s="25">
        <f t="shared" si="485"/>
        <v>-5.2050846662497832E-3</v>
      </c>
      <c r="O2319" t="b">
        <f t="shared" si="483"/>
        <v>1</v>
      </c>
      <c r="Q2319" s="25">
        <f t="shared" si="481"/>
        <v>0.12730448094298996</v>
      </c>
      <c r="R2319" s="25">
        <f t="shared" si="478"/>
        <v>0.21059703109433681</v>
      </c>
      <c r="S2319" s="25">
        <f t="shared" si="475"/>
        <v>0.18390177451531464</v>
      </c>
      <c r="T2319" s="25">
        <f t="shared" si="472"/>
        <v>0.15097624476804583</v>
      </c>
      <c r="U2319" s="25">
        <f t="shared" si="469"/>
        <v>0.23548435779907773</v>
      </c>
      <c r="X2319">
        <f t="shared" si="482"/>
        <v>1</v>
      </c>
      <c r="Y2319">
        <f t="shared" si="479"/>
        <v>1</v>
      </c>
      <c r="Z2319">
        <f t="shared" si="476"/>
        <v>1</v>
      </c>
      <c r="AA2319">
        <f t="shared" si="473"/>
        <v>1</v>
      </c>
      <c r="AB2319">
        <f t="shared" si="470"/>
        <v>0</v>
      </c>
    </row>
    <row r="2320" spans="1:28">
      <c r="A2320" s="26">
        <v>45812</v>
      </c>
      <c r="B2320" s="23">
        <v>1966.93</v>
      </c>
      <c r="C2320" s="25">
        <f t="shared" si="484"/>
        <v>2.5791719125121304E-3</v>
      </c>
      <c r="E2320" s="25">
        <f t="shared" si="480"/>
        <v>0.14038149350649354</v>
      </c>
      <c r="F2320" s="25">
        <f t="shared" si="477"/>
        <v>0.23595392692837658</v>
      </c>
      <c r="G2320" s="25">
        <f t="shared" si="474"/>
        <v>0.19796511152251273</v>
      </c>
      <c r="H2320" s="25">
        <f t="shared" si="471"/>
        <v>0.15126087563334956</v>
      </c>
      <c r="I2320" s="25">
        <f t="shared" si="468"/>
        <v>0.23566387599790328</v>
      </c>
      <c r="K2320" s="28">
        <v>45812</v>
      </c>
      <c r="L2320" s="23">
        <v>36185.79</v>
      </c>
      <c r="M2320" s="25">
        <f t="shared" si="485"/>
        <v>4.460314394130996E-3</v>
      </c>
      <c r="O2320" t="b">
        <f t="shared" si="483"/>
        <v>1</v>
      </c>
      <c r="Q2320" s="25">
        <f t="shared" si="481"/>
        <v>9.3061499187886865E-2</v>
      </c>
      <c r="R2320" s="25">
        <f t="shared" si="478"/>
        <v>0.21436335048893373</v>
      </c>
      <c r="S2320" s="25">
        <f t="shared" si="475"/>
        <v>0.18327980561410184</v>
      </c>
      <c r="T2320" s="25">
        <f t="shared" si="472"/>
        <v>0.1519021885392382</v>
      </c>
      <c r="U2320" s="25">
        <f t="shared" si="469"/>
        <v>0.23585775071810566</v>
      </c>
      <c r="X2320">
        <f t="shared" si="482"/>
        <v>1</v>
      </c>
      <c r="Y2320">
        <f t="shared" si="479"/>
        <v>1</v>
      </c>
      <c r="Z2320">
        <f t="shared" si="476"/>
        <v>1</v>
      </c>
      <c r="AA2320">
        <f t="shared" si="473"/>
        <v>0</v>
      </c>
      <c r="AB2320">
        <f t="shared" si="470"/>
        <v>0</v>
      </c>
    </row>
    <row r="2321" spans="1:28">
      <c r="A2321" s="27">
        <v>45813</v>
      </c>
      <c r="B2321" s="24">
        <v>1977.47</v>
      </c>
      <c r="C2321" s="25">
        <f t="shared" si="484"/>
        <v>5.3586045258346574E-3</v>
      </c>
      <c r="E2321" s="25">
        <f t="shared" si="480"/>
        <v>0.12939557144570535</v>
      </c>
      <c r="F2321" s="25">
        <f t="shared" si="477"/>
        <v>0.23940057559363814</v>
      </c>
      <c r="G2321" s="25">
        <f t="shared" si="474"/>
        <v>0.20270682508680471</v>
      </c>
      <c r="H2321" s="25">
        <f t="shared" si="471"/>
        <v>0.15527138422716358</v>
      </c>
      <c r="I2321" s="25">
        <f t="shared" si="468"/>
        <v>0.23898053422482501</v>
      </c>
      <c r="K2321" s="29">
        <v>45813</v>
      </c>
      <c r="L2321" s="24">
        <v>36386.82</v>
      </c>
      <c r="M2321" s="25">
        <f t="shared" si="485"/>
        <v>5.5248026620627697E-3</v>
      </c>
      <c r="O2321" t="b">
        <f t="shared" si="483"/>
        <v>1</v>
      </c>
      <c r="Q2321" s="25">
        <f t="shared" si="481"/>
        <v>8.3155123512503648E-2</v>
      </c>
      <c r="R2321" s="25">
        <f t="shared" si="478"/>
        <v>0.21795997009511026</v>
      </c>
      <c r="S2321" s="25">
        <f t="shared" si="475"/>
        <v>0.18798487719336676</v>
      </c>
      <c r="T2321" s="25">
        <f t="shared" si="472"/>
        <v>0.15564795881408955</v>
      </c>
      <c r="U2321" s="25">
        <f t="shared" si="469"/>
        <v>0.23979441728291628</v>
      </c>
      <c r="X2321">
        <f t="shared" si="482"/>
        <v>1</v>
      </c>
      <c r="Y2321">
        <f t="shared" si="479"/>
        <v>1</v>
      </c>
      <c r="Z2321">
        <f t="shared" si="476"/>
        <v>1</v>
      </c>
      <c r="AA2321">
        <f t="shared" si="473"/>
        <v>0</v>
      </c>
      <c r="AB2321">
        <f t="shared" si="470"/>
        <v>0</v>
      </c>
    </row>
    <row r="2322" spans="1:28">
      <c r="A2322" s="26">
        <v>45814</v>
      </c>
      <c r="B2322" s="23">
        <v>1995.41</v>
      </c>
      <c r="C2322" s="25">
        <f t="shared" si="484"/>
        <v>9.0721983140073202E-3</v>
      </c>
      <c r="E2322" s="25">
        <f t="shared" si="480"/>
        <v>0.12021759755679939</v>
      </c>
      <c r="F2322" s="25">
        <f t="shared" si="477"/>
        <v>0.24218106071960488</v>
      </c>
      <c r="G2322" s="25">
        <f t="shared" si="474"/>
        <v>0.20752394601726021</v>
      </c>
      <c r="H2322" s="25">
        <f t="shared" si="471"/>
        <v>0.15458949099120689</v>
      </c>
      <c r="I2322" s="25">
        <f t="shared" ref="I2322:I2385" si="486">((B2322/B1091)^(1/5))-1</f>
        <v>0.24034635545270677</v>
      </c>
      <c r="K2322" s="28">
        <v>45814</v>
      </c>
      <c r="L2322" s="23">
        <v>36753.75</v>
      </c>
      <c r="M2322" s="25">
        <f t="shared" si="485"/>
        <v>9.9834710743801729E-3</v>
      </c>
      <c r="O2322" t="b">
        <f t="shared" si="483"/>
        <v>1</v>
      </c>
      <c r="Q2322" s="25">
        <f t="shared" si="481"/>
        <v>7.3986150937077833E-2</v>
      </c>
      <c r="R2322" s="25">
        <f t="shared" si="478"/>
        <v>0.221750322834944</v>
      </c>
      <c r="S2322" s="25">
        <f t="shared" si="475"/>
        <v>0.19263212520505157</v>
      </c>
      <c r="T2322" s="25">
        <f t="shared" si="472"/>
        <v>0.15578304626254869</v>
      </c>
      <c r="U2322" s="25">
        <f t="shared" ref="U2322:U2385" si="487">((L2322/L1091)^(1/5))-1</f>
        <v>0.24062581528421956</v>
      </c>
      <c r="X2322">
        <f t="shared" si="482"/>
        <v>1</v>
      </c>
      <c r="Y2322">
        <f t="shared" si="479"/>
        <v>1</v>
      </c>
      <c r="Z2322">
        <f t="shared" si="476"/>
        <v>1</v>
      </c>
      <c r="AA2322">
        <f t="shared" si="473"/>
        <v>0</v>
      </c>
      <c r="AB2322">
        <f t="shared" ref="AB2322:AB2385" si="488">IF(I2322&gt;U2322,1,0)</f>
        <v>0</v>
      </c>
    </row>
    <row r="2323" spans="1:28">
      <c r="A2323" s="27">
        <v>45817</v>
      </c>
      <c r="B2323" s="24">
        <v>2007.88</v>
      </c>
      <c r="C2323" s="25">
        <f t="shared" si="484"/>
        <v>6.2493422404418277E-3</v>
      </c>
      <c r="E2323" s="25">
        <f t="shared" si="480"/>
        <v>0.12665529469856796</v>
      </c>
      <c r="F2323" s="25">
        <f t="shared" si="477"/>
        <v>0.24309445821320796</v>
      </c>
      <c r="G2323" s="25">
        <f t="shared" si="474"/>
        <v>0.21491711853597706</v>
      </c>
      <c r="H2323" s="25">
        <f t="shared" si="471"/>
        <v>0.15510792944049201</v>
      </c>
      <c r="I2323" s="25">
        <f t="shared" si="486"/>
        <v>0.24675467165319609</v>
      </c>
      <c r="K2323" s="29">
        <v>45817</v>
      </c>
      <c r="L2323" s="24">
        <v>37016.25</v>
      </c>
      <c r="M2323" s="25">
        <f t="shared" si="485"/>
        <v>7.0914800932023094E-3</v>
      </c>
      <c r="O2323" t="b">
        <f t="shared" si="483"/>
        <v>1</v>
      </c>
      <c r="Q2323" s="25">
        <f t="shared" si="481"/>
        <v>7.9469484108873445E-2</v>
      </c>
      <c r="R2323" s="25">
        <f t="shared" si="478"/>
        <v>0.22423598470708406</v>
      </c>
      <c r="S2323" s="25">
        <f t="shared" si="475"/>
        <v>0.19884155219659094</v>
      </c>
      <c r="T2323" s="25">
        <f t="shared" si="472"/>
        <v>0.15677993681801028</v>
      </c>
      <c r="U2323" s="25">
        <f t="shared" si="487"/>
        <v>0.24712218536462704</v>
      </c>
      <c r="X2323">
        <f t="shared" si="482"/>
        <v>1</v>
      </c>
      <c r="Y2323">
        <f t="shared" si="479"/>
        <v>1</v>
      </c>
      <c r="Z2323">
        <f t="shared" si="476"/>
        <v>1</v>
      </c>
      <c r="AA2323">
        <f t="shared" si="473"/>
        <v>0</v>
      </c>
      <c r="AB2323">
        <f t="shared" si="488"/>
        <v>0</v>
      </c>
    </row>
    <row r="2324" spans="1:28">
      <c r="A2324" s="26">
        <v>45818</v>
      </c>
      <c r="B2324" s="23">
        <v>2005.22</v>
      </c>
      <c r="C2324" s="25">
        <f t="shared" si="484"/>
        <v>-1.3247803653605205E-3</v>
      </c>
      <c r="E2324" s="25">
        <f t="shared" si="480"/>
        <v>0.1248155897481924</v>
      </c>
      <c r="F2324" s="25">
        <f t="shared" si="477"/>
        <v>0.24260552927240098</v>
      </c>
      <c r="G2324" s="25">
        <f t="shared" si="474"/>
        <v>0.21465526371960286</v>
      </c>
      <c r="H2324" s="25">
        <f t="shared" si="471"/>
        <v>0.15482501892205769</v>
      </c>
      <c r="I2324" s="25">
        <f t="shared" si="486"/>
        <v>0.24449956647916693</v>
      </c>
      <c r="K2324" s="28">
        <v>45818</v>
      </c>
      <c r="L2324" s="23">
        <v>37032.959999999999</v>
      </c>
      <c r="M2324" s="25">
        <f t="shared" si="485"/>
        <v>4.5121967026127882E-4</v>
      </c>
      <c r="O2324" t="b">
        <f t="shared" si="483"/>
        <v>1</v>
      </c>
      <c r="Q2324" s="25">
        <f t="shared" si="481"/>
        <v>7.7631890232919387E-2</v>
      </c>
      <c r="R2324" s="25">
        <f t="shared" si="478"/>
        <v>0.22378411117958907</v>
      </c>
      <c r="S2324" s="25">
        <f t="shared" si="475"/>
        <v>0.20042157351192458</v>
      </c>
      <c r="T2324" s="25">
        <f t="shared" si="472"/>
        <v>0.15706945704170727</v>
      </c>
      <c r="U2324" s="25">
        <f t="shared" si="487"/>
        <v>0.24541874066330971</v>
      </c>
      <c r="X2324">
        <f t="shared" si="482"/>
        <v>1</v>
      </c>
      <c r="Y2324">
        <f t="shared" si="479"/>
        <v>1</v>
      </c>
      <c r="Z2324">
        <f t="shared" si="476"/>
        <v>1</v>
      </c>
      <c r="AA2324">
        <f t="shared" si="473"/>
        <v>0</v>
      </c>
      <c r="AB2324">
        <f t="shared" si="488"/>
        <v>0</v>
      </c>
    </row>
    <row r="2325" spans="1:28">
      <c r="A2325" s="27">
        <v>45819</v>
      </c>
      <c r="B2325" s="24">
        <v>2004.67</v>
      </c>
      <c r="C2325" s="25">
        <f t="shared" si="484"/>
        <v>-2.7428411845082062E-4</v>
      </c>
      <c r="E2325" s="25">
        <f t="shared" si="480"/>
        <v>0.1181034290431251</v>
      </c>
      <c r="F2325" s="25">
        <f t="shared" si="477"/>
        <v>0.23737649407951489</v>
      </c>
      <c r="G2325" s="25">
        <f t="shared" si="474"/>
        <v>0.21175658064892633</v>
      </c>
      <c r="H2325" s="25">
        <f t="shared" si="471"/>
        <v>0.15296545992104349</v>
      </c>
      <c r="I2325" s="25">
        <f t="shared" si="486"/>
        <v>0.24764624189474116</v>
      </c>
      <c r="K2325" s="29">
        <v>45819</v>
      </c>
      <c r="L2325" s="24">
        <v>37030.15</v>
      </c>
      <c r="M2325" s="25">
        <f t="shared" si="485"/>
        <v>-7.5884110650312555E-5</v>
      </c>
      <c r="O2325" t="b">
        <f t="shared" si="483"/>
        <v>1</v>
      </c>
      <c r="Q2325" s="25">
        <f t="shared" si="481"/>
        <v>7.2189350825710097E-2</v>
      </c>
      <c r="R2325" s="25">
        <f t="shared" si="478"/>
        <v>0.21880905676585338</v>
      </c>
      <c r="S2325" s="25">
        <f t="shared" si="475"/>
        <v>0.19774035262503231</v>
      </c>
      <c r="T2325" s="25">
        <f t="shared" si="472"/>
        <v>0.1559053785255553</v>
      </c>
      <c r="U2325" s="25">
        <f t="shared" si="487"/>
        <v>0.2487684774843566</v>
      </c>
      <c r="X2325">
        <f t="shared" si="482"/>
        <v>1</v>
      </c>
      <c r="Y2325">
        <f t="shared" si="479"/>
        <v>1</v>
      </c>
      <c r="Z2325">
        <f t="shared" si="476"/>
        <v>1</v>
      </c>
      <c r="AA2325">
        <f t="shared" si="473"/>
        <v>0</v>
      </c>
      <c r="AB2325">
        <f t="shared" si="488"/>
        <v>0</v>
      </c>
    </row>
    <row r="2326" spans="1:28">
      <c r="A2326" s="26">
        <v>45820</v>
      </c>
      <c r="B2326" s="23">
        <v>1982.79</v>
      </c>
      <c r="C2326" s="25">
        <f t="shared" si="484"/>
        <v>-1.0914514608389464E-2</v>
      </c>
      <c r="E2326" s="25">
        <f t="shared" si="480"/>
        <v>9.8967426547613035E-2</v>
      </c>
      <c r="F2326" s="25">
        <f t="shared" si="477"/>
        <v>0.23521777929195964</v>
      </c>
      <c r="G2326" s="25">
        <f t="shared" si="474"/>
        <v>0.21261427287846191</v>
      </c>
      <c r="H2326" s="25">
        <f t="shared" si="471"/>
        <v>0.15126300385940294</v>
      </c>
      <c r="I2326" s="25">
        <f t="shared" si="486"/>
        <v>0.24286703093058271</v>
      </c>
      <c r="K2326" s="28">
        <v>45820</v>
      </c>
      <c r="L2326" s="23">
        <v>36568.42</v>
      </c>
      <c r="M2326" s="25">
        <f t="shared" si="485"/>
        <v>-1.262646841181553E-2</v>
      </c>
      <c r="O2326" t="b">
        <f t="shared" si="483"/>
        <v>1</v>
      </c>
      <c r="Q2326" s="25">
        <f t="shared" si="481"/>
        <v>5.3371698421372127E-2</v>
      </c>
      <c r="R2326" s="25">
        <f t="shared" si="478"/>
        <v>0.21443918323430111</v>
      </c>
      <c r="S2326" s="25">
        <f t="shared" si="475"/>
        <v>0.19834050930235314</v>
      </c>
      <c r="T2326" s="25">
        <f t="shared" si="472"/>
        <v>0.15434555886960211</v>
      </c>
      <c r="U2326" s="25">
        <f t="shared" si="487"/>
        <v>0.24362077142792748</v>
      </c>
      <c r="X2326">
        <f t="shared" si="482"/>
        <v>1</v>
      </c>
      <c r="Y2326">
        <f t="shared" si="479"/>
        <v>1</v>
      </c>
      <c r="Z2326">
        <f t="shared" si="476"/>
        <v>1</v>
      </c>
      <c r="AA2326">
        <f t="shared" si="473"/>
        <v>0</v>
      </c>
      <c r="AB2326">
        <f t="shared" si="488"/>
        <v>0</v>
      </c>
    </row>
    <row r="2327" spans="1:28">
      <c r="A2327" s="27">
        <v>45821</v>
      </c>
      <c r="B2327" s="24">
        <v>1969.12</v>
      </c>
      <c r="C2327" s="25">
        <f t="shared" si="484"/>
        <v>-6.8943256724111343E-3</v>
      </c>
      <c r="E2327" s="25">
        <f t="shared" si="480"/>
        <v>8.5213557453843958E-2</v>
      </c>
      <c r="F2327" s="25">
        <f t="shared" si="477"/>
        <v>0.23326064287586767</v>
      </c>
      <c r="G2327" s="25">
        <f t="shared" si="474"/>
        <v>0.22116398642806723</v>
      </c>
      <c r="H2327" s="25">
        <f t="shared" si="471"/>
        <v>0.15113937116498088</v>
      </c>
      <c r="I2327" s="25">
        <f t="shared" si="486"/>
        <v>0.24089251523123867</v>
      </c>
      <c r="K2327" s="29">
        <v>45821</v>
      </c>
      <c r="L2327" s="24">
        <v>36348.18</v>
      </c>
      <c r="M2327" s="25">
        <f t="shared" si="485"/>
        <v>-6.0591754525260401E-3</v>
      </c>
      <c r="O2327" t="b">
        <f t="shared" si="483"/>
        <v>1</v>
      </c>
      <c r="Q2327" s="25">
        <f t="shared" si="481"/>
        <v>4.0186103905915704E-2</v>
      </c>
      <c r="R2327" s="25">
        <f t="shared" si="478"/>
        <v>0.2123821973045481</v>
      </c>
      <c r="S2327" s="25">
        <f t="shared" si="475"/>
        <v>0.20667260665837373</v>
      </c>
      <c r="T2327" s="25">
        <f t="shared" si="472"/>
        <v>0.15435419424939867</v>
      </c>
      <c r="U2327" s="25">
        <f t="shared" si="487"/>
        <v>0.24247958589912333</v>
      </c>
      <c r="X2327">
        <f t="shared" si="482"/>
        <v>1</v>
      </c>
      <c r="Y2327">
        <f t="shared" si="479"/>
        <v>1</v>
      </c>
      <c r="Z2327">
        <f t="shared" si="476"/>
        <v>1</v>
      </c>
      <c r="AA2327">
        <f t="shared" si="473"/>
        <v>0</v>
      </c>
      <c r="AB2327">
        <f t="shared" si="488"/>
        <v>0</v>
      </c>
    </row>
    <row r="2328" spans="1:28">
      <c r="A2328" s="26">
        <v>45824</v>
      </c>
      <c r="B2328" s="23">
        <v>1987.49</v>
      </c>
      <c r="C2328" s="25">
        <f t="shared" si="484"/>
        <v>9.3290403835216331E-3</v>
      </c>
      <c r="E2328" s="25">
        <f t="shared" si="480"/>
        <v>8.7652956241928148E-2</v>
      </c>
      <c r="F2328" s="25">
        <f t="shared" si="477"/>
        <v>0.23680462162159155</v>
      </c>
      <c r="G2328" s="25">
        <f t="shared" si="474"/>
        <v>0.22430462979099941</v>
      </c>
      <c r="H2328" s="25">
        <f t="shared" ref="H2328:H2391" si="489">((B2328/B1347)^(1/4))-1</f>
        <v>0.15414942287324052</v>
      </c>
      <c r="I2328" s="25">
        <f t="shared" si="486"/>
        <v>0.24010180153154526</v>
      </c>
      <c r="K2328" s="28">
        <v>45824</v>
      </c>
      <c r="L2328" s="23">
        <v>36648.19</v>
      </c>
      <c r="M2328" s="25">
        <f t="shared" si="485"/>
        <v>8.1862160177624595E-3</v>
      </c>
      <c r="O2328" t="b">
        <f t="shared" si="483"/>
        <v>1</v>
      </c>
      <c r="Q2328" s="25">
        <f t="shared" si="481"/>
        <v>4.3302464478992109E-2</v>
      </c>
      <c r="R2328" s="25">
        <f t="shared" si="478"/>
        <v>0.21538566127452419</v>
      </c>
      <c r="S2328" s="25">
        <f t="shared" si="475"/>
        <v>0.21083401792652756</v>
      </c>
      <c r="T2328" s="25">
        <f t="shared" ref="T2328:T2391" si="490">((L2328/L1347)^(1/4))-1</f>
        <v>0.15756010675083787</v>
      </c>
      <c r="U2328" s="25">
        <f t="shared" si="487"/>
        <v>0.24018619366079919</v>
      </c>
      <c r="X2328">
        <f t="shared" si="482"/>
        <v>1</v>
      </c>
      <c r="Y2328">
        <f t="shared" si="479"/>
        <v>1</v>
      </c>
      <c r="Z2328">
        <f t="shared" si="476"/>
        <v>1</v>
      </c>
      <c r="AA2328">
        <f t="shared" ref="AA2328:AA2391" si="491">IF(H2328&gt;T2328,1,0)</f>
        <v>0</v>
      </c>
      <c r="AB2328">
        <f t="shared" si="488"/>
        <v>0</v>
      </c>
    </row>
    <row r="2329" spans="1:28">
      <c r="A2329" s="27">
        <v>45825</v>
      </c>
      <c r="B2329" s="24">
        <v>1978.29</v>
      </c>
      <c r="C2329" s="25">
        <f t="shared" si="484"/>
        <v>-4.6289541079452198E-3</v>
      </c>
      <c r="E2329" s="25">
        <f t="shared" si="480"/>
        <v>8.6936694394690317E-2</v>
      </c>
      <c r="F2329" s="25">
        <f t="shared" si="477"/>
        <v>0.22892649300748058</v>
      </c>
      <c r="G2329" s="25">
        <f t="shared" si="474"/>
        <v>0.22119229838912569</v>
      </c>
      <c r="H2329" s="25">
        <f t="shared" si="489"/>
        <v>0.15180761417277266</v>
      </c>
      <c r="I2329" s="25">
        <f t="shared" si="486"/>
        <v>0.23595681890635101</v>
      </c>
      <c r="K2329" s="29">
        <v>45825</v>
      </c>
      <c r="L2329" s="24">
        <v>36468.69</v>
      </c>
      <c r="M2329" s="25">
        <f t="shared" si="485"/>
        <v>-4.9220303772907663E-3</v>
      </c>
      <c r="O2329" t="b">
        <f t="shared" si="483"/>
        <v>1</v>
      </c>
      <c r="Q2329" s="25">
        <f t="shared" si="481"/>
        <v>4.3053008845532981E-2</v>
      </c>
      <c r="R2329" s="25">
        <f t="shared" si="478"/>
        <v>0.20789785428381147</v>
      </c>
      <c r="S2329" s="25">
        <f t="shared" si="475"/>
        <v>0.2088043507225068</v>
      </c>
      <c r="T2329" s="25">
        <f t="shared" si="490"/>
        <v>0.15463817989457551</v>
      </c>
      <c r="U2329" s="25">
        <f t="shared" si="487"/>
        <v>0.23537446226208547</v>
      </c>
      <c r="X2329">
        <f t="shared" si="482"/>
        <v>1</v>
      </c>
      <c r="Y2329">
        <f t="shared" si="479"/>
        <v>1</v>
      </c>
      <c r="Z2329">
        <f t="shared" si="476"/>
        <v>1</v>
      </c>
      <c r="AA2329">
        <f t="shared" si="491"/>
        <v>0</v>
      </c>
      <c r="AB2329">
        <f t="shared" si="488"/>
        <v>1</v>
      </c>
    </row>
    <row r="2330" spans="1:28">
      <c r="A2330" s="26">
        <v>45826</v>
      </c>
      <c r="B2330" s="23">
        <v>1978.52</v>
      </c>
      <c r="C2330" s="25">
        <f t="shared" si="484"/>
        <v>1.1626202427349792E-4</v>
      </c>
      <c r="E2330" s="25">
        <f t="shared" si="480"/>
        <v>8.425719405733334E-2</v>
      </c>
      <c r="F2330" s="25">
        <f t="shared" si="477"/>
        <v>0.22820120280494582</v>
      </c>
      <c r="G2330" s="25">
        <f t="shared" si="474"/>
        <v>0.23080113699866023</v>
      </c>
      <c r="H2330" s="25">
        <f t="shared" si="489"/>
        <v>0.1514162070716556</v>
      </c>
      <c r="I2330" s="25">
        <f t="shared" si="486"/>
        <v>0.23308336873327296</v>
      </c>
      <c r="K2330" s="28">
        <v>45826</v>
      </c>
      <c r="L2330" s="23">
        <v>36379.4</v>
      </c>
      <c r="M2330" s="25">
        <f t="shared" si="485"/>
        <v>-2.4544110128259639E-3</v>
      </c>
      <c r="O2330" t="b">
        <f t="shared" si="483"/>
        <v>1</v>
      </c>
      <c r="Q2330" s="25">
        <f t="shared" si="481"/>
        <v>3.6567383832302403E-2</v>
      </c>
      <c r="R2330" s="25">
        <f t="shared" si="478"/>
        <v>0.20506040834125372</v>
      </c>
      <c r="S2330" s="25">
        <f t="shared" si="475"/>
        <v>0.2167169424284392</v>
      </c>
      <c r="T2330" s="25">
        <f t="shared" si="490"/>
        <v>0.15318161443999201</v>
      </c>
      <c r="U2330" s="25">
        <f t="shared" si="487"/>
        <v>0.23234382910708917</v>
      </c>
      <c r="X2330">
        <f t="shared" si="482"/>
        <v>1</v>
      </c>
      <c r="Y2330">
        <f t="shared" si="479"/>
        <v>1</v>
      </c>
      <c r="Z2330">
        <f t="shared" si="476"/>
        <v>1</v>
      </c>
      <c r="AA2330">
        <f t="shared" si="491"/>
        <v>0</v>
      </c>
      <c r="AB2330">
        <f t="shared" si="488"/>
        <v>1</v>
      </c>
    </row>
    <row r="2331" spans="1:28">
      <c r="A2331" s="27">
        <v>45827</v>
      </c>
      <c r="B2331" s="24">
        <v>1968.87</v>
      </c>
      <c r="C2331" s="25">
        <f t="shared" si="484"/>
        <v>-4.8773830944342693E-3</v>
      </c>
      <c r="E2331" s="25">
        <f t="shared" si="480"/>
        <v>8.1262013290131163E-2</v>
      </c>
      <c r="F2331" s="25">
        <f t="shared" si="477"/>
        <v>0.22564628979201085</v>
      </c>
      <c r="G2331" s="25">
        <f t="shared" si="474"/>
        <v>0.2308688887004342</v>
      </c>
      <c r="H2331" s="25">
        <f t="shared" si="489"/>
        <v>0.15093095974143678</v>
      </c>
      <c r="I2331" s="25">
        <f t="shared" si="486"/>
        <v>0.22862398693029373</v>
      </c>
      <c r="K2331" s="29">
        <v>45827</v>
      </c>
      <c r="L2331" s="24">
        <v>36123.39</v>
      </c>
      <c r="M2331" s="25">
        <f t="shared" si="485"/>
        <v>-7.0870978609704691E-3</v>
      </c>
      <c r="O2331" t="b">
        <f t="shared" si="483"/>
        <v>1</v>
      </c>
      <c r="Q2331" s="25">
        <f t="shared" si="481"/>
        <v>3.2337244244016849E-2</v>
      </c>
      <c r="R2331" s="25">
        <f t="shared" si="478"/>
        <v>0.20165849920645407</v>
      </c>
      <c r="S2331" s="25">
        <f t="shared" si="475"/>
        <v>0.21676829693215161</v>
      </c>
      <c r="T2331" s="25">
        <f t="shared" si="490"/>
        <v>0.15259768364445714</v>
      </c>
      <c r="U2331" s="25">
        <f t="shared" si="487"/>
        <v>0.22673264523185255</v>
      </c>
      <c r="X2331">
        <f t="shared" si="482"/>
        <v>1</v>
      </c>
      <c r="Y2331">
        <f t="shared" si="479"/>
        <v>1</v>
      </c>
      <c r="Z2331">
        <f t="shared" si="476"/>
        <v>1</v>
      </c>
      <c r="AA2331">
        <f t="shared" si="491"/>
        <v>0</v>
      </c>
      <c r="AB2331">
        <f t="shared" si="488"/>
        <v>1</v>
      </c>
    </row>
    <row r="2332" spans="1:28">
      <c r="A2332" s="26">
        <v>45828</v>
      </c>
      <c r="B2332" s="23">
        <v>1990.03</v>
      </c>
      <c r="C2332" s="25">
        <f t="shared" si="484"/>
        <v>1.0747281435544289E-2</v>
      </c>
      <c r="E2332" s="25">
        <f t="shared" si="480"/>
        <v>8.7519400179246754E-2</v>
      </c>
      <c r="F2332" s="25">
        <f t="shared" si="477"/>
        <v>0.22721562818235808</v>
      </c>
      <c r="G2332" s="25">
        <f t="shared" si="474"/>
        <v>0.23637225320656685</v>
      </c>
      <c r="H2332" s="25">
        <f t="shared" si="489"/>
        <v>0.1526470982897139</v>
      </c>
      <c r="I2332" s="25">
        <f t="shared" si="486"/>
        <v>0.23632275409494952</v>
      </c>
      <c r="K2332" s="28">
        <v>45828</v>
      </c>
      <c r="L2332" s="23">
        <v>36565.82</v>
      </c>
      <c r="M2332" s="25">
        <f t="shared" si="485"/>
        <v>1.2099550892062596E-2</v>
      </c>
      <c r="O2332" t="b">
        <f t="shared" si="483"/>
        <v>1</v>
      </c>
      <c r="Q2332" s="25">
        <f t="shared" si="481"/>
        <v>4.2499616537524876E-2</v>
      </c>
      <c r="R2332" s="25">
        <f t="shared" si="478"/>
        <v>0.20434469793146759</v>
      </c>
      <c r="S2332" s="25">
        <f t="shared" si="475"/>
        <v>0.22306903270328826</v>
      </c>
      <c r="T2332" s="25">
        <f t="shared" si="490"/>
        <v>0.15513172651893181</v>
      </c>
      <c r="U2332" s="25">
        <f t="shared" si="487"/>
        <v>0.23331511059081311</v>
      </c>
      <c r="X2332">
        <f t="shared" si="482"/>
        <v>1</v>
      </c>
      <c r="Y2332">
        <f t="shared" si="479"/>
        <v>1</v>
      </c>
      <c r="Z2332">
        <f t="shared" si="476"/>
        <v>1</v>
      </c>
      <c r="AA2332">
        <f t="shared" si="491"/>
        <v>0</v>
      </c>
      <c r="AB2332">
        <f t="shared" si="488"/>
        <v>1</v>
      </c>
    </row>
    <row r="2333" spans="1:28">
      <c r="A2333" s="27">
        <v>45831</v>
      </c>
      <c r="B2333" s="24">
        <v>1984.53</v>
      </c>
      <c r="C2333" s="25">
        <f t="shared" si="484"/>
        <v>-2.7637774304909977E-3</v>
      </c>
      <c r="E2333" s="25">
        <f t="shared" si="480"/>
        <v>7.9834150429043182E-2</v>
      </c>
      <c r="F2333" s="25">
        <f t="shared" si="477"/>
        <v>0.22713092416227521</v>
      </c>
      <c r="G2333" s="25">
        <f t="shared" si="474"/>
        <v>0.22678156807221406</v>
      </c>
      <c r="H2333" s="25">
        <f t="shared" si="489"/>
        <v>0.14934757925409903</v>
      </c>
      <c r="I2333" s="25">
        <f t="shared" si="486"/>
        <v>0.2350690819626815</v>
      </c>
      <c r="K2333" s="29">
        <v>45831</v>
      </c>
      <c r="L2333" s="24">
        <v>36507.74</v>
      </c>
      <c r="M2333" s="25">
        <f t="shared" si="485"/>
        <v>-1.5908955196898451E-3</v>
      </c>
      <c r="O2333" t="b">
        <f t="shared" si="483"/>
        <v>1</v>
      </c>
      <c r="Q2333" s="25">
        <f t="shared" si="481"/>
        <v>3.7026200806379528E-2</v>
      </c>
      <c r="R2333" s="25">
        <f t="shared" si="478"/>
        <v>0.20475753437984867</v>
      </c>
      <c r="S2333" s="25">
        <f t="shared" si="475"/>
        <v>0.21338855315493976</v>
      </c>
      <c r="T2333" s="25">
        <f t="shared" si="490"/>
        <v>0.15315246209418776</v>
      </c>
      <c r="U2333" s="25">
        <f t="shared" si="487"/>
        <v>0.23281745559396505</v>
      </c>
      <c r="X2333">
        <f t="shared" si="482"/>
        <v>1</v>
      </c>
      <c r="Y2333">
        <f t="shared" si="479"/>
        <v>1</v>
      </c>
      <c r="Z2333">
        <f t="shared" si="476"/>
        <v>1</v>
      </c>
      <c r="AA2333">
        <f t="shared" si="491"/>
        <v>0</v>
      </c>
      <c r="AB2333">
        <f t="shared" si="488"/>
        <v>1</v>
      </c>
    </row>
    <row r="2334" spans="1:28">
      <c r="A2334" s="26">
        <v>45832</v>
      </c>
      <c r="B2334" s="23">
        <v>1997.75</v>
      </c>
      <c r="C2334" s="25">
        <f t="shared" si="484"/>
        <v>6.6615269106539221E-3</v>
      </c>
      <c r="E2334" s="25">
        <f t="shared" si="480"/>
        <v>8.4119300606705139E-2</v>
      </c>
      <c r="F2334" s="25">
        <f t="shared" si="477"/>
        <v>0.22927279941528367</v>
      </c>
      <c r="G2334" s="25">
        <f t="shared" si="474"/>
        <v>0.23550589594470628</v>
      </c>
      <c r="H2334" s="25">
        <f t="shared" si="489"/>
        <v>0.15077656556093899</v>
      </c>
      <c r="I2334" s="25">
        <f t="shared" si="486"/>
        <v>0.23620936661425174</v>
      </c>
      <c r="K2334" s="28">
        <v>45832</v>
      </c>
      <c r="L2334" s="23">
        <v>36687.65</v>
      </c>
      <c r="M2334" s="25">
        <f t="shared" si="485"/>
        <v>4.9038300354479905E-3</v>
      </c>
      <c r="O2334" t="b">
        <f t="shared" si="483"/>
        <v>1</v>
      </c>
      <c r="Q2334" s="25">
        <f t="shared" si="481"/>
        <v>3.9062648247258913E-2</v>
      </c>
      <c r="R2334" s="25">
        <f t="shared" si="478"/>
        <v>0.20556390806687541</v>
      </c>
      <c r="S2334" s="25">
        <f t="shared" si="475"/>
        <v>0.22136654964690106</v>
      </c>
      <c r="T2334" s="25">
        <f t="shared" si="490"/>
        <v>0.15470547807347135</v>
      </c>
      <c r="U2334" s="25">
        <f t="shared" si="487"/>
        <v>0.2323146840673227</v>
      </c>
      <c r="X2334">
        <f t="shared" si="482"/>
        <v>1</v>
      </c>
      <c r="Y2334">
        <f t="shared" si="479"/>
        <v>1</v>
      </c>
      <c r="Z2334">
        <f t="shared" si="476"/>
        <v>1</v>
      </c>
      <c r="AA2334">
        <f t="shared" si="491"/>
        <v>0</v>
      </c>
      <c r="AB2334">
        <f t="shared" si="488"/>
        <v>1</v>
      </c>
    </row>
    <row r="2335" spans="1:28">
      <c r="A2335" s="27">
        <v>45833</v>
      </c>
      <c r="B2335" s="24">
        <v>2011.53</v>
      </c>
      <c r="C2335" s="25">
        <f t="shared" si="484"/>
        <v>6.897759979977461E-3</v>
      </c>
      <c r="E2335" s="25">
        <f t="shared" si="480"/>
        <v>8.7536899471242879E-2</v>
      </c>
      <c r="F2335" s="25">
        <f t="shared" si="477"/>
        <v>0.2318198009557908</v>
      </c>
      <c r="G2335" s="25">
        <f t="shared" si="474"/>
        <v>0.2334917139684658</v>
      </c>
      <c r="H2335" s="25">
        <f t="shared" si="489"/>
        <v>0.153988709835152</v>
      </c>
      <c r="I2335" s="25">
        <f t="shared" si="486"/>
        <v>0.24002112803933184</v>
      </c>
      <c r="K2335" s="29">
        <v>45833</v>
      </c>
      <c r="L2335" s="24">
        <v>36979.230000000003</v>
      </c>
      <c r="M2335" s="25">
        <f t="shared" si="485"/>
        <v>7.8849667772963837E-3</v>
      </c>
      <c r="O2335" t="b">
        <f t="shared" si="483"/>
        <v>1</v>
      </c>
      <c r="Q2335" s="25">
        <f t="shared" si="481"/>
        <v>4.2619731072942368E-2</v>
      </c>
      <c r="R2335" s="25">
        <f t="shared" si="478"/>
        <v>0.20880247013773934</v>
      </c>
      <c r="S2335" s="25">
        <f t="shared" si="475"/>
        <v>0.22051097273226583</v>
      </c>
      <c r="T2335" s="25">
        <f t="shared" si="490"/>
        <v>0.15800195805167627</v>
      </c>
      <c r="U2335" s="25">
        <f t="shared" si="487"/>
        <v>0.23630983491029522</v>
      </c>
      <c r="X2335">
        <f t="shared" si="482"/>
        <v>1</v>
      </c>
      <c r="Y2335">
        <f t="shared" si="479"/>
        <v>1</v>
      </c>
      <c r="Z2335">
        <f t="shared" si="476"/>
        <v>1</v>
      </c>
      <c r="AA2335">
        <f t="shared" si="491"/>
        <v>0</v>
      </c>
      <c r="AB2335">
        <f t="shared" si="488"/>
        <v>1</v>
      </c>
    </row>
    <row r="2336" spans="1:28">
      <c r="A2336" s="26">
        <v>45834</v>
      </c>
      <c r="B2336" s="23">
        <v>2027.76</v>
      </c>
      <c r="C2336" s="25">
        <f t="shared" si="484"/>
        <v>8.0684851829204724E-3</v>
      </c>
      <c r="E2336" s="25">
        <f t="shared" si="480"/>
        <v>9.8610321007720492E-2</v>
      </c>
      <c r="F2336" s="25">
        <f t="shared" si="477"/>
        <v>0.24025513312468938</v>
      </c>
      <c r="G2336" s="25">
        <f t="shared" si="474"/>
        <v>0.23258274479782592</v>
      </c>
      <c r="H2336" s="25">
        <f t="shared" si="489"/>
        <v>0.15661291193335192</v>
      </c>
      <c r="I2336" s="25">
        <f t="shared" si="486"/>
        <v>0.2416322952499399</v>
      </c>
      <c r="K2336" s="28">
        <v>45834</v>
      </c>
      <c r="L2336" s="23">
        <v>37329.53</v>
      </c>
      <c r="M2336" s="25">
        <f t="shared" si="485"/>
        <v>9.3839917084408957E-3</v>
      </c>
      <c r="O2336" t="b">
        <f t="shared" si="483"/>
        <v>1</v>
      </c>
      <c r="Q2336" s="25">
        <f t="shared" si="481"/>
        <v>5.1329640349486283E-2</v>
      </c>
      <c r="R2336" s="25">
        <f t="shared" si="478"/>
        <v>0.21826706212025093</v>
      </c>
      <c r="S2336" s="25">
        <f t="shared" si="475"/>
        <v>0.21993293273007586</v>
      </c>
      <c r="T2336" s="25">
        <f t="shared" si="490"/>
        <v>0.16090999708020459</v>
      </c>
      <c r="U2336" s="25">
        <f t="shared" si="487"/>
        <v>0.23902733849763758</v>
      </c>
      <c r="X2336">
        <f t="shared" si="482"/>
        <v>1</v>
      </c>
      <c r="Y2336">
        <f t="shared" si="479"/>
        <v>1</v>
      </c>
      <c r="Z2336">
        <f t="shared" si="476"/>
        <v>1</v>
      </c>
      <c r="AA2336">
        <f t="shared" si="491"/>
        <v>0</v>
      </c>
      <c r="AB2336">
        <f t="shared" si="488"/>
        <v>1</v>
      </c>
    </row>
    <row r="2337" spans="1:28">
      <c r="A2337" s="27">
        <v>45835</v>
      </c>
      <c r="B2337" s="24">
        <v>2035.28</v>
      </c>
      <c r="C2337" s="25">
        <f t="shared" si="484"/>
        <v>3.7085256637866323E-3</v>
      </c>
      <c r="E2337" s="25">
        <f t="shared" si="480"/>
        <v>9.6175493211109853E-2</v>
      </c>
      <c r="F2337" s="25">
        <f t="shared" si="477"/>
        <v>0.24663533661512993</v>
      </c>
      <c r="G2337" s="25">
        <f t="shared" si="474"/>
        <v>0.23003251802625502</v>
      </c>
      <c r="H2337" s="25">
        <f t="shared" si="489"/>
        <v>0.1576122477201809</v>
      </c>
      <c r="I2337" s="25">
        <f t="shared" si="486"/>
        <v>0.24096666578941228</v>
      </c>
      <c r="K2337" s="29">
        <v>45835</v>
      </c>
      <c r="L2337" s="24">
        <v>37526.730000000003</v>
      </c>
      <c r="M2337" s="25">
        <f t="shared" si="485"/>
        <v>5.2549209590072024E-3</v>
      </c>
      <c r="O2337" t="b">
        <f t="shared" si="483"/>
        <v>1</v>
      </c>
      <c r="Q2337" s="25">
        <f t="shared" si="481"/>
        <v>4.9064607379986525E-2</v>
      </c>
      <c r="R2337" s="25">
        <f t="shared" si="478"/>
        <v>0.22637464529719686</v>
      </c>
      <c r="S2337" s="25">
        <f t="shared" si="475"/>
        <v>0.21836774558673655</v>
      </c>
      <c r="T2337" s="25">
        <f t="shared" si="490"/>
        <v>0.16283796663997574</v>
      </c>
      <c r="U2337" s="25">
        <f t="shared" si="487"/>
        <v>0.23800595908063626</v>
      </c>
      <c r="X2337">
        <f t="shared" si="482"/>
        <v>1</v>
      </c>
      <c r="Y2337">
        <f t="shared" si="479"/>
        <v>1</v>
      </c>
      <c r="Z2337">
        <f t="shared" si="476"/>
        <v>1</v>
      </c>
      <c r="AA2337">
        <f t="shared" si="491"/>
        <v>0</v>
      </c>
      <c r="AB2337">
        <f t="shared" si="488"/>
        <v>1</v>
      </c>
    </row>
    <row r="2338" spans="1:28">
      <c r="A2338" s="26">
        <v>45838</v>
      </c>
      <c r="B2338" s="23">
        <v>2030.28</v>
      </c>
      <c r="C2338" s="25">
        <f t="shared" si="484"/>
        <v>-2.4566644392909082E-3</v>
      </c>
      <c r="E2338" s="25">
        <f t="shared" si="480"/>
        <v>9.7430852472662588E-2</v>
      </c>
      <c r="F2338" s="25">
        <f t="shared" si="477"/>
        <v>0.24299782997188935</v>
      </c>
      <c r="G2338" s="25">
        <f t="shared" si="474"/>
        <v>0.22865380513889266</v>
      </c>
      <c r="H2338" s="25">
        <f t="shared" si="489"/>
        <v>0.15558250236784876</v>
      </c>
      <c r="I2338" s="25">
        <f t="shared" si="486"/>
        <v>0.2384460559239201</v>
      </c>
      <c r="K2338" s="28">
        <v>45838</v>
      </c>
      <c r="L2338" s="23">
        <v>37522.379999999997</v>
      </c>
      <c r="M2338" s="25">
        <f t="shared" si="485"/>
        <v>-1.1593081249126044E-4</v>
      </c>
      <c r="O2338" t="b">
        <f t="shared" si="483"/>
        <v>1</v>
      </c>
      <c r="Q2338" s="25">
        <f t="shared" si="481"/>
        <v>5.12484744976347E-2</v>
      </c>
      <c r="R2338" s="25">
        <f t="shared" si="478"/>
        <v>0.22421643937469327</v>
      </c>
      <c r="S2338" s="25">
        <f t="shared" si="475"/>
        <v>0.21772391527897605</v>
      </c>
      <c r="T2338" s="25">
        <f t="shared" si="490"/>
        <v>0.16193410946852005</v>
      </c>
      <c r="U2338" s="25">
        <f t="shared" si="487"/>
        <v>0.23517923809598384</v>
      </c>
      <c r="X2338">
        <f t="shared" si="482"/>
        <v>1</v>
      </c>
      <c r="Y2338">
        <f t="shared" si="479"/>
        <v>1</v>
      </c>
      <c r="Z2338">
        <f t="shared" si="476"/>
        <v>1</v>
      </c>
      <c r="AA2338">
        <f t="shared" si="491"/>
        <v>0</v>
      </c>
      <c r="AB2338">
        <f t="shared" si="488"/>
        <v>1</v>
      </c>
    </row>
    <row r="2339" spans="1:28">
      <c r="A2339" s="27">
        <v>45839</v>
      </c>
      <c r="B2339" s="24">
        <v>2029.69</v>
      </c>
      <c r="C2339" s="25">
        <f t="shared" si="484"/>
        <v>-2.9060031128707279E-4</v>
      </c>
      <c r="E2339" s="25">
        <f t="shared" si="480"/>
        <v>8.8527421136746387E-2</v>
      </c>
      <c r="F2339" s="25">
        <f t="shared" si="477"/>
        <v>0.2376524981897119</v>
      </c>
      <c r="G2339" s="25">
        <f t="shared" si="474"/>
        <v>0.23095730740331089</v>
      </c>
      <c r="H2339" s="25">
        <f t="shared" si="489"/>
        <v>0.15361852396180198</v>
      </c>
      <c r="I2339" s="25">
        <f t="shared" si="486"/>
        <v>0.23712332312271656</v>
      </c>
      <c r="K2339" s="29">
        <v>45839</v>
      </c>
      <c r="L2339" s="24">
        <v>37519.71</v>
      </c>
      <c r="M2339" s="25">
        <f t="shared" si="485"/>
        <v>-7.1162596939002292E-5</v>
      </c>
      <c r="O2339" t="b">
        <f t="shared" si="483"/>
        <v>1</v>
      </c>
      <c r="Q2339" s="25">
        <f t="shared" si="481"/>
        <v>4.3194189652612458E-2</v>
      </c>
      <c r="R2339" s="25">
        <f t="shared" si="478"/>
        <v>0.2204802019765304</v>
      </c>
      <c r="S2339" s="25">
        <f t="shared" si="475"/>
        <v>0.21909663339794627</v>
      </c>
      <c r="T2339" s="25">
        <f t="shared" si="490"/>
        <v>0.15993523813473498</v>
      </c>
      <c r="U2339" s="25">
        <f t="shared" si="487"/>
        <v>0.2337833780344003</v>
      </c>
      <c r="X2339">
        <f t="shared" si="482"/>
        <v>1</v>
      </c>
      <c r="Y2339">
        <f t="shared" si="479"/>
        <v>1</v>
      </c>
      <c r="Z2339">
        <f t="shared" si="476"/>
        <v>1</v>
      </c>
      <c r="AA2339">
        <f t="shared" si="491"/>
        <v>0</v>
      </c>
      <c r="AB2339">
        <f t="shared" si="488"/>
        <v>1</v>
      </c>
    </row>
    <row r="2340" spans="1:28">
      <c r="A2340" s="26">
        <v>45840</v>
      </c>
      <c r="B2340" s="23">
        <v>2022.81</v>
      </c>
      <c r="C2340" s="25">
        <f t="shared" si="484"/>
        <v>-3.3896801974686325E-3</v>
      </c>
      <c r="E2340" s="25">
        <f t="shared" si="480"/>
        <v>8.0428152523995378E-2</v>
      </c>
      <c r="F2340" s="25">
        <f t="shared" si="477"/>
        <v>0.23198332512922493</v>
      </c>
      <c r="G2340" s="25">
        <f t="shared" ref="G2340:G2403" si="492">((B2340/B1603)^(1/3))-1</f>
        <v>0.23048148885581932</v>
      </c>
      <c r="H2340" s="25">
        <f t="shared" si="489"/>
        <v>0.15220006025397903</v>
      </c>
      <c r="I2340" s="25">
        <f t="shared" si="486"/>
        <v>0.2333985525092499</v>
      </c>
      <c r="K2340" s="28">
        <v>45840</v>
      </c>
      <c r="L2340" s="23">
        <v>37411.42</v>
      </c>
      <c r="M2340" s="25">
        <f t="shared" si="485"/>
        <v>-2.8945706952583162E-3</v>
      </c>
      <c r="O2340" t="b">
        <f t="shared" si="483"/>
        <v>1</v>
      </c>
      <c r="Q2340" s="25">
        <f t="shared" si="481"/>
        <v>3.7302660728673942E-2</v>
      </c>
      <c r="R2340" s="25">
        <f t="shared" si="478"/>
        <v>0.21444968497748484</v>
      </c>
      <c r="S2340" s="25">
        <f t="shared" ref="S2340:S2403" si="493">((L2340/L1603)^(1/3))-1</f>
        <v>0.21872866634008492</v>
      </c>
      <c r="T2340" s="25">
        <f t="shared" si="490"/>
        <v>0.15933293288139483</v>
      </c>
      <c r="U2340" s="25">
        <f t="shared" si="487"/>
        <v>0.22970183549156276</v>
      </c>
      <c r="X2340">
        <f t="shared" si="482"/>
        <v>1</v>
      </c>
      <c r="Y2340">
        <f t="shared" si="479"/>
        <v>1</v>
      </c>
      <c r="Z2340">
        <f t="shared" ref="Z2340:Z2403" si="494">IF(G2340&gt;S2340,1,0)</f>
        <v>1</v>
      </c>
      <c r="AA2340">
        <f t="shared" si="491"/>
        <v>0</v>
      </c>
      <c r="AB2340">
        <f t="shared" si="488"/>
        <v>1</v>
      </c>
    </row>
    <row r="2341" spans="1:28">
      <c r="A2341" s="27">
        <v>45841</v>
      </c>
      <c r="B2341" s="24">
        <v>2018.35</v>
      </c>
      <c r="C2341" s="25">
        <f t="shared" si="484"/>
        <v>-2.2048536441880537E-3</v>
      </c>
      <c r="E2341" s="25">
        <f t="shared" si="480"/>
        <v>7.3259313616012012E-2</v>
      </c>
      <c r="F2341" s="25">
        <f t="shared" si="477"/>
        <v>0.22439762326631962</v>
      </c>
      <c r="G2341" s="25">
        <f t="shared" si="492"/>
        <v>0.22796505897210473</v>
      </c>
      <c r="H2341" s="25">
        <f t="shared" si="489"/>
        <v>0.15018646834906346</v>
      </c>
      <c r="I2341" s="25">
        <f t="shared" si="486"/>
        <v>0.23127712478538465</v>
      </c>
      <c r="K2341" s="29">
        <v>45841</v>
      </c>
      <c r="L2341" s="24">
        <v>37371</v>
      </c>
      <c r="M2341" s="25">
        <f t="shared" si="485"/>
        <v>-1.0815873270717468E-3</v>
      </c>
      <c r="O2341" t="b">
        <f t="shared" si="483"/>
        <v>1</v>
      </c>
      <c r="Q2341" s="25">
        <f t="shared" si="481"/>
        <v>3.271779067865177E-2</v>
      </c>
      <c r="R2341" s="25">
        <f t="shared" si="478"/>
        <v>0.2080866920210791</v>
      </c>
      <c r="S2341" s="25">
        <f t="shared" si="493"/>
        <v>0.21807726128891169</v>
      </c>
      <c r="T2341" s="25">
        <f t="shared" si="490"/>
        <v>0.1578092228079</v>
      </c>
      <c r="U2341" s="25">
        <f t="shared" si="487"/>
        <v>0.22847244268812283</v>
      </c>
      <c r="X2341">
        <f t="shared" si="482"/>
        <v>1</v>
      </c>
      <c r="Y2341">
        <f t="shared" si="479"/>
        <v>1</v>
      </c>
      <c r="Z2341">
        <f t="shared" si="494"/>
        <v>1</v>
      </c>
      <c r="AA2341">
        <f t="shared" si="491"/>
        <v>0</v>
      </c>
      <c r="AB2341">
        <f t="shared" si="488"/>
        <v>1</v>
      </c>
    </row>
    <row r="2342" spans="1:28">
      <c r="A2342" s="26">
        <v>45842</v>
      </c>
      <c r="B2342" s="23">
        <v>2025.66</v>
      </c>
      <c r="C2342" s="25">
        <f t="shared" si="484"/>
        <v>3.6217702578840009E-3</v>
      </c>
      <c r="E2342" s="25">
        <f t="shared" si="480"/>
        <v>7.9943061560689088E-2</v>
      </c>
      <c r="F2342" s="25">
        <f t="shared" si="477"/>
        <v>0.22309760114860988</v>
      </c>
      <c r="G2342" s="25">
        <f t="shared" si="492"/>
        <v>0.22679536428695446</v>
      </c>
      <c r="H2342" s="25">
        <f t="shared" si="489"/>
        <v>0.15332232172075178</v>
      </c>
      <c r="I2342" s="25">
        <f t="shared" si="486"/>
        <v>0.23327986392231903</v>
      </c>
      <c r="K2342" s="28">
        <v>45842</v>
      </c>
      <c r="L2342" s="23">
        <v>37443.199999999997</v>
      </c>
      <c r="M2342" s="25">
        <f t="shared" si="485"/>
        <v>1.9282539953849322E-3</v>
      </c>
      <c r="O2342" t="b">
        <f t="shared" si="483"/>
        <v>1</v>
      </c>
      <c r="Q2342" s="25">
        <f t="shared" si="481"/>
        <v>3.5452363306527346E-2</v>
      </c>
      <c r="R2342" s="25">
        <f t="shared" si="478"/>
        <v>0.20566255451047688</v>
      </c>
      <c r="S2342" s="25">
        <f t="shared" si="493"/>
        <v>0.21642105876743889</v>
      </c>
      <c r="T2342" s="25">
        <f t="shared" si="490"/>
        <v>0.16039265451991147</v>
      </c>
      <c r="U2342" s="25">
        <f t="shared" si="487"/>
        <v>0.23076681654334563</v>
      </c>
      <c r="X2342">
        <f t="shared" si="482"/>
        <v>1</v>
      </c>
      <c r="Y2342">
        <f t="shared" si="479"/>
        <v>1</v>
      </c>
      <c r="Z2342">
        <f t="shared" si="494"/>
        <v>1</v>
      </c>
      <c r="AA2342">
        <f t="shared" si="491"/>
        <v>0</v>
      </c>
      <c r="AB2342">
        <f t="shared" si="488"/>
        <v>1</v>
      </c>
    </row>
    <row r="2343" spans="1:28">
      <c r="A2343" s="27">
        <v>45845</v>
      </c>
      <c r="B2343" s="24">
        <v>2025.79</v>
      </c>
      <c r="C2343" s="25">
        <f t="shared" si="484"/>
        <v>6.4176614041784775E-5</v>
      </c>
      <c r="E2343" s="25">
        <f t="shared" si="480"/>
        <v>7.4410365475287676E-2</v>
      </c>
      <c r="F2343" s="25">
        <f t="shared" si="477"/>
        <v>0.22092975747696264</v>
      </c>
      <c r="G2343" s="25">
        <f t="shared" si="492"/>
        <v>0.22711994736318464</v>
      </c>
      <c r="H2343" s="25">
        <f t="shared" si="489"/>
        <v>0.15230304283367913</v>
      </c>
      <c r="I2343" s="25">
        <f t="shared" si="486"/>
        <v>0.23118392623757256</v>
      </c>
      <c r="K2343" s="29">
        <v>45845</v>
      </c>
      <c r="L2343" s="24">
        <v>37426.49</v>
      </c>
      <c r="M2343" s="25">
        <f t="shared" si="485"/>
        <v>-4.4647521047255908E-4</v>
      </c>
      <c r="O2343" t="b">
        <f t="shared" si="483"/>
        <v>1</v>
      </c>
      <c r="Q2343" s="25">
        <f t="shared" si="481"/>
        <v>3.0613155304809681E-2</v>
      </c>
      <c r="R2343" s="25">
        <f t="shared" si="478"/>
        <v>0.20436903763791459</v>
      </c>
      <c r="S2343" s="25">
        <f t="shared" si="493"/>
        <v>0.2165424945857517</v>
      </c>
      <c r="T2343" s="25">
        <f t="shared" si="490"/>
        <v>0.16035504608667694</v>
      </c>
      <c r="U2343" s="25">
        <f t="shared" si="487"/>
        <v>0.22865882554104155</v>
      </c>
      <c r="X2343">
        <f t="shared" si="482"/>
        <v>1</v>
      </c>
      <c r="Y2343">
        <f t="shared" si="479"/>
        <v>1</v>
      </c>
      <c r="Z2343">
        <f t="shared" si="494"/>
        <v>1</v>
      </c>
      <c r="AA2343">
        <f t="shared" si="491"/>
        <v>0</v>
      </c>
      <c r="AB2343">
        <f t="shared" si="488"/>
        <v>1</v>
      </c>
    </row>
    <row r="2344" spans="1:28">
      <c r="A2344" s="26">
        <v>45846</v>
      </c>
      <c r="B2344" s="23">
        <v>2028.91</v>
      </c>
      <c r="C2344" s="25">
        <f t="shared" si="484"/>
        <v>1.5401398960406155E-3</v>
      </c>
      <c r="E2344" s="25">
        <f t="shared" si="480"/>
        <v>7.9741574289409201E-2</v>
      </c>
      <c r="F2344" s="25">
        <f t="shared" si="477"/>
        <v>0.22072036241355031</v>
      </c>
      <c r="G2344" s="25">
        <f t="shared" si="492"/>
        <v>0.22285391350237216</v>
      </c>
      <c r="H2344" s="25">
        <f t="shared" si="489"/>
        <v>0.15252084451705672</v>
      </c>
      <c r="I2344" s="25">
        <f t="shared" si="486"/>
        <v>0.23285338572100378</v>
      </c>
      <c r="K2344" s="28">
        <v>45846</v>
      </c>
      <c r="L2344" s="23">
        <v>37461.97</v>
      </c>
      <c r="M2344" s="25">
        <f t="shared" si="485"/>
        <v>9.4709381273871073E-4</v>
      </c>
      <c r="O2344" t="b">
        <f t="shared" si="483"/>
        <v>1</v>
      </c>
      <c r="Q2344" s="25">
        <f t="shared" si="481"/>
        <v>3.5605713168889164E-2</v>
      </c>
      <c r="R2344" s="25">
        <f t="shared" si="478"/>
        <v>0.20343934225317817</v>
      </c>
      <c r="S2344" s="25">
        <f t="shared" si="493"/>
        <v>0.21186262535242628</v>
      </c>
      <c r="T2344" s="25">
        <f t="shared" si="490"/>
        <v>0.16017530797132573</v>
      </c>
      <c r="U2344" s="25">
        <f t="shared" si="487"/>
        <v>0.2299365483180138</v>
      </c>
      <c r="X2344">
        <f t="shared" si="482"/>
        <v>1</v>
      </c>
      <c r="Y2344">
        <f t="shared" si="479"/>
        <v>1</v>
      </c>
      <c r="Z2344">
        <f t="shared" si="494"/>
        <v>1</v>
      </c>
      <c r="AA2344">
        <f t="shared" si="491"/>
        <v>0</v>
      </c>
      <c r="AB2344">
        <f t="shared" si="488"/>
        <v>1</v>
      </c>
    </row>
    <row r="2345" spans="1:28">
      <c r="A2345" s="27">
        <v>45847</v>
      </c>
      <c r="B2345" s="24">
        <v>2026.13</v>
      </c>
      <c r="C2345" s="25">
        <f t="shared" si="484"/>
        <v>-1.3701938479281845E-3</v>
      </c>
      <c r="E2345" s="25">
        <f t="shared" si="480"/>
        <v>7.9198269984660064E-2</v>
      </c>
      <c r="F2345" s="25">
        <f t="shared" si="477"/>
        <v>0.21763219679188328</v>
      </c>
      <c r="G2345" s="25">
        <f t="shared" si="492"/>
        <v>0.21812651646340586</v>
      </c>
      <c r="H2345" s="25">
        <f t="shared" si="489"/>
        <v>0.15087185942063486</v>
      </c>
      <c r="I2345" s="25">
        <f t="shared" si="486"/>
        <v>0.23165553260004201</v>
      </c>
      <c r="K2345" s="29">
        <v>45847</v>
      </c>
      <c r="L2345" s="24">
        <v>37438.19</v>
      </c>
      <c r="M2345" s="25">
        <f t="shared" si="485"/>
        <v>-6.3518027981584676E-4</v>
      </c>
      <c r="O2345" t="b">
        <f t="shared" si="483"/>
        <v>1</v>
      </c>
      <c r="Q2345" s="25">
        <f t="shared" si="481"/>
        <v>3.3704424656588738E-2</v>
      </c>
      <c r="R2345" s="25">
        <f t="shared" si="478"/>
        <v>0.19952125707748469</v>
      </c>
      <c r="S2345" s="25">
        <f t="shared" si="493"/>
        <v>0.20762541358281461</v>
      </c>
      <c r="T2345" s="25">
        <f t="shared" si="490"/>
        <v>0.15828723513524112</v>
      </c>
      <c r="U2345" s="25">
        <f t="shared" si="487"/>
        <v>0.22920278087095913</v>
      </c>
      <c r="X2345">
        <f t="shared" si="482"/>
        <v>1</v>
      </c>
      <c r="Y2345">
        <f t="shared" si="479"/>
        <v>1</v>
      </c>
      <c r="Z2345">
        <f t="shared" si="494"/>
        <v>1</v>
      </c>
      <c r="AA2345">
        <f t="shared" si="491"/>
        <v>0</v>
      </c>
      <c r="AB2345">
        <f t="shared" si="488"/>
        <v>1</v>
      </c>
    </row>
    <row r="2346" spans="1:28">
      <c r="A2346" s="26">
        <v>45848</v>
      </c>
      <c r="B2346" s="23">
        <v>2016.9</v>
      </c>
      <c r="C2346" s="25">
        <f t="shared" si="484"/>
        <v>-4.5554826195752579E-3</v>
      </c>
      <c r="E2346" s="25">
        <f t="shared" si="480"/>
        <v>7.1718926846375819E-2</v>
      </c>
      <c r="F2346" s="25">
        <f t="shared" si="477"/>
        <v>0.21959923257753777</v>
      </c>
      <c r="G2346" s="25">
        <f t="shared" si="492"/>
        <v>0.21448893725478912</v>
      </c>
      <c r="H2346" s="25">
        <f t="shared" si="489"/>
        <v>0.14880618338502494</v>
      </c>
      <c r="I2346" s="25">
        <f t="shared" si="486"/>
        <v>0.23372681446646104</v>
      </c>
      <c r="K2346" s="28">
        <v>45848</v>
      </c>
      <c r="L2346" s="23">
        <v>37302.43</v>
      </c>
      <c r="M2346" s="25">
        <f t="shared" si="485"/>
        <v>-3.6394411838585861E-3</v>
      </c>
      <c r="O2346" t="b">
        <f t="shared" si="483"/>
        <v>1</v>
      </c>
      <c r="Q2346" s="25">
        <f t="shared" si="481"/>
        <v>2.5854525153799379E-2</v>
      </c>
      <c r="R2346" s="25">
        <f t="shared" si="478"/>
        <v>0.20196863296110878</v>
      </c>
      <c r="S2346" s="25">
        <f t="shared" si="493"/>
        <v>0.20432306035900649</v>
      </c>
      <c r="T2346" s="25">
        <f t="shared" si="490"/>
        <v>0.15653645969151264</v>
      </c>
      <c r="U2346" s="25">
        <f t="shared" si="487"/>
        <v>0.23225437120471693</v>
      </c>
      <c r="X2346">
        <f t="shared" si="482"/>
        <v>1</v>
      </c>
      <c r="Y2346">
        <f t="shared" si="479"/>
        <v>1</v>
      </c>
      <c r="Z2346">
        <f t="shared" si="494"/>
        <v>1</v>
      </c>
      <c r="AA2346">
        <f t="shared" si="491"/>
        <v>0</v>
      </c>
      <c r="AB2346">
        <f t="shared" si="488"/>
        <v>1</v>
      </c>
    </row>
    <row r="2347" spans="1:28">
      <c r="A2347" s="27">
        <v>45849</v>
      </c>
      <c r="B2347" s="24">
        <v>2003.38</v>
      </c>
      <c r="C2347" s="25">
        <f t="shared" si="484"/>
        <v>-6.7033566364222228E-3</v>
      </c>
      <c r="E2347" s="25">
        <f t="shared" si="480"/>
        <v>5.9490504471439332E-2</v>
      </c>
      <c r="F2347" s="25">
        <f t="shared" si="477"/>
        <v>0.21713491242088412</v>
      </c>
      <c r="G2347" s="25">
        <f t="shared" si="492"/>
        <v>0.2115360339804071</v>
      </c>
      <c r="H2347" s="25">
        <f t="shared" si="489"/>
        <v>0.14574980289963868</v>
      </c>
      <c r="I2347" s="25">
        <f t="shared" si="486"/>
        <v>0.23188334622052076</v>
      </c>
      <c r="K2347" s="29">
        <v>45849</v>
      </c>
      <c r="L2347" s="24">
        <v>37005.03</v>
      </c>
      <c r="M2347" s="25">
        <f t="shared" si="485"/>
        <v>-8.0367452748991552E-3</v>
      </c>
      <c r="O2347" t="b">
        <f t="shared" si="483"/>
        <v>1</v>
      </c>
      <c r="Q2347" s="25">
        <f t="shared" si="481"/>
        <v>1.2655654119470672E-2</v>
      </c>
      <c r="R2347" s="25">
        <f t="shared" si="478"/>
        <v>0.19755494232745408</v>
      </c>
      <c r="S2347" s="25">
        <f t="shared" si="493"/>
        <v>0.19940582520725059</v>
      </c>
      <c r="T2347" s="25">
        <f t="shared" si="490"/>
        <v>0.15292239567549237</v>
      </c>
      <c r="U2347" s="25">
        <f t="shared" si="487"/>
        <v>0.23036193181429154</v>
      </c>
      <c r="X2347">
        <f t="shared" si="482"/>
        <v>1</v>
      </c>
      <c r="Y2347">
        <f t="shared" si="479"/>
        <v>1</v>
      </c>
      <c r="Z2347">
        <f t="shared" si="494"/>
        <v>1</v>
      </c>
      <c r="AA2347">
        <f t="shared" si="491"/>
        <v>0</v>
      </c>
      <c r="AB2347">
        <f t="shared" si="488"/>
        <v>1</v>
      </c>
    </row>
    <row r="2348" spans="1:28">
      <c r="A2348" s="26">
        <v>45852</v>
      </c>
      <c r="B2348" s="23">
        <v>2002.24</v>
      </c>
      <c r="C2348" s="25">
        <f t="shared" si="484"/>
        <v>-5.6903832523041065E-4</v>
      </c>
      <c r="E2348" s="25">
        <f t="shared" si="480"/>
        <v>5.7054013103364554E-2</v>
      </c>
      <c r="F2348" s="25">
        <f t="shared" si="477"/>
        <v>0.21516325210012432</v>
      </c>
      <c r="G2348" s="25">
        <f t="shared" si="492"/>
        <v>0.21571788092539523</v>
      </c>
      <c r="H2348" s="25">
        <f t="shared" si="489"/>
        <v>0.14539223528953116</v>
      </c>
      <c r="I2348" s="25">
        <f t="shared" si="486"/>
        <v>0.22920876546562807</v>
      </c>
      <c r="K2348" s="28">
        <v>45852</v>
      </c>
      <c r="L2348" s="23">
        <v>37047.199999999997</v>
      </c>
      <c r="M2348" s="25">
        <f t="shared" si="485"/>
        <v>1.138277656610979E-3</v>
      </c>
      <c r="O2348" t="b">
        <f t="shared" si="483"/>
        <v>1</v>
      </c>
      <c r="Q2348" s="25">
        <f t="shared" si="481"/>
        <v>1.3973362644532639E-2</v>
      </c>
      <c r="R2348" s="25">
        <f t="shared" si="478"/>
        <v>0.19479767964073536</v>
      </c>
      <c r="S2348" s="25">
        <f t="shared" si="493"/>
        <v>0.20296810448101854</v>
      </c>
      <c r="T2348" s="25">
        <f t="shared" si="490"/>
        <v>0.15278534895029616</v>
      </c>
      <c r="U2348" s="25">
        <f t="shared" si="487"/>
        <v>0.22843754299075769</v>
      </c>
      <c r="X2348">
        <f t="shared" si="482"/>
        <v>1</v>
      </c>
      <c r="Y2348">
        <f t="shared" si="479"/>
        <v>1</v>
      </c>
      <c r="Z2348">
        <f t="shared" si="494"/>
        <v>1</v>
      </c>
      <c r="AA2348">
        <f t="shared" si="491"/>
        <v>0</v>
      </c>
      <c r="AB2348">
        <f t="shared" si="488"/>
        <v>1</v>
      </c>
    </row>
    <row r="2349" spans="1:28">
      <c r="A2349" s="27">
        <v>45853</v>
      </c>
      <c r="B2349" s="24">
        <v>2011.39</v>
      </c>
      <c r="C2349" s="25">
        <f t="shared" si="484"/>
        <v>4.5698817324596906E-3</v>
      </c>
      <c r="E2349" s="25">
        <f t="shared" si="480"/>
        <v>5.726856037509731E-2</v>
      </c>
      <c r="F2349" s="25">
        <f t="shared" si="477"/>
        <v>0.21703496476734285</v>
      </c>
      <c r="G2349" s="25">
        <f t="shared" si="492"/>
        <v>0.21872005227960623</v>
      </c>
      <c r="H2349" s="25">
        <f t="shared" si="489"/>
        <v>0.14892721427029931</v>
      </c>
      <c r="I2349" s="25">
        <f t="shared" si="486"/>
        <v>0.22732432557848559</v>
      </c>
      <c r="K2349" s="29">
        <v>45853</v>
      </c>
      <c r="L2349" s="24">
        <v>37270.089999999997</v>
      </c>
      <c r="M2349" s="25">
        <f t="shared" si="485"/>
        <v>5.9803987594341584E-3</v>
      </c>
      <c r="O2349" t="b">
        <f t="shared" si="483"/>
        <v>1</v>
      </c>
      <c r="Q2349" s="25">
        <f t="shared" si="481"/>
        <v>1.9807531289162794E-2</v>
      </c>
      <c r="R2349" s="25">
        <f t="shared" si="478"/>
        <v>0.19863405576563942</v>
      </c>
      <c r="S2349" s="25">
        <f t="shared" si="493"/>
        <v>0.20689341991954446</v>
      </c>
      <c r="T2349" s="25">
        <f t="shared" si="490"/>
        <v>0.15708791331146843</v>
      </c>
      <c r="U2349" s="25">
        <f t="shared" si="487"/>
        <v>0.22632472384800661</v>
      </c>
      <c r="X2349">
        <f t="shared" si="482"/>
        <v>1</v>
      </c>
      <c r="Y2349">
        <f t="shared" si="479"/>
        <v>1</v>
      </c>
      <c r="Z2349">
        <f t="shared" si="494"/>
        <v>1</v>
      </c>
      <c r="AA2349">
        <f t="shared" si="491"/>
        <v>0</v>
      </c>
      <c r="AB2349">
        <f t="shared" si="488"/>
        <v>1</v>
      </c>
    </row>
    <row r="2350" spans="1:28">
      <c r="A2350" s="26">
        <v>45854</v>
      </c>
      <c r="B2350" s="23">
        <v>2012.23</v>
      </c>
      <c r="C2350" s="25">
        <f t="shared" si="484"/>
        <v>4.1762164473320348E-4</v>
      </c>
      <c r="E2350" s="25">
        <f t="shared" si="480"/>
        <v>7.1377990277770254E-2</v>
      </c>
      <c r="F2350" s="25">
        <f t="shared" si="477"/>
        <v>0.21695305617457672</v>
      </c>
      <c r="G2350" s="25">
        <f t="shared" si="492"/>
        <v>0.21928117397200597</v>
      </c>
      <c r="H2350" s="25">
        <f t="shared" si="489"/>
        <v>0.15286376349480491</v>
      </c>
      <c r="I2350" s="25">
        <f t="shared" si="486"/>
        <v>0.22510171515395738</v>
      </c>
      <c r="K2350" s="28">
        <v>45854</v>
      </c>
      <c r="L2350" s="23">
        <v>37309.4</v>
      </c>
      <c r="M2350" s="25">
        <f t="shared" si="485"/>
        <v>1.0536218754524315E-3</v>
      </c>
      <c r="O2350" t="b">
        <f t="shared" si="483"/>
        <v>1</v>
      </c>
      <c r="Q2350" s="25">
        <f t="shared" si="481"/>
        <v>3.6665368151327371E-2</v>
      </c>
      <c r="R2350" s="25">
        <f t="shared" si="478"/>
        <v>0.19986444748656629</v>
      </c>
      <c r="S2350" s="25">
        <f t="shared" si="493"/>
        <v>0.2078815058034178</v>
      </c>
      <c r="T2350" s="25">
        <f t="shared" si="490"/>
        <v>0.16004010660934065</v>
      </c>
      <c r="U2350" s="25">
        <f t="shared" si="487"/>
        <v>0.22411858551253316</v>
      </c>
      <c r="X2350">
        <f t="shared" si="482"/>
        <v>1</v>
      </c>
      <c r="Y2350">
        <f t="shared" si="479"/>
        <v>1</v>
      </c>
      <c r="Z2350">
        <f t="shared" si="494"/>
        <v>1</v>
      </c>
      <c r="AA2350">
        <f t="shared" si="491"/>
        <v>0</v>
      </c>
      <c r="AB2350">
        <f t="shared" si="488"/>
        <v>1</v>
      </c>
    </row>
    <row r="2351" spans="1:28">
      <c r="A2351" s="27">
        <v>45855</v>
      </c>
      <c r="B2351" s="24">
        <v>2011.36</v>
      </c>
      <c r="C2351" s="25">
        <f t="shared" si="484"/>
        <v>-4.323561421905638E-4</v>
      </c>
      <c r="E2351" s="25">
        <f t="shared" si="480"/>
        <v>6.5790589232725738E-2</v>
      </c>
      <c r="F2351" s="25">
        <f t="shared" ref="F2351:F2414" si="495">((B2351/B1859)^(1/2))-1</f>
        <v>0.20980889168268746</v>
      </c>
      <c r="G2351" s="25">
        <f t="shared" si="492"/>
        <v>0.21816974822652746</v>
      </c>
      <c r="H2351" s="25">
        <f t="shared" si="489"/>
        <v>0.14830169306571817</v>
      </c>
      <c r="I2351" s="25">
        <f t="shared" si="486"/>
        <v>0.22403703724480595</v>
      </c>
      <c r="K2351" s="29">
        <v>45855</v>
      </c>
      <c r="L2351" s="24">
        <v>37225.68</v>
      </c>
      <c r="M2351" s="25">
        <f t="shared" si="485"/>
        <v>-2.2489851092042149E-3</v>
      </c>
      <c r="O2351" t="b">
        <f t="shared" si="483"/>
        <v>1</v>
      </c>
      <c r="Q2351" s="25">
        <f t="shared" si="481"/>
        <v>3.0317774919603524E-2</v>
      </c>
      <c r="R2351" s="25">
        <f t="shared" ref="R2351:R2414" si="496">((L2351/L1859)^(1/2))-1</f>
        <v>0.19335052860381774</v>
      </c>
      <c r="S2351" s="25">
        <f t="shared" si="493"/>
        <v>0.20440861212394124</v>
      </c>
      <c r="T2351" s="25">
        <f t="shared" si="490"/>
        <v>0.15564495908371989</v>
      </c>
      <c r="U2351" s="25">
        <f t="shared" si="487"/>
        <v>0.22125266144709688</v>
      </c>
      <c r="X2351">
        <f t="shared" si="482"/>
        <v>1</v>
      </c>
      <c r="Y2351">
        <f t="shared" ref="Y2351:Y2414" si="497">IF(F2351&gt;R2351,1,0)</f>
        <v>1</v>
      </c>
      <c r="Z2351">
        <f t="shared" si="494"/>
        <v>1</v>
      </c>
      <c r="AA2351">
        <f t="shared" si="491"/>
        <v>0</v>
      </c>
      <c r="AB2351">
        <f t="shared" si="488"/>
        <v>1</v>
      </c>
    </row>
    <row r="2352" spans="1:28">
      <c r="A2352" s="26">
        <v>45856</v>
      </c>
      <c r="B2352" s="23">
        <v>1998.41</v>
      </c>
      <c r="C2352" s="25">
        <f t="shared" si="484"/>
        <v>-6.4384297191948823E-3</v>
      </c>
      <c r="E2352" s="25">
        <f t="shared" si="480"/>
        <v>6.1251042181119209E-2</v>
      </c>
      <c r="F2352" s="25">
        <f t="shared" si="495"/>
        <v>0.20224353478325208</v>
      </c>
      <c r="G2352" s="25">
        <f t="shared" si="492"/>
        <v>0.20902202253070534</v>
      </c>
      <c r="H2352" s="25">
        <f t="shared" si="489"/>
        <v>0.14502377088114615</v>
      </c>
      <c r="I2352" s="25">
        <f t="shared" si="486"/>
        <v>0.22310242874314867</v>
      </c>
      <c r="K2352" s="28">
        <v>45856</v>
      </c>
      <c r="L2352" s="23">
        <v>37010.28</v>
      </c>
      <c r="M2352" s="25">
        <f t="shared" si="485"/>
        <v>-5.8200046041262448E-3</v>
      </c>
      <c r="O2352" t="b">
        <f t="shared" si="483"/>
        <v>1</v>
      </c>
      <c r="Q2352" s="25">
        <f t="shared" si="481"/>
        <v>2.772561127829376E-2</v>
      </c>
      <c r="R2352" s="25">
        <f t="shared" si="496"/>
        <v>0.18612504369756966</v>
      </c>
      <c r="S2352" s="25">
        <f t="shared" si="493"/>
        <v>0.19649080826025545</v>
      </c>
      <c r="T2352" s="25">
        <f t="shared" si="490"/>
        <v>0.15356148760332622</v>
      </c>
      <c r="U2352" s="25">
        <f t="shared" si="487"/>
        <v>0.22047944855840362</v>
      </c>
      <c r="X2352">
        <f t="shared" si="482"/>
        <v>1</v>
      </c>
      <c r="Y2352">
        <f t="shared" si="497"/>
        <v>1</v>
      </c>
      <c r="Z2352">
        <f t="shared" si="494"/>
        <v>1</v>
      </c>
      <c r="AA2352">
        <f t="shared" si="491"/>
        <v>0</v>
      </c>
      <c r="AB2352">
        <f t="shared" si="488"/>
        <v>1</v>
      </c>
    </row>
    <row r="2353" spans="1:28">
      <c r="A2353" s="27">
        <v>45870</v>
      </c>
      <c r="B2353" s="24">
        <v>1958.63</v>
      </c>
      <c r="C2353" s="25">
        <f t="shared" si="484"/>
        <v>-1.9905825130979115E-2</v>
      </c>
      <c r="E2353" s="25">
        <f t="shared" si="480"/>
        <v>3.9976849639470347E-2</v>
      </c>
      <c r="F2353" s="25">
        <f t="shared" si="495"/>
        <v>0.19010997099186189</v>
      </c>
      <c r="G2353" s="25">
        <f t="shared" si="492"/>
        <v>0.1992937745892347</v>
      </c>
      <c r="H2353" s="25">
        <f t="shared" si="489"/>
        <v>0.13918460025633905</v>
      </c>
      <c r="I2353" s="25">
        <f t="shared" si="486"/>
        <v>0.21638647664339716</v>
      </c>
      <c r="K2353" s="29">
        <v>45870</v>
      </c>
      <c r="L2353" s="24">
        <v>36086.49</v>
      </c>
      <c r="M2353" s="25">
        <f t="shared" si="485"/>
        <v>-2.5599330940748212E-2</v>
      </c>
      <c r="O2353" t="b">
        <f t="shared" si="483"/>
        <v>1</v>
      </c>
      <c r="Q2353" s="25">
        <f t="shared" si="481"/>
        <v>-4.0635813364464646E-4</v>
      </c>
      <c r="R2353" s="25">
        <f t="shared" si="496"/>
        <v>0.17122755426133396</v>
      </c>
      <c r="S2353" s="25">
        <f t="shared" si="493"/>
        <v>0.18449692087475178</v>
      </c>
      <c r="T2353" s="25">
        <f t="shared" si="490"/>
        <v>0.146543091882543</v>
      </c>
      <c r="U2353" s="25">
        <f t="shared" si="487"/>
        <v>0.21249880797006404</v>
      </c>
      <c r="X2353">
        <f t="shared" si="482"/>
        <v>1</v>
      </c>
      <c r="Y2353">
        <f t="shared" si="497"/>
        <v>1</v>
      </c>
      <c r="Z2353">
        <f t="shared" si="494"/>
        <v>1</v>
      </c>
      <c r="AA2353">
        <f t="shared" si="491"/>
        <v>0</v>
      </c>
      <c r="AB2353">
        <f t="shared" si="488"/>
        <v>1</v>
      </c>
    </row>
    <row r="2354" spans="1:28">
      <c r="A2354" s="26">
        <v>45888</v>
      </c>
      <c r="B2354" s="23">
        <v>2006.98</v>
      </c>
      <c r="C2354" s="25">
        <f t="shared" si="484"/>
        <v>2.4685622092993523E-2</v>
      </c>
      <c r="E2354" s="25">
        <f t="shared" si="480"/>
        <v>6.5434353300915182E-2</v>
      </c>
      <c r="F2354" s="25">
        <f t="shared" si="495"/>
        <v>0.20270667571945111</v>
      </c>
      <c r="G2354" s="25">
        <f t="shared" si="492"/>
        <v>0.2070797767914998</v>
      </c>
      <c r="H2354" s="25">
        <f t="shared" si="489"/>
        <v>0.14865533723482249</v>
      </c>
      <c r="I2354" s="25">
        <f t="shared" si="486"/>
        <v>0.22321952676377288</v>
      </c>
      <c r="K2354" s="28">
        <v>45888</v>
      </c>
      <c r="L2354" s="23">
        <v>36753.67</v>
      </c>
      <c r="M2354" s="25">
        <f t="shared" si="485"/>
        <v>1.815274501838865E-2</v>
      </c>
      <c r="O2354" t="b">
        <f t="shared" si="483"/>
        <v>1</v>
      </c>
      <c r="Q2354" s="25">
        <f t="shared" si="481"/>
        <v>1.825302958900199E-2</v>
      </c>
      <c r="R2354" s="25">
        <f t="shared" si="496"/>
        <v>0.17915652768687607</v>
      </c>
      <c r="S2354" s="25">
        <f t="shared" si="493"/>
        <v>0.18857135884543119</v>
      </c>
      <c r="T2354" s="25">
        <f t="shared" si="490"/>
        <v>0.15314427858527191</v>
      </c>
      <c r="U2354" s="25">
        <f t="shared" si="487"/>
        <v>0.21770043123562988</v>
      </c>
      <c r="X2354">
        <f t="shared" si="482"/>
        <v>1</v>
      </c>
      <c r="Y2354">
        <f t="shared" si="497"/>
        <v>1</v>
      </c>
      <c r="Z2354">
        <f t="shared" si="494"/>
        <v>1</v>
      </c>
      <c r="AA2354">
        <f t="shared" si="491"/>
        <v>0</v>
      </c>
      <c r="AB2354">
        <f t="shared" si="488"/>
        <v>1</v>
      </c>
    </row>
    <row r="2355" spans="1:28">
      <c r="A2355" s="27">
        <v>45889</v>
      </c>
      <c r="B2355" s="24">
        <v>2011.99</v>
      </c>
      <c r="C2355" s="25">
        <f t="shared" si="484"/>
        <v>2.4962879550369165E-3</v>
      </c>
      <c r="E2355" s="25">
        <f t="shared" si="480"/>
        <v>4.7017131200432827E-2</v>
      </c>
      <c r="F2355" s="25">
        <f t="shared" si="495"/>
        <v>0.20124093436930979</v>
      </c>
      <c r="G2355" s="25">
        <f t="shared" si="492"/>
        <v>0.20501473672250703</v>
      </c>
      <c r="H2355" s="25">
        <f t="shared" si="489"/>
        <v>0.14911244807457447</v>
      </c>
      <c r="I2355" s="25">
        <f t="shared" si="486"/>
        <v>0.22627564520619492</v>
      </c>
      <c r="K2355" s="29">
        <v>45889</v>
      </c>
      <c r="L2355" s="24">
        <v>36875.67</v>
      </c>
      <c r="M2355" s="25">
        <f t="shared" si="485"/>
        <v>3.308414464062619E-3</v>
      </c>
      <c r="O2355" t="b">
        <f t="shared" si="483"/>
        <v>1</v>
      </c>
      <c r="Q2355" s="25">
        <f t="shared" si="481"/>
        <v>5.1489951282166491E-3</v>
      </c>
      <c r="R2355" s="25">
        <f t="shared" si="496"/>
        <v>0.17793075126046598</v>
      </c>
      <c r="S2355" s="25">
        <f t="shared" si="493"/>
        <v>0.18671503508470266</v>
      </c>
      <c r="T2355" s="25">
        <f t="shared" si="490"/>
        <v>0.1546955891843087</v>
      </c>
      <c r="U2355" s="25">
        <f t="shared" si="487"/>
        <v>0.22015063962728121</v>
      </c>
      <c r="X2355">
        <f t="shared" si="482"/>
        <v>1</v>
      </c>
      <c r="Y2355">
        <f t="shared" si="497"/>
        <v>1</v>
      </c>
      <c r="Z2355">
        <f t="shared" si="494"/>
        <v>1</v>
      </c>
      <c r="AA2355">
        <f t="shared" si="491"/>
        <v>0</v>
      </c>
      <c r="AB2355">
        <f t="shared" si="488"/>
        <v>1</v>
      </c>
    </row>
    <row r="2356" spans="1:28">
      <c r="A2356" s="26">
        <v>45890</v>
      </c>
      <c r="B2356" s="23">
        <v>2014.59</v>
      </c>
      <c r="C2356" s="25">
        <f t="shared" si="484"/>
        <v>1.2922529436030542E-3</v>
      </c>
      <c r="E2356" s="25">
        <f t="shared" si="480"/>
        <v>4.5106970181154171E-2</v>
      </c>
      <c r="F2356" s="25">
        <f t="shared" si="495"/>
        <v>0.20529748307833984</v>
      </c>
      <c r="G2356" s="25">
        <f t="shared" si="492"/>
        <v>0.2034926133691628</v>
      </c>
      <c r="H2356" s="25">
        <f t="shared" si="489"/>
        <v>0.14666432283635467</v>
      </c>
      <c r="I2356" s="25">
        <f t="shared" si="486"/>
        <v>0.22359194595058507</v>
      </c>
      <c r="K2356" s="28">
        <v>45890</v>
      </c>
      <c r="L2356" s="23">
        <v>36869.089999999997</v>
      </c>
      <c r="M2356" s="25">
        <f t="shared" si="485"/>
        <v>-1.7846928144963021E-4</v>
      </c>
      <c r="O2356" t="b">
        <f t="shared" si="483"/>
        <v>1</v>
      </c>
      <c r="Q2356" s="25">
        <f t="shared" si="481"/>
        <v>5.718082002776903E-4</v>
      </c>
      <c r="R2356" s="25">
        <f t="shared" si="496"/>
        <v>0.18257184380778613</v>
      </c>
      <c r="S2356" s="25">
        <f t="shared" si="493"/>
        <v>0.18485201251535988</v>
      </c>
      <c r="T2356" s="25">
        <f t="shared" si="490"/>
        <v>0.15322551966653242</v>
      </c>
      <c r="U2356" s="25">
        <f t="shared" si="487"/>
        <v>0.2169701110945006</v>
      </c>
      <c r="X2356">
        <f t="shared" si="482"/>
        <v>1</v>
      </c>
      <c r="Y2356">
        <f t="shared" si="497"/>
        <v>1</v>
      </c>
      <c r="Z2356">
        <f t="shared" si="494"/>
        <v>1</v>
      </c>
      <c r="AA2356">
        <f t="shared" si="491"/>
        <v>0</v>
      </c>
      <c r="AB2356">
        <f t="shared" si="488"/>
        <v>1</v>
      </c>
    </row>
    <row r="2357" spans="1:28">
      <c r="A2357" s="27">
        <v>45894</v>
      </c>
      <c r="B2357" s="24">
        <v>2008.29</v>
      </c>
      <c r="C2357" s="25">
        <f t="shared" si="484"/>
        <v>-3.1271871695977616E-3</v>
      </c>
      <c r="E2357" s="25">
        <f t="shared" si="480"/>
        <v>4.3430144957655736E-2</v>
      </c>
      <c r="F2357" s="25">
        <f t="shared" si="495"/>
        <v>0.2047761644775179</v>
      </c>
      <c r="G2357" s="25">
        <f t="shared" si="492"/>
        <v>0.20227146451088007</v>
      </c>
      <c r="H2357" s="25">
        <f t="shared" si="489"/>
        <v>0.14543521136183202</v>
      </c>
      <c r="I2357" s="25">
        <f t="shared" si="486"/>
        <v>0.22270254901565045</v>
      </c>
      <c r="K2357" s="29">
        <v>45894</v>
      </c>
      <c r="L2357" s="24">
        <v>36737.519999999997</v>
      </c>
      <c r="M2357" s="25">
        <f t="shared" si="485"/>
        <v>-3.5813522524111513E-3</v>
      </c>
      <c r="O2357" t="b">
        <f t="shared" si="483"/>
        <v>1</v>
      </c>
      <c r="Q2357" s="25">
        <f t="shared" si="481"/>
        <v>-5.0296249813466254E-3</v>
      </c>
      <c r="R2357" s="25">
        <f t="shared" si="496"/>
        <v>0.18182480448397587</v>
      </c>
      <c r="S2357" s="25">
        <f t="shared" si="493"/>
        <v>0.18501106846914306</v>
      </c>
      <c r="T2357" s="25">
        <f t="shared" si="490"/>
        <v>0.15176139152778689</v>
      </c>
      <c r="U2357" s="25">
        <f t="shared" si="487"/>
        <v>0.21731313499688065</v>
      </c>
      <c r="X2357">
        <f t="shared" si="482"/>
        <v>1</v>
      </c>
      <c r="Y2357">
        <f t="shared" si="497"/>
        <v>1</v>
      </c>
      <c r="Z2357">
        <f t="shared" si="494"/>
        <v>1</v>
      </c>
      <c r="AA2357">
        <f t="shared" si="491"/>
        <v>0</v>
      </c>
      <c r="AB2357">
        <f t="shared" si="488"/>
        <v>1</v>
      </c>
    </row>
    <row r="2358" spans="1:28">
      <c r="A2358" s="26">
        <v>45895</v>
      </c>
      <c r="B2358" s="23">
        <v>1983.61</v>
      </c>
      <c r="C2358" s="25">
        <f t="shared" si="484"/>
        <v>-1.2289061838678709E-2</v>
      </c>
      <c r="E2358" s="25">
        <f t="shared" si="480"/>
        <v>2.6739822459173279E-2</v>
      </c>
      <c r="F2358" s="25">
        <f t="shared" si="495"/>
        <v>0.19611922912246982</v>
      </c>
      <c r="G2358" s="25">
        <f t="shared" si="492"/>
        <v>0.20201470540652933</v>
      </c>
      <c r="H2358" s="25">
        <f t="shared" si="489"/>
        <v>0.14028564054082993</v>
      </c>
      <c r="I2358" s="25">
        <f t="shared" si="486"/>
        <v>0.22025089788688113</v>
      </c>
      <c r="K2358" s="28">
        <v>45895</v>
      </c>
      <c r="L2358" s="23">
        <v>36286.080000000002</v>
      </c>
      <c r="M2358" s="25">
        <f t="shared" si="485"/>
        <v>-1.2441134451558146E-2</v>
      </c>
      <c r="O2358" t="b">
        <f t="shared" si="483"/>
        <v>1</v>
      </c>
      <c r="Q2358" s="25">
        <f t="shared" si="481"/>
        <v>-2.1043498530192606E-2</v>
      </c>
      <c r="R2358" s="25">
        <f t="shared" si="496"/>
        <v>0.17343342989452815</v>
      </c>
      <c r="S2358" s="25">
        <f t="shared" si="493"/>
        <v>0.18395669720436181</v>
      </c>
      <c r="T2358" s="25">
        <f t="shared" si="490"/>
        <v>0.14569611965681761</v>
      </c>
      <c r="U2358" s="25">
        <f t="shared" si="487"/>
        <v>0.21598894286316073</v>
      </c>
      <c r="X2358">
        <f t="shared" si="482"/>
        <v>1</v>
      </c>
      <c r="Y2358">
        <f t="shared" si="497"/>
        <v>1</v>
      </c>
      <c r="Z2358">
        <f t="shared" si="494"/>
        <v>1</v>
      </c>
      <c r="AA2358">
        <f t="shared" si="491"/>
        <v>0</v>
      </c>
      <c r="AB2358">
        <f t="shared" si="488"/>
        <v>1</v>
      </c>
    </row>
    <row r="2359" spans="1:28">
      <c r="A2359" s="27">
        <v>45897</v>
      </c>
      <c r="B2359" s="24">
        <v>1965.93</v>
      </c>
      <c r="C2359" s="25">
        <f t="shared" si="484"/>
        <v>-8.9130423823230564E-3</v>
      </c>
      <c r="E2359" s="25">
        <f t="shared" si="480"/>
        <v>2.0334760607240154E-2</v>
      </c>
      <c r="F2359" s="25">
        <f t="shared" si="495"/>
        <v>0.18896014710092857</v>
      </c>
      <c r="G2359" s="25">
        <f t="shared" si="492"/>
        <v>0.19492789816252842</v>
      </c>
      <c r="H2359" s="25">
        <f t="shared" si="489"/>
        <v>0.1353871921241645</v>
      </c>
      <c r="I2359" s="25">
        <f t="shared" si="486"/>
        <v>0.2181011010934033</v>
      </c>
      <c r="K2359" s="29">
        <v>45897</v>
      </c>
      <c r="L2359" s="24">
        <v>35924.5</v>
      </c>
      <c r="M2359" s="25">
        <f t="shared" si="485"/>
        <v>-1.0064997425155583E-2</v>
      </c>
      <c r="O2359" t="b">
        <f t="shared" si="483"/>
        <v>1</v>
      </c>
      <c r="Q2359" s="25">
        <f t="shared" si="481"/>
        <v>-2.9841858646329045E-2</v>
      </c>
      <c r="R2359" s="25">
        <f t="shared" si="496"/>
        <v>0.16487286843822213</v>
      </c>
      <c r="S2359" s="25">
        <f t="shared" si="493"/>
        <v>0.1766208896388537</v>
      </c>
      <c r="T2359" s="25">
        <f t="shared" si="490"/>
        <v>0.1396281843478222</v>
      </c>
      <c r="U2359" s="25">
        <f t="shared" si="487"/>
        <v>0.21344791945374864</v>
      </c>
      <c r="X2359">
        <f t="shared" si="482"/>
        <v>1</v>
      </c>
      <c r="Y2359">
        <f t="shared" si="497"/>
        <v>1</v>
      </c>
      <c r="Z2359">
        <f t="shared" si="494"/>
        <v>1</v>
      </c>
      <c r="AA2359">
        <f t="shared" si="491"/>
        <v>0</v>
      </c>
      <c r="AB2359">
        <f t="shared" si="488"/>
        <v>1</v>
      </c>
    </row>
    <row r="2360" spans="1:28">
      <c r="A2360" s="26">
        <v>45898</v>
      </c>
      <c r="B2360" s="23">
        <v>1960.92</v>
      </c>
      <c r="C2360" s="25">
        <f t="shared" si="484"/>
        <v>-2.5484122018586577E-3</v>
      </c>
      <c r="E2360" s="25">
        <f t="shared" ref="E2360:E2423" si="498">(B2360/B2115)-1</f>
        <v>2.8900642236494134E-2</v>
      </c>
      <c r="F2360" s="25">
        <f t="shared" si="495"/>
        <v>0.1877687950788427</v>
      </c>
      <c r="G2360" s="25">
        <f t="shared" si="492"/>
        <v>0.18834143956262417</v>
      </c>
      <c r="H2360" s="25">
        <f t="shared" si="489"/>
        <v>0.13444983631543539</v>
      </c>
      <c r="I2360" s="25">
        <f t="shared" si="486"/>
        <v>0.21988869244767328</v>
      </c>
      <c r="K2360" s="28">
        <v>45898</v>
      </c>
      <c r="L2360" s="23">
        <v>35799.379999999997</v>
      </c>
      <c r="M2360" s="25">
        <f t="shared" si="485"/>
        <v>-3.4950325955366442E-3</v>
      </c>
      <c r="O2360" t="b">
        <f t="shared" si="483"/>
        <v>1</v>
      </c>
      <c r="Q2360" s="25">
        <f t="shared" ref="Q2360:Q2423" si="499">(L2360/L2115)-1</f>
        <v>-2.3134912589525936E-2</v>
      </c>
      <c r="R2360" s="25">
        <f t="shared" si="496"/>
        <v>0.16470891383614394</v>
      </c>
      <c r="S2360" s="25">
        <f t="shared" si="493"/>
        <v>0.16961219202975619</v>
      </c>
      <c r="T2360" s="25">
        <f t="shared" si="490"/>
        <v>0.1380144768187046</v>
      </c>
      <c r="U2360" s="25">
        <f t="shared" si="487"/>
        <v>0.21538664492453363</v>
      </c>
      <c r="X2360">
        <f t="shared" ref="X2360:X2423" si="500">IF(E2360&gt;Q2360,1,0)</f>
        <v>1</v>
      </c>
      <c r="Y2360">
        <f t="shared" si="497"/>
        <v>1</v>
      </c>
      <c r="Z2360">
        <f t="shared" si="494"/>
        <v>1</v>
      </c>
      <c r="AA2360">
        <f t="shared" si="491"/>
        <v>0</v>
      </c>
      <c r="AB2360">
        <f t="shared" si="488"/>
        <v>1</v>
      </c>
    </row>
    <row r="2361" spans="1:28">
      <c r="A2361" s="27">
        <v>45901</v>
      </c>
      <c r="B2361" s="24">
        <v>1983.1</v>
      </c>
      <c r="C2361" s="25">
        <f t="shared" si="484"/>
        <v>1.1311017277604305E-2</v>
      </c>
      <c r="E2361" s="25">
        <f t="shared" si="498"/>
        <v>6.8532418059065181E-2</v>
      </c>
      <c r="F2361" s="25">
        <f t="shared" si="495"/>
        <v>0.19339886772769055</v>
      </c>
      <c r="G2361" s="25">
        <f t="shared" si="492"/>
        <v>0.18778792651550291</v>
      </c>
      <c r="H2361" s="25">
        <f t="shared" si="489"/>
        <v>0.13730818981952742</v>
      </c>
      <c r="I2361" s="25">
        <f t="shared" si="486"/>
        <v>0.21889416343976076</v>
      </c>
      <c r="K2361" s="29">
        <v>45901</v>
      </c>
      <c r="L2361" s="24">
        <v>36198.879999999997</v>
      </c>
      <c r="M2361" s="25">
        <f t="shared" si="485"/>
        <v>1.103625305534315E-2</v>
      </c>
      <c r="O2361" t="b">
        <f t="shared" si="483"/>
        <v>1</v>
      </c>
      <c r="Q2361" s="25">
        <f t="shared" si="499"/>
        <v>1.9126958431284091E-2</v>
      </c>
      <c r="R2361" s="25">
        <f t="shared" si="496"/>
        <v>0.17008589688682441</v>
      </c>
      <c r="S2361" s="25">
        <f t="shared" si="493"/>
        <v>0.16867820007758061</v>
      </c>
      <c r="T2361" s="25">
        <f t="shared" si="490"/>
        <v>0.14089151290548352</v>
      </c>
      <c r="U2361" s="25">
        <f t="shared" si="487"/>
        <v>0.2142246381984918</v>
      </c>
      <c r="X2361">
        <f t="shared" si="500"/>
        <v>1</v>
      </c>
      <c r="Y2361">
        <f t="shared" si="497"/>
        <v>1</v>
      </c>
      <c r="Z2361">
        <f t="shared" si="494"/>
        <v>1</v>
      </c>
      <c r="AA2361">
        <f t="shared" si="491"/>
        <v>0</v>
      </c>
      <c r="AB2361">
        <f t="shared" si="488"/>
        <v>1</v>
      </c>
    </row>
    <row r="2362" spans="1:28">
      <c r="A2362" s="26">
        <v>45902</v>
      </c>
      <c r="B2362" s="23">
        <v>1979.66</v>
      </c>
      <c r="C2362" s="25">
        <f t="shared" si="484"/>
        <v>-1.7346578589076836E-3</v>
      </c>
      <c r="E2362" s="25">
        <f t="shared" si="498"/>
        <v>7.1047534544510293E-2</v>
      </c>
      <c r="F2362" s="25">
        <f t="shared" si="495"/>
        <v>0.18859634899241429</v>
      </c>
      <c r="G2362" s="25">
        <f t="shared" si="492"/>
        <v>0.18327349746315735</v>
      </c>
      <c r="H2362" s="25">
        <f t="shared" si="489"/>
        <v>0.1373187371494804</v>
      </c>
      <c r="I2362" s="25">
        <f t="shared" si="486"/>
        <v>0.21674261553775542</v>
      </c>
      <c r="K2362" s="28">
        <v>45902</v>
      </c>
      <c r="L2362" s="23">
        <v>36216.300000000003</v>
      </c>
      <c r="M2362" s="25">
        <f t="shared" si="485"/>
        <v>4.8099888724153291E-4</v>
      </c>
      <c r="O2362" t="b">
        <f t="shared" si="483"/>
        <v>1</v>
      </c>
      <c r="Q2362" s="25">
        <f t="shared" si="499"/>
        <v>2.4096726231713994E-2</v>
      </c>
      <c r="R2362" s="25">
        <f t="shared" si="496"/>
        <v>0.16656525993353277</v>
      </c>
      <c r="S2362" s="25">
        <f t="shared" si="493"/>
        <v>0.16405615268911911</v>
      </c>
      <c r="T2362" s="25">
        <f t="shared" si="490"/>
        <v>0.14157519491502391</v>
      </c>
      <c r="U2362" s="25">
        <f t="shared" si="487"/>
        <v>0.21392682832071319</v>
      </c>
      <c r="X2362">
        <f t="shared" si="500"/>
        <v>1</v>
      </c>
      <c r="Y2362">
        <f t="shared" si="497"/>
        <v>1</v>
      </c>
      <c r="Z2362">
        <f t="shared" si="494"/>
        <v>1</v>
      </c>
      <c r="AA2362">
        <f t="shared" si="491"/>
        <v>0</v>
      </c>
      <c r="AB2362">
        <f t="shared" si="488"/>
        <v>1</v>
      </c>
    </row>
    <row r="2363" spans="1:28">
      <c r="A2363" s="27">
        <v>45903</v>
      </c>
      <c r="B2363" s="24">
        <v>1991.22</v>
      </c>
      <c r="C2363" s="25">
        <f t="shared" si="484"/>
        <v>5.8393865613286852E-3</v>
      </c>
      <c r="E2363" s="25">
        <f t="shared" si="498"/>
        <v>5.9937613780328247E-2</v>
      </c>
      <c r="F2363" s="25">
        <f t="shared" si="495"/>
        <v>0.19087243498604023</v>
      </c>
      <c r="G2363" s="25">
        <f t="shared" si="492"/>
        <v>0.18613168466847019</v>
      </c>
      <c r="H2363" s="25">
        <f t="shared" si="489"/>
        <v>0.13963335835304735</v>
      </c>
      <c r="I2363" s="25">
        <f t="shared" si="486"/>
        <v>0.21599918573330346</v>
      </c>
      <c r="K2363" s="29">
        <v>45903</v>
      </c>
      <c r="L2363" s="24">
        <v>36439.980000000003</v>
      </c>
      <c r="M2363" s="25">
        <f t="shared" si="485"/>
        <v>6.1383129189423336E-3</v>
      </c>
      <c r="O2363" t="b">
        <f t="shared" si="483"/>
        <v>1</v>
      </c>
      <c r="Q2363" s="25">
        <f t="shared" si="499"/>
        <v>1.1875380425365734E-2</v>
      </c>
      <c r="R2363" s="25">
        <f t="shared" si="496"/>
        <v>0.17042303053073482</v>
      </c>
      <c r="S2363" s="25">
        <f t="shared" si="493"/>
        <v>0.16563331952264604</v>
      </c>
      <c r="T2363" s="25">
        <f t="shared" si="490"/>
        <v>0.14371798988861806</v>
      </c>
      <c r="U2363" s="25">
        <f t="shared" si="487"/>
        <v>0.21323833305687745</v>
      </c>
      <c r="X2363">
        <f t="shared" si="500"/>
        <v>1</v>
      </c>
      <c r="Y2363">
        <f t="shared" si="497"/>
        <v>1</v>
      </c>
      <c r="Z2363">
        <f t="shared" si="494"/>
        <v>1</v>
      </c>
      <c r="AA2363">
        <f t="shared" si="491"/>
        <v>0</v>
      </c>
      <c r="AB2363">
        <f t="shared" si="488"/>
        <v>1</v>
      </c>
    </row>
    <row r="2364" spans="1:28">
      <c r="A2364" s="26">
        <v>45904</v>
      </c>
      <c r="B2364" s="23">
        <v>1984.68</v>
      </c>
      <c r="C2364" s="25">
        <f t="shared" si="484"/>
        <v>-3.2844185976436372E-3</v>
      </c>
      <c r="E2364" s="25">
        <f t="shared" si="498"/>
        <v>6.312271003406833E-2</v>
      </c>
      <c r="F2364" s="25">
        <f t="shared" si="495"/>
        <v>0.19744839368171152</v>
      </c>
      <c r="G2364" s="25">
        <f t="shared" si="492"/>
        <v>0.18446781064790341</v>
      </c>
      <c r="H2364" s="25">
        <f t="shared" si="489"/>
        <v>0.1395081577266053</v>
      </c>
      <c r="I2364" s="25">
        <f t="shared" si="486"/>
        <v>0.21438002021495417</v>
      </c>
      <c r="K2364" s="28">
        <v>45904</v>
      </c>
      <c r="L2364" s="23">
        <v>36373.300000000003</v>
      </c>
      <c r="M2364" s="25">
        <f t="shared" si="485"/>
        <v>-1.8332128236921118E-3</v>
      </c>
      <c r="O2364" t="b">
        <f t="shared" si="483"/>
        <v>1</v>
      </c>
      <c r="Q2364" s="25">
        <f t="shared" si="499"/>
        <v>1.6393268549380613E-2</v>
      </c>
      <c r="R2364" s="25">
        <f t="shared" si="496"/>
        <v>0.17583427378288641</v>
      </c>
      <c r="S2364" s="25">
        <f t="shared" si="493"/>
        <v>0.16485524946143726</v>
      </c>
      <c r="T2364" s="25">
        <f t="shared" si="490"/>
        <v>0.14405748676082109</v>
      </c>
      <c r="U2364" s="25">
        <f t="shared" si="487"/>
        <v>0.21201337988339697</v>
      </c>
      <c r="X2364">
        <f t="shared" si="500"/>
        <v>1</v>
      </c>
      <c r="Y2364">
        <f t="shared" si="497"/>
        <v>1</v>
      </c>
      <c r="Z2364">
        <f t="shared" si="494"/>
        <v>1</v>
      </c>
      <c r="AA2364">
        <f t="shared" si="491"/>
        <v>0</v>
      </c>
      <c r="AB2364">
        <f t="shared" si="488"/>
        <v>1</v>
      </c>
    </row>
    <row r="2365" spans="1:28">
      <c r="A2365" s="27">
        <v>45905</v>
      </c>
      <c r="B2365" s="24">
        <v>1982.07</v>
      </c>
      <c r="C2365" s="25">
        <f t="shared" si="484"/>
        <v>-1.3150734627245335E-3</v>
      </c>
      <c r="E2365" s="25">
        <f t="shared" si="498"/>
        <v>5.3127390971690946E-2</v>
      </c>
      <c r="F2365" s="25">
        <f t="shared" si="495"/>
        <v>0.19996403921359485</v>
      </c>
      <c r="G2365" s="25">
        <f t="shared" si="492"/>
        <v>0.18288955080240643</v>
      </c>
      <c r="H2365" s="25">
        <f t="shared" si="489"/>
        <v>0.13962014213587026</v>
      </c>
      <c r="I2365" s="25">
        <f t="shared" si="486"/>
        <v>0.2113898760211852</v>
      </c>
      <c r="K2365" s="29">
        <v>45905</v>
      </c>
      <c r="L2365" s="24">
        <v>36388.379999999997</v>
      </c>
      <c r="M2365" s="25">
        <f t="shared" si="485"/>
        <v>4.1441800926544329E-4</v>
      </c>
      <c r="O2365" t="b">
        <f t="shared" si="483"/>
        <v>1</v>
      </c>
      <c r="Q2365" s="25">
        <f t="shared" si="499"/>
        <v>7.0577438688235183E-3</v>
      </c>
      <c r="R2365" s="25">
        <f t="shared" si="496"/>
        <v>0.17902113447369983</v>
      </c>
      <c r="S2365" s="25">
        <f t="shared" si="493"/>
        <v>0.16462311533119056</v>
      </c>
      <c r="T2365" s="25">
        <f t="shared" si="490"/>
        <v>0.14449718222176711</v>
      </c>
      <c r="U2365" s="25">
        <f t="shared" si="487"/>
        <v>0.21027904549537046</v>
      </c>
      <c r="X2365">
        <f t="shared" si="500"/>
        <v>1</v>
      </c>
      <c r="Y2365">
        <f t="shared" si="497"/>
        <v>1</v>
      </c>
      <c r="Z2365">
        <f t="shared" si="494"/>
        <v>1</v>
      </c>
      <c r="AA2365">
        <f t="shared" si="491"/>
        <v>0</v>
      </c>
      <c r="AB2365">
        <f t="shared" si="488"/>
        <v>1</v>
      </c>
    </row>
    <row r="2366" spans="1:28">
      <c r="A2366" s="26">
        <v>45908</v>
      </c>
      <c r="B2366" s="23">
        <v>1988.89</v>
      </c>
      <c r="C2366" s="25">
        <f t="shared" si="484"/>
        <v>3.440847195104191E-3</v>
      </c>
      <c r="E2366" s="25">
        <f t="shared" si="498"/>
        <v>5.6868965443946928E-2</v>
      </c>
      <c r="F2366" s="25">
        <f t="shared" si="495"/>
        <v>0.19764530997979457</v>
      </c>
      <c r="G2366" s="25">
        <f t="shared" si="492"/>
        <v>0.18314577235403373</v>
      </c>
      <c r="H2366" s="25">
        <f t="shared" si="489"/>
        <v>0.13831513073634905</v>
      </c>
      <c r="I2366" s="25">
        <f t="shared" si="486"/>
        <v>0.21281675295514102</v>
      </c>
      <c r="K2366" s="28">
        <v>45908</v>
      </c>
      <c r="L2366" s="23">
        <v>36467.99</v>
      </c>
      <c r="M2366" s="25">
        <f t="shared" si="485"/>
        <v>2.1830103605929635E-3</v>
      </c>
      <c r="O2366" t="b">
        <f t="shared" si="483"/>
        <v>1</v>
      </c>
      <c r="Q2366" s="25">
        <f t="shared" si="499"/>
        <v>9.2014803175493043E-3</v>
      </c>
      <c r="R2366" s="25">
        <f t="shared" si="496"/>
        <v>0.17613992557954394</v>
      </c>
      <c r="S2366" s="25">
        <f t="shared" si="493"/>
        <v>0.16526377831393702</v>
      </c>
      <c r="T2366" s="25">
        <f t="shared" si="490"/>
        <v>0.1431384771069748</v>
      </c>
      <c r="U2366" s="25">
        <f t="shared" si="487"/>
        <v>0.21022265328380541</v>
      </c>
      <c r="X2366">
        <f t="shared" si="500"/>
        <v>1</v>
      </c>
      <c r="Y2366">
        <f t="shared" si="497"/>
        <v>1</v>
      </c>
      <c r="Z2366">
        <f t="shared" si="494"/>
        <v>1</v>
      </c>
      <c r="AA2366">
        <f t="shared" si="491"/>
        <v>0</v>
      </c>
      <c r="AB2366">
        <f t="shared" si="488"/>
        <v>1</v>
      </c>
    </row>
    <row r="2367" spans="1:28">
      <c r="A2367" s="27">
        <v>45909</v>
      </c>
      <c r="B2367" s="24">
        <v>2000.6</v>
      </c>
      <c r="C2367" s="25">
        <f t="shared" si="484"/>
        <v>5.8877062079852622E-3</v>
      </c>
      <c r="E2367" s="25">
        <f t="shared" si="498"/>
        <v>7.0406257858438348E-2</v>
      </c>
      <c r="F2367" s="25">
        <f t="shared" si="495"/>
        <v>0.19904478865353248</v>
      </c>
      <c r="G2367" s="25">
        <f t="shared" si="492"/>
        <v>0.18332878476143311</v>
      </c>
      <c r="H2367" s="25">
        <f t="shared" si="489"/>
        <v>0.13836395324017059</v>
      </c>
      <c r="I2367" s="25">
        <f t="shared" si="486"/>
        <v>0.21384782738535013</v>
      </c>
      <c r="K2367" s="29">
        <v>45909</v>
      </c>
      <c r="L2367" s="24">
        <v>36580.32</v>
      </c>
      <c r="M2367" s="25">
        <f t="shared" si="485"/>
        <v>3.0707768548772058E-3</v>
      </c>
      <c r="O2367" t="b">
        <f t="shared" si="483"/>
        <v>1</v>
      </c>
      <c r="Q2367" s="25">
        <f t="shared" si="499"/>
        <v>2.166366054027602E-2</v>
      </c>
      <c r="R2367" s="25">
        <f t="shared" si="496"/>
        <v>0.17566374087350556</v>
      </c>
      <c r="S2367" s="25">
        <f t="shared" si="493"/>
        <v>0.16391167801385098</v>
      </c>
      <c r="T2367" s="25">
        <f t="shared" si="490"/>
        <v>0.14210889034253471</v>
      </c>
      <c r="U2367" s="25">
        <f t="shared" si="487"/>
        <v>0.21112873626455575</v>
      </c>
      <c r="X2367">
        <f t="shared" si="500"/>
        <v>1</v>
      </c>
      <c r="Y2367">
        <f t="shared" si="497"/>
        <v>1</v>
      </c>
      <c r="Z2367">
        <f t="shared" si="494"/>
        <v>1</v>
      </c>
      <c r="AA2367">
        <f t="shared" si="491"/>
        <v>0</v>
      </c>
      <c r="AB2367">
        <f t="shared" si="488"/>
        <v>1</v>
      </c>
    </row>
    <row r="2368" spans="1:28">
      <c r="A2368" s="26">
        <v>45910</v>
      </c>
      <c r="B2368" s="23">
        <v>2011.24</v>
      </c>
      <c r="C2368" s="25">
        <f t="shared" si="484"/>
        <v>5.3184044786564535E-3</v>
      </c>
      <c r="E2368" s="25">
        <f t="shared" si="498"/>
        <v>7.4759263415520527E-2</v>
      </c>
      <c r="F2368" s="25">
        <f t="shared" si="495"/>
        <v>0.20171101714069772</v>
      </c>
      <c r="G2368" s="25">
        <f t="shared" si="492"/>
        <v>0.18463520757364971</v>
      </c>
      <c r="H2368" s="25">
        <f t="shared" si="489"/>
        <v>0.14011144504342976</v>
      </c>
      <c r="I2368" s="25">
        <f t="shared" si="486"/>
        <v>0.21419725723879313</v>
      </c>
      <c r="K2368" s="28">
        <v>45910</v>
      </c>
      <c r="L2368" s="23">
        <v>36780</v>
      </c>
      <c r="M2368" s="25">
        <f t="shared" si="485"/>
        <v>5.4290375203915253E-3</v>
      </c>
      <c r="O2368" t="b">
        <f t="shared" si="483"/>
        <v>1</v>
      </c>
      <c r="Q2368" s="25">
        <f t="shared" si="499"/>
        <v>2.8687458571416524E-2</v>
      </c>
      <c r="R2368" s="25">
        <f t="shared" si="496"/>
        <v>0.1791118840501349</v>
      </c>
      <c r="S2368" s="25">
        <f t="shared" si="493"/>
        <v>0.16616422297800471</v>
      </c>
      <c r="T2368" s="25">
        <f t="shared" si="490"/>
        <v>0.14355302360639732</v>
      </c>
      <c r="U2368" s="25">
        <f t="shared" si="487"/>
        <v>0.21176742612023602</v>
      </c>
      <c r="X2368">
        <f t="shared" si="500"/>
        <v>1</v>
      </c>
      <c r="Y2368">
        <f t="shared" si="497"/>
        <v>1</v>
      </c>
      <c r="Z2368">
        <f t="shared" si="494"/>
        <v>1</v>
      </c>
      <c r="AA2368">
        <f t="shared" si="491"/>
        <v>0</v>
      </c>
      <c r="AB2368">
        <f t="shared" si="488"/>
        <v>1</v>
      </c>
    </row>
    <row r="2369" spans="1:28">
      <c r="A2369" s="27">
        <v>45911</v>
      </c>
      <c r="B2369" s="24">
        <v>2011.89</v>
      </c>
      <c r="C2369" s="25">
        <f t="shared" si="484"/>
        <v>3.2318370756353841E-4</v>
      </c>
      <c r="E2369" s="25">
        <f t="shared" si="498"/>
        <v>5.6959132531639645E-2</v>
      </c>
      <c r="F2369" s="25">
        <f t="shared" si="495"/>
        <v>0.19981359189841186</v>
      </c>
      <c r="G2369" s="25">
        <f t="shared" si="492"/>
        <v>0.18171332893034076</v>
      </c>
      <c r="H2369" s="25">
        <f t="shared" si="489"/>
        <v>0.1391213324525562</v>
      </c>
      <c r="I2369" s="25">
        <f t="shared" si="486"/>
        <v>0.21690898507179002</v>
      </c>
      <c r="K2369" s="29">
        <v>45911</v>
      </c>
      <c r="L2369" s="24">
        <v>36825.449999999997</v>
      </c>
      <c r="M2369" s="25">
        <f t="shared" si="485"/>
        <v>1.2342008040634152E-3</v>
      </c>
      <c r="O2369" t="b">
        <f t="shared" si="483"/>
        <v>1</v>
      </c>
      <c r="Q2369" s="25">
        <f t="shared" si="499"/>
        <v>1.2634889155988205E-2</v>
      </c>
      <c r="R2369" s="25">
        <f t="shared" si="496"/>
        <v>0.1776935089007361</v>
      </c>
      <c r="S2369" s="25">
        <f t="shared" si="493"/>
        <v>0.1636816379590611</v>
      </c>
      <c r="T2369" s="25">
        <f t="shared" si="490"/>
        <v>0.14303169363299206</v>
      </c>
      <c r="U2369" s="25">
        <f t="shared" si="487"/>
        <v>0.21451388311806774</v>
      </c>
      <c r="X2369">
        <f t="shared" si="500"/>
        <v>1</v>
      </c>
      <c r="Y2369">
        <f t="shared" si="497"/>
        <v>1</v>
      </c>
      <c r="Z2369">
        <f t="shared" si="494"/>
        <v>1</v>
      </c>
      <c r="AA2369">
        <f t="shared" si="491"/>
        <v>0</v>
      </c>
      <c r="AB2369">
        <f t="shared" si="488"/>
        <v>1</v>
      </c>
    </row>
    <row r="2370" spans="1:28">
      <c r="A2370" s="26">
        <v>45912</v>
      </c>
      <c r="B2370" s="23">
        <v>2018.02</v>
      </c>
      <c r="C2370" s="25">
        <f t="shared" si="484"/>
        <v>3.0468862611772421E-3</v>
      </c>
      <c r="E2370" s="25">
        <f t="shared" si="498"/>
        <v>5.9800961058739999E-2</v>
      </c>
      <c r="F2370" s="25">
        <f t="shared" si="495"/>
        <v>0.2043229879254278</v>
      </c>
      <c r="G2370" s="25">
        <f t="shared" si="492"/>
        <v>0.1824501684292128</v>
      </c>
      <c r="H2370" s="25">
        <f t="shared" si="489"/>
        <v>0.13994987685029225</v>
      </c>
      <c r="I2370" s="25">
        <f t="shared" si="486"/>
        <v>0.21712700976377364</v>
      </c>
      <c r="K2370" s="28">
        <v>45912</v>
      </c>
      <c r="L2370" s="23">
        <v>36965.519999999997</v>
      </c>
      <c r="M2370" s="25">
        <f t="shared" si="485"/>
        <v>3.789206806775604E-3</v>
      </c>
      <c r="O2370" t="b">
        <f t="shared" si="483"/>
        <v>1</v>
      </c>
      <c r="Q2370" s="25">
        <f t="shared" si="499"/>
        <v>1.2646881727028214E-2</v>
      </c>
      <c r="R2370" s="25">
        <f t="shared" si="496"/>
        <v>0.18215272014874073</v>
      </c>
      <c r="S2370" s="25">
        <f t="shared" si="493"/>
        <v>0.16397591924161858</v>
      </c>
      <c r="T2370" s="25">
        <f t="shared" si="490"/>
        <v>0.14446310520626926</v>
      </c>
      <c r="U2370" s="25">
        <f t="shared" si="487"/>
        <v>0.21402562466972297</v>
      </c>
      <c r="X2370">
        <f t="shared" si="500"/>
        <v>1</v>
      </c>
      <c r="Y2370">
        <f t="shared" si="497"/>
        <v>1</v>
      </c>
      <c r="Z2370">
        <f t="shared" si="494"/>
        <v>1</v>
      </c>
      <c r="AA2370">
        <f t="shared" si="491"/>
        <v>0</v>
      </c>
      <c r="AB2370">
        <f t="shared" si="488"/>
        <v>1</v>
      </c>
    </row>
    <row r="2371" spans="1:28">
      <c r="A2371" s="27">
        <v>45915</v>
      </c>
      <c r="B2371" s="24">
        <v>2021.11</v>
      </c>
      <c r="C2371" s="25">
        <f t="shared" si="484"/>
        <v>1.5312038532818892E-3</v>
      </c>
      <c r="E2371" s="25">
        <f t="shared" si="498"/>
        <v>5.408887034525911E-2</v>
      </c>
      <c r="F2371" s="25">
        <f t="shared" si="495"/>
        <v>0.20755112494102868</v>
      </c>
      <c r="G2371" s="25">
        <f t="shared" si="492"/>
        <v>0.18110841185177295</v>
      </c>
      <c r="H2371" s="25">
        <f t="shared" si="489"/>
        <v>0.14534923529012977</v>
      </c>
      <c r="I2371" s="25">
        <f t="shared" si="486"/>
        <v>0.21417189016248206</v>
      </c>
      <c r="K2371" s="29">
        <v>45915</v>
      </c>
      <c r="L2371" s="24">
        <v>37006.74</v>
      </c>
      <c r="M2371" s="25">
        <f t="shared" si="485"/>
        <v>1.1138511525198157E-3</v>
      </c>
      <c r="O2371" t="b">
        <f t="shared" ref="O2371:O2434" si="501">K2371=A2371</f>
        <v>1</v>
      </c>
      <c r="Q2371" s="25">
        <f t="shared" si="499"/>
        <v>7.6290857703757986E-3</v>
      </c>
      <c r="R2371" s="25">
        <f t="shared" si="496"/>
        <v>0.18540452183557621</v>
      </c>
      <c r="S2371" s="25">
        <f t="shared" si="493"/>
        <v>0.16084362222221316</v>
      </c>
      <c r="T2371" s="25">
        <f t="shared" si="490"/>
        <v>0.14787889621048378</v>
      </c>
      <c r="U2371" s="25">
        <f t="shared" si="487"/>
        <v>0.21132427676349597</v>
      </c>
      <c r="X2371">
        <f t="shared" si="500"/>
        <v>1</v>
      </c>
      <c r="Y2371">
        <f t="shared" si="497"/>
        <v>1</v>
      </c>
      <c r="Z2371">
        <f t="shared" si="494"/>
        <v>1</v>
      </c>
      <c r="AA2371">
        <f t="shared" si="491"/>
        <v>0</v>
      </c>
      <c r="AB2371">
        <f t="shared" si="488"/>
        <v>1</v>
      </c>
    </row>
    <row r="2372" spans="1:28">
      <c r="A2372" s="26">
        <v>45916</v>
      </c>
      <c r="B2372" s="23">
        <v>2033.73</v>
      </c>
      <c r="C2372" s="25">
        <f t="shared" ref="C2372:C2435" si="502">(B2372-B2371)/B2371</f>
        <v>6.2440935921350737E-3</v>
      </c>
      <c r="E2372" s="25">
        <f t="shared" si="498"/>
        <v>5.5381134503712959E-2</v>
      </c>
      <c r="F2372" s="25">
        <f t="shared" si="495"/>
        <v>0.21283880269922117</v>
      </c>
      <c r="G2372" s="25">
        <f t="shared" si="492"/>
        <v>0.18019099884601464</v>
      </c>
      <c r="H2372" s="25">
        <f t="shared" si="489"/>
        <v>0.14744574835976243</v>
      </c>
      <c r="I2372" s="25">
        <f t="shared" si="486"/>
        <v>0.21445014965594411</v>
      </c>
      <c r="K2372" s="28">
        <v>45916</v>
      </c>
      <c r="L2372" s="23">
        <v>37251.370000000003</v>
      </c>
      <c r="M2372" s="25">
        <f t="shared" ref="M2372:M2435" si="503">(L2372-L2371)/L2372</f>
        <v>6.5670067973340211E-3</v>
      </c>
      <c r="O2372" t="b">
        <f t="shared" si="501"/>
        <v>1</v>
      </c>
      <c r="Q2372" s="25">
        <f t="shared" si="499"/>
        <v>1.0441477517622477E-2</v>
      </c>
      <c r="R2372" s="25">
        <f t="shared" si="496"/>
        <v>0.19046184844252911</v>
      </c>
      <c r="S2372" s="25">
        <f t="shared" si="493"/>
        <v>0.16089940525120006</v>
      </c>
      <c r="T2372" s="25">
        <f t="shared" si="490"/>
        <v>0.15003498684401206</v>
      </c>
      <c r="U2372" s="25">
        <f t="shared" si="487"/>
        <v>0.21211724728272885</v>
      </c>
      <c r="X2372">
        <f t="shared" si="500"/>
        <v>1</v>
      </c>
      <c r="Y2372">
        <f t="shared" si="497"/>
        <v>1</v>
      </c>
      <c r="Z2372">
        <f t="shared" si="494"/>
        <v>1</v>
      </c>
      <c r="AA2372">
        <f t="shared" si="491"/>
        <v>0</v>
      </c>
      <c r="AB2372">
        <f t="shared" si="488"/>
        <v>1</v>
      </c>
    </row>
    <row r="2373" spans="1:28">
      <c r="A2373" s="27">
        <v>45917</v>
      </c>
      <c r="B2373" s="24">
        <v>2040.88</v>
      </c>
      <c r="C2373" s="25">
        <f t="shared" si="502"/>
        <v>3.5157075914699055E-3</v>
      </c>
      <c r="E2373" s="25">
        <f t="shared" si="498"/>
        <v>5.4494913222521424E-2</v>
      </c>
      <c r="F2373" s="25">
        <f t="shared" si="495"/>
        <v>0.21557573494757398</v>
      </c>
      <c r="G2373" s="25">
        <f t="shared" si="492"/>
        <v>0.18161702214205233</v>
      </c>
      <c r="H2373" s="25">
        <f t="shared" si="489"/>
        <v>0.14559522210800946</v>
      </c>
      <c r="I2373" s="25">
        <f t="shared" si="486"/>
        <v>0.2162205820042713</v>
      </c>
      <c r="K2373" s="29">
        <v>45917</v>
      </c>
      <c r="L2373" s="24">
        <v>37372.44</v>
      </c>
      <c r="M2373" s="25">
        <f t="shared" si="503"/>
        <v>3.2395529968072649E-3</v>
      </c>
      <c r="O2373" t="b">
        <f t="shared" si="501"/>
        <v>1</v>
      </c>
      <c r="Q2373" s="25">
        <f t="shared" si="499"/>
        <v>1.0597738864207784E-2</v>
      </c>
      <c r="R2373" s="25">
        <f t="shared" si="496"/>
        <v>0.1914216081137996</v>
      </c>
      <c r="S2373" s="25">
        <f t="shared" si="493"/>
        <v>0.1613625059234034</v>
      </c>
      <c r="T2373" s="25">
        <f t="shared" si="490"/>
        <v>0.14824165657672328</v>
      </c>
      <c r="U2373" s="25">
        <f t="shared" si="487"/>
        <v>0.21403181620546397</v>
      </c>
      <c r="X2373">
        <f t="shared" si="500"/>
        <v>1</v>
      </c>
      <c r="Y2373">
        <f t="shared" si="497"/>
        <v>1</v>
      </c>
      <c r="Z2373">
        <f t="shared" si="494"/>
        <v>1</v>
      </c>
      <c r="AA2373">
        <f t="shared" si="491"/>
        <v>0</v>
      </c>
      <c r="AB2373">
        <f t="shared" si="488"/>
        <v>1</v>
      </c>
    </row>
    <row r="2374" spans="1:28">
      <c r="A2374" s="26">
        <v>45918</v>
      </c>
      <c r="B2374" s="23">
        <v>2048.11</v>
      </c>
      <c r="C2374" s="25">
        <f t="shared" si="502"/>
        <v>3.5425894712085072E-3</v>
      </c>
      <c r="E2374" s="25">
        <f t="shared" si="498"/>
        <v>5.7809707775103636E-2</v>
      </c>
      <c r="F2374" s="25">
        <f t="shared" si="495"/>
        <v>0.21924182708410744</v>
      </c>
      <c r="G2374" s="25">
        <f t="shared" si="492"/>
        <v>0.18806467844815589</v>
      </c>
      <c r="H2374" s="25">
        <f t="shared" si="489"/>
        <v>0.1471049327199514</v>
      </c>
      <c r="I2374" s="25">
        <f t="shared" si="486"/>
        <v>0.21590696484202154</v>
      </c>
      <c r="K2374" s="28">
        <v>45918</v>
      </c>
      <c r="L2374" s="23">
        <v>37490.1</v>
      </c>
      <c r="M2374" s="25">
        <f t="shared" si="503"/>
        <v>3.1384285451358149E-3</v>
      </c>
      <c r="O2374" t="b">
        <f t="shared" si="501"/>
        <v>1</v>
      </c>
      <c r="Q2374" s="25">
        <f t="shared" si="499"/>
        <v>1.4624189507152163E-2</v>
      </c>
      <c r="R2374" s="25">
        <f t="shared" si="496"/>
        <v>0.19508312109050441</v>
      </c>
      <c r="S2374" s="25">
        <f t="shared" si="493"/>
        <v>0.16677401784145207</v>
      </c>
      <c r="T2374" s="25">
        <f t="shared" si="490"/>
        <v>0.14852408308109388</v>
      </c>
      <c r="U2374" s="25">
        <f t="shared" si="487"/>
        <v>0.21337111841066481</v>
      </c>
      <c r="X2374">
        <f t="shared" si="500"/>
        <v>1</v>
      </c>
      <c r="Y2374">
        <f t="shared" si="497"/>
        <v>1</v>
      </c>
      <c r="Z2374">
        <f t="shared" si="494"/>
        <v>1</v>
      </c>
      <c r="AA2374">
        <f t="shared" si="491"/>
        <v>0</v>
      </c>
      <c r="AB2374">
        <f t="shared" si="488"/>
        <v>1</v>
      </c>
    </row>
    <row r="2375" spans="1:28">
      <c r="A2375" s="27">
        <v>45919</v>
      </c>
      <c r="B2375" s="24">
        <v>2044.94</v>
      </c>
      <c r="C2375" s="25">
        <f t="shared" si="502"/>
        <v>-1.5477684304066055E-3</v>
      </c>
      <c r="E2375" s="25">
        <f t="shared" si="498"/>
        <v>4.8203393305653819E-2</v>
      </c>
      <c r="F2375" s="25">
        <f t="shared" si="495"/>
        <v>0.22109736926557755</v>
      </c>
      <c r="G2375" s="25">
        <f t="shared" si="492"/>
        <v>0.19427330127159892</v>
      </c>
      <c r="H2375" s="25">
        <f t="shared" si="489"/>
        <v>0.14732093939507673</v>
      </c>
      <c r="I2375" s="25">
        <f t="shared" si="486"/>
        <v>0.2134558168644749</v>
      </c>
      <c r="K2375" s="29">
        <v>45919</v>
      </c>
      <c r="L2375" s="24">
        <v>37439.300000000003</v>
      </c>
      <c r="M2375" s="25">
        <f t="shared" si="503"/>
        <v>-1.3568629755362849E-3</v>
      </c>
      <c r="O2375" t="b">
        <f t="shared" si="501"/>
        <v>1</v>
      </c>
      <c r="Q2375" s="25">
        <f t="shared" si="499"/>
        <v>7.0944459209223432E-3</v>
      </c>
      <c r="R2375" s="25">
        <f t="shared" si="496"/>
        <v>0.19577945843083344</v>
      </c>
      <c r="S2375" s="25">
        <f t="shared" si="493"/>
        <v>0.17229694582727961</v>
      </c>
      <c r="T2375" s="25">
        <f t="shared" si="490"/>
        <v>0.14785654989834995</v>
      </c>
      <c r="U2375" s="25">
        <f t="shared" si="487"/>
        <v>0.21112626850152183</v>
      </c>
      <c r="X2375">
        <f t="shared" si="500"/>
        <v>1</v>
      </c>
      <c r="Y2375">
        <f t="shared" si="497"/>
        <v>1</v>
      </c>
      <c r="Z2375">
        <f t="shared" si="494"/>
        <v>1</v>
      </c>
      <c r="AA2375">
        <f t="shared" si="491"/>
        <v>0</v>
      </c>
      <c r="AB2375">
        <f t="shared" si="488"/>
        <v>1</v>
      </c>
    </row>
    <row r="2376" spans="1:28">
      <c r="A2376" s="26">
        <v>45922</v>
      </c>
      <c r="B2376" s="23">
        <v>2031.26</v>
      </c>
      <c r="C2376" s="25">
        <f t="shared" si="502"/>
        <v>-6.6896828268800373E-3</v>
      </c>
      <c r="E2376" s="25">
        <f t="shared" si="498"/>
        <v>3.7797351426469339E-2</v>
      </c>
      <c r="F2376" s="25">
        <f t="shared" si="495"/>
        <v>0.21310275043560023</v>
      </c>
      <c r="G2376" s="25">
        <f t="shared" si="492"/>
        <v>0.18875598802800009</v>
      </c>
      <c r="H2376" s="25">
        <f t="shared" si="489"/>
        <v>0.14346199180426678</v>
      </c>
      <c r="I2376" s="25">
        <f t="shared" si="486"/>
        <v>0.21146653522580627</v>
      </c>
      <c r="K2376" s="28">
        <v>45922</v>
      </c>
      <c r="L2376" s="23">
        <v>37272.18</v>
      </c>
      <c r="M2376" s="25">
        <f t="shared" si="503"/>
        <v>-4.4837731519863505E-3</v>
      </c>
      <c r="O2376" t="b">
        <f t="shared" si="501"/>
        <v>1</v>
      </c>
      <c r="Q2376" s="25">
        <f t="shared" si="499"/>
        <v>7.6738016733091108E-4</v>
      </c>
      <c r="R2376" s="25">
        <f t="shared" si="496"/>
        <v>0.18962203031378344</v>
      </c>
      <c r="S2376" s="25">
        <f t="shared" si="493"/>
        <v>0.16824731806456228</v>
      </c>
      <c r="T2376" s="25">
        <f t="shared" si="490"/>
        <v>0.14483942027464569</v>
      </c>
      <c r="U2376" s="25">
        <f t="shared" si="487"/>
        <v>0.2097656962575245</v>
      </c>
      <c r="X2376">
        <f t="shared" si="500"/>
        <v>1</v>
      </c>
      <c r="Y2376">
        <f t="shared" si="497"/>
        <v>1</v>
      </c>
      <c r="Z2376">
        <f t="shared" si="494"/>
        <v>1</v>
      </c>
      <c r="AA2376">
        <f t="shared" si="491"/>
        <v>0</v>
      </c>
      <c r="AB2376">
        <f t="shared" si="488"/>
        <v>1</v>
      </c>
    </row>
    <row r="2377" spans="1:28">
      <c r="A2377" s="27">
        <v>45923</v>
      </c>
      <c r="B2377" s="24">
        <v>2027.76</v>
      </c>
      <c r="C2377" s="25">
        <f t="shared" si="502"/>
        <v>-1.7230684402784479E-3</v>
      </c>
      <c r="E2377" s="25">
        <f t="shared" si="498"/>
        <v>3.4566150172703258E-2</v>
      </c>
      <c r="F2377" s="25">
        <f t="shared" si="495"/>
        <v>0.20982852252714879</v>
      </c>
      <c r="G2377" s="25">
        <f t="shared" si="492"/>
        <v>0.18691567216072569</v>
      </c>
      <c r="H2377" s="25">
        <f t="shared" si="489"/>
        <v>0.13831765678276287</v>
      </c>
      <c r="I2377" s="25">
        <f t="shared" si="486"/>
        <v>0.21014531022724214</v>
      </c>
      <c r="K2377" s="29">
        <v>45923</v>
      </c>
      <c r="L2377" s="24">
        <v>37182.629999999997</v>
      </c>
      <c r="M2377" s="25">
        <f t="shared" si="503"/>
        <v>-2.4083826238220081E-3</v>
      </c>
      <c r="O2377" t="b">
        <f t="shared" si="501"/>
        <v>1</v>
      </c>
      <c r="Q2377" s="25">
        <f t="shared" si="499"/>
        <v>-2.1072886907678168E-3</v>
      </c>
      <c r="R2377" s="25">
        <f t="shared" si="496"/>
        <v>0.18630963311357029</v>
      </c>
      <c r="S2377" s="25">
        <f t="shared" si="493"/>
        <v>0.16602480624914384</v>
      </c>
      <c r="T2377" s="25">
        <f t="shared" si="490"/>
        <v>0.14004896423434565</v>
      </c>
      <c r="U2377" s="25">
        <f t="shared" si="487"/>
        <v>0.2076739743190299</v>
      </c>
      <c r="X2377">
        <f t="shared" si="500"/>
        <v>1</v>
      </c>
      <c r="Y2377">
        <f t="shared" si="497"/>
        <v>1</v>
      </c>
      <c r="Z2377">
        <f t="shared" si="494"/>
        <v>1</v>
      </c>
      <c r="AA2377">
        <f t="shared" si="491"/>
        <v>0</v>
      </c>
      <c r="AB2377">
        <f t="shared" si="488"/>
        <v>1</v>
      </c>
    </row>
    <row r="2378" spans="1:28">
      <c r="A2378" s="26">
        <v>45924</v>
      </c>
      <c r="B2378" s="23">
        <v>2019.23</v>
      </c>
      <c r="C2378" s="25">
        <f t="shared" si="502"/>
        <v>-4.2066122223537164E-3</v>
      </c>
      <c r="E2378" s="25">
        <f t="shared" si="498"/>
        <v>2.9090538439976443E-2</v>
      </c>
      <c r="F2378" s="25">
        <f t="shared" si="495"/>
        <v>0.2045974145565812</v>
      </c>
      <c r="G2378" s="25">
        <f t="shared" si="492"/>
        <v>0.18573811621821235</v>
      </c>
      <c r="H2378" s="25">
        <f t="shared" si="489"/>
        <v>0.13367526540814723</v>
      </c>
      <c r="I2378" s="25">
        <f t="shared" si="486"/>
        <v>0.20826995108117963</v>
      </c>
      <c r="K2378" s="28">
        <v>45924</v>
      </c>
      <c r="L2378" s="23">
        <v>36948.25</v>
      </c>
      <c r="M2378" s="25">
        <f t="shared" si="503"/>
        <v>-6.3434668759683446E-3</v>
      </c>
      <c r="O2378" t="b">
        <f t="shared" si="501"/>
        <v>1</v>
      </c>
      <c r="Q2378" s="25">
        <f t="shared" si="499"/>
        <v>-9.046931560922844E-3</v>
      </c>
      <c r="R2378" s="25">
        <f t="shared" si="496"/>
        <v>0.18099218210279022</v>
      </c>
      <c r="S2378" s="25">
        <f t="shared" si="493"/>
        <v>0.16458478589968295</v>
      </c>
      <c r="T2378" s="25">
        <f t="shared" si="490"/>
        <v>0.13513718399187935</v>
      </c>
      <c r="U2378" s="25">
        <f t="shared" si="487"/>
        <v>0.20580324722299181</v>
      </c>
      <c r="X2378">
        <f t="shared" si="500"/>
        <v>1</v>
      </c>
      <c r="Y2378">
        <f t="shared" si="497"/>
        <v>1</v>
      </c>
      <c r="Z2378">
        <f t="shared" si="494"/>
        <v>1</v>
      </c>
      <c r="AA2378">
        <f t="shared" si="491"/>
        <v>0</v>
      </c>
      <c r="AB2378">
        <f t="shared" si="488"/>
        <v>1</v>
      </c>
    </row>
    <row r="2379" spans="1:28">
      <c r="A2379" s="27">
        <v>45925</v>
      </c>
      <c r="B2379" s="24">
        <v>2005.29</v>
      </c>
      <c r="C2379" s="25">
        <f t="shared" si="502"/>
        <v>-6.9036216775701896E-3</v>
      </c>
      <c r="E2379" s="25">
        <f t="shared" si="498"/>
        <v>1.5105419018451416E-2</v>
      </c>
      <c r="F2379" s="25">
        <f t="shared" si="495"/>
        <v>0.20013466653242418</v>
      </c>
      <c r="G2379" s="25">
        <f t="shared" si="492"/>
        <v>0.18216440239865395</v>
      </c>
      <c r="H2379" s="25">
        <f t="shared" si="489"/>
        <v>0.13112645837417158</v>
      </c>
      <c r="I2379" s="25">
        <f t="shared" si="486"/>
        <v>0.20421673862081802</v>
      </c>
      <c r="K2379" s="29">
        <v>45925</v>
      </c>
      <c r="L2379" s="24">
        <v>36699.82</v>
      </c>
      <c r="M2379" s="25">
        <f t="shared" si="503"/>
        <v>-6.7692430099112284E-3</v>
      </c>
      <c r="O2379" t="b">
        <f t="shared" si="501"/>
        <v>1</v>
      </c>
      <c r="Q2379" s="25">
        <f t="shared" si="499"/>
        <v>-2.002941528313007E-2</v>
      </c>
      <c r="R2379" s="25">
        <f t="shared" si="496"/>
        <v>0.17770821297571882</v>
      </c>
      <c r="S2379" s="25">
        <f t="shared" si="493"/>
        <v>0.16076887937168971</v>
      </c>
      <c r="T2379" s="25">
        <f t="shared" si="490"/>
        <v>0.1333114881384001</v>
      </c>
      <c r="U2379" s="25">
        <f t="shared" si="487"/>
        <v>0.20266164503115025</v>
      </c>
      <c r="X2379">
        <f t="shared" si="500"/>
        <v>1</v>
      </c>
      <c r="Y2379">
        <f t="shared" si="497"/>
        <v>1</v>
      </c>
      <c r="Z2379">
        <f t="shared" si="494"/>
        <v>1</v>
      </c>
      <c r="AA2379">
        <f t="shared" si="491"/>
        <v>0</v>
      </c>
      <c r="AB2379">
        <f t="shared" si="488"/>
        <v>1</v>
      </c>
    </row>
    <row r="2380" spans="1:28">
      <c r="A2380" s="26">
        <v>45926</v>
      </c>
      <c r="B2380" s="23">
        <v>1978.22</v>
      </c>
      <c r="C2380" s="25">
        <f t="shared" si="502"/>
        <v>-1.3499294366400839E-2</v>
      </c>
      <c r="E2380" s="25">
        <f t="shared" si="498"/>
        <v>-1.7812539422227269E-3</v>
      </c>
      <c r="F2380" s="25">
        <f t="shared" si="495"/>
        <v>0.19506205924212483</v>
      </c>
      <c r="G2380" s="25">
        <f t="shared" si="492"/>
        <v>0.18214949216384269</v>
      </c>
      <c r="H2380" s="25">
        <f t="shared" si="489"/>
        <v>0.12489595121801078</v>
      </c>
      <c r="I2380" s="25">
        <f t="shared" si="486"/>
        <v>0.20859907225090679</v>
      </c>
      <c r="K2380" s="28">
        <v>45926</v>
      </c>
      <c r="L2380" s="23">
        <v>36206.839999999997</v>
      </c>
      <c r="M2380" s="25">
        <f t="shared" si="503"/>
        <v>-1.3615659361601378E-2</v>
      </c>
      <c r="O2380" t="b">
        <f t="shared" si="501"/>
        <v>1</v>
      </c>
      <c r="Q2380" s="25">
        <f t="shared" si="499"/>
        <v>-3.4258669491859961E-2</v>
      </c>
      <c r="R2380" s="25">
        <f t="shared" si="496"/>
        <v>0.17354774086399716</v>
      </c>
      <c r="S2380" s="25">
        <f t="shared" si="493"/>
        <v>0.16002683699366615</v>
      </c>
      <c r="T2380" s="25">
        <f t="shared" si="490"/>
        <v>0.12689615566453916</v>
      </c>
      <c r="U2380" s="25">
        <f t="shared" si="487"/>
        <v>0.2062211003601786</v>
      </c>
      <c r="X2380">
        <f t="shared" si="500"/>
        <v>1</v>
      </c>
      <c r="Y2380">
        <f t="shared" si="497"/>
        <v>1</v>
      </c>
      <c r="Z2380">
        <f t="shared" si="494"/>
        <v>1</v>
      </c>
      <c r="AA2380">
        <f t="shared" si="491"/>
        <v>0</v>
      </c>
      <c r="AB2380">
        <f t="shared" si="488"/>
        <v>1</v>
      </c>
    </row>
    <row r="2381" spans="1:28">
      <c r="A2381" s="27">
        <v>45930</v>
      </c>
      <c r="B2381" s="24">
        <v>1980.81</v>
      </c>
      <c r="C2381" s="25">
        <f t="shared" si="502"/>
        <v>1.3092578176339931E-3</v>
      </c>
      <c r="E2381" s="25">
        <f t="shared" si="498"/>
        <v>-8.3733927877849279E-4</v>
      </c>
      <c r="F2381" s="25">
        <f t="shared" si="495"/>
        <v>0.19354136465717464</v>
      </c>
      <c r="G2381" s="25">
        <f t="shared" si="492"/>
        <v>0.17474609987148093</v>
      </c>
      <c r="H2381" s="25">
        <f t="shared" si="489"/>
        <v>0.12408754360953367</v>
      </c>
      <c r="I2381" s="25">
        <f t="shared" si="486"/>
        <v>0.20638778622416698</v>
      </c>
      <c r="K2381" s="29">
        <v>45930</v>
      </c>
      <c r="L2381" s="24">
        <v>36240.26</v>
      </c>
      <c r="M2381" s="25">
        <f t="shared" si="503"/>
        <v>9.22178814390557E-4</v>
      </c>
      <c r="O2381" t="b">
        <f t="shared" si="501"/>
        <v>1</v>
      </c>
      <c r="Q2381" s="25">
        <f t="shared" si="499"/>
        <v>-3.4497292136004942E-2</v>
      </c>
      <c r="R2381" s="25">
        <f t="shared" si="496"/>
        <v>0.17219468421059148</v>
      </c>
      <c r="S2381" s="25">
        <f t="shared" si="493"/>
        <v>0.15142222269251993</v>
      </c>
      <c r="T2381" s="25">
        <f t="shared" si="490"/>
        <v>0.12572173897692251</v>
      </c>
      <c r="U2381" s="25">
        <f t="shared" si="487"/>
        <v>0.20464440491321723</v>
      </c>
      <c r="X2381">
        <f t="shared" si="500"/>
        <v>1</v>
      </c>
      <c r="Y2381">
        <f t="shared" si="497"/>
        <v>1</v>
      </c>
      <c r="Z2381">
        <f t="shared" si="494"/>
        <v>1</v>
      </c>
      <c r="AA2381">
        <f t="shared" si="491"/>
        <v>0</v>
      </c>
      <c r="AB2381">
        <f t="shared" si="488"/>
        <v>1</v>
      </c>
    </row>
    <row r="2382" spans="1:28">
      <c r="A2382" s="26">
        <v>45931</v>
      </c>
      <c r="B2382" s="23">
        <v>1997.22</v>
      </c>
      <c r="C2382" s="25">
        <f t="shared" si="502"/>
        <v>8.2844896784649118E-3</v>
      </c>
      <c r="E2382" s="25">
        <f t="shared" si="498"/>
        <v>7.7197868733349662E-3</v>
      </c>
      <c r="F2382" s="25">
        <f t="shared" si="495"/>
        <v>0.19697390294875605</v>
      </c>
      <c r="G2382" s="25">
        <f t="shared" si="492"/>
        <v>0.18067697658427773</v>
      </c>
      <c r="H2382" s="25">
        <f t="shared" si="489"/>
        <v>0.12558376158518358</v>
      </c>
      <c r="I2382" s="25">
        <f t="shared" si="486"/>
        <v>0.20660153133533377</v>
      </c>
      <c r="K2382" s="28">
        <v>45931</v>
      </c>
      <c r="L2382" s="23">
        <v>36549.800000000003</v>
      </c>
      <c r="M2382" s="25">
        <f t="shared" si="503"/>
        <v>8.4689929903857437E-3</v>
      </c>
      <c r="O2382" t="b">
        <f t="shared" si="501"/>
        <v>1</v>
      </c>
      <c r="Q2382" s="25">
        <f t="shared" si="499"/>
        <v>-2.4628596284761772E-2</v>
      </c>
      <c r="R2382" s="25">
        <f t="shared" si="496"/>
        <v>0.17537661614484024</v>
      </c>
      <c r="S2382" s="25">
        <f t="shared" si="493"/>
        <v>0.15755338657410656</v>
      </c>
      <c r="T2382" s="25">
        <f t="shared" si="490"/>
        <v>0.12722928974353076</v>
      </c>
      <c r="U2382" s="25">
        <f t="shared" si="487"/>
        <v>0.204721134997631</v>
      </c>
      <c r="X2382">
        <f t="shared" si="500"/>
        <v>1</v>
      </c>
      <c r="Y2382">
        <f t="shared" si="497"/>
        <v>1</v>
      </c>
      <c r="Z2382">
        <f t="shared" si="494"/>
        <v>1</v>
      </c>
      <c r="AA2382">
        <f t="shared" si="491"/>
        <v>0</v>
      </c>
      <c r="AB2382">
        <f t="shared" si="488"/>
        <v>1</v>
      </c>
    </row>
    <row r="2383" spans="1:28">
      <c r="A2383" s="27">
        <v>45933</v>
      </c>
      <c r="B2383" s="24">
        <v>2003.6</v>
      </c>
      <c r="C2383" s="25">
        <f t="shared" si="502"/>
        <v>3.1944402719779903E-3</v>
      </c>
      <c r="E2383" s="25">
        <f t="shared" si="498"/>
        <v>1.001139262201689E-2</v>
      </c>
      <c r="F2383" s="25">
        <f t="shared" si="495"/>
        <v>0.19671420382473292</v>
      </c>
      <c r="G2383" s="25">
        <f t="shared" si="492"/>
        <v>0.18231294638232853</v>
      </c>
      <c r="H2383" s="25">
        <f t="shared" si="489"/>
        <v>0.126855349949758</v>
      </c>
      <c r="I2383" s="25">
        <f t="shared" si="486"/>
        <v>0.20749206255968122</v>
      </c>
      <c r="K2383" s="29">
        <v>45933</v>
      </c>
      <c r="L2383" s="24">
        <v>36708.39</v>
      </c>
      <c r="M2383" s="25">
        <f t="shared" si="503"/>
        <v>4.3202657485113486E-3</v>
      </c>
      <c r="O2383" t="b">
        <f t="shared" si="501"/>
        <v>1</v>
      </c>
      <c r="Q2383" s="25">
        <f t="shared" si="499"/>
        <v>-2.0972536155061672E-2</v>
      </c>
      <c r="R2383" s="25">
        <f t="shared" si="496"/>
        <v>0.17647705965476379</v>
      </c>
      <c r="S2383" s="25">
        <f t="shared" si="493"/>
        <v>0.15946518200931248</v>
      </c>
      <c r="T2383" s="25">
        <f t="shared" si="490"/>
        <v>0.12886131564339443</v>
      </c>
      <c r="U2383" s="25">
        <f t="shared" si="487"/>
        <v>0.20534764114109927</v>
      </c>
      <c r="X2383">
        <f t="shared" si="500"/>
        <v>1</v>
      </c>
      <c r="Y2383">
        <f t="shared" si="497"/>
        <v>1</v>
      </c>
      <c r="Z2383">
        <f t="shared" si="494"/>
        <v>1</v>
      </c>
      <c r="AA2383">
        <f t="shared" si="491"/>
        <v>0</v>
      </c>
      <c r="AB2383">
        <f t="shared" si="488"/>
        <v>1</v>
      </c>
    </row>
    <row r="2384" spans="1:28">
      <c r="A2384" s="26">
        <v>45936</v>
      </c>
      <c r="B2384" s="23">
        <v>2019.47</v>
      </c>
      <c r="C2384" s="25">
        <f t="shared" si="502"/>
        <v>7.9207426632062882E-3</v>
      </c>
      <c r="E2384" s="25">
        <f t="shared" si="498"/>
        <v>3.0347093607620446E-2</v>
      </c>
      <c r="F2384" s="25">
        <f t="shared" si="495"/>
        <v>0.20180942929724255</v>
      </c>
      <c r="G2384" s="25">
        <f t="shared" si="492"/>
        <v>0.18212026339052523</v>
      </c>
      <c r="H2384" s="25">
        <f t="shared" si="489"/>
        <v>0.12863534574728508</v>
      </c>
      <c r="I2384" s="25">
        <f t="shared" si="486"/>
        <v>0.2132154240461428</v>
      </c>
      <c r="K2384" s="28">
        <v>45936</v>
      </c>
      <c r="L2384" s="23">
        <v>36934.660000000003</v>
      </c>
      <c r="M2384" s="25">
        <f t="shared" si="503"/>
        <v>6.1262239858172257E-3</v>
      </c>
      <c r="O2384" t="b">
        <f t="shared" si="501"/>
        <v>1</v>
      </c>
      <c r="Q2384" s="25">
        <f t="shared" si="499"/>
        <v>-2.9965715291421224E-3</v>
      </c>
      <c r="R2384" s="25">
        <f t="shared" si="496"/>
        <v>0.18165224342925512</v>
      </c>
      <c r="S2384" s="25">
        <f t="shared" si="493"/>
        <v>0.15948870805058335</v>
      </c>
      <c r="T2384" s="25">
        <f t="shared" si="490"/>
        <v>0.13014082394911353</v>
      </c>
      <c r="U2384" s="25">
        <f t="shared" si="487"/>
        <v>0.21083633603251695</v>
      </c>
      <c r="X2384">
        <f t="shared" si="500"/>
        <v>1</v>
      </c>
      <c r="Y2384">
        <f t="shared" si="497"/>
        <v>1</v>
      </c>
      <c r="Z2384">
        <f t="shared" si="494"/>
        <v>1</v>
      </c>
      <c r="AA2384">
        <f t="shared" si="491"/>
        <v>0</v>
      </c>
      <c r="AB2384">
        <f t="shared" si="488"/>
        <v>1</v>
      </c>
    </row>
    <row r="2385" spans="1:28">
      <c r="A2385" s="27">
        <v>45937</v>
      </c>
      <c r="B2385" s="24">
        <v>2021.73</v>
      </c>
      <c r="C2385" s="25">
        <f t="shared" si="502"/>
        <v>1.1191055078807761E-3</v>
      </c>
      <c r="E2385" s="25">
        <f t="shared" si="498"/>
        <v>3.1142415602829709E-2</v>
      </c>
      <c r="F2385" s="25">
        <f t="shared" si="495"/>
        <v>0.19704049874942653</v>
      </c>
      <c r="G2385" s="25">
        <f t="shared" si="492"/>
        <v>0.1818686355341057</v>
      </c>
      <c r="H2385" s="25">
        <f t="shared" si="489"/>
        <v>0.12805699616039301</v>
      </c>
      <c r="I2385" s="25">
        <f t="shared" si="486"/>
        <v>0.21414493817354274</v>
      </c>
      <c r="K2385" s="29">
        <v>45937</v>
      </c>
      <c r="L2385" s="24">
        <v>36998.14</v>
      </c>
      <c r="M2385" s="25">
        <f t="shared" si="503"/>
        <v>1.71576192749138E-3</v>
      </c>
      <c r="O2385" t="b">
        <f t="shared" si="501"/>
        <v>1</v>
      </c>
      <c r="Q2385" s="25">
        <f t="shared" si="499"/>
        <v>-2.3311569576472957E-3</v>
      </c>
      <c r="R2385" s="25">
        <f t="shared" si="496"/>
        <v>0.17743840273096456</v>
      </c>
      <c r="S2385" s="25">
        <f t="shared" si="493"/>
        <v>0.15968096986062164</v>
      </c>
      <c r="T2385" s="25">
        <f t="shared" si="490"/>
        <v>0.12999990228757774</v>
      </c>
      <c r="U2385" s="25">
        <f t="shared" si="487"/>
        <v>0.21122171099939901</v>
      </c>
      <c r="X2385">
        <f t="shared" si="500"/>
        <v>1</v>
      </c>
      <c r="Y2385">
        <f t="shared" si="497"/>
        <v>1</v>
      </c>
      <c r="Z2385">
        <f t="shared" si="494"/>
        <v>1</v>
      </c>
      <c r="AA2385">
        <f t="shared" si="491"/>
        <v>0</v>
      </c>
      <c r="AB2385">
        <f t="shared" si="488"/>
        <v>1</v>
      </c>
    </row>
    <row r="2386" spans="1:28">
      <c r="A2386" s="26">
        <v>45938</v>
      </c>
      <c r="B2386" s="23">
        <v>2012.09</v>
      </c>
      <c r="C2386" s="25">
        <f t="shared" si="502"/>
        <v>-4.7681935767882461E-3</v>
      </c>
      <c r="E2386" s="25">
        <f t="shared" si="498"/>
        <v>1.9331992522531039E-2</v>
      </c>
      <c r="F2386" s="25">
        <f t="shared" si="495"/>
        <v>0.19026691020081432</v>
      </c>
      <c r="G2386" s="25">
        <f t="shared" si="492"/>
        <v>0.18017994992091024</v>
      </c>
      <c r="H2386" s="25">
        <f t="shared" si="489"/>
        <v>0.125586909843723</v>
      </c>
      <c r="I2386" s="25">
        <f t="shared" ref="I2386:I2449" si="504">((B2386/B1155)^(1/5))-1</f>
        <v>0.2152549362210936</v>
      </c>
      <c r="K2386" s="28">
        <v>45938</v>
      </c>
      <c r="L2386" s="23">
        <v>36838.5</v>
      </c>
      <c r="M2386" s="25">
        <f t="shared" si="503"/>
        <v>-4.333509779171232E-3</v>
      </c>
      <c r="O2386" t="b">
        <f t="shared" si="501"/>
        <v>1</v>
      </c>
      <c r="Q2386" s="25">
        <f t="shared" si="499"/>
        <v>-1.2581256292236276E-2</v>
      </c>
      <c r="R2386" s="25">
        <f t="shared" si="496"/>
        <v>0.17125094390758266</v>
      </c>
      <c r="S2386" s="25">
        <f t="shared" si="493"/>
        <v>0.15784568444110492</v>
      </c>
      <c r="T2386" s="25">
        <f t="shared" si="490"/>
        <v>0.12846420515764079</v>
      </c>
      <c r="U2386" s="25">
        <f t="shared" ref="U2386:U2449" si="505">((L2386/L1155)^(1/5))-1</f>
        <v>0.21144917471103897</v>
      </c>
      <c r="X2386">
        <f t="shared" si="500"/>
        <v>1</v>
      </c>
      <c r="Y2386">
        <f t="shared" si="497"/>
        <v>1</v>
      </c>
      <c r="Z2386">
        <f t="shared" si="494"/>
        <v>1</v>
      </c>
      <c r="AA2386">
        <f t="shared" si="491"/>
        <v>0</v>
      </c>
      <c r="AB2386">
        <f t="shared" ref="AB2386:AB2449" si="506">IF(I2386&gt;U2386,1,0)</f>
        <v>1</v>
      </c>
    </row>
    <row r="2387" spans="1:28">
      <c r="A2387" s="27">
        <v>45939</v>
      </c>
      <c r="B2387" s="24">
        <v>2023.1</v>
      </c>
      <c r="C2387" s="25">
        <f t="shared" si="502"/>
        <v>5.4719222301189271E-3</v>
      </c>
      <c r="E2387" s="25">
        <f t="shared" si="498"/>
        <v>2.5970008469032191E-2</v>
      </c>
      <c r="F2387" s="25">
        <f t="shared" si="495"/>
        <v>0.1889402465465746</v>
      </c>
      <c r="G2387" s="25">
        <f t="shared" si="492"/>
        <v>0.17943548888802852</v>
      </c>
      <c r="H2387" s="25">
        <f t="shared" si="489"/>
        <v>0.1257028500811963</v>
      </c>
      <c r="I2387" s="25">
        <f t="shared" si="504"/>
        <v>0.21781010417778535</v>
      </c>
      <c r="K2387" s="29">
        <v>45939</v>
      </c>
      <c r="L2387" s="24">
        <v>37049.58</v>
      </c>
      <c r="M2387" s="25">
        <f t="shared" si="503"/>
        <v>5.6972305758932152E-3</v>
      </c>
      <c r="O2387" t="b">
        <f t="shared" si="501"/>
        <v>1</v>
      </c>
      <c r="Q2387" s="25">
        <f t="shared" si="499"/>
        <v>-2.1849838045110426E-3</v>
      </c>
      <c r="R2387" s="25">
        <f t="shared" si="496"/>
        <v>0.17217723981731337</v>
      </c>
      <c r="S2387" s="25">
        <f t="shared" si="493"/>
        <v>0.15700344662412946</v>
      </c>
      <c r="T2387" s="25">
        <f t="shared" si="490"/>
        <v>0.12908028918774739</v>
      </c>
      <c r="U2387" s="25">
        <f t="shared" si="505"/>
        <v>0.21386435402770076</v>
      </c>
      <c r="X2387">
        <f t="shared" si="500"/>
        <v>1</v>
      </c>
      <c r="Y2387">
        <f t="shared" si="497"/>
        <v>1</v>
      </c>
      <c r="Z2387">
        <f t="shared" si="494"/>
        <v>1</v>
      </c>
      <c r="AA2387">
        <f t="shared" si="491"/>
        <v>0</v>
      </c>
      <c r="AB2387">
        <f t="shared" si="506"/>
        <v>1</v>
      </c>
    </row>
    <row r="2388" spans="1:28">
      <c r="A2388" s="26">
        <v>45940</v>
      </c>
      <c r="B2388" s="23">
        <v>2027.92</v>
      </c>
      <c r="C2388" s="25">
        <f t="shared" si="502"/>
        <v>2.3824823290989885E-3</v>
      </c>
      <c r="E2388" s="25">
        <f t="shared" si="498"/>
        <v>1.2122996760878912E-2</v>
      </c>
      <c r="F2388" s="25">
        <f t="shared" si="495"/>
        <v>0.18824874577840101</v>
      </c>
      <c r="G2388" s="25">
        <f t="shared" si="492"/>
        <v>0.17898347916184876</v>
      </c>
      <c r="H2388" s="25">
        <f t="shared" si="489"/>
        <v>0.12376168590119896</v>
      </c>
      <c r="I2388" s="25">
        <f t="shared" si="504"/>
        <v>0.21708739396008747</v>
      </c>
      <c r="K2388" s="28">
        <v>45940</v>
      </c>
      <c r="L2388" s="23">
        <v>37202.44</v>
      </c>
      <c r="M2388" s="25">
        <f t="shared" si="503"/>
        <v>4.1088702784011092E-3</v>
      </c>
      <c r="O2388" t="b">
        <f t="shared" si="501"/>
        <v>1</v>
      </c>
      <c r="Q2388" s="25">
        <f t="shared" si="499"/>
        <v>-1.3831171017232635E-2</v>
      </c>
      <c r="R2388" s="25">
        <f t="shared" si="496"/>
        <v>0.17348667528025929</v>
      </c>
      <c r="S2388" s="25">
        <f t="shared" si="493"/>
        <v>0.15792129607406613</v>
      </c>
      <c r="T2388" s="25">
        <f t="shared" si="490"/>
        <v>0.12804917197475052</v>
      </c>
      <c r="U2388" s="25">
        <f t="shared" si="505"/>
        <v>0.21148669000377418</v>
      </c>
      <c r="X2388">
        <f t="shared" si="500"/>
        <v>1</v>
      </c>
      <c r="Y2388">
        <f t="shared" si="497"/>
        <v>1</v>
      </c>
      <c r="Z2388">
        <f t="shared" si="494"/>
        <v>1</v>
      </c>
      <c r="AA2388">
        <f t="shared" si="491"/>
        <v>0</v>
      </c>
      <c r="AB2388">
        <f t="shared" si="506"/>
        <v>1</v>
      </c>
    </row>
    <row r="2389" spans="1:28">
      <c r="A2389" s="27">
        <v>45943</v>
      </c>
      <c r="B2389" s="24">
        <v>2026.82</v>
      </c>
      <c r="C2389" s="25">
        <f t="shared" si="502"/>
        <v>-5.4242770917991656E-4</v>
      </c>
      <c r="E2389" s="25">
        <f t="shared" si="498"/>
        <v>1.1877006335401896E-2</v>
      </c>
      <c r="F2389" s="25">
        <f t="shared" si="495"/>
        <v>0.18593814548494847</v>
      </c>
      <c r="G2389" s="25">
        <f t="shared" si="492"/>
        <v>0.17429245157453255</v>
      </c>
      <c r="H2389" s="25">
        <f t="shared" si="489"/>
        <v>0.12306650002701525</v>
      </c>
      <c r="I2389" s="25">
        <f t="shared" si="504"/>
        <v>0.21619390943586025</v>
      </c>
      <c r="K2389" s="29">
        <v>45943</v>
      </c>
      <c r="L2389" s="24">
        <v>37134.35</v>
      </c>
      <c r="M2389" s="25">
        <f t="shared" si="503"/>
        <v>-1.8336122754270315E-3</v>
      </c>
      <c r="O2389" t="b">
        <f t="shared" si="501"/>
        <v>1</v>
      </c>
      <c r="Q2389" s="25">
        <f t="shared" si="499"/>
        <v>-1.6514945738536402E-2</v>
      </c>
      <c r="R2389" s="25">
        <f t="shared" si="496"/>
        <v>0.16900487397616626</v>
      </c>
      <c r="S2389" s="25">
        <f t="shared" si="493"/>
        <v>0.15448259895083161</v>
      </c>
      <c r="T2389" s="25">
        <f t="shared" si="490"/>
        <v>0.12593258615635894</v>
      </c>
      <c r="U2389" s="25">
        <f t="shared" si="505"/>
        <v>0.21036932333960556</v>
      </c>
      <c r="X2389">
        <f t="shared" si="500"/>
        <v>1</v>
      </c>
      <c r="Y2389">
        <f t="shared" si="497"/>
        <v>1</v>
      </c>
      <c r="Z2389">
        <f t="shared" si="494"/>
        <v>1</v>
      </c>
      <c r="AA2389">
        <f t="shared" si="491"/>
        <v>0</v>
      </c>
      <c r="AB2389">
        <f t="shared" si="506"/>
        <v>1</v>
      </c>
    </row>
    <row r="2390" spans="1:28">
      <c r="A2390" s="26">
        <v>45944</v>
      </c>
      <c r="B2390" s="23">
        <v>2021.67</v>
      </c>
      <c r="C2390" s="25">
        <f t="shared" si="502"/>
        <v>-2.5409261799271094E-3</v>
      </c>
      <c r="E2390" s="25">
        <f t="shared" si="498"/>
        <v>7.6809585995833984E-3</v>
      </c>
      <c r="F2390" s="25">
        <f t="shared" si="495"/>
        <v>0.1823074996242644</v>
      </c>
      <c r="G2390" s="25">
        <f t="shared" si="492"/>
        <v>0.17139093975927899</v>
      </c>
      <c r="H2390" s="25">
        <f t="shared" si="489"/>
        <v>0.12330582577758409</v>
      </c>
      <c r="I2390" s="25">
        <f t="shared" si="504"/>
        <v>0.21377361994645727</v>
      </c>
      <c r="K2390" s="28">
        <v>45944</v>
      </c>
      <c r="L2390" s="23">
        <v>36957.769999999997</v>
      </c>
      <c r="M2390" s="25">
        <f t="shared" si="503"/>
        <v>-4.7778856787084765E-3</v>
      </c>
      <c r="O2390" t="b">
        <f t="shared" si="501"/>
        <v>1</v>
      </c>
      <c r="Q2390" s="25">
        <f t="shared" si="499"/>
        <v>-2.282486754062496E-2</v>
      </c>
      <c r="R2390" s="25">
        <f t="shared" si="496"/>
        <v>0.16281040897810328</v>
      </c>
      <c r="S2390" s="25">
        <f t="shared" si="493"/>
        <v>0.15037748176906351</v>
      </c>
      <c r="T2390" s="25">
        <f t="shared" si="490"/>
        <v>0.12603600167360929</v>
      </c>
      <c r="U2390" s="25">
        <f t="shared" si="505"/>
        <v>0.20800900100053399</v>
      </c>
      <c r="X2390">
        <f t="shared" si="500"/>
        <v>1</v>
      </c>
      <c r="Y2390">
        <f t="shared" si="497"/>
        <v>1</v>
      </c>
      <c r="Z2390">
        <f t="shared" si="494"/>
        <v>1</v>
      </c>
      <c r="AA2390">
        <f t="shared" si="491"/>
        <v>0</v>
      </c>
      <c r="AB2390">
        <f t="shared" si="506"/>
        <v>1</v>
      </c>
    </row>
    <row r="2391" spans="1:28">
      <c r="A2391" s="27">
        <v>45945</v>
      </c>
      <c r="B2391" s="24">
        <v>2040.04</v>
      </c>
      <c r="C2391" s="25">
        <f t="shared" si="502"/>
        <v>9.0865472604331511E-3</v>
      </c>
      <c r="E2391" s="25">
        <f t="shared" si="498"/>
        <v>1.4400222765877047E-2</v>
      </c>
      <c r="F2391" s="25">
        <f t="shared" si="495"/>
        <v>0.18305417079902075</v>
      </c>
      <c r="G2391" s="25">
        <f t="shared" si="492"/>
        <v>0.17597630490232019</v>
      </c>
      <c r="H2391" s="25">
        <f t="shared" si="489"/>
        <v>0.12982502566956522</v>
      </c>
      <c r="I2391" s="25">
        <f t="shared" si="504"/>
        <v>0.21285500749069675</v>
      </c>
      <c r="K2391" s="29">
        <v>45945</v>
      </c>
      <c r="L2391" s="24">
        <v>37268.03</v>
      </c>
      <c r="M2391" s="25">
        <f t="shared" si="503"/>
        <v>8.3250979458802093E-3</v>
      </c>
      <c r="O2391" t="b">
        <f t="shared" si="501"/>
        <v>1</v>
      </c>
      <c r="Q2391" s="25">
        <f t="shared" si="499"/>
        <v>-1.47124140636814E-2</v>
      </c>
      <c r="R2391" s="25">
        <f t="shared" si="496"/>
        <v>0.16217537624787259</v>
      </c>
      <c r="S2391" s="25">
        <f t="shared" si="493"/>
        <v>0.15454913138594528</v>
      </c>
      <c r="T2391" s="25">
        <f t="shared" si="490"/>
        <v>0.13217754863142606</v>
      </c>
      <c r="U2391" s="25">
        <f t="shared" si="505"/>
        <v>0.20799211925423666</v>
      </c>
      <c r="X2391">
        <f t="shared" si="500"/>
        <v>1</v>
      </c>
      <c r="Y2391">
        <f t="shared" si="497"/>
        <v>1</v>
      </c>
      <c r="Z2391">
        <f t="shared" si="494"/>
        <v>1</v>
      </c>
      <c r="AA2391">
        <f t="shared" si="491"/>
        <v>0</v>
      </c>
      <c r="AB2391">
        <f t="shared" si="506"/>
        <v>1</v>
      </c>
    </row>
    <row r="2392" spans="1:28">
      <c r="A2392" s="26">
        <v>45946</v>
      </c>
      <c r="B2392" s="23">
        <v>2063.16</v>
      </c>
      <c r="C2392" s="25">
        <f t="shared" si="502"/>
        <v>1.133311111546827E-2</v>
      </c>
      <c r="E2392" s="25">
        <f t="shared" si="498"/>
        <v>2.9731631721060747E-2</v>
      </c>
      <c r="F2392" s="25">
        <f t="shared" si="495"/>
        <v>0.19561859932056103</v>
      </c>
      <c r="G2392" s="25">
        <f t="shared" si="492"/>
        <v>0.18361578093300124</v>
      </c>
      <c r="H2392" s="25">
        <f t="shared" ref="H2392:H2455" si="507">((B2392/B1411)^(1/4))-1</f>
        <v>0.13125922971721526</v>
      </c>
      <c r="I2392" s="25">
        <f t="shared" si="504"/>
        <v>0.21342027231579608</v>
      </c>
      <c r="K2392" s="28">
        <v>45946</v>
      </c>
      <c r="L2392" s="23">
        <v>37565.29</v>
      </c>
      <c r="M2392" s="25">
        <f t="shared" si="503"/>
        <v>7.9131560011915791E-3</v>
      </c>
      <c r="O2392" t="b">
        <f t="shared" si="501"/>
        <v>1</v>
      </c>
      <c r="Q2392" s="25">
        <f t="shared" si="499"/>
        <v>-3.8939715433810029E-3</v>
      </c>
      <c r="R2392" s="25">
        <f t="shared" si="496"/>
        <v>0.17322315220753981</v>
      </c>
      <c r="S2392" s="25">
        <f t="shared" si="493"/>
        <v>0.15882232443491939</v>
      </c>
      <c r="T2392" s="25">
        <f t="shared" ref="T2392:T2455" si="508">((L2392/L1411)^(1/4))-1</f>
        <v>0.13214853833890383</v>
      </c>
      <c r="U2392" s="25">
        <f t="shared" si="505"/>
        <v>0.20841843751801337</v>
      </c>
      <c r="X2392">
        <f t="shared" si="500"/>
        <v>1</v>
      </c>
      <c r="Y2392">
        <f t="shared" si="497"/>
        <v>1</v>
      </c>
      <c r="Z2392">
        <f t="shared" si="494"/>
        <v>1</v>
      </c>
      <c r="AA2392">
        <f t="shared" ref="AA2392:AA2455" si="509">IF(H2392&gt;T2392,1,0)</f>
        <v>0</v>
      </c>
      <c r="AB2392">
        <f t="shared" si="506"/>
        <v>1</v>
      </c>
    </row>
    <row r="2393" spans="1:28">
      <c r="A2393" s="27">
        <v>45947</v>
      </c>
      <c r="B2393" s="24">
        <v>2068.0500000000002</v>
      </c>
      <c r="C2393" s="25">
        <f t="shared" si="502"/>
        <v>2.3701506427035845E-3</v>
      </c>
      <c r="E2393" s="25">
        <f t="shared" si="498"/>
        <v>3.2094982382943948E-2</v>
      </c>
      <c r="F2393" s="25">
        <f t="shared" si="495"/>
        <v>0.19314724791331006</v>
      </c>
      <c r="G2393" s="25">
        <f t="shared" si="492"/>
        <v>0.19288533292124477</v>
      </c>
      <c r="H2393" s="25">
        <f t="shared" si="507"/>
        <v>0.13075044933576341</v>
      </c>
      <c r="I2393" s="25">
        <f t="shared" si="504"/>
        <v>0.21455914345200577</v>
      </c>
      <c r="K2393" s="29">
        <v>45947</v>
      </c>
      <c r="L2393" s="24">
        <v>37622.31</v>
      </c>
      <c r="M2393" s="25">
        <f t="shared" si="503"/>
        <v>1.5155900847129483E-3</v>
      </c>
      <c r="O2393" t="b">
        <f t="shared" si="501"/>
        <v>1</v>
      </c>
      <c r="Q2393" s="25">
        <f t="shared" si="499"/>
        <v>-5.3052046794188623E-4</v>
      </c>
      <c r="R2393" s="25">
        <f t="shared" si="496"/>
        <v>0.17189275431067852</v>
      </c>
      <c r="S2393" s="25">
        <f t="shared" si="493"/>
        <v>0.16787451844160795</v>
      </c>
      <c r="T2393" s="25">
        <f t="shared" si="508"/>
        <v>0.13173951077841939</v>
      </c>
      <c r="U2393" s="25">
        <f t="shared" si="505"/>
        <v>0.21042152690039839</v>
      </c>
      <c r="X2393">
        <f t="shared" si="500"/>
        <v>1</v>
      </c>
      <c r="Y2393">
        <f t="shared" si="497"/>
        <v>1</v>
      </c>
      <c r="Z2393">
        <f t="shared" si="494"/>
        <v>1</v>
      </c>
      <c r="AA2393">
        <f t="shared" si="509"/>
        <v>0</v>
      </c>
      <c r="AB2393">
        <f t="shared" si="506"/>
        <v>1</v>
      </c>
    </row>
    <row r="2394" spans="1:28">
      <c r="A2394" s="26">
        <v>45950</v>
      </c>
      <c r="B2394" s="23">
        <v>2080.21</v>
      </c>
      <c r="C2394" s="25">
        <f t="shared" si="502"/>
        <v>5.8799352046613254E-3</v>
      </c>
      <c r="E2394" s="25">
        <f t="shared" si="498"/>
        <v>2.5582748284294521E-2</v>
      </c>
      <c r="F2394" s="25">
        <f t="shared" si="495"/>
        <v>0.19285410675576919</v>
      </c>
      <c r="G2394" s="25">
        <f t="shared" si="492"/>
        <v>0.19438608063364593</v>
      </c>
      <c r="H2394" s="25">
        <f t="shared" si="507"/>
        <v>0.12912744908737284</v>
      </c>
      <c r="I2394" s="25">
        <f t="shared" si="504"/>
        <v>0.21528908832930993</v>
      </c>
      <c r="K2394" s="28">
        <v>45950</v>
      </c>
      <c r="L2394" s="23">
        <v>37812.39</v>
      </c>
      <c r="M2394" s="25">
        <f t="shared" si="503"/>
        <v>5.0269237146872165E-3</v>
      </c>
      <c r="O2394" t="b">
        <f t="shared" si="501"/>
        <v>1</v>
      </c>
      <c r="Q2394" s="25">
        <f t="shared" si="499"/>
        <v>-9.6099220284086018E-3</v>
      </c>
      <c r="R2394" s="25">
        <f t="shared" si="496"/>
        <v>0.17228213845565699</v>
      </c>
      <c r="S2394" s="25">
        <f t="shared" si="493"/>
        <v>0.16855374513386012</v>
      </c>
      <c r="T2394" s="25">
        <f t="shared" si="508"/>
        <v>0.12913928098714167</v>
      </c>
      <c r="U2394" s="25">
        <f t="shared" si="505"/>
        <v>0.21182431610435937</v>
      </c>
      <c r="X2394">
        <f t="shared" si="500"/>
        <v>1</v>
      </c>
      <c r="Y2394">
        <f t="shared" si="497"/>
        <v>1</v>
      </c>
      <c r="Z2394">
        <f t="shared" si="494"/>
        <v>1</v>
      </c>
      <c r="AA2394">
        <f t="shared" si="509"/>
        <v>0</v>
      </c>
      <c r="AB2394">
        <f t="shared" si="506"/>
        <v>1</v>
      </c>
    </row>
    <row r="2395" spans="1:28">
      <c r="A2395" s="27">
        <v>45953</v>
      </c>
      <c r="B2395" s="24">
        <v>2084.2600000000002</v>
      </c>
      <c r="C2395" s="25">
        <f t="shared" si="502"/>
        <v>1.9469188206960749E-3</v>
      </c>
      <c r="E2395" s="25">
        <f t="shared" si="498"/>
        <v>1.968669582489424E-2</v>
      </c>
      <c r="F2395" s="25">
        <f t="shared" si="495"/>
        <v>0.19056275681693258</v>
      </c>
      <c r="G2395" s="25">
        <f t="shared" si="492"/>
        <v>0.1888070538323694</v>
      </c>
      <c r="H2395" s="25">
        <f t="shared" si="507"/>
        <v>0.12967000792771399</v>
      </c>
      <c r="I2395" s="25">
        <f t="shared" si="504"/>
        <v>0.22367623851232854</v>
      </c>
      <c r="K2395" s="29">
        <v>45953</v>
      </c>
      <c r="L2395" s="24">
        <v>37876.129999999997</v>
      </c>
      <c r="M2395" s="25">
        <f t="shared" si="503"/>
        <v>1.6828540825052076E-3</v>
      </c>
      <c r="O2395" t="b">
        <f t="shared" si="501"/>
        <v>1</v>
      </c>
      <c r="Q2395" s="25">
        <f t="shared" si="499"/>
        <v>-1.5495828296158143E-2</v>
      </c>
      <c r="R2395" s="25">
        <f t="shared" si="496"/>
        <v>0.17118656392024989</v>
      </c>
      <c r="S2395" s="25">
        <f t="shared" si="493"/>
        <v>0.16473132951616987</v>
      </c>
      <c r="T2395" s="25">
        <f t="shared" si="508"/>
        <v>0.12986468772639181</v>
      </c>
      <c r="U2395" s="25">
        <f t="shared" si="505"/>
        <v>0.21857624891106076</v>
      </c>
      <c r="X2395">
        <f t="shared" si="500"/>
        <v>1</v>
      </c>
      <c r="Y2395">
        <f t="shared" si="497"/>
        <v>1</v>
      </c>
      <c r="Z2395">
        <f t="shared" si="494"/>
        <v>1</v>
      </c>
      <c r="AA2395">
        <f t="shared" si="509"/>
        <v>0</v>
      </c>
      <c r="AB2395">
        <f t="shared" si="506"/>
        <v>1</v>
      </c>
    </row>
    <row r="2396" spans="1:28">
      <c r="A2396" s="26">
        <v>45954</v>
      </c>
      <c r="B2396" s="23">
        <v>2078.11</v>
      </c>
      <c r="C2396" s="25">
        <f t="shared" si="502"/>
        <v>-2.9506875341848379E-3</v>
      </c>
      <c r="E2396" s="25">
        <f t="shared" si="498"/>
        <v>1.5852919322670189E-2</v>
      </c>
      <c r="F2396" s="25">
        <f t="shared" si="495"/>
        <v>0.19226000888190486</v>
      </c>
      <c r="G2396" s="25">
        <f t="shared" si="492"/>
        <v>0.18966352016833632</v>
      </c>
      <c r="H2396" s="25">
        <f t="shared" si="507"/>
        <v>0.12992549007580689</v>
      </c>
      <c r="I2396" s="25">
        <f t="shared" si="504"/>
        <v>0.22439433116262353</v>
      </c>
      <c r="K2396" s="28">
        <v>45954</v>
      </c>
      <c r="L2396" s="23">
        <v>37766.89</v>
      </c>
      <c r="M2396" s="25">
        <f t="shared" si="503"/>
        <v>-2.8924806887725722E-3</v>
      </c>
      <c r="O2396" t="b">
        <f t="shared" si="501"/>
        <v>1</v>
      </c>
      <c r="Q2396" s="25">
        <f t="shared" si="499"/>
        <v>-1.875815008338777E-2</v>
      </c>
      <c r="R2396" s="25">
        <f t="shared" si="496"/>
        <v>0.17122017632886921</v>
      </c>
      <c r="S2396" s="25">
        <f t="shared" si="493"/>
        <v>0.16635519224366102</v>
      </c>
      <c r="T2396" s="25">
        <f t="shared" si="508"/>
        <v>0.1291034277167018</v>
      </c>
      <c r="U2396" s="25">
        <f t="shared" si="505"/>
        <v>0.22047972340611399</v>
      </c>
      <c r="X2396">
        <f t="shared" si="500"/>
        <v>1</v>
      </c>
      <c r="Y2396">
        <f t="shared" si="497"/>
        <v>1</v>
      </c>
      <c r="Z2396">
        <f t="shared" si="494"/>
        <v>1</v>
      </c>
      <c r="AA2396">
        <f t="shared" si="509"/>
        <v>1</v>
      </c>
      <c r="AB2396">
        <f t="shared" si="506"/>
        <v>1</v>
      </c>
    </row>
    <row r="2397" spans="1:28">
      <c r="A2397" s="27">
        <v>45957</v>
      </c>
      <c r="B2397" s="24">
        <v>2095.25</v>
      </c>
      <c r="C2397" s="25">
        <f t="shared" si="502"/>
        <v>8.247879082435421E-3</v>
      </c>
      <c r="E2397" s="25">
        <f t="shared" si="498"/>
        <v>2.4306658909915679E-2</v>
      </c>
      <c r="F2397" s="25">
        <f t="shared" si="495"/>
        <v>0.20288648693304157</v>
      </c>
      <c r="G2397" s="25">
        <f t="shared" si="492"/>
        <v>0.19386108501664001</v>
      </c>
      <c r="H2397" s="25">
        <f t="shared" si="507"/>
        <v>0.13498676231909346</v>
      </c>
      <c r="I2397" s="25">
        <f t="shared" si="504"/>
        <v>0.22805423503691569</v>
      </c>
      <c r="K2397" s="29">
        <v>45957</v>
      </c>
      <c r="L2397" s="24">
        <v>38030.32</v>
      </c>
      <c r="M2397" s="25">
        <f t="shared" si="503"/>
        <v>6.9268415306523922E-3</v>
      </c>
      <c r="O2397" t="b">
        <f t="shared" si="501"/>
        <v>1</v>
      </c>
      <c r="Q2397" s="25">
        <f t="shared" si="499"/>
        <v>-1.1180097092301056E-2</v>
      </c>
      <c r="R2397" s="25">
        <f t="shared" si="496"/>
        <v>0.18080967629240274</v>
      </c>
      <c r="S2397" s="25">
        <f t="shared" si="493"/>
        <v>0.16969748675854235</v>
      </c>
      <c r="T2397" s="25">
        <f t="shared" si="508"/>
        <v>0.13280244727970736</v>
      </c>
      <c r="U2397" s="25">
        <f t="shared" si="505"/>
        <v>0.22269723506875394</v>
      </c>
      <c r="X2397">
        <f t="shared" si="500"/>
        <v>1</v>
      </c>
      <c r="Y2397">
        <f t="shared" si="497"/>
        <v>1</v>
      </c>
      <c r="Z2397">
        <f t="shared" si="494"/>
        <v>1</v>
      </c>
      <c r="AA2397">
        <f t="shared" si="509"/>
        <v>1</v>
      </c>
      <c r="AB2397">
        <f t="shared" si="506"/>
        <v>1</v>
      </c>
    </row>
    <row r="2398" spans="1:28">
      <c r="A2398" s="26">
        <v>45958</v>
      </c>
      <c r="B2398" s="23">
        <v>2096.16</v>
      </c>
      <c r="C2398" s="25">
        <f t="shared" si="502"/>
        <v>4.3431571411519125E-4</v>
      </c>
      <c r="E2398" s="25">
        <f t="shared" si="498"/>
        <v>1.853237577866107E-2</v>
      </c>
      <c r="F2398" s="25">
        <f t="shared" si="495"/>
        <v>0.20918757082889972</v>
      </c>
      <c r="G2398" s="25">
        <f t="shared" si="492"/>
        <v>0.20132041826712332</v>
      </c>
      <c r="H2398" s="25">
        <f t="shared" si="507"/>
        <v>0.13471026987708967</v>
      </c>
      <c r="I2398" s="25">
        <f t="shared" si="504"/>
        <v>0.23449892801092731</v>
      </c>
      <c r="K2398" s="28">
        <v>45958</v>
      </c>
      <c r="L2398" s="23">
        <v>37985.14</v>
      </c>
      <c r="M2398" s="25">
        <f t="shared" si="503"/>
        <v>-1.1894124913058182E-3</v>
      </c>
      <c r="O2398" t="b">
        <f t="shared" si="501"/>
        <v>1</v>
      </c>
      <c r="Q2398" s="25">
        <f t="shared" si="499"/>
        <v>-1.7420194947667555E-2</v>
      </c>
      <c r="R2398" s="25">
        <f t="shared" si="496"/>
        <v>0.18506764316464897</v>
      </c>
      <c r="S2398" s="25">
        <f t="shared" si="493"/>
        <v>0.17637602739815872</v>
      </c>
      <c r="T2398" s="25">
        <f t="shared" si="508"/>
        <v>0.13262822126471563</v>
      </c>
      <c r="U2398" s="25">
        <f t="shared" si="505"/>
        <v>0.22915353452211185</v>
      </c>
      <c r="X2398">
        <f t="shared" si="500"/>
        <v>1</v>
      </c>
      <c r="Y2398">
        <f t="shared" si="497"/>
        <v>1</v>
      </c>
      <c r="Z2398">
        <f t="shared" si="494"/>
        <v>1</v>
      </c>
      <c r="AA2398">
        <f t="shared" si="509"/>
        <v>1</v>
      </c>
      <c r="AB2398">
        <f t="shared" si="506"/>
        <v>1</v>
      </c>
    </row>
    <row r="2399" spans="1:28">
      <c r="A2399" s="27">
        <v>45959</v>
      </c>
      <c r="B2399" s="24">
        <v>2106.15</v>
      </c>
      <c r="C2399" s="25">
        <f t="shared" si="502"/>
        <v>4.7658575681246837E-3</v>
      </c>
      <c r="E2399" s="25">
        <f t="shared" si="498"/>
        <v>2.3147923245081303E-2</v>
      </c>
      <c r="F2399" s="25">
        <f t="shared" si="495"/>
        <v>0.21426547696114029</v>
      </c>
      <c r="G2399" s="25">
        <f t="shared" si="492"/>
        <v>0.21166243588432665</v>
      </c>
      <c r="H2399" s="25">
        <f t="shared" si="507"/>
        <v>0.13661307589553173</v>
      </c>
      <c r="I2399" s="25">
        <f t="shared" si="504"/>
        <v>0.22933914474155337</v>
      </c>
      <c r="K2399" s="29">
        <v>45959</v>
      </c>
      <c r="L2399" s="24">
        <v>38208.18</v>
      </c>
      <c r="M2399" s="25">
        <f t="shared" si="503"/>
        <v>5.8374934372692148E-3</v>
      </c>
      <c r="O2399" t="b">
        <f t="shared" si="501"/>
        <v>1</v>
      </c>
      <c r="Q2399" s="25">
        <f t="shared" si="499"/>
        <v>-1.1353289198759442E-2</v>
      </c>
      <c r="R2399" s="25">
        <f t="shared" si="496"/>
        <v>0.19000490687294191</v>
      </c>
      <c r="S2399" s="25">
        <f t="shared" si="493"/>
        <v>0.18746478433613478</v>
      </c>
      <c r="T2399" s="25">
        <f t="shared" si="508"/>
        <v>0.13493225952961097</v>
      </c>
      <c r="U2399" s="25">
        <f t="shared" si="505"/>
        <v>0.2248594863571165</v>
      </c>
      <c r="X2399">
        <f t="shared" si="500"/>
        <v>1</v>
      </c>
      <c r="Y2399">
        <f t="shared" si="497"/>
        <v>1</v>
      </c>
      <c r="Z2399">
        <f t="shared" si="494"/>
        <v>1</v>
      </c>
      <c r="AA2399">
        <f t="shared" si="509"/>
        <v>1</v>
      </c>
      <c r="AB2399">
        <f t="shared" si="506"/>
        <v>1</v>
      </c>
    </row>
    <row r="2400" spans="1:28">
      <c r="A2400" s="26">
        <v>45960</v>
      </c>
      <c r="B2400" s="23">
        <v>2097</v>
      </c>
      <c r="C2400" s="25">
        <f t="shared" si="502"/>
        <v>-4.3444199131116449E-3</v>
      </c>
      <c r="E2400" s="25">
        <f t="shared" si="498"/>
        <v>2.8041964898519511E-2</v>
      </c>
      <c r="F2400" s="25">
        <f t="shared" si="495"/>
        <v>0.21069723704174548</v>
      </c>
      <c r="G2400" s="25">
        <f t="shared" si="492"/>
        <v>0.21033132215864181</v>
      </c>
      <c r="H2400" s="25">
        <f t="shared" si="507"/>
        <v>0.13607041180552448</v>
      </c>
      <c r="I2400" s="25">
        <f t="shared" si="504"/>
        <v>0.22309857405757549</v>
      </c>
      <c r="K2400" s="28">
        <v>45960</v>
      </c>
      <c r="L2400" s="23">
        <v>38030.97</v>
      </c>
      <c r="M2400" s="25">
        <f t="shared" si="503"/>
        <v>-4.6596234595120533E-3</v>
      </c>
      <c r="O2400" t="b">
        <f t="shared" si="501"/>
        <v>1</v>
      </c>
      <c r="Q2400" s="25">
        <f t="shared" si="499"/>
        <v>-6.0222589926816061E-3</v>
      </c>
      <c r="R2400" s="25">
        <f t="shared" si="496"/>
        <v>0.18683745214104985</v>
      </c>
      <c r="S2400" s="25">
        <f t="shared" si="493"/>
        <v>0.18558351085744085</v>
      </c>
      <c r="T2400" s="25">
        <f t="shared" si="508"/>
        <v>0.13434396169385288</v>
      </c>
      <c r="U2400" s="25">
        <f t="shared" si="505"/>
        <v>0.21911775372837794</v>
      </c>
      <c r="X2400">
        <f t="shared" si="500"/>
        <v>1</v>
      </c>
      <c r="Y2400">
        <f t="shared" si="497"/>
        <v>1</v>
      </c>
      <c r="Z2400">
        <f t="shared" si="494"/>
        <v>1</v>
      </c>
      <c r="AA2400">
        <f t="shared" si="509"/>
        <v>1</v>
      </c>
      <c r="AB2400">
        <f t="shared" si="506"/>
        <v>1</v>
      </c>
    </row>
    <row r="2401" spans="1:28">
      <c r="A2401" s="27">
        <v>45961</v>
      </c>
      <c r="B2401" s="24">
        <v>2083.89</v>
      </c>
      <c r="C2401" s="25">
        <f t="shared" si="502"/>
        <v>-6.2517882689557113E-3</v>
      </c>
      <c r="E2401" s="25">
        <f t="shared" si="498"/>
        <v>2.0064614029076111E-2</v>
      </c>
      <c r="F2401" s="25">
        <f t="shared" si="495"/>
        <v>0.20844511498565677</v>
      </c>
      <c r="G2401" s="25">
        <f t="shared" si="492"/>
        <v>0.20966812712149818</v>
      </c>
      <c r="H2401" s="25">
        <f t="shared" si="507"/>
        <v>0.13085896521160989</v>
      </c>
      <c r="I2401" s="25">
        <f t="shared" si="504"/>
        <v>0.22247312278469411</v>
      </c>
      <c r="K2401" s="29">
        <v>45961</v>
      </c>
      <c r="L2401" s="24">
        <v>37822.449999999997</v>
      </c>
      <c r="M2401" s="25">
        <f t="shared" si="503"/>
        <v>-5.513127785217618E-3</v>
      </c>
      <c r="O2401" t="b">
        <f t="shared" si="501"/>
        <v>1</v>
      </c>
      <c r="Q2401" s="25">
        <f t="shared" si="499"/>
        <v>-1.2534155698290639E-2</v>
      </c>
      <c r="R2401" s="25">
        <f t="shared" si="496"/>
        <v>0.18343578396049942</v>
      </c>
      <c r="S2401" s="25">
        <f t="shared" si="493"/>
        <v>0.18628436668788306</v>
      </c>
      <c r="T2401" s="25">
        <f t="shared" si="508"/>
        <v>0.12965424479898369</v>
      </c>
      <c r="U2401" s="25">
        <f t="shared" si="505"/>
        <v>0.21805355801073456</v>
      </c>
      <c r="X2401">
        <f t="shared" si="500"/>
        <v>1</v>
      </c>
      <c r="Y2401">
        <f t="shared" si="497"/>
        <v>1</v>
      </c>
      <c r="Z2401">
        <f t="shared" si="494"/>
        <v>1</v>
      </c>
      <c r="AA2401">
        <f t="shared" si="509"/>
        <v>1</v>
      </c>
      <c r="AB2401">
        <f t="shared" si="506"/>
        <v>1</v>
      </c>
    </row>
    <row r="2402" spans="1:28">
      <c r="A2402" s="26">
        <v>45964</v>
      </c>
      <c r="B2402" s="23">
        <v>2098.02</v>
      </c>
      <c r="C2402" s="25">
        <f t="shared" si="502"/>
        <v>6.7805882268258452E-3</v>
      </c>
      <c r="E2402" s="25">
        <f t="shared" si="498"/>
        <v>4.9036225905647601E-2</v>
      </c>
      <c r="F2402" s="25">
        <f t="shared" si="495"/>
        <v>0.21110170502689085</v>
      </c>
      <c r="G2402" s="25">
        <f t="shared" si="492"/>
        <v>0.21202554317877476</v>
      </c>
      <c r="H2402" s="25">
        <f t="shared" si="507"/>
        <v>0.13164928177061763</v>
      </c>
      <c r="I2402" s="25">
        <f t="shared" si="504"/>
        <v>0.22371630378130436</v>
      </c>
      <c r="K2402" s="28">
        <v>45964</v>
      </c>
      <c r="L2402" s="23">
        <v>37983.99</v>
      </c>
      <c r="M2402" s="25">
        <f t="shared" si="503"/>
        <v>4.2528444220841701E-3</v>
      </c>
      <c r="O2402" t="b">
        <f t="shared" si="501"/>
        <v>1</v>
      </c>
      <c r="Q2402" s="25">
        <f t="shared" si="499"/>
        <v>1.321684964273051E-2</v>
      </c>
      <c r="R2402" s="25">
        <f t="shared" si="496"/>
        <v>0.18374031677743075</v>
      </c>
      <c r="S2402" s="25">
        <f t="shared" si="493"/>
        <v>0.1884613434563629</v>
      </c>
      <c r="T2402" s="25">
        <f t="shared" si="508"/>
        <v>0.12902245584004879</v>
      </c>
      <c r="U2402" s="25">
        <f t="shared" si="505"/>
        <v>0.21851698188839053</v>
      </c>
      <c r="X2402">
        <f t="shared" si="500"/>
        <v>1</v>
      </c>
      <c r="Y2402">
        <f t="shared" si="497"/>
        <v>1</v>
      </c>
      <c r="Z2402">
        <f t="shared" si="494"/>
        <v>1</v>
      </c>
      <c r="AA2402">
        <f t="shared" si="509"/>
        <v>1</v>
      </c>
      <c r="AB2402">
        <f t="shared" si="506"/>
        <v>1</v>
      </c>
    </row>
    <row r="2403" spans="1:28">
      <c r="A2403" s="27">
        <v>45965</v>
      </c>
      <c r="B2403" s="24">
        <v>2086.69</v>
      </c>
      <c r="C2403" s="25">
        <f t="shared" si="502"/>
        <v>-5.4003298347965831E-3</v>
      </c>
      <c r="E2403" s="25">
        <f t="shared" si="498"/>
        <v>5.2045415586903676E-2</v>
      </c>
      <c r="F2403" s="25">
        <f t="shared" si="495"/>
        <v>0.20660035015787903</v>
      </c>
      <c r="G2403" s="25">
        <f t="shared" si="492"/>
        <v>0.20304467249690772</v>
      </c>
      <c r="H2403" s="25">
        <f t="shared" si="507"/>
        <v>0.13256087291296681</v>
      </c>
      <c r="I2403" s="25">
        <f t="shared" si="504"/>
        <v>0.21925670700310862</v>
      </c>
      <c r="K2403" s="29">
        <v>45965</v>
      </c>
      <c r="L2403" s="24">
        <v>37768.49</v>
      </c>
      <c r="M2403" s="25">
        <f t="shared" si="503"/>
        <v>-5.705814555996282E-3</v>
      </c>
      <c r="O2403" t="b">
        <f t="shared" si="501"/>
        <v>1</v>
      </c>
      <c r="Q2403" s="25">
        <f t="shared" si="499"/>
        <v>1.6908769916605948E-2</v>
      </c>
      <c r="R2403" s="25">
        <f t="shared" si="496"/>
        <v>0.18202812484420861</v>
      </c>
      <c r="S2403" s="25">
        <f t="shared" si="493"/>
        <v>0.18013039853968493</v>
      </c>
      <c r="T2403" s="25">
        <f t="shared" si="508"/>
        <v>0.13011933154480015</v>
      </c>
      <c r="U2403" s="25">
        <f t="shared" si="505"/>
        <v>0.2140297088529477</v>
      </c>
      <c r="X2403">
        <f t="shared" si="500"/>
        <v>1</v>
      </c>
      <c r="Y2403">
        <f t="shared" si="497"/>
        <v>1</v>
      </c>
      <c r="Z2403">
        <f t="shared" si="494"/>
        <v>1</v>
      </c>
      <c r="AA2403">
        <f t="shared" si="509"/>
        <v>1</v>
      </c>
      <c r="AB2403">
        <f t="shared" si="506"/>
        <v>1</v>
      </c>
    </row>
    <row r="2404" spans="1:28">
      <c r="A2404" s="26">
        <v>45967</v>
      </c>
      <c r="B2404" s="23">
        <v>2068.1</v>
      </c>
      <c r="C2404" s="25">
        <f t="shared" si="502"/>
        <v>-8.9088460672165706E-3</v>
      </c>
      <c r="E2404" s="25">
        <f t="shared" si="498"/>
        <v>5.3916322682566298E-2</v>
      </c>
      <c r="F2404" s="25">
        <f t="shared" si="495"/>
        <v>0.2031921906625922</v>
      </c>
      <c r="G2404" s="25">
        <f t="shared" ref="G2404:G2467" si="510">((B2404/B1667)^(1/3))-1</f>
        <v>0.20340728776288231</v>
      </c>
      <c r="H2404" s="25">
        <f t="shared" si="507"/>
        <v>0.12691301046268566</v>
      </c>
      <c r="I2404" s="25">
        <f t="shared" si="504"/>
        <v>0.2159105944519184</v>
      </c>
      <c r="K2404" s="28">
        <v>45967</v>
      </c>
      <c r="L2404" s="23">
        <v>37510.82</v>
      </c>
      <c r="M2404" s="25">
        <f t="shared" si="503"/>
        <v>-6.869218001632549E-3</v>
      </c>
      <c r="O2404" t="b">
        <f t="shared" si="501"/>
        <v>1</v>
      </c>
      <c r="Q2404" s="25">
        <f t="shared" si="499"/>
        <v>2.534888024564097E-2</v>
      </c>
      <c r="R2404" s="25">
        <f t="shared" si="496"/>
        <v>0.17929251623465836</v>
      </c>
      <c r="S2404" s="25">
        <f t="shared" ref="S2404:S2467" si="511">((L2404/L1667)^(1/3))-1</f>
        <v>0.18253454944516578</v>
      </c>
      <c r="T2404" s="25">
        <f t="shared" si="508"/>
        <v>0.12530490543765804</v>
      </c>
      <c r="U2404" s="25">
        <f t="shared" si="505"/>
        <v>0.21097414271523673</v>
      </c>
      <c r="X2404">
        <f t="shared" si="500"/>
        <v>1</v>
      </c>
      <c r="Y2404">
        <f t="shared" si="497"/>
        <v>1</v>
      </c>
      <c r="Z2404">
        <f t="shared" ref="Z2404:Z2467" si="512">IF(G2404&gt;S2404,1,0)</f>
        <v>1</v>
      </c>
      <c r="AA2404">
        <f t="shared" si="509"/>
        <v>1</v>
      </c>
      <c r="AB2404">
        <f t="shared" si="506"/>
        <v>1</v>
      </c>
    </row>
    <row r="2405" spans="1:28">
      <c r="A2405" s="27">
        <v>45968</v>
      </c>
      <c r="B2405" s="24">
        <v>2071.58</v>
      </c>
      <c r="C2405" s="25">
        <f t="shared" si="502"/>
        <v>1.6827039311445376E-3</v>
      </c>
      <c r="E2405" s="25">
        <f t="shared" si="498"/>
        <v>4.4906811934125157E-2</v>
      </c>
      <c r="F2405" s="25">
        <f t="shared" si="495"/>
        <v>0.21060206978441731</v>
      </c>
      <c r="G2405" s="25">
        <f t="shared" si="510"/>
        <v>0.19579255620596836</v>
      </c>
      <c r="H2405" s="25">
        <f t="shared" si="507"/>
        <v>0.12641083824282373</v>
      </c>
      <c r="I2405" s="25">
        <f t="shared" si="504"/>
        <v>0.21429453124280218</v>
      </c>
      <c r="K2405" s="29">
        <v>45968</v>
      </c>
      <c r="L2405" s="24">
        <v>37532.199999999997</v>
      </c>
      <c r="M2405" s="25">
        <f t="shared" si="503"/>
        <v>5.696441988478528E-4</v>
      </c>
      <c r="O2405" t="b">
        <f t="shared" si="501"/>
        <v>1</v>
      </c>
      <c r="Q2405" s="25">
        <f t="shared" si="499"/>
        <v>1.1508638823107376E-2</v>
      </c>
      <c r="R2405" s="25">
        <f t="shared" si="496"/>
        <v>0.18414288135206269</v>
      </c>
      <c r="S2405" s="25">
        <f t="shared" si="511"/>
        <v>0.17407316228890868</v>
      </c>
      <c r="T2405" s="25">
        <f t="shared" si="508"/>
        <v>0.12408909253196798</v>
      </c>
      <c r="U2405" s="25">
        <f t="shared" si="505"/>
        <v>0.2084305288222903</v>
      </c>
      <c r="X2405">
        <f t="shared" si="500"/>
        <v>1</v>
      </c>
      <c r="Y2405">
        <f t="shared" si="497"/>
        <v>1</v>
      </c>
      <c r="Z2405">
        <f t="shared" si="512"/>
        <v>1</v>
      </c>
      <c r="AA2405">
        <f t="shared" si="509"/>
        <v>1</v>
      </c>
      <c r="AB2405">
        <f t="shared" si="506"/>
        <v>1</v>
      </c>
    </row>
    <row r="2406" spans="1:28">
      <c r="A2406" s="26">
        <v>45971</v>
      </c>
      <c r="B2406" s="23">
        <v>2074.35</v>
      </c>
      <c r="C2406" s="25">
        <f t="shared" si="502"/>
        <v>1.3371436295001795E-3</v>
      </c>
      <c r="E2406" s="25">
        <f t="shared" si="498"/>
        <v>3.8239195175054252E-2</v>
      </c>
      <c r="F2406" s="25">
        <f t="shared" si="495"/>
        <v>0.20904843452893562</v>
      </c>
      <c r="G2406" s="25">
        <f t="shared" si="510"/>
        <v>0.19340035261744792</v>
      </c>
      <c r="H2406" s="25">
        <f t="shared" si="507"/>
        <v>0.12545577838100397</v>
      </c>
      <c r="I2406" s="25">
        <f t="shared" si="504"/>
        <v>0.21417686298786975</v>
      </c>
      <c r="K2406" s="28">
        <v>45971</v>
      </c>
      <c r="L2406" s="23">
        <v>37656.69</v>
      </c>
      <c r="M2406" s="25">
        <f t="shared" si="503"/>
        <v>3.3059198777164226E-3</v>
      </c>
      <c r="O2406" t="b">
        <f t="shared" si="501"/>
        <v>1</v>
      </c>
      <c r="Q2406" s="25">
        <f t="shared" si="499"/>
        <v>1.1120347860269497E-2</v>
      </c>
      <c r="R2406" s="25">
        <f t="shared" si="496"/>
        <v>0.18359545506637387</v>
      </c>
      <c r="S2406" s="25">
        <f t="shared" si="511"/>
        <v>0.1730955807445429</v>
      </c>
      <c r="T2406" s="25">
        <f t="shared" si="508"/>
        <v>0.12387330116537743</v>
      </c>
      <c r="U2406" s="25">
        <f t="shared" si="505"/>
        <v>0.20842488526754099</v>
      </c>
      <c r="X2406">
        <f t="shared" si="500"/>
        <v>1</v>
      </c>
      <c r="Y2406">
        <f t="shared" si="497"/>
        <v>1</v>
      </c>
      <c r="Z2406">
        <f t="shared" si="512"/>
        <v>1</v>
      </c>
      <c r="AA2406">
        <f t="shared" si="509"/>
        <v>1</v>
      </c>
      <c r="AB2406">
        <f t="shared" si="506"/>
        <v>1</v>
      </c>
    </row>
    <row r="2407" spans="1:28">
      <c r="A2407" s="27">
        <v>45972</v>
      </c>
      <c r="B2407" s="24">
        <v>2085.08</v>
      </c>
      <c r="C2407" s="25">
        <f t="shared" si="502"/>
        <v>5.1727047026779559E-3</v>
      </c>
      <c r="E2407" s="25">
        <f t="shared" si="498"/>
        <v>4.5871099451753716E-2</v>
      </c>
      <c r="F2407" s="25">
        <f t="shared" si="495"/>
        <v>0.20794813064788009</v>
      </c>
      <c r="G2407" s="25">
        <f t="shared" si="510"/>
        <v>0.19622606117975661</v>
      </c>
      <c r="H2407" s="25">
        <f t="shared" si="507"/>
        <v>0.12632950234536811</v>
      </c>
      <c r="I2407" s="25">
        <f t="shared" si="504"/>
        <v>0.213923849775012</v>
      </c>
      <c r="K2407" s="29">
        <v>45972</v>
      </c>
      <c r="L2407" s="24">
        <v>37794.11</v>
      </c>
      <c r="M2407" s="25">
        <f t="shared" si="503"/>
        <v>3.6360162998943023E-3</v>
      </c>
      <c r="O2407" t="b">
        <f t="shared" si="501"/>
        <v>1</v>
      </c>
      <c r="Q2407" s="25">
        <f t="shared" si="499"/>
        <v>1.4871527584774391E-2</v>
      </c>
      <c r="R2407" s="25">
        <f t="shared" si="496"/>
        <v>0.18239506849316278</v>
      </c>
      <c r="S2407" s="25">
        <f t="shared" si="511"/>
        <v>0.17494611587431041</v>
      </c>
      <c r="T2407" s="25">
        <f t="shared" si="508"/>
        <v>0.12391642022954374</v>
      </c>
      <c r="U2407" s="25">
        <f t="shared" si="505"/>
        <v>0.20787422008698941</v>
      </c>
      <c r="X2407">
        <f t="shared" si="500"/>
        <v>1</v>
      </c>
      <c r="Y2407">
        <f t="shared" si="497"/>
        <v>1</v>
      </c>
      <c r="Z2407">
        <f t="shared" si="512"/>
        <v>1</v>
      </c>
      <c r="AA2407">
        <f t="shared" si="509"/>
        <v>1</v>
      </c>
      <c r="AB2407">
        <f t="shared" si="506"/>
        <v>1</v>
      </c>
    </row>
    <row r="2408" spans="1:28">
      <c r="A2408" s="26">
        <v>45973</v>
      </c>
      <c r="B2408" s="23">
        <v>2097.35</v>
      </c>
      <c r="C2408" s="25">
        <f t="shared" si="502"/>
        <v>5.8846662957776118E-3</v>
      </c>
      <c r="E2408" s="25">
        <f t="shared" si="498"/>
        <v>5.0103140270768121E-2</v>
      </c>
      <c r="F2408" s="25">
        <f t="shared" si="495"/>
        <v>0.21660332098164448</v>
      </c>
      <c r="G2408" s="25">
        <f t="shared" si="510"/>
        <v>0.19984324119331798</v>
      </c>
      <c r="H2408" s="25">
        <f t="shared" si="507"/>
        <v>0.1264643703628765</v>
      </c>
      <c r="I2408" s="25">
        <f t="shared" si="504"/>
        <v>0.21404431253776091</v>
      </c>
      <c r="K2408" s="28">
        <v>45973</v>
      </c>
      <c r="L2408" s="23">
        <v>38040.22</v>
      </c>
      <c r="M2408" s="25">
        <f t="shared" si="503"/>
        <v>6.469731247611096E-3</v>
      </c>
      <c r="O2408" t="b">
        <f t="shared" si="501"/>
        <v>1</v>
      </c>
      <c r="Q2408" s="25">
        <f t="shared" si="499"/>
        <v>2.0907824418825438E-2</v>
      </c>
      <c r="R2408" s="25">
        <f t="shared" si="496"/>
        <v>0.19196989277358667</v>
      </c>
      <c r="S2408" s="25">
        <f t="shared" si="511"/>
        <v>0.1797193470093652</v>
      </c>
      <c r="T2408" s="25">
        <f t="shared" si="508"/>
        <v>0.12304087877434799</v>
      </c>
      <c r="U2408" s="25">
        <f t="shared" si="505"/>
        <v>0.20849142630459183</v>
      </c>
      <c r="X2408">
        <f t="shared" si="500"/>
        <v>1</v>
      </c>
      <c r="Y2408">
        <f t="shared" si="497"/>
        <v>1</v>
      </c>
      <c r="Z2408">
        <f t="shared" si="512"/>
        <v>1</v>
      </c>
      <c r="AA2408">
        <f t="shared" si="509"/>
        <v>1</v>
      </c>
      <c r="AB2408">
        <f t="shared" si="506"/>
        <v>1</v>
      </c>
    </row>
    <row r="2409" spans="1:28">
      <c r="A2409" s="27">
        <v>45974</v>
      </c>
      <c r="B2409" s="24">
        <v>2095.33</v>
      </c>
      <c r="C2409" s="25">
        <f t="shared" si="502"/>
        <v>-9.6312012778028552E-4</v>
      </c>
      <c r="E2409" s="25">
        <f t="shared" si="498"/>
        <v>4.2836666235330334E-2</v>
      </c>
      <c r="F2409" s="25">
        <f t="shared" si="495"/>
        <v>0.20875424367740192</v>
      </c>
      <c r="G2409" s="25">
        <f t="shared" si="510"/>
        <v>0.20594851119005164</v>
      </c>
      <c r="H2409" s="25">
        <f t="shared" si="507"/>
        <v>0.12487193677326092</v>
      </c>
      <c r="I2409" s="25">
        <f t="shared" si="504"/>
        <v>0.21403333744035091</v>
      </c>
      <c r="K2409" s="29">
        <v>45974</v>
      </c>
      <c r="L2409" s="24">
        <v>38007.300000000003</v>
      </c>
      <c r="M2409" s="25">
        <f t="shared" si="503"/>
        <v>-8.6614939761567517E-4</v>
      </c>
      <c r="O2409" t="b">
        <f t="shared" si="501"/>
        <v>1</v>
      </c>
      <c r="Q2409" s="25">
        <f t="shared" si="499"/>
        <v>1.504461198959417E-2</v>
      </c>
      <c r="R2409" s="25">
        <f t="shared" si="496"/>
        <v>0.1853909175489814</v>
      </c>
      <c r="S2409" s="25">
        <f t="shared" si="511"/>
        <v>0.18548209701153895</v>
      </c>
      <c r="T2409" s="25">
        <f t="shared" si="508"/>
        <v>0.12031850275734435</v>
      </c>
      <c r="U2409" s="25">
        <f t="shared" si="505"/>
        <v>0.20840110359363062</v>
      </c>
      <c r="X2409">
        <f t="shared" si="500"/>
        <v>1</v>
      </c>
      <c r="Y2409">
        <f t="shared" si="497"/>
        <v>1</v>
      </c>
      <c r="Z2409">
        <f t="shared" si="512"/>
        <v>1</v>
      </c>
      <c r="AA2409">
        <f t="shared" si="509"/>
        <v>1</v>
      </c>
      <c r="AB2409">
        <f t="shared" si="506"/>
        <v>1</v>
      </c>
    </row>
    <row r="2410" spans="1:28">
      <c r="A2410" s="26">
        <v>45975</v>
      </c>
      <c r="B2410" s="23">
        <v>2094.9899999999998</v>
      </c>
      <c r="C2410" s="25">
        <f t="shared" si="502"/>
        <v>-1.6226560971309794E-4</v>
      </c>
      <c r="E2410" s="25">
        <f t="shared" si="498"/>
        <v>4.0456313042269043E-2</v>
      </c>
      <c r="F2410" s="25">
        <f t="shared" si="495"/>
        <v>0.20587611148223628</v>
      </c>
      <c r="G2410" s="25">
        <f t="shared" si="510"/>
        <v>0.20331037780550743</v>
      </c>
      <c r="H2410" s="25">
        <f t="shared" si="507"/>
        <v>0.12308612164744126</v>
      </c>
      <c r="I2410" s="25">
        <f t="shared" si="504"/>
        <v>0.21467349773249289</v>
      </c>
      <c r="K2410" s="28">
        <v>45975</v>
      </c>
      <c r="L2410" s="23">
        <v>38041.15</v>
      </c>
      <c r="M2410" s="25">
        <f t="shared" si="503"/>
        <v>8.8982588591560836E-4</v>
      </c>
      <c r="O2410" t="b">
        <f t="shared" si="501"/>
        <v>1</v>
      </c>
      <c r="Q2410" s="25">
        <f t="shared" si="499"/>
        <v>1.5578947930460219E-2</v>
      </c>
      <c r="R2410" s="25">
        <f t="shared" si="496"/>
        <v>0.18237100071873469</v>
      </c>
      <c r="S2410" s="25">
        <f t="shared" si="511"/>
        <v>0.18294717425825158</v>
      </c>
      <c r="T2410" s="25">
        <f t="shared" si="508"/>
        <v>0.11850076817783628</v>
      </c>
      <c r="U2410" s="25">
        <f t="shared" si="505"/>
        <v>0.20883614522760396</v>
      </c>
      <c r="X2410">
        <f t="shared" si="500"/>
        <v>1</v>
      </c>
      <c r="Y2410">
        <f t="shared" si="497"/>
        <v>1</v>
      </c>
      <c r="Z2410">
        <f t="shared" si="512"/>
        <v>1</v>
      </c>
      <c r="AA2410">
        <f t="shared" si="509"/>
        <v>1</v>
      </c>
      <c r="AB2410">
        <f t="shared" si="506"/>
        <v>1</v>
      </c>
    </row>
    <row r="2411" spans="1:28">
      <c r="A2411" s="27">
        <v>45978</v>
      </c>
      <c r="B2411" s="24">
        <v>2108.42</v>
      </c>
      <c r="C2411" s="25">
        <f t="shared" si="502"/>
        <v>6.4105317925146621E-3</v>
      </c>
      <c r="E2411" s="25">
        <f t="shared" si="498"/>
        <v>4.8214214691961965E-2</v>
      </c>
      <c r="F2411" s="25">
        <f t="shared" si="495"/>
        <v>0.20973089203342465</v>
      </c>
      <c r="G2411" s="25">
        <f t="shared" si="510"/>
        <v>0.20781800609495771</v>
      </c>
      <c r="H2411" s="25">
        <f t="shared" si="507"/>
        <v>0.12672369041960185</v>
      </c>
      <c r="I2411" s="25">
        <f t="shared" si="504"/>
        <v>0.21522234297631981</v>
      </c>
      <c r="K2411" s="29">
        <v>45978</v>
      </c>
      <c r="L2411" s="24">
        <v>38229.800000000003</v>
      </c>
      <c r="M2411" s="25">
        <f t="shared" si="503"/>
        <v>4.9346321456037292E-3</v>
      </c>
      <c r="O2411" t="b">
        <f t="shared" si="501"/>
        <v>1</v>
      </c>
      <c r="Q2411" s="25">
        <f t="shared" si="499"/>
        <v>2.3311714210000778E-2</v>
      </c>
      <c r="R2411" s="25">
        <f t="shared" si="496"/>
        <v>0.18487791253251196</v>
      </c>
      <c r="S2411" s="25">
        <f t="shared" si="511"/>
        <v>0.18756538732500583</v>
      </c>
      <c r="T2411" s="25">
        <f t="shared" si="508"/>
        <v>0.12215784750730085</v>
      </c>
      <c r="U2411" s="25">
        <f t="shared" si="505"/>
        <v>0.20932227155015704</v>
      </c>
      <c r="X2411">
        <f t="shared" si="500"/>
        <v>1</v>
      </c>
      <c r="Y2411">
        <f t="shared" si="497"/>
        <v>1</v>
      </c>
      <c r="Z2411">
        <f t="shared" si="512"/>
        <v>1</v>
      </c>
      <c r="AA2411">
        <f t="shared" si="509"/>
        <v>1</v>
      </c>
      <c r="AB2411">
        <f t="shared" si="506"/>
        <v>1</v>
      </c>
    </row>
    <row r="2412" spans="1:28">
      <c r="A2412" s="26">
        <v>45979</v>
      </c>
      <c r="B2412" s="23">
        <v>2097.6799999999998</v>
      </c>
      <c r="C2412" s="25">
        <f t="shared" si="502"/>
        <v>-5.0938617542995402E-3</v>
      </c>
      <c r="E2412" s="25">
        <f t="shared" si="498"/>
        <v>5.4645825268100801E-2</v>
      </c>
      <c r="F2412" s="25">
        <f t="shared" si="495"/>
        <v>0.20706903240239938</v>
      </c>
      <c r="G2412" s="25">
        <f t="shared" si="510"/>
        <v>0.20235370561975174</v>
      </c>
      <c r="H2412" s="25">
        <f t="shared" si="507"/>
        <v>0.12786187489578471</v>
      </c>
      <c r="I2412" s="25">
        <f t="shared" si="504"/>
        <v>0.21918113942780781</v>
      </c>
      <c r="K2412" s="28">
        <v>45979</v>
      </c>
      <c r="L2412" s="23">
        <v>38023.56</v>
      </c>
      <c r="M2412" s="25">
        <f t="shared" si="503"/>
        <v>-5.4240055376194455E-3</v>
      </c>
      <c r="O2412" t="b">
        <f t="shared" si="501"/>
        <v>1</v>
      </c>
      <c r="Q2412" s="25">
        <f t="shared" si="499"/>
        <v>3.0685363279864042E-2</v>
      </c>
      <c r="R2412" s="25">
        <f t="shared" si="496"/>
        <v>0.1826753725453869</v>
      </c>
      <c r="S2412" s="25">
        <f t="shared" si="511"/>
        <v>0.18316001518909419</v>
      </c>
      <c r="T2412" s="25">
        <f t="shared" si="508"/>
        <v>0.12402961716992822</v>
      </c>
      <c r="U2412" s="25">
        <f t="shared" si="505"/>
        <v>0.21336424739711135</v>
      </c>
      <c r="X2412">
        <f t="shared" si="500"/>
        <v>1</v>
      </c>
      <c r="Y2412">
        <f t="shared" si="497"/>
        <v>1</v>
      </c>
      <c r="Z2412">
        <f t="shared" si="512"/>
        <v>1</v>
      </c>
      <c r="AA2412">
        <f t="shared" si="509"/>
        <v>1</v>
      </c>
      <c r="AB2412">
        <f t="shared" si="506"/>
        <v>1</v>
      </c>
    </row>
    <row r="2413" spans="1:28">
      <c r="A2413" s="27">
        <v>45980</v>
      </c>
      <c r="B2413" s="24">
        <v>2109.08</v>
      </c>
      <c r="C2413" s="25">
        <f t="shared" si="502"/>
        <v>5.4345753403760785E-3</v>
      </c>
      <c r="E2413" s="25">
        <f t="shared" si="498"/>
        <v>5.7676009367775505E-2</v>
      </c>
      <c r="F2413" s="25">
        <f t="shared" si="495"/>
        <v>0.21013862638547698</v>
      </c>
      <c r="G2413" s="25">
        <f t="shared" si="510"/>
        <v>0.20227066338111799</v>
      </c>
      <c r="H2413" s="25">
        <f t="shared" si="507"/>
        <v>0.1309428587930892</v>
      </c>
      <c r="I2413" s="25">
        <f t="shared" si="504"/>
        <v>0.21811024601321893</v>
      </c>
      <c r="K2413" s="29">
        <v>45980</v>
      </c>
      <c r="L2413" s="24">
        <v>38154.25</v>
      </c>
      <c r="M2413" s="25">
        <f t="shared" si="503"/>
        <v>3.4253064861713262E-3</v>
      </c>
      <c r="O2413" t="b">
        <f t="shared" si="501"/>
        <v>1</v>
      </c>
      <c r="Q2413" s="25">
        <f t="shared" si="499"/>
        <v>3.1362078864595411E-2</v>
      </c>
      <c r="R2413" s="25">
        <f t="shared" si="496"/>
        <v>0.18461546739796808</v>
      </c>
      <c r="S2413" s="25">
        <f t="shared" si="511"/>
        <v>0.18206867064714816</v>
      </c>
      <c r="T2413" s="25">
        <f t="shared" si="508"/>
        <v>0.12643481666765544</v>
      </c>
      <c r="U2413" s="25">
        <f t="shared" si="505"/>
        <v>0.21226925027674826</v>
      </c>
      <c r="X2413">
        <f t="shared" si="500"/>
        <v>1</v>
      </c>
      <c r="Y2413">
        <f t="shared" si="497"/>
        <v>1</v>
      </c>
      <c r="Z2413">
        <f t="shared" si="512"/>
        <v>1</v>
      </c>
      <c r="AA2413">
        <f t="shared" si="509"/>
        <v>1</v>
      </c>
      <c r="AB2413">
        <f t="shared" si="506"/>
        <v>1</v>
      </c>
    </row>
    <row r="2414" spans="1:28">
      <c r="A2414" s="26">
        <v>45981</v>
      </c>
      <c r="B2414" s="23">
        <v>2114.86</v>
      </c>
      <c r="C2414" s="25">
        <f t="shared" si="502"/>
        <v>2.7405314165419047E-3</v>
      </c>
      <c r="E2414" s="25">
        <f t="shared" si="498"/>
        <v>7.1786581255923076E-2</v>
      </c>
      <c r="F2414" s="25">
        <f t="shared" si="495"/>
        <v>0.20989439843540159</v>
      </c>
      <c r="G2414" s="25">
        <f t="shared" si="510"/>
        <v>0.19990762418397456</v>
      </c>
      <c r="H2414" s="25">
        <f t="shared" si="507"/>
        <v>0.13342853498701146</v>
      </c>
      <c r="I2414" s="25">
        <f t="shared" si="504"/>
        <v>0.21683073349501569</v>
      </c>
      <c r="K2414" s="28">
        <v>45981</v>
      </c>
      <c r="L2414" s="23">
        <v>38264.879999999997</v>
      </c>
      <c r="M2414" s="25">
        <f t="shared" si="503"/>
        <v>2.8911628626562369E-3</v>
      </c>
      <c r="O2414" t="b">
        <f t="shared" si="501"/>
        <v>1</v>
      </c>
      <c r="Q2414" s="25">
        <f t="shared" si="499"/>
        <v>4.2243048082242218E-2</v>
      </c>
      <c r="R2414" s="25">
        <f t="shared" si="496"/>
        <v>0.18379186096631672</v>
      </c>
      <c r="S2414" s="25">
        <f t="shared" si="511"/>
        <v>0.17925810592837532</v>
      </c>
      <c r="T2414" s="25">
        <f t="shared" si="508"/>
        <v>0.12885654919027067</v>
      </c>
      <c r="U2414" s="25">
        <f t="shared" si="505"/>
        <v>0.21088886602937507</v>
      </c>
      <c r="X2414">
        <f t="shared" si="500"/>
        <v>1</v>
      </c>
      <c r="Y2414">
        <f t="shared" si="497"/>
        <v>1</v>
      </c>
      <c r="Z2414">
        <f t="shared" si="512"/>
        <v>1</v>
      </c>
      <c r="AA2414">
        <f t="shared" si="509"/>
        <v>1</v>
      </c>
      <c r="AB2414">
        <f t="shared" si="506"/>
        <v>1</v>
      </c>
    </row>
    <row r="2415" spans="1:28">
      <c r="A2415" s="27">
        <v>45982</v>
      </c>
      <c r="B2415" s="24">
        <v>2098.86</v>
      </c>
      <c r="C2415" s="25">
        <f t="shared" si="502"/>
        <v>-7.5655126107638327E-3</v>
      </c>
      <c r="E2415" s="25">
        <f t="shared" si="498"/>
        <v>8.0599904237737663E-2</v>
      </c>
      <c r="F2415" s="25">
        <f t="shared" ref="F2415:F2478" si="513">((B2415/B1923)^(1/2))-1</f>
        <v>0.21027002916226323</v>
      </c>
      <c r="G2415" s="25">
        <f t="shared" si="510"/>
        <v>0.19730122723491261</v>
      </c>
      <c r="H2415" s="25">
        <f t="shared" si="507"/>
        <v>0.13103163376742688</v>
      </c>
      <c r="I2415" s="25">
        <f t="shared" si="504"/>
        <v>0.21336279394292768</v>
      </c>
      <c r="K2415" s="29">
        <v>45982</v>
      </c>
      <c r="L2415" s="24">
        <v>37970.160000000003</v>
      </c>
      <c r="M2415" s="25">
        <f t="shared" si="503"/>
        <v>-7.7618845956928771E-3</v>
      </c>
      <c r="O2415" t="b">
        <f t="shared" si="501"/>
        <v>1</v>
      </c>
      <c r="Q2415" s="25">
        <f t="shared" si="499"/>
        <v>5.4487942313059756E-2</v>
      </c>
      <c r="R2415" s="25">
        <f t="shared" ref="R2415:R2478" si="514">((L2415/L1923)^(1/2))-1</f>
        <v>0.18342220771788265</v>
      </c>
      <c r="S2415" s="25">
        <f t="shared" si="511"/>
        <v>0.17587273852501362</v>
      </c>
      <c r="T2415" s="25">
        <f t="shared" si="508"/>
        <v>0.12787344584420479</v>
      </c>
      <c r="U2415" s="25">
        <f t="shared" si="505"/>
        <v>0.2084282634869814</v>
      </c>
      <c r="X2415">
        <f t="shared" si="500"/>
        <v>1</v>
      </c>
      <c r="Y2415">
        <f t="shared" ref="Y2415:Y2478" si="515">IF(F2415&gt;R2415,1,0)</f>
        <v>1</v>
      </c>
      <c r="Z2415">
        <f t="shared" si="512"/>
        <v>1</v>
      </c>
      <c r="AA2415">
        <f t="shared" si="509"/>
        <v>1</v>
      </c>
      <c r="AB2415">
        <f t="shared" si="506"/>
        <v>1</v>
      </c>
    </row>
    <row r="2416" spans="1:28">
      <c r="A2416" s="26">
        <v>45985</v>
      </c>
      <c r="B2416" s="23">
        <v>2091.73</v>
      </c>
      <c r="C2416" s="25">
        <f t="shared" si="502"/>
        <v>-3.3970822255891811E-3</v>
      </c>
      <c r="E2416" s="25">
        <f t="shared" si="498"/>
        <v>7.4345910076117905E-2</v>
      </c>
      <c r="F2416" s="25">
        <f t="shared" si="513"/>
        <v>0.21070345746100516</v>
      </c>
      <c r="G2416" s="25">
        <f t="shared" si="510"/>
        <v>0.19510726651940113</v>
      </c>
      <c r="H2416" s="25">
        <f t="shared" si="507"/>
        <v>0.12697648407273054</v>
      </c>
      <c r="I2416" s="25">
        <f t="shared" si="504"/>
        <v>0.21137679105773</v>
      </c>
      <c r="K2416" s="28">
        <v>45985</v>
      </c>
      <c r="L2416" s="23">
        <v>37785.5</v>
      </c>
      <c r="M2416" s="25">
        <f t="shared" si="503"/>
        <v>-4.8870598510011376E-3</v>
      </c>
      <c r="O2416" t="b">
        <f t="shared" si="501"/>
        <v>1</v>
      </c>
      <c r="Q2416" s="25">
        <f t="shared" si="499"/>
        <v>4.81347830513148E-2</v>
      </c>
      <c r="R2416" s="25">
        <f t="shared" si="514"/>
        <v>0.18164356287591144</v>
      </c>
      <c r="S2416" s="25">
        <f t="shared" si="511"/>
        <v>0.17283574456054507</v>
      </c>
      <c r="T2416" s="25">
        <f t="shared" si="508"/>
        <v>0.1233082375260619</v>
      </c>
      <c r="U2416" s="25">
        <f t="shared" si="505"/>
        <v>0.2066661020646634</v>
      </c>
      <c r="X2416">
        <f t="shared" si="500"/>
        <v>1</v>
      </c>
      <c r="Y2416">
        <f t="shared" si="515"/>
        <v>1</v>
      </c>
      <c r="Z2416">
        <f t="shared" si="512"/>
        <v>1</v>
      </c>
      <c r="AA2416">
        <f t="shared" si="509"/>
        <v>1</v>
      </c>
      <c r="AB2416">
        <f t="shared" si="506"/>
        <v>1</v>
      </c>
    </row>
    <row r="2417" spans="1:28">
      <c r="A2417" s="27">
        <v>45986</v>
      </c>
      <c r="B2417" s="24">
        <v>2093.33</v>
      </c>
      <c r="C2417" s="25">
        <f t="shared" si="502"/>
        <v>7.64917078207947E-4</v>
      </c>
      <c r="E2417" s="25">
        <f t="shared" si="498"/>
        <v>7.6854619250693146E-2</v>
      </c>
      <c r="F2417" s="25">
        <f t="shared" si="513"/>
        <v>0.21606776265483085</v>
      </c>
      <c r="G2417" s="25">
        <f t="shared" si="510"/>
        <v>0.19520712084278435</v>
      </c>
      <c r="H2417" s="25">
        <f t="shared" si="507"/>
        <v>0.12692045173454813</v>
      </c>
      <c r="I2417" s="25">
        <f t="shared" si="504"/>
        <v>0.21165272941280588</v>
      </c>
      <c r="K2417" s="29">
        <v>45986</v>
      </c>
      <c r="L2417" s="24">
        <v>37754.36</v>
      </c>
      <c r="M2417" s="25">
        <f t="shared" si="503"/>
        <v>-8.248053999590886E-4</v>
      </c>
      <c r="O2417" t="b">
        <f t="shared" si="501"/>
        <v>1</v>
      </c>
      <c r="Q2417" s="25">
        <f t="shared" si="499"/>
        <v>4.9719249905814111E-2</v>
      </c>
      <c r="R2417" s="25">
        <f t="shared" si="514"/>
        <v>0.18458351909677151</v>
      </c>
      <c r="S2417" s="25">
        <f t="shared" si="511"/>
        <v>0.17331571615706021</v>
      </c>
      <c r="T2417" s="25">
        <f t="shared" si="508"/>
        <v>0.12334959850735538</v>
      </c>
      <c r="U2417" s="25">
        <f t="shared" si="505"/>
        <v>0.20673884170063506</v>
      </c>
      <c r="X2417">
        <f t="shared" si="500"/>
        <v>1</v>
      </c>
      <c r="Y2417">
        <f t="shared" si="515"/>
        <v>1</v>
      </c>
      <c r="Z2417">
        <f t="shared" si="512"/>
        <v>1</v>
      </c>
      <c r="AA2417">
        <f t="shared" si="509"/>
        <v>1</v>
      </c>
      <c r="AB2417">
        <f t="shared" si="506"/>
        <v>1</v>
      </c>
    </row>
    <row r="2418" spans="1:28">
      <c r="A2418" s="26">
        <v>45987</v>
      </c>
      <c r="B2418" s="23">
        <v>2115.02</v>
      </c>
      <c r="C2418" s="25">
        <f t="shared" si="502"/>
        <v>1.0361481467327203E-2</v>
      </c>
      <c r="E2418" s="25">
        <f t="shared" si="498"/>
        <v>0.10106826038065875</v>
      </c>
      <c r="F2418" s="25">
        <f t="shared" si="513"/>
        <v>0.23252877228971824</v>
      </c>
      <c r="G2418" s="25">
        <f t="shared" si="510"/>
        <v>0.19647817266052869</v>
      </c>
      <c r="H2418" s="25">
        <f t="shared" si="507"/>
        <v>0.13515459957253495</v>
      </c>
      <c r="I2418" s="25">
        <f t="shared" si="504"/>
        <v>0.21309878291362572</v>
      </c>
      <c r="K2418" s="28">
        <v>45987</v>
      </c>
      <c r="L2418" s="23">
        <v>38234.47</v>
      </c>
      <c r="M2418" s="25">
        <f t="shared" si="503"/>
        <v>1.2556993728434069E-2</v>
      </c>
      <c r="O2418" t="b">
        <f t="shared" si="501"/>
        <v>1</v>
      </c>
      <c r="Q2418" s="25">
        <f t="shared" si="499"/>
        <v>7.6697338956398742E-2</v>
      </c>
      <c r="R2418" s="25">
        <f t="shared" si="514"/>
        <v>0.20333306224527692</v>
      </c>
      <c r="S2418" s="25">
        <f t="shared" si="511"/>
        <v>0.1762668020128042</v>
      </c>
      <c r="T2418" s="25">
        <f t="shared" si="508"/>
        <v>0.13230297405177138</v>
      </c>
      <c r="U2418" s="25">
        <f t="shared" si="505"/>
        <v>0.20877221660768486</v>
      </c>
      <c r="X2418">
        <f t="shared" si="500"/>
        <v>1</v>
      </c>
      <c r="Y2418">
        <f t="shared" si="515"/>
        <v>1</v>
      </c>
      <c r="Z2418">
        <f t="shared" si="512"/>
        <v>1</v>
      </c>
      <c r="AA2418">
        <f t="shared" si="509"/>
        <v>1</v>
      </c>
      <c r="AB2418">
        <f t="shared" si="506"/>
        <v>1</v>
      </c>
    </row>
    <row r="2419" spans="1:28">
      <c r="A2419" s="27">
        <v>45988</v>
      </c>
      <c r="B2419" s="24">
        <v>2111.46</v>
      </c>
      <c r="C2419" s="25">
        <f t="shared" si="502"/>
        <v>-1.6831992132461846E-3</v>
      </c>
      <c r="E2419" s="25">
        <f t="shared" si="498"/>
        <v>9.4508433809884052E-2</v>
      </c>
      <c r="F2419" s="25">
        <f t="shared" si="513"/>
        <v>0.23615229086607092</v>
      </c>
      <c r="G2419" s="25">
        <f t="shared" si="510"/>
        <v>0.19238187767893833</v>
      </c>
      <c r="H2419" s="25">
        <f t="shared" si="507"/>
        <v>0.13557140798457867</v>
      </c>
      <c r="I2419" s="25">
        <f t="shared" si="504"/>
        <v>0.21594879079924412</v>
      </c>
      <c r="K2419" s="29">
        <v>45988</v>
      </c>
      <c r="L2419" s="24">
        <v>38222.54</v>
      </c>
      <c r="M2419" s="25">
        <f t="shared" si="503"/>
        <v>-3.1211949807627361E-4</v>
      </c>
      <c r="O2419" t="b">
        <f t="shared" si="501"/>
        <v>1</v>
      </c>
      <c r="Q2419" s="25">
        <f t="shared" si="499"/>
        <v>6.9182594013702747E-2</v>
      </c>
      <c r="R2419" s="25">
        <f t="shared" si="514"/>
        <v>0.207434194702385</v>
      </c>
      <c r="S2419" s="25">
        <f t="shared" si="511"/>
        <v>0.17372021194914855</v>
      </c>
      <c r="T2419" s="25">
        <f t="shared" si="508"/>
        <v>0.13415479156901888</v>
      </c>
      <c r="U2419" s="25">
        <f t="shared" si="505"/>
        <v>0.21200176801403847</v>
      </c>
      <c r="X2419">
        <f t="shared" si="500"/>
        <v>1</v>
      </c>
      <c r="Y2419">
        <f t="shared" si="515"/>
        <v>1</v>
      </c>
      <c r="Z2419">
        <f t="shared" si="512"/>
        <v>1</v>
      </c>
      <c r="AA2419">
        <f t="shared" si="509"/>
        <v>1</v>
      </c>
      <c r="AB2419">
        <f t="shared" si="506"/>
        <v>1</v>
      </c>
    </row>
    <row r="2420" spans="1:28">
      <c r="A2420" s="26">
        <v>45989</v>
      </c>
      <c r="B2420" s="23">
        <v>2111.5500000000002</v>
      </c>
      <c r="C2420" s="25">
        <f t="shared" si="502"/>
        <v>4.2624534682231972E-5</v>
      </c>
      <c r="E2420" s="25">
        <f t="shared" si="498"/>
        <v>9.0547094095226432E-2</v>
      </c>
      <c r="F2420" s="25">
        <f t="shared" si="513"/>
        <v>0.24333014397523756</v>
      </c>
      <c r="G2420" s="25">
        <f t="shared" si="510"/>
        <v>0.19422983430328977</v>
      </c>
      <c r="H2420" s="25">
        <f t="shared" si="507"/>
        <v>0.13102608037343999</v>
      </c>
      <c r="I2420" s="25">
        <f t="shared" si="504"/>
        <v>0.21302006251147221</v>
      </c>
      <c r="K2420" s="28">
        <v>45989</v>
      </c>
      <c r="L2420" s="23">
        <v>38199.35</v>
      </c>
      <c r="M2420" s="25">
        <f t="shared" si="503"/>
        <v>-6.0707839269522469E-4</v>
      </c>
      <c r="O2420" t="b">
        <f t="shared" si="501"/>
        <v>1</v>
      </c>
      <c r="Q2420" s="25">
        <f t="shared" si="499"/>
        <v>6.1302367967015714E-2</v>
      </c>
      <c r="R2420" s="25">
        <f t="shared" si="514"/>
        <v>0.21453152570922085</v>
      </c>
      <c r="S2420" s="25">
        <f t="shared" si="511"/>
        <v>0.17354882617990297</v>
      </c>
      <c r="T2420" s="25">
        <f t="shared" si="508"/>
        <v>0.12995679708594787</v>
      </c>
      <c r="U2420" s="25">
        <f t="shared" si="505"/>
        <v>0.20933942316733423</v>
      </c>
      <c r="X2420">
        <f t="shared" si="500"/>
        <v>1</v>
      </c>
      <c r="Y2420">
        <f t="shared" si="515"/>
        <v>1</v>
      </c>
      <c r="Z2420">
        <f t="shared" si="512"/>
        <v>1</v>
      </c>
      <c r="AA2420">
        <f t="shared" si="509"/>
        <v>1</v>
      </c>
      <c r="AB2420">
        <f t="shared" si="506"/>
        <v>1</v>
      </c>
    </row>
    <row r="2421" spans="1:28">
      <c r="A2421" s="27">
        <v>45992</v>
      </c>
      <c r="B2421" s="24">
        <v>2114.06</v>
      </c>
      <c r="C2421" s="25">
        <f t="shared" si="502"/>
        <v>1.1887002438965514E-3</v>
      </c>
      <c r="E2421" s="25">
        <f t="shared" si="498"/>
        <v>9.5742585547389236E-2</v>
      </c>
      <c r="F2421" s="25">
        <f t="shared" si="513"/>
        <v>0.23625125431744443</v>
      </c>
      <c r="G2421" s="25">
        <f t="shared" si="510"/>
        <v>0.19092047386277899</v>
      </c>
      <c r="H2421" s="25">
        <f t="shared" si="507"/>
        <v>0.13183160759866852</v>
      </c>
      <c r="I2421" s="25">
        <f t="shared" si="504"/>
        <v>0.21610422494232684</v>
      </c>
      <c r="K2421" s="29">
        <v>45992</v>
      </c>
      <c r="L2421" s="24">
        <v>38182.160000000003</v>
      </c>
      <c r="M2421" s="25">
        <f t="shared" si="503"/>
        <v>-4.5021025526044233E-4</v>
      </c>
      <c r="O2421" t="b">
        <f t="shared" si="501"/>
        <v>1</v>
      </c>
      <c r="Q2421" s="25">
        <f t="shared" si="499"/>
        <v>6.292535139554678E-2</v>
      </c>
      <c r="R2421" s="25">
        <f t="shared" si="514"/>
        <v>0.20660525311593192</v>
      </c>
      <c r="S2421" s="25">
        <f t="shared" si="511"/>
        <v>0.16869510524599796</v>
      </c>
      <c r="T2421" s="25">
        <f t="shared" si="508"/>
        <v>0.12957749620747694</v>
      </c>
      <c r="U2421" s="25">
        <f t="shared" si="505"/>
        <v>0.21208064648364511</v>
      </c>
      <c r="X2421">
        <f t="shared" si="500"/>
        <v>1</v>
      </c>
      <c r="Y2421">
        <f t="shared" si="515"/>
        <v>1</v>
      </c>
      <c r="Z2421">
        <f t="shared" si="512"/>
        <v>1</v>
      </c>
      <c r="AA2421">
        <f t="shared" si="509"/>
        <v>1</v>
      </c>
      <c r="AB2421">
        <f t="shared" si="506"/>
        <v>1</v>
      </c>
    </row>
    <row r="2422" spans="1:28">
      <c r="A2422" s="26">
        <v>45993</v>
      </c>
      <c r="B2422" s="23">
        <v>2104.25</v>
      </c>
      <c r="C2422" s="25">
        <f t="shared" si="502"/>
        <v>-4.6403602546758113E-3</v>
      </c>
      <c r="E2422" s="25">
        <f t="shared" si="498"/>
        <v>9.5438643983091431E-2</v>
      </c>
      <c r="F2422" s="25">
        <f t="shared" si="513"/>
        <v>0.23140045289808042</v>
      </c>
      <c r="G2422" s="25">
        <f t="shared" si="510"/>
        <v>0.18628604775133972</v>
      </c>
      <c r="H2422" s="25">
        <f t="shared" si="507"/>
        <v>0.13267221281974617</v>
      </c>
      <c r="I2422" s="25">
        <f t="shared" si="504"/>
        <v>0.21602485855546627</v>
      </c>
      <c r="K2422" s="28">
        <v>45993</v>
      </c>
      <c r="L2422" s="23">
        <v>38022.199999999997</v>
      </c>
      <c r="M2422" s="25">
        <f t="shared" si="503"/>
        <v>-4.2070159012368149E-3</v>
      </c>
      <c r="O2422" t="b">
        <f t="shared" si="501"/>
        <v>1</v>
      </c>
      <c r="Q2422" s="25">
        <f t="shared" si="499"/>
        <v>6.1154341857241779E-2</v>
      </c>
      <c r="R2422" s="25">
        <f t="shared" si="514"/>
        <v>0.20190342671285988</v>
      </c>
      <c r="S2422" s="25">
        <f t="shared" si="511"/>
        <v>0.16416275610835318</v>
      </c>
      <c r="T2422" s="25">
        <f t="shared" si="508"/>
        <v>0.12897766452546233</v>
      </c>
      <c r="U2422" s="25">
        <f t="shared" si="505"/>
        <v>0.21198869698162381</v>
      </c>
      <c r="X2422">
        <f t="shared" si="500"/>
        <v>1</v>
      </c>
      <c r="Y2422">
        <f t="shared" si="515"/>
        <v>1</v>
      </c>
      <c r="Z2422">
        <f t="shared" si="512"/>
        <v>1</v>
      </c>
      <c r="AA2422">
        <f t="shared" si="509"/>
        <v>1</v>
      </c>
      <c r="AB2422">
        <f t="shared" si="506"/>
        <v>1</v>
      </c>
    </row>
    <row r="2423" spans="1:28">
      <c r="A2423" s="27">
        <v>45994</v>
      </c>
      <c r="B2423" s="24">
        <v>2095.8200000000002</v>
      </c>
      <c r="C2423" s="25">
        <f t="shared" si="502"/>
        <v>-4.0061779731495007E-3</v>
      </c>
      <c r="E2423" s="25">
        <f t="shared" si="498"/>
        <v>9.7581029489549609E-2</v>
      </c>
      <c r="F2423" s="25">
        <f t="shared" si="513"/>
        <v>0.23171265873607361</v>
      </c>
      <c r="G2423" s="25">
        <f t="shared" si="510"/>
        <v>0.18583608591362188</v>
      </c>
      <c r="H2423" s="25">
        <f t="shared" si="507"/>
        <v>0.12690395962250389</v>
      </c>
      <c r="I2423" s="25">
        <f t="shared" si="504"/>
        <v>0.21593527155432235</v>
      </c>
      <c r="K2423" s="29">
        <v>45994</v>
      </c>
      <c r="L2423" s="24">
        <v>37853.129999999997</v>
      </c>
      <c r="M2423" s="25">
        <f t="shared" si="503"/>
        <v>-4.4664734461852887E-3</v>
      </c>
      <c r="O2423" t="b">
        <f t="shared" si="501"/>
        <v>1</v>
      </c>
      <c r="Q2423" s="25">
        <f t="shared" si="499"/>
        <v>6.4433537597688995E-2</v>
      </c>
      <c r="R2423" s="25">
        <f t="shared" si="514"/>
        <v>0.20011724288907473</v>
      </c>
      <c r="S2423" s="25">
        <f t="shared" si="511"/>
        <v>0.16342987022786937</v>
      </c>
      <c r="T2423" s="25">
        <f t="shared" si="508"/>
        <v>0.12337600285848893</v>
      </c>
      <c r="U2423" s="25">
        <f t="shared" si="505"/>
        <v>0.21120513820354381</v>
      </c>
      <c r="X2423">
        <f t="shared" si="500"/>
        <v>1</v>
      </c>
      <c r="Y2423">
        <f t="shared" si="515"/>
        <v>1</v>
      </c>
      <c r="Z2423">
        <f t="shared" si="512"/>
        <v>1</v>
      </c>
      <c r="AA2423">
        <f t="shared" si="509"/>
        <v>1</v>
      </c>
      <c r="AB2423">
        <f t="shared" si="506"/>
        <v>1</v>
      </c>
    </row>
    <row r="2424" spans="1:28">
      <c r="A2424" s="26">
        <v>45995</v>
      </c>
      <c r="B2424" s="23">
        <v>2099</v>
      </c>
      <c r="C2424" s="25">
        <f t="shared" si="502"/>
        <v>1.5173058755044975E-3</v>
      </c>
      <c r="E2424" s="25">
        <f t="shared" ref="E2424:E2487" si="516">(B2424/B2179)-1</f>
        <v>9.0888302184894965E-2</v>
      </c>
      <c r="F2424" s="25">
        <f t="shared" si="513"/>
        <v>0.23402316748269469</v>
      </c>
      <c r="G2424" s="25">
        <f t="shared" si="510"/>
        <v>0.18612733394961212</v>
      </c>
      <c r="H2424" s="25">
        <f t="shared" si="507"/>
        <v>0.12678102134515745</v>
      </c>
      <c r="I2424" s="25">
        <f t="shared" si="504"/>
        <v>0.21421084330604367</v>
      </c>
      <c r="K2424" s="28">
        <v>45995</v>
      </c>
      <c r="L2424" s="23">
        <v>37892.730000000003</v>
      </c>
      <c r="M2424" s="25">
        <f t="shared" si="503"/>
        <v>1.0450553443894334E-3</v>
      </c>
      <c r="O2424" t="b">
        <f t="shared" si="501"/>
        <v>1</v>
      </c>
      <c r="Q2424" s="25">
        <f t="shared" ref="Q2424:Q2487" si="517">(L2424/L2179)-1</f>
        <v>5.7956718755671321E-2</v>
      </c>
      <c r="R2424" s="25">
        <f t="shared" si="514"/>
        <v>0.20316028022472477</v>
      </c>
      <c r="S2424" s="25">
        <f t="shared" si="511"/>
        <v>0.1641483867611444</v>
      </c>
      <c r="T2424" s="25">
        <f t="shared" si="508"/>
        <v>0.12325405122331179</v>
      </c>
      <c r="U2424" s="25">
        <f t="shared" si="505"/>
        <v>0.21109671291700782</v>
      </c>
      <c r="X2424">
        <f t="shared" ref="X2424:X2487" si="518">IF(E2424&gt;Q2424,1,0)</f>
        <v>1</v>
      </c>
      <c r="Y2424">
        <f t="shared" si="515"/>
        <v>1</v>
      </c>
      <c r="Z2424">
        <f t="shared" si="512"/>
        <v>1</v>
      </c>
      <c r="AA2424">
        <f t="shared" si="509"/>
        <v>1</v>
      </c>
      <c r="AB2424">
        <f t="shared" si="506"/>
        <v>1</v>
      </c>
    </row>
    <row r="2425" spans="1:28">
      <c r="A2425" s="27">
        <v>45996</v>
      </c>
      <c r="B2425" s="24">
        <v>2111.7800000000002</v>
      </c>
      <c r="C2425" s="25">
        <f t="shared" si="502"/>
        <v>6.0886136255360645E-3</v>
      </c>
      <c r="E2425" s="25">
        <f t="shared" si="516"/>
        <v>8.2986317668054754E-2</v>
      </c>
      <c r="F2425" s="25">
        <f t="shared" si="513"/>
        <v>0.23061245345522363</v>
      </c>
      <c r="G2425" s="25">
        <f t="shared" si="510"/>
        <v>0.18810484847122022</v>
      </c>
      <c r="H2425" s="25">
        <f t="shared" si="507"/>
        <v>0.12914100565997644</v>
      </c>
      <c r="I2425" s="25">
        <f t="shared" si="504"/>
        <v>0.21294391826279857</v>
      </c>
      <c r="K2425" s="29">
        <v>45996</v>
      </c>
      <c r="L2425" s="24">
        <v>38043.050000000003</v>
      </c>
      <c r="M2425" s="25">
        <f t="shared" si="503"/>
        <v>3.951313051924062E-3</v>
      </c>
      <c r="O2425" t="b">
        <f t="shared" si="501"/>
        <v>1</v>
      </c>
      <c r="Q2425" s="25">
        <f t="shared" si="517"/>
        <v>4.5783731999543775E-2</v>
      </c>
      <c r="R2425" s="25">
        <f t="shared" si="514"/>
        <v>0.19978509075492568</v>
      </c>
      <c r="S2425" s="25">
        <f t="shared" si="511"/>
        <v>0.16452710487541156</v>
      </c>
      <c r="T2425" s="25">
        <f t="shared" si="508"/>
        <v>0.12474043950695224</v>
      </c>
      <c r="U2425" s="25">
        <f t="shared" si="505"/>
        <v>0.20953282847845323</v>
      </c>
      <c r="X2425">
        <f t="shared" si="518"/>
        <v>1</v>
      </c>
      <c r="Y2425">
        <f t="shared" si="515"/>
        <v>1</v>
      </c>
      <c r="Z2425">
        <f t="shared" si="512"/>
        <v>1</v>
      </c>
      <c r="AA2425">
        <f t="shared" si="509"/>
        <v>1</v>
      </c>
      <c r="AB2425">
        <f t="shared" si="506"/>
        <v>1</v>
      </c>
    </row>
    <row r="2426" spans="1:28">
      <c r="A2426" s="26">
        <v>45999</v>
      </c>
      <c r="B2426" s="23">
        <v>2090.69</v>
      </c>
      <c r="C2426" s="25">
        <f t="shared" si="502"/>
        <v>-9.9868357499361404E-3</v>
      </c>
      <c r="E2426" s="25">
        <f t="shared" si="516"/>
        <v>8.2513086836532468E-2</v>
      </c>
      <c r="F2426" s="25">
        <f t="shared" si="513"/>
        <v>0.22085032314101039</v>
      </c>
      <c r="G2426" s="25">
        <f t="shared" si="510"/>
        <v>0.18268553418392086</v>
      </c>
      <c r="H2426" s="25">
        <f t="shared" si="507"/>
        <v>0.12913786762812074</v>
      </c>
      <c r="I2426" s="25">
        <f t="shared" si="504"/>
        <v>0.20897328372793211</v>
      </c>
      <c r="K2426" s="28">
        <v>45999</v>
      </c>
      <c r="L2426" s="23">
        <v>37549.769999999997</v>
      </c>
      <c r="M2426" s="25">
        <f t="shared" si="503"/>
        <v>-1.3136698307339996E-2</v>
      </c>
      <c r="O2426" t="b">
        <f t="shared" si="501"/>
        <v>1</v>
      </c>
      <c r="Q2426" s="25">
        <f t="shared" si="517"/>
        <v>4.2363812459974115E-2</v>
      </c>
      <c r="R2426" s="25">
        <f t="shared" si="514"/>
        <v>0.18805542258574026</v>
      </c>
      <c r="S2426" s="25">
        <f t="shared" si="511"/>
        <v>0.15738017923190339</v>
      </c>
      <c r="T2426" s="25">
        <f t="shared" si="508"/>
        <v>0.12301462351655545</v>
      </c>
      <c r="U2426" s="25">
        <f t="shared" si="505"/>
        <v>0.20461357553573478</v>
      </c>
      <c r="X2426">
        <f t="shared" si="518"/>
        <v>1</v>
      </c>
      <c r="Y2426">
        <f t="shared" si="515"/>
        <v>1</v>
      </c>
      <c r="Z2426">
        <f t="shared" si="512"/>
        <v>1</v>
      </c>
      <c r="AA2426">
        <f t="shared" si="509"/>
        <v>1</v>
      </c>
      <c r="AB2426">
        <f t="shared" si="506"/>
        <v>1</v>
      </c>
    </row>
    <row r="2427" spans="1:28">
      <c r="A2427" s="27">
        <v>46000</v>
      </c>
      <c r="B2427" s="24">
        <v>2087.4899999999998</v>
      </c>
      <c r="C2427" s="25">
        <f t="shared" si="502"/>
        <v>-1.5305951623627953E-3</v>
      </c>
      <c r="E2427" s="25">
        <f t="shared" si="516"/>
        <v>8.6996594494954005E-2</v>
      </c>
      <c r="F2427" s="25">
        <f t="shared" si="513"/>
        <v>0.21337207317608708</v>
      </c>
      <c r="G2427" s="25">
        <f t="shared" si="510"/>
        <v>0.18410279395250195</v>
      </c>
      <c r="H2427" s="25">
        <f t="shared" si="507"/>
        <v>0.12627251432048947</v>
      </c>
      <c r="I2427" s="25">
        <f t="shared" si="504"/>
        <v>0.20430148549347793</v>
      </c>
      <c r="K2427" s="29">
        <v>46000</v>
      </c>
      <c r="L2427" s="24">
        <v>37533.89</v>
      </c>
      <c r="M2427" s="25">
        <f t="shared" si="503"/>
        <v>-4.2308431127169023E-4</v>
      </c>
      <c r="O2427" t="b">
        <f t="shared" si="501"/>
        <v>1</v>
      </c>
      <c r="Q2427" s="25">
        <f t="shared" si="517"/>
        <v>4.9263592817216928E-2</v>
      </c>
      <c r="R2427" s="25">
        <f t="shared" si="514"/>
        <v>0.1822684776091128</v>
      </c>
      <c r="S2427" s="25">
        <f t="shared" si="511"/>
        <v>0.15836597219495285</v>
      </c>
      <c r="T2427" s="25">
        <f t="shared" si="508"/>
        <v>0.11985725623780485</v>
      </c>
      <c r="U2427" s="25">
        <f t="shared" si="505"/>
        <v>0.20033071943892189</v>
      </c>
      <c r="X2427">
        <f t="shared" si="518"/>
        <v>1</v>
      </c>
      <c r="Y2427">
        <f t="shared" si="515"/>
        <v>1</v>
      </c>
      <c r="Z2427">
        <f t="shared" si="512"/>
        <v>1</v>
      </c>
      <c r="AA2427">
        <f t="shared" si="509"/>
        <v>1</v>
      </c>
      <c r="AB2427">
        <f t="shared" si="506"/>
        <v>1</v>
      </c>
    </row>
    <row r="2428" spans="1:28">
      <c r="A2428" s="26">
        <v>46001</v>
      </c>
      <c r="B2428" s="23">
        <v>2081.21</v>
      </c>
      <c r="C2428" s="25">
        <f t="shared" si="502"/>
        <v>-3.0083976450185372E-3</v>
      </c>
      <c r="E2428" s="25">
        <f t="shared" si="516"/>
        <v>8.702646519620405E-2</v>
      </c>
      <c r="F2428" s="25">
        <f t="shared" si="513"/>
        <v>0.21044050401568226</v>
      </c>
      <c r="G2428" s="25">
        <f t="shared" si="510"/>
        <v>0.18573429547826459</v>
      </c>
      <c r="H2428" s="25">
        <f t="shared" si="507"/>
        <v>0.12532908413475941</v>
      </c>
      <c r="I2428" s="25">
        <f t="shared" si="504"/>
        <v>0.2020395382450435</v>
      </c>
      <c r="K2428" s="28">
        <v>46001</v>
      </c>
      <c r="L2428" s="23">
        <v>37362.36</v>
      </c>
      <c r="M2428" s="25">
        <f t="shared" si="503"/>
        <v>-4.5909840813053255E-3</v>
      </c>
      <c r="O2428" t="b">
        <f t="shared" si="501"/>
        <v>1</v>
      </c>
      <c r="Q2428" s="25">
        <f t="shared" si="517"/>
        <v>4.6976751354524726E-2</v>
      </c>
      <c r="R2428" s="25">
        <f t="shared" si="514"/>
        <v>0.17857744216187088</v>
      </c>
      <c r="S2428" s="25">
        <f t="shared" si="511"/>
        <v>0.15976655170684784</v>
      </c>
      <c r="T2428" s="25">
        <f t="shared" si="508"/>
        <v>0.11833074247463582</v>
      </c>
      <c r="U2428" s="25">
        <f t="shared" si="505"/>
        <v>0.19687610637030151</v>
      </c>
      <c r="X2428">
        <f t="shared" si="518"/>
        <v>1</v>
      </c>
      <c r="Y2428">
        <f t="shared" si="515"/>
        <v>1</v>
      </c>
      <c r="Z2428">
        <f t="shared" si="512"/>
        <v>1</v>
      </c>
      <c r="AA2428">
        <f t="shared" si="509"/>
        <v>1</v>
      </c>
      <c r="AB2428">
        <f t="shared" si="506"/>
        <v>1</v>
      </c>
    </row>
    <row r="2429" spans="1:28">
      <c r="A2429" s="27">
        <v>46002</v>
      </c>
      <c r="B2429" s="24">
        <v>2090.4499999999998</v>
      </c>
      <c r="C2429" s="25">
        <f t="shared" si="502"/>
        <v>4.4397249676869617E-3</v>
      </c>
      <c r="E2429" s="25">
        <f t="shared" si="516"/>
        <v>0.10334944897183629</v>
      </c>
      <c r="F2429" s="25">
        <f t="shared" si="513"/>
        <v>0.21206691923600318</v>
      </c>
      <c r="G2429" s="25">
        <f t="shared" si="510"/>
        <v>0.18223193805326354</v>
      </c>
      <c r="H2429" s="25">
        <f t="shared" si="507"/>
        <v>0.12861000602627248</v>
      </c>
      <c r="I2429" s="25">
        <f t="shared" si="504"/>
        <v>0.19902108585715084</v>
      </c>
      <c r="K2429" s="29">
        <v>46002</v>
      </c>
      <c r="L2429" s="24">
        <v>37589.1</v>
      </c>
      <c r="M2429" s="25">
        <f t="shared" si="503"/>
        <v>6.0320678068907733E-3</v>
      </c>
      <c r="O2429" t="b">
        <f t="shared" si="501"/>
        <v>1</v>
      </c>
      <c r="Q2429" s="25">
        <f t="shared" si="517"/>
        <v>6.5589919771262606E-2</v>
      </c>
      <c r="R2429" s="25">
        <f t="shared" si="514"/>
        <v>0.17967550489555739</v>
      </c>
      <c r="S2429" s="25">
        <f t="shared" si="511"/>
        <v>0.15690764193345874</v>
      </c>
      <c r="T2429" s="25">
        <f t="shared" si="508"/>
        <v>0.12123354848549939</v>
      </c>
      <c r="U2429" s="25">
        <f t="shared" si="505"/>
        <v>0.19493898545743948</v>
      </c>
      <c r="X2429">
        <f t="shared" si="518"/>
        <v>1</v>
      </c>
      <c r="Y2429">
        <f t="shared" si="515"/>
        <v>1</v>
      </c>
      <c r="Z2429">
        <f t="shared" si="512"/>
        <v>1</v>
      </c>
      <c r="AA2429">
        <f t="shared" si="509"/>
        <v>1</v>
      </c>
      <c r="AB2429">
        <f t="shared" si="506"/>
        <v>1</v>
      </c>
    </row>
    <row r="2430" spans="1:28">
      <c r="A2430" s="26">
        <v>46003</v>
      </c>
      <c r="B2430" s="23">
        <v>2104.04</v>
      </c>
      <c r="C2430" s="25">
        <f t="shared" si="502"/>
        <v>6.5009926092468827E-3</v>
      </c>
      <c r="E2430" s="25">
        <f t="shared" si="516"/>
        <v>0.13001960310427241</v>
      </c>
      <c r="F2430" s="25">
        <f t="shared" si="513"/>
        <v>0.21630811744845091</v>
      </c>
      <c r="G2430" s="25">
        <f t="shared" si="510"/>
        <v>0.1844669419095939</v>
      </c>
      <c r="H2430" s="25">
        <f t="shared" si="507"/>
        <v>0.13181709283798915</v>
      </c>
      <c r="I2430" s="25">
        <f t="shared" si="504"/>
        <v>0.19996778370931345</v>
      </c>
      <c r="K2430" s="28">
        <v>46003</v>
      </c>
      <c r="L2430" s="23">
        <v>37869</v>
      </c>
      <c r="M2430" s="25">
        <f t="shared" si="503"/>
        <v>7.3912699041432687E-3</v>
      </c>
      <c r="O2430" t="b">
        <f t="shared" si="501"/>
        <v>1</v>
      </c>
      <c r="Q2430" s="25">
        <f t="shared" si="517"/>
        <v>9.3908154351714401E-2</v>
      </c>
      <c r="R2430" s="25">
        <f t="shared" si="514"/>
        <v>0.18545066326985671</v>
      </c>
      <c r="S2430" s="25">
        <f t="shared" si="511"/>
        <v>0.15974423933457582</v>
      </c>
      <c r="T2430" s="25">
        <f t="shared" si="508"/>
        <v>0.12457439280265392</v>
      </c>
      <c r="U2430" s="25">
        <f t="shared" si="505"/>
        <v>0.19454404869809094</v>
      </c>
      <c r="X2430">
        <f t="shared" si="518"/>
        <v>1</v>
      </c>
      <c r="Y2430">
        <f t="shared" si="515"/>
        <v>1</v>
      </c>
      <c r="Z2430">
        <f t="shared" si="512"/>
        <v>1</v>
      </c>
      <c r="AA2430">
        <f t="shared" si="509"/>
        <v>1</v>
      </c>
      <c r="AB2430">
        <f t="shared" si="506"/>
        <v>1</v>
      </c>
    </row>
    <row r="2431" spans="1:28">
      <c r="A2431" s="27">
        <v>46006</v>
      </c>
      <c r="B2431" s="24">
        <v>2105.5300000000002</v>
      </c>
      <c r="C2431" s="25">
        <f t="shared" si="502"/>
        <v>7.0816144179779682E-4</v>
      </c>
      <c r="E2431" s="25">
        <f t="shared" si="516"/>
        <v>0.12864976709031772</v>
      </c>
      <c r="F2431" s="25">
        <f t="shared" si="513"/>
        <v>0.21719667450758595</v>
      </c>
      <c r="G2431" s="25">
        <f t="shared" si="510"/>
        <v>0.18297084570247946</v>
      </c>
      <c r="H2431" s="25">
        <f t="shared" si="507"/>
        <v>0.13580332862820921</v>
      </c>
      <c r="I2431" s="25">
        <f t="shared" si="504"/>
        <v>0.1973445637986424</v>
      </c>
      <c r="K2431" s="29">
        <v>46006</v>
      </c>
      <c r="L2431" s="24">
        <v>37867.370000000003</v>
      </c>
      <c r="M2431" s="25">
        <f t="shared" si="503"/>
        <v>-4.3044975132875099E-5</v>
      </c>
      <c r="O2431" t="b">
        <f t="shared" si="501"/>
        <v>1</v>
      </c>
      <c r="Q2431" s="25">
        <f t="shared" si="517"/>
        <v>9.1298173050930798E-2</v>
      </c>
      <c r="R2431" s="25">
        <f t="shared" si="514"/>
        <v>0.18410961290570738</v>
      </c>
      <c r="S2431" s="25">
        <f t="shared" si="511"/>
        <v>0.15864840777908795</v>
      </c>
      <c r="T2431" s="25">
        <f t="shared" si="508"/>
        <v>0.12735181689162078</v>
      </c>
      <c r="U2431" s="25">
        <f t="shared" si="505"/>
        <v>0.19250408847427214</v>
      </c>
      <c r="X2431">
        <f t="shared" si="518"/>
        <v>1</v>
      </c>
      <c r="Y2431">
        <f t="shared" si="515"/>
        <v>1</v>
      </c>
      <c r="Z2431">
        <f t="shared" si="512"/>
        <v>1</v>
      </c>
      <c r="AA2431">
        <f t="shared" si="509"/>
        <v>1</v>
      </c>
      <c r="AB2431">
        <f t="shared" si="506"/>
        <v>1</v>
      </c>
    </row>
    <row r="2432" spans="1:28">
      <c r="A2432" s="26">
        <v>46007</v>
      </c>
      <c r="B2432" s="23">
        <v>2095.71</v>
      </c>
      <c r="C2432" s="25">
        <f t="shared" si="502"/>
        <v>-4.6639088495533968E-3</v>
      </c>
      <c r="E2432" s="25">
        <f t="shared" si="516"/>
        <v>0.12641089587857168</v>
      </c>
      <c r="F2432" s="25">
        <f t="shared" si="513"/>
        <v>0.21440190957249206</v>
      </c>
      <c r="G2432" s="25">
        <f t="shared" si="510"/>
        <v>0.18260916602882782</v>
      </c>
      <c r="H2432" s="25">
        <f t="shared" si="507"/>
        <v>0.14046410496002948</v>
      </c>
      <c r="I2432" s="25">
        <f t="shared" si="504"/>
        <v>0.19694554978867806</v>
      </c>
      <c r="K2432" s="28">
        <v>46007</v>
      </c>
      <c r="L2432" s="23">
        <v>37619.879999999997</v>
      </c>
      <c r="M2432" s="25">
        <f t="shared" si="503"/>
        <v>-6.5787025370629909E-3</v>
      </c>
      <c r="O2432" t="b">
        <f t="shared" si="501"/>
        <v>1</v>
      </c>
      <c r="Q2432" s="25">
        <f t="shared" si="517"/>
        <v>8.7308365624645168E-2</v>
      </c>
      <c r="R2432" s="25">
        <f t="shared" si="514"/>
        <v>0.17810195195875478</v>
      </c>
      <c r="S2432" s="25">
        <f t="shared" si="511"/>
        <v>0.15686951765454982</v>
      </c>
      <c r="T2432" s="25">
        <f t="shared" si="508"/>
        <v>0.13152540427028936</v>
      </c>
      <c r="U2432" s="25">
        <f t="shared" si="505"/>
        <v>0.19125106537904046</v>
      </c>
      <c r="X2432">
        <f t="shared" si="518"/>
        <v>1</v>
      </c>
      <c r="Y2432">
        <f t="shared" si="515"/>
        <v>1</v>
      </c>
      <c r="Z2432">
        <f t="shared" si="512"/>
        <v>1</v>
      </c>
      <c r="AA2432">
        <f t="shared" si="509"/>
        <v>1</v>
      </c>
      <c r="AB2432">
        <f t="shared" si="506"/>
        <v>1</v>
      </c>
    </row>
    <row r="2433" spans="1:28">
      <c r="A2433" s="27">
        <v>46008</v>
      </c>
      <c r="B2433" s="24">
        <v>2094.31</v>
      </c>
      <c r="C2433" s="25">
        <f t="shared" si="502"/>
        <v>-6.6803135930070998E-4</v>
      </c>
      <c r="E2433" s="25">
        <f t="shared" si="516"/>
        <v>0.1215352154913889</v>
      </c>
      <c r="F2433" s="25">
        <f t="shared" si="513"/>
        <v>0.20723578162207845</v>
      </c>
      <c r="G2433" s="25">
        <f t="shared" si="510"/>
        <v>0.18423043942411677</v>
      </c>
      <c r="H2433" s="25">
        <f t="shared" si="507"/>
        <v>0.13726522870813396</v>
      </c>
      <c r="I2433" s="25">
        <f t="shared" si="504"/>
        <v>0.19498110489811982</v>
      </c>
      <c r="K2433" s="29">
        <v>46008</v>
      </c>
      <c r="L2433" s="24">
        <v>37501.660000000003</v>
      </c>
      <c r="M2433" s="25">
        <f t="shared" si="503"/>
        <v>-3.1523937873681827E-3</v>
      </c>
      <c r="O2433" t="b">
        <f t="shared" si="501"/>
        <v>1</v>
      </c>
      <c r="Q2433" s="25">
        <f t="shared" si="517"/>
        <v>7.8672595364099429E-2</v>
      </c>
      <c r="R2433" s="25">
        <f t="shared" si="514"/>
        <v>0.16985590525895256</v>
      </c>
      <c r="S2433" s="25">
        <f t="shared" si="511"/>
        <v>0.15727937034438488</v>
      </c>
      <c r="T2433" s="25">
        <f t="shared" si="508"/>
        <v>0.12816707339855316</v>
      </c>
      <c r="U2433" s="25">
        <f t="shared" si="505"/>
        <v>0.18947527951120047</v>
      </c>
      <c r="X2433">
        <f t="shared" si="518"/>
        <v>1</v>
      </c>
      <c r="Y2433">
        <f t="shared" si="515"/>
        <v>1</v>
      </c>
      <c r="Z2433">
        <f t="shared" si="512"/>
        <v>1</v>
      </c>
      <c r="AA2433">
        <f t="shared" si="509"/>
        <v>1</v>
      </c>
      <c r="AB2433">
        <f t="shared" si="506"/>
        <v>1</v>
      </c>
    </row>
    <row r="2434" spans="1:28">
      <c r="A2434" s="26">
        <v>46009</v>
      </c>
      <c r="B2434" s="23">
        <v>2096.16</v>
      </c>
      <c r="C2434" s="25">
        <f t="shared" si="502"/>
        <v>8.8334582750400326E-4</v>
      </c>
      <c r="E2434" s="25">
        <f t="shared" si="516"/>
        <v>0.12935395755548007</v>
      </c>
      <c r="F2434" s="25">
        <f t="shared" si="513"/>
        <v>0.2037463468069276</v>
      </c>
      <c r="G2434" s="25">
        <f t="shared" si="510"/>
        <v>0.18531891775009113</v>
      </c>
      <c r="H2434" s="25">
        <f t="shared" si="507"/>
        <v>0.13767762551376261</v>
      </c>
      <c r="I2434" s="25">
        <f t="shared" si="504"/>
        <v>0.19174293221364369</v>
      </c>
      <c r="K2434" s="28">
        <v>46009</v>
      </c>
      <c r="L2434" s="23">
        <v>37494.35</v>
      </c>
      <c r="M2434" s="25">
        <f t="shared" si="503"/>
        <v>-1.9496270771476098E-4</v>
      </c>
      <c r="O2434" t="b">
        <f t="shared" si="501"/>
        <v>1</v>
      </c>
      <c r="Q2434" s="25">
        <f t="shared" si="517"/>
        <v>8.7530698366630855E-2</v>
      </c>
      <c r="R2434" s="25">
        <f t="shared" si="514"/>
        <v>0.16682974331887346</v>
      </c>
      <c r="S2434" s="25">
        <f t="shared" si="511"/>
        <v>0.15834262036688673</v>
      </c>
      <c r="T2434" s="25">
        <f t="shared" si="508"/>
        <v>0.129242283531672</v>
      </c>
      <c r="U2434" s="25">
        <f t="shared" si="505"/>
        <v>0.18631874489845335</v>
      </c>
      <c r="X2434">
        <f t="shared" si="518"/>
        <v>1</v>
      </c>
      <c r="Y2434">
        <f t="shared" si="515"/>
        <v>1</v>
      </c>
      <c r="Z2434">
        <f t="shared" si="512"/>
        <v>1</v>
      </c>
      <c r="AA2434">
        <f t="shared" si="509"/>
        <v>1</v>
      </c>
      <c r="AB2434">
        <f t="shared" si="506"/>
        <v>1</v>
      </c>
    </row>
    <row r="2435" spans="1:28">
      <c r="A2435" s="27">
        <v>46010</v>
      </c>
      <c r="B2435" s="24">
        <v>2114.7800000000002</v>
      </c>
      <c r="C2435" s="25">
        <f t="shared" si="502"/>
        <v>8.8829097015496652E-3</v>
      </c>
      <c r="E2435" s="25">
        <f t="shared" si="516"/>
        <v>0.12071606102841037</v>
      </c>
      <c r="F2435" s="25">
        <f t="shared" si="513"/>
        <v>0.20990082592885884</v>
      </c>
      <c r="G2435" s="25">
        <f t="shared" si="510"/>
        <v>0.19013085418210074</v>
      </c>
      <c r="H2435" s="25">
        <f t="shared" si="507"/>
        <v>0.13920236464368241</v>
      </c>
      <c r="I2435" s="25">
        <f t="shared" si="504"/>
        <v>0.19307653813203762</v>
      </c>
      <c r="K2435" s="29">
        <v>46010</v>
      </c>
      <c r="L2435" s="24">
        <v>37791.42</v>
      </c>
      <c r="M2435" s="25">
        <f t="shared" si="503"/>
        <v>7.8607789810491296E-3</v>
      </c>
      <c r="O2435" t="b">
        <f t="shared" ref="O2435:O2498" si="519">K2435=A2435</f>
        <v>1</v>
      </c>
      <c r="Q2435" s="25">
        <f t="shared" si="517"/>
        <v>7.6188062421687963E-2</v>
      </c>
      <c r="R2435" s="25">
        <f t="shared" si="514"/>
        <v>0.17117579903273583</v>
      </c>
      <c r="S2435" s="25">
        <f t="shared" si="511"/>
        <v>0.16381609060248614</v>
      </c>
      <c r="T2435" s="25">
        <f t="shared" si="508"/>
        <v>0.12952291767523993</v>
      </c>
      <c r="U2435" s="25">
        <f t="shared" si="505"/>
        <v>0.18673400863834866</v>
      </c>
      <c r="X2435">
        <f t="shared" si="518"/>
        <v>1</v>
      </c>
      <c r="Y2435">
        <f t="shared" si="515"/>
        <v>1</v>
      </c>
      <c r="Z2435">
        <f t="shared" si="512"/>
        <v>1</v>
      </c>
      <c r="AA2435">
        <f t="shared" si="509"/>
        <v>1</v>
      </c>
      <c r="AB2435">
        <f t="shared" si="506"/>
        <v>1</v>
      </c>
    </row>
    <row r="2436" spans="1:28">
      <c r="A2436" s="26">
        <v>46013</v>
      </c>
      <c r="B2436" s="23">
        <v>2128.92</v>
      </c>
      <c r="C2436" s="25">
        <f t="shared" ref="C2436:C2499" si="520">(B2436-B2435)/B2435</f>
        <v>6.6862746952401058E-3</v>
      </c>
      <c r="E2436" s="25">
        <f t="shared" si="516"/>
        <v>0.11355671559037983</v>
      </c>
      <c r="F2436" s="25">
        <f t="shared" si="513"/>
        <v>0.2144266159558943</v>
      </c>
      <c r="G2436" s="25">
        <f t="shared" si="510"/>
        <v>0.19129479154995543</v>
      </c>
      <c r="H2436" s="25">
        <f t="shared" si="507"/>
        <v>0.14940247718914557</v>
      </c>
      <c r="I2436" s="25">
        <f t="shared" si="504"/>
        <v>0.19706369016218095</v>
      </c>
      <c r="K2436" s="28">
        <v>46013</v>
      </c>
      <c r="L2436" s="23">
        <v>38094.83</v>
      </c>
      <c r="M2436" s="25">
        <f t="shared" ref="M2436:M2499" si="521">(L2436-L2435)/L2436</f>
        <v>7.9645978207542462E-3</v>
      </c>
      <c r="O2436" t="b">
        <f t="shared" si="519"/>
        <v>1</v>
      </c>
      <c r="Q2436" s="25">
        <f t="shared" si="517"/>
        <v>6.9023083368738414E-2</v>
      </c>
      <c r="R2436" s="25">
        <f t="shared" si="514"/>
        <v>0.17675760672494878</v>
      </c>
      <c r="S2436" s="25">
        <f t="shared" si="511"/>
        <v>0.16552196879254111</v>
      </c>
      <c r="T2436" s="25">
        <f t="shared" si="508"/>
        <v>0.14021841750364428</v>
      </c>
      <c r="U2436" s="25">
        <f t="shared" si="505"/>
        <v>0.19113279421993079</v>
      </c>
      <c r="X2436">
        <f t="shared" si="518"/>
        <v>1</v>
      </c>
      <c r="Y2436">
        <f t="shared" si="515"/>
        <v>1</v>
      </c>
      <c r="Z2436">
        <f t="shared" si="512"/>
        <v>1</v>
      </c>
      <c r="AA2436">
        <f t="shared" si="509"/>
        <v>1</v>
      </c>
      <c r="AB2436">
        <f t="shared" si="506"/>
        <v>1</v>
      </c>
    </row>
    <row r="2437" spans="1:28">
      <c r="A2437" s="27">
        <v>46014</v>
      </c>
      <c r="B2437" s="24">
        <v>2127.87</v>
      </c>
      <c r="C2437" s="25">
        <f t="shared" si="520"/>
        <v>-4.932078236853343E-4</v>
      </c>
      <c r="E2437" s="25">
        <f t="shared" si="516"/>
        <v>0.1120186880722438</v>
      </c>
      <c r="F2437" s="25">
        <f t="shared" si="513"/>
        <v>0.21181648041288037</v>
      </c>
      <c r="G2437" s="25">
        <f t="shared" si="510"/>
        <v>0.18965204628741161</v>
      </c>
      <c r="H2437" s="25">
        <f t="shared" si="507"/>
        <v>0.14993067174029706</v>
      </c>
      <c r="I2437" s="25">
        <f t="shared" si="504"/>
        <v>0.19452256104364807</v>
      </c>
      <c r="K2437" s="29">
        <v>46014</v>
      </c>
      <c r="L2437" s="24">
        <v>38138.720000000001</v>
      </c>
      <c r="M2437" s="25">
        <f t="shared" si="521"/>
        <v>1.1507989780464424E-3</v>
      </c>
      <c r="O2437" t="b">
        <f t="shared" si="519"/>
        <v>1</v>
      </c>
      <c r="Q2437" s="25">
        <f t="shared" si="517"/>
        <v>6.9824522132281741E-2</v>
      </c>
      <c r="R2437" s="25">
        <f t="shared" si="514"/>
        <v>0.17562518281819917</v>
      </c>
      <c r="S2437" s="25">
        <f t="shared" si="511"/>
        <v>0.16524437926131874</v>
      </c>
      <c r="T2437" s="25">
        <f t="shared" si="508"/>
        <v>0.14153335780898924</v>
      </c>
      <c r="U2437" s="25">
        <f t="shared" si="505"/>
        <v>0.18952665969523674</v>
      </c>
      <c r="X2437">
        <f t="shared" si="518"/>
        <v>1</v>
      </c>
      <c r="Y2437">
        <f t="shared" si="515"/>
        <v>1</v>
      </c>
      <c r="Z2437">
        <f t="shared" si="512"/>
        <v>1</v>
      </c>
      <c r="AA2437">
        <f t="shared" si="509"/>
        <v>1</v>
      </c>
      <c r="AB2437">
        <f t="shared" si="506"/>
        <v>1</v>
      </c>
    </row>
    <row r="2438" spans="1:28">
      <c r="A2438" s="26">
        <v>46015</v>
      </c>
      <c r="B2438" s="23">
        <v>2121.5500000000002</v>
      </c>
      <c r="C2438" s="25">
        <f t="shared" si="520"/>
        <v>-2.9701062564910963E-3</v>
      </c>
      <c r="E2438" s="25">
        <f t="shared" si="516"/>
        <v>0.10497395833333334</v>
      </c>
      <c r="F2438" s="25">
        <f t="shared" si="513"/>
        <v>0.20997795419776444</v>
      </c>
      <c r="G2438" s="25">
        <f t="shared" si="510"/>
        <v>0.18418781841587717</v>
      </c>
      <c r="H2438" s="25">
        <f t="shared" si="507"/>
        <v>0.14870318583710129</v>
      </c>
      <c r="I2438" s="25">
        <f t="shared" si="504"/>
        <v>0.19213277548236385</v>
      </c>
      <c r="K2438" s="28">
        <v>46015</v>
      </c>
      <c r="L2438" s="23">
        <v>38067.120000000003</v>
      </c>
      <c r="M2438" s="25">
        <f t="shared" si="521"/>
        <v>-1.8808882836421179E-3</v>
      </c>
      <c r="O2438" t="b">
        <f t="shared" si="519"/>
        <v>1</v>
      </c>
      <c r="Q2438" s="25">
        <f t="shared" si="517"/>
        <v>6.1730922470486504E-2</v>
      </c>
      <c r="R2438" s="25">
        <f t="shared" si="514"/>
        <v>0.17450431817413437</v>
      </c>
      <c r="S2438" s="25">
        <f t="shared" si="511"/>
        <v>0.16097038960350751</v>
      </c>
      <c r="T2438" s="25">
        <f t="shared" si="508"/>
        <v>0.14115424308150248</v>
      </c>
      <c r="U2438" s="25">
        <f t="shared" si="505"/>
        <v>0.18736990918528051</v>
      </c>
      <c r="X2438">
        <f t="shared" si="518"/>
        <v>1</v>
      </c>
      <c r="Y2438">
        <f t="shared" si="515"/>
        <v>1</v>
      </c>
      <c r="Z2438">
        <f t="shared" si="512"/>
        <v>1</v>
      </c>
      <c r="AA2438">
        <f t="shared" si="509"/>
        <v>1</v>
      </c>
      <c r="AB2438">
        <f t="shared" si="506"/>
        <v>1</v>
      </c>
    </row>
    <row r="2439" spans="1:28">
      <c r="A2439" s="27">
        <v>46017</v>
      </c>
      <c r="B2439" s="24">
        <v>2113.46</v>
      </c>
      <c r="C2439" s="25">
        <f t="shared" si="520"/>
        <v>-3.8132497466475666E-3</v>
      </c>
      <c r="E2439" s="25">
        <f t="shared" si="516"/>
        <v>0.11245275868240157</v>
      </c>
      <c r="F2439" s="25">
        <f t="shared" si="513"/>
        <v>0.20750629796155962</v>
      </c>
      <c r="G2439" s="25">
        <f t="shared" si="510"/>
        <v>0.18183949973236202</v>
      </c>
      <c r="H2439" s="25">
        <f t="shared" si="507"/>
        <v>0.14676984481525746</v>
      </c>
      <c r="I2439" s="25">
        <f t="shared" si="504"/>
        <v>0.18830994225801168</v>
      </c>
      <c r="K2439" s="29">
        <v>46017</v>
      </c>
      <c r="L2439" s="24">
        <v>37955.379999999997</v>
      </c>
      <c r="M2439" s="25">
        <f t="shared" si="521"/>
        <v>-2.9439831718192583E-3</v>
      </c>
      <c r="O2439" t="b">
        <f t="shared" si="519"/>
        <v>1</v>
      </c>
      <c r="Q2439" s="25">
        <f t="shared" si="517"/>
        <v>6.6947585020436184E-2</v>
      </c>
      <c r="R2439" s="25">
        <f t="shared" si="514"/>
        <v>0.17238868545520747</v>
      </c>
      <c r="S2439" s="25">
        <f t="shared" si="511"/>
        <v>0.15869101587746215</v>
      </c>
      <c r="T2439" s="25">
        <f t="shared" si="508"/>
        <v>0.13767738323901635</v>
      </c>
      <c r="U2439" s="25">
        <f t="shared" si="505"/>
        <v>0.18450286118129244</v>
      </c>
      <c r="X2439">
        <f t="shared" si="518"/>
        <v>1</v>
      </c>
      <c r="Y2439">
        <f t="shared" si="515"/>
        <v>1</v>
      </c>
      <c r="Z2439">
        <f t="shared" si="512"/>
        <v>1</v>
      </c>
      <c r="AA2439">
        <f t="shared" si="509"/>
        <v>1</v>
      </c>
      <c r="AB2439">
        <f t="shared" si="506"/>
        <v>1</v>
      </c>
    </row>
    <row r="2440" spans="1:28">
      <c r="A2440" s="26">
        <v>46020</v>
      </c>
      <c r="B2440" s="23">
        <v>2106.92</v>
      </c>
      <c r="C2440" s="25">
        <f t="shared" si="520"/>
        <v>-3.094451752103169E-3</v>
      </c>
      <c r="E2440" s="25">
        <f t="shared" si="516"/>
        <v>0.10055264779933348</v>
      </c>
      <c r="F2440" s="25">
        <f t="shared" si="513"/>
        <v>0.2062608745260186</v>
      </c>
      <c r="G2440" s="25">
        <f t="shared" si="510"/>
        <v>0.18010631957855017</v>
      </c>
      <c r="H2440" s="25">
        <f t="shared" si="507"/>
        <v>0.14237364917924245</v>
      </c>
      <c r="I2440" s="25">
        <f t="shared" si="504"/>
        <v>0.1917663466466959</v>
      </c>
      <c r="K2440" s="28">
        <v>46020</v>
      </c>
      <c r="L2440" s="23">
        <v>37798.74</v>
      </c>
      <c r="M2440" s="25">
        <f t="shared" si="521"/>
        <v>-4.1440534790312964E-3</v>
      </c>
      <c r="O2440" t="b">
        <f t="shared" si="519"/>
        <v>1</v>
      </c>
      <c r="Q2440" s="25">
        <f t="shared" si="517"/>
        <v>5.4434631242433085E-2</v>
      </c>
      <c r="R2440" s="25">
        <f t="shared" si="514"/>
        <v>0.1698007278126672</v>
      </c>
      <c r="S2440" s="25">
        <f t="shared" si="511"/>
        <v>0.15569576770000371</v>
      </c>
      <c r="T2440" s="25">
        <f t="shared" si="508"/>
        <v>0.13289386254135871</v>
      </c>
      <c r="U2440" s="25">
        <f t="shared" si="505"/>
        <v>0.18705336372402837</v>
      </c>
      <c r="X2440">
        <f t="shared" si="518"/>
        <v>1</v>
      </c>
      <c r="Y2440">
        <f t="shared" si="515"/>
        <v>1</v>
      </c>
      <c r="Z2440">
        <f t="shared" si="512"/>
        <v>1</v>
      </c>
      <c r="AA2440">
        <f t="shared" si="509"/>
        <v>1</v>
      </c>
      <c r="AB2440">
        <f t="shared" si="506"/>
        <v>1</v>
      </c>
    </row>
    <row r="2441" spans="1:28">
      <c r="A2441" s="27">
        <v>46021</v>
      </c>
      <c r="B2441" s="24">
        <v>2107.2800000000002</v>
      </c>
      <c r="C2441" s="25">
        <f t="shared" si="520"/>
        <v>1.7086552882887216E-4</v>
      </c>
      <c r="E2441" s="25">
        <f t="shared" si="516"/>
        <v>9.4605615146871713E-2</v>
      </c>
      <c r="F2441" s="25">
        <f t="shared" si="513"/>
        <v>0.20400891475433824</v>
      </c>
      <c r="G2441" s="25">
        <f t="shared" si="510"/>
        <v>0.17939819351368413</v>
      </c>
      <c r="H2441" s="25">
        <f t="shared" si="507"/>
        <v>0.14437693705098997</v>
      </c>
      <c r="I2441" s="25">
        <f t="shared" si="504"/>
        <v>0.18894477762007322</v>
      </c>
      <c r="K2441" s="29">
        <v>46021</v>
      </c>
      <c r="L2441" s="24">
        <v>37777.449999999997</v>
      </c>
      <c r="M2441" s="25">
        <f t="shared" si="521"/>
        <v>-5.6356371327341776E-4</v>
      </c>
      <c r="O2441" t="b">
        <f t="shared" si="519"/>
        <v>1</v>
      </c>
      <c r="Q2441" s="25">
        <f t="shared" si="517"/>
        <v>4.6971103254448421E-2</v>
      </c>
      <c r="R2441" s="25">
        <f t="shared" si="514"/>
        <v>0.1662278878446124</v>
      </c>
      <c r="S2441" s="25">
        <f t="shared" si="511"/>
        <v>0.15479535544025391</v>
      </c>
      <c r="T2441" s="25">
        <f t="shared" si="508"/>
        <v>0.13496974123629912</v>
      </c>
      <c r="U2441" s="25">
        <f t="shared" si="505"/>
        <v>0.18470741909760435</v>
      </c>
      <c r="X2441">
        <f t="shared" si="518"/>
        <v>1</v>
      </c>
      <c r="Y2441">
        <f t="shared" si="515"/>
        <v>1</v>
      </c>
      <c r="Z2441">
        <f t="shared" si="512"/>
        <v>1</v>
      </c>
      <c r="AA2441">
        <f t="shared" si="509"/>
        <v>1</v>
      </c>
      <c r="AB2441">
        <f t="shared" si="506"/>
        <v>1</v>
      </c>
    </row>
    <row r="2442" spans="1:28">
      <c r="A2442" s="26">
        <v>46022</v>
      </c>
      <c r="B2442" s="23">
        <v>2123.5500000000002</v>
      </c>
      <c r="C2442" s="25">
        <f t="shared" si="520"/>
        <v>7.7208534224213112E-3</v>
      </c>
      <c r="E2442" s="25">
        <f t="shared" si="516"/>
        <v>9.381277621534756E-2</v>
      </c>
      <c r="F2442" s="25">
        <f t="shared" si="513"/>
        <v>0.20264828330596396</v>
      </c>
      <c r="G2442" s="25">
        <f t="shared" si="510"/>
        <v>0.17974389292759541</v>
      </c>
      <c r="H2442" s="25">
        <f t="shared" si="507"/>
        <v>0.1514982194953336</v>
      </c>
      <c r="I2442" s="25">
        <f t="shared" si="504"/>
        <v>0.18966924578786792</v>
      </c>
      <c r="K2442" s="28">
        <v>46022</v>
      </c>
      <c r="L2442" s="23">
        <v>38101.06</v>
      </c>
      <c r="M2442" s="25">
        <f t="shared" si="521"/>
        <v>8.4934644862898982E-3</v>
      </c>
      <c r="O2442" t="b">
        <f t="shared" si="519"/>
        <v>1</v>
      </c>
      <c r="Q2442" s="25">
        <f t="shared" si="517"/>
        <v>4.7455276828404669E-2</v>
      </c>
      <c r="R2442" s="25">
        <f t="shared" si="514"/>
        <v>0.16589214062971003</v>
      </c>
      <c r="S2442" s="25">
        <f t="shared" si="511"/>
        <v>0.15483859656609433</v>
      </c>
      <c r="T2442" s="25">
        <f t="shared" si="508"/>
        <v>0.14199311923224789</v>
      </c>
      <c r="U2442" s="25">
        <f t="shared" si="505"/>
        <v>0.18573244610944939</v>
      </c>
      <c r="X2442">
        <f t="shared" si="518"/>
        <v>1</v>
      </c>
      <c r="Y2442">
        <f t="shared" si="515"/>
        <v>1</v>
      </c>
      <c r="Z2442">
        <f t="shared" si="512"/>
        <v>1</v>
      </c>
      <c r="AA2442">
        <f t="shared" si="509"/>
        <v>1</v>
      </c>
      <c r="AB2442">
        <f t="shared" si="506"/>
        <v>1</v>
      </c>
    </row>
    <row r="2443" spans="1:28">
      <c r="A2443" s="27">
        <v>46023</v>
      </c>
      <c r="B2443" s="24">
        <v>2126.36</v>
      </c>
      <c r="C2443" s="25">
        <f t="shared" si="520"/>
        <v>1.3232558687103883E-3</v>
      </c>
      <c r="E2443" s="25">
        <f t="shared" si="516"/>
        <v>9.2772273157094132E-2</v>
      </c>
      <c r="F2443" s="25">
        <f t="shared" si="513"/>
        <v>0.20045082673860604</v>
      </c>
      <c r="G2443" s="25">
        <f t="shared" si="510"/>
        <v>0.1783054203546357</v>
      </c>
      <c r="H2443" s="25">
        <f t="shared" si="507"/>
        <v>0.14793613727367871</v>
      </c>
      <c r="I2443" s="25">
        <f t="shared" si="504"/>
        <v>0.18729671720567209</v>
      </c>
      <c r="K2443" s="29">
        <v>46023</v>
      </c>
      <c r="L2443" s="24">
        <v>38161.769999999997</v>
      </c>
      <c r="M2443" s="25">
        <f t="shared" si="521"/>
        <v>1.5908591241967846E-3</v>
      </c>
      <c r="O2443" t="b">
        <f t="shared" si="519"/>
        <v>1</v>
      </c>
      <c r="Q2443" s="25">
        <f t="shared" si="517"/>
        <v>4.5549142640151974E-2</v>
      </c>
      <c r="R2443" s="25">
        <f t="shared" si="514"/>
        <v>0.16409650362207451</v>
      </c>
      <c r="S2443" s="25">
        <f t="shared" si="511"/>
        <v>0.15405817006177958</v>
      </c>
      <c r="T2443" s="25">
        <f t="shared" si="508"/>
        <v>0.1382633390446375</v>
      </c>
      <c r="U2443" s="25">
        <f t="shared" si="505"/>
        <v>0.18355576928485462</v>
      </c>
      <c r="X2443">
        <f t="shared" si="518"/>
        <v>1</v>
      </c>
      <c r="Y2443">
        <f t="shared" si="515"/>
        <v>1</v>
      </c>
      <c r="Z2443">
        <f t="shared" si="512"/>
        <v>1</v>
      </c>
      <c r="AA2443">
        <f t="shared" si="509"/>
        <v>1</v>
      </c>
      <c r="AB2443">
        <f t="shared" si="506"/>
        <v>1</v>
      </c>
    </row>
    <row r="2444" spans="1:28">
      <c r="A2444" s="26">
        <v>46024</v>
      </c>
      <c r="B2444" s="23">
        <v>2137.92</v>
      </c>
      <c r="C2444" s="25">
        <f t="shared" si="520"/>
        <v>5.4365206267988232E-3</v>
      </c>
      <c r="E2444" s="25">
        <f t="shared" si="516"/>
        <v>9.1048272272149733E-2</v>
      </c>
      <c r="F2444" s="25">
        <f t="shared" si="513"/>
        <v>0.19977240423630693</v>
      </c>
      <c r="G2444" s="25">
        <f t="shared" si="510"/>
        <v>0.17957231077133362</v>
      </c>
      <c r="H2444" s="25">
        <f t="shared" si="507"/>
        <v>0.14458482266145767</v>
      </c>
      <c r="I2444" s="25">
        <f t="shared" si="504"/>
        <v>0.18813960699405818</v>
      </c>
      <c r="K2444" s="28">
        <v>46024</v>
      </c>
      <c r="L2444" s="23">
        <v>38464.1</v>
      </c>
      <c r="M2444" s="25">
        <f t="shared" si="521"/>
        <v>7.8600565202357978E-3</v>
      </c>
      <c r="O2444" t="b">
        <f t="shared" si="519"/>
        <v>1</v>
      </c>
      <c r="Q2444" s="25">
        <f t="shared" si="517"/>
        <v>4.5752646864191115E-2</v>
      </c>
      <c r="R2444" s="25">
        <f t="shared" si="514"/>
        <v>0.16458304524385903</v>
      </c>
      <c r="S2444" s="25">
        <f t="shared" si="511"/>
        <v>0.15807452679984646</v>
      </c>
      <c r="T2444" s="25">
        <f t="shared" si="508"/>
        <v>0.13596780260377495</v>
      </c>
      <c r="U2444" s="25">
        <f t="shared" si="505"/>
        <v>0.18492210208065751</v>
      </c>
      <c r="X2444">
        <f t="shared" si="518"/>
        <v>1</v>
      </c>
      <c r="Y2444">
        <f t="shared" si="515"/>
        <v>1</v>
      </c>
      <c r="Z2444">
        <f t="shared" si="512"/>
        <v>1</v>
      </c>
      <c r="AA2444">
        <f t="shared" si="509"/>
        <v>1</v>
      </c>
      <c r="AB2444">
        <f t="shared" si="506"/>
        <v>1</v>
      </c>
    </row>
    <row r="2445" spans="1:28">
      <c r="A2445" s="27">
        <v>46027</v>
      </c>
      <c r="B2445" s="24">
        <v>2134.89</v>
      </c>
      <c r="C2445" s="25">
        <f t="shared" si="520"/>
        <v>-1.4172653794343099E-3</v>
      </c>
      <c r="E2445" s="25">
        <f t="shared" si="516"/>
        <v>9.0164018137995905E-2</v>
      </c>
      <c r="F2445" s="25">
        <f t="shared" si="513"/>
        <v>0.18938644946231431</v>
      </c>
      <c r="G2445" s="25">
        <f t="shared" si="510"/>
        <v>0.17909626282400537</v>
      </c>
      <c r="H2445" s="25">
        <f t="shared" si="507"/>
        <v>0.14343854663765532</v>
      </c>
      <c r="I2445" s="25">
        <f t="shared" si="504"/>
        <v>0.18721941304187251</v>
      </c>
      <c r="K2445" s="29">
        <v>46027</v>
      </c>
      <c r="L2445" s="24">
        <v>38399.370000000003</v>
      </c>
      <c r="M2445" s="25">
        <f t="shared" si="521"/>
        <v>-1.6857047394266084E-3</v>
      </c>
      <c r="O2445" t="b">
        <f t="shared" si="519"/>
        <v>1</v>
      </c>
      <c r="Q2445" s="25">
        <f t="shared" si="517"/>
        <v>4.2464850847709013E-2</v>
      </c>
      <c r="R2445" s="25">
        <f t="shared" si="514"/>
        <v>0.1530473436876707</v>
      </c>
      <c r="S2445" s="25">
        <f t="shared" si="511"/>
        <v>0.15733559371014239</v>
      </c>
      <c r="T2445" s="25">
        <f t="shared" si="508"/>
        <v>0.13448725774324655</v>
      </c>
      <c r="U2445" s="25">
        <f t="shared" si="505"/>
        <v>0.18375152202140743</v>
      </c>
      <c r="X2445">
        <f t="shared" si="518"/>
        <v>1</v>
      </c>
      <c r="Y2445">
        <f t="shared" si="515"/>
        <v>1</v>
      </c>
      <c r="Z2445">
        <f t="shared" si="512"/>
        <v>1</v>
      </c>
      <c r="AA2445">
        <f t="shared" si="509"/>
        <v>1</v>
      </c>
      <c r="AB2445">
        <f t="shared" si="506"/>
        <v>1</v>
      </c>
    </row>
    <row r="2446" spans="1:28">
      <c r="A2446" s="26">
        <v>46028</v>
      </c>
      <c r="B2446" s="23">
        <v>2136.2800000000002</v>
      </c>
      <c r="C2446" s="25">
        <f t="shared" si="520"/>
        <v>6.5108740965592025E-4</v>
      </c>
      <c r="E2446" s="25">
        <f t="shared" si="516"/>
        <v>9.0845958628859913E-2</v>
      </c>
      <c r="F2446" s="25">
        <f t="shared" si="513"/>
        <v>0.18696510603183669</v>
      </c>
      <c r="G2446" s="25">
        <f t="shared" si="510"/>
        <v>0.18249598309571158</v>
      </c>
      <c r="H2446" s="25">
        <f t="shared" si="507"/>
        <v>0.14390179181756624</v>
      </c>
      <c r="I2446" s="25">
        <f t="shared" si="504"/>
        <v>0.18496968836081562</v>
      </c>
      <c r="K2446" s="28">
        <v>46028</v>
      </c>
      <c r="L2446" s="23">
        <v>38322.83</v>
      </c>
      <c r="M2446" s="25">
        <f t="shared" si="521"/>
        <v>-1.997242896727639E-3</v>
      </c>
      <c r="O2446" t="b">
        <f t="shared" si="519"/>
        <v>1</v>
      </c>
      <c r="Q2446" s="25">
        <f t="shared" si="517"/>
        <v>4.1283629659719434E-2</v>
      </c>
      <c r="R2446" s="25">
        <f t="shared" si="514"/>
        <v>0.14755060199821557</v>
      </c>
      <c r="S2446" s="25">
        <f t="shared" si="511"/>
        <v>0.15763871369171101</v>
      </c>
      <c r="T2446" s="25">
        <f t="shared" si="508"/>
        <v>0.13339015578359725</v>
      </c>
      <c r="U2446" s="25">
        <f t="shared" si="505"/>
        <v>0.18143523478500745</v>
      </c>
      <c r="X2446">
        <f t="shared" si="518"/>
        <v>1</v>
      </c>
      <c r="Y2446">
        <f t="shared" si="515"/>
        <v>1</v>
      </c>
      <c r="Z2446">
        <f t="shared" si="512"/>
        <v>1</v>
      </c>
      <c r="AA2446">
        <f t="shared" si="509"/>
        <v>1</v>
      </c>
      <c r="AB2446">
        <f t="shared" si="506"/>
        <v>1</v>
      </c>
    </row>
    <row r="2447" spans="1:28">
      <c r="A2447" s="27">
        <v>46029</v>
      </c>
      <c r="B2447" s="24">
        <v>2137.2800000000002</v>
      </c>
      <c r="C2447" s="25">
        <f t="shared" si="520"/>
        <v>4.6810343213436436E-4</v>
      </c>
      <c r="E2447" s="25">
        <f t="shared" si="516"/>
        <v>8.7596812440843941E-2</v>
      </c>
      <c r="F2447" s="25">
        <f t="shared" si="513"/>
        <v>0.18642159617643506</v>
      </c>
      <c r="G2447" s="25">
        <f t="shared" si="510"/>
        <v>0.18515010245357089</v>
      </c>
      <c r="H2447" s="25">
        <f t="shared" si="507"/>
        <v>0.14523306290512816</v>
      </c>
      <c r="I2447" s="25">
        <f t="shared" si="504"/>
        <v>0.18334890677739857</v>
      </c>
      <c r="K2447" s="29">
        <v>46029</v>
      </c>
      <c r="L2447" s="24">
        <v>38332.629999999997</v>
      </c>
      <c r="M2447" s="25">
        <f t="shared" si="521"/>
        <v>2.5565686466062033E-4</v>
      </c>
      <c r="O2447" t="b">
        <f t="shared" si="519"/>
        <v>1</v>
      </c>
      <c r="Q2447" s="25">
        <f t="shared" si="517"/>
        <v>4.0527855894200826E-2</v>
      </c>
      <c r="R2447" s="25">
        <f t="shared" si="514"/>
        <v>0.1448845338717164</v>
      </c>
      <c r="S2447" s="25">
        <f t="shared" si="511"/>
        <v>0.15921528697525256</v>
      </c>
      <c r="T2447" s="25">
        <f t="shared" si="508"/>
        <v>0.13516521146077554</v>
      </c>
      <c r="U2447" s="25">
        <f t="shared" si="505"/>
        <v>0.17953878028493908</v>
      </c>
      <c r="X2447">
        <f t="shared" si="518"/>
        <v>1</v>
      </c>
      <c r="Y2447">
        <f t="shared" si="515"/>
        <v>1</v>
      </c>
      <c r="Z2447">
        <f t="shared" si="512"/>
        <v>1</v>
      </c>
      <c r="AA2447">
        <f t="shared" si="509"/>
        <v>1</v>
      </c>
      <c r="AB2447">
        <f t="shared" si="506"/>
        <v>1</v>
      </c>
    </row>
    <row r="2448" spans="1:28">
      <c r="A2448" s="26">
        <v>46030</v>
      </c>
      <c r="B2448" s="23">
        <v>2107.9699999999998</v>
      </c>
      <c r="C2448" s="25">
        <f t="shared" si="520"/>
        <v>-1.3713692169486636E-2</v>
      </c>
      <c r="E2448" s="25">
        <f t="shared" si="516"/>
        <v>7.1885487643648993E-2</v>
      </c>
      <c r="F2448" s="25">
        <f t="shared" si="513"/>
        <v>0.17971998230311126</v>
      </c>
      <c r="G2448" s="25">
        <f t="shared" si="510"/>
        <v>0.1781831873420896</v>
      </c>
      <c r="H2448" s="25">
        <f t="shared" si="507"/>
        <v>0.14201779225838984</v>
      </c>
      <c r="I2448" s="25">
        <f t="shared" si="504"/>
        <v>0.18004946832433788</v>
      </c>
      <c r="K2448" s="28">
        <v>46030</v>
      </c>
      <c r="L2448" s="23">
        <v>37795.550000000003</v>
      </c>
      <c r="M2448" s="25">
        <f t="shared" si="521"/>
        <v>-1.4210138495140153E-2</v>
      </c>
      <c r="O2448" t="b">
        <f t="shared" si="519"/>
        <v>1</v>
      </c>
      <c r="Q2448" s="25">
        <f t="shared" si="517"/>
        <v>2.4049019249240411E-2</v>
      </c>
      <c r="R2448" s="25">
        <f t="shared" si="514"/>
        <v>0.1361106580507625</v>
      </c>
      <c r="S2448" s="25">
        <f t="shared" si="511"/>
        <v>0.1525877203269137</v>
      </c>
      <c r="T2448" s="25">
        <f t="shared" si="508"/>
        <v>0.13156248387987657</v>
      </c>
      <c r="U2448" s="25">
        <f t="shared" si="505"/>
        <v>0.17582381264085334</v>
      </c>
      <c r="X2448">
        <f t="shared" si="518"/>
        <v>1</v>
      </c>
      <c r="Y2448">
        <f t="shared" si="515"/>
        <v>1</v>
      </c>
      <c r="Z2448">
        <f t="shared" si="512"/>
        <v>1</v>
      </c>
      <c r="AA2448">
        <f t="shared" si="509"/>
        <v>1</v>
      </c>
      <c r="AB2448">
        <f t="shared" si="506"/>
        <v>1</v>
      </c>
    </row>
    <row r="2449" spans="1:28">
      <c r="A2449" s="27">
        <v>46031</v>
      </c>
      <c r="B2449" s="24">
        <v>2087.9299999999998</v>
      </c>
      <c r="C2449" s="25">
        <f t="shared" si="520"/>
        <v>-9.506776661906937E-3</v>
      </c>
      <c r="E2449" s="25">
        <f t="shared" si="516"/>
        <v>6.6347636898499429E-2</v>
      </c>
      <c r="F2449" s="25">
        <f t="shared" si="513"/>
        <v>0.17258252913232264</v>
      </c>
      <c r="G2449" s="25">
        <f t="shared" si="510"/>
        <v>0.17720857879946172</v>
      </c>
      <c r="H2449" s="25">
        <f t="shared" si="507"/>
        <v>0.1412789724654937</v>
      </c>
      <c r="I2449" s="25">
        <f t="shared" si="504"/>
        <v>0.17612690675820897</v>
      </c>
      <c r="K2449" s="29">
        <v>46031</v>
      </c>
      <c r="L2449" s="24">
        <v>37455.919999999998</v>
      </c>
      <c r="M2449" s="25">
        <f t="shared" si="521"/>
        <v>-9.06745849521263E-3</v>
      </c>
      <c r="O2449" t="b">
        <f t="shared" si="519"/>
        <v>1</v>
      </c>
      <c r="Q2449" s="25">
        <f t="shared" si="517"/>
        <v>1.9286367396699644E-2</v>
      </c>
      <c r="R2449" s="25">
        <f t="shared" si="514"/>
        <v>0.13100561405232325</v>
      </c>
      <c r="S2449" s="25">
        <f t="shared" si="511"/>
        <v>0.151502132733353</v>
      </c>
      <c r="T2449" s="25">
        <f t="shared" si="508"/>
        <v>0.13070965199465334</v>
      </c>
      <c r="U2449" s="25">
        <f t="shared" si="505"/>
        <v>0.17175343739317994</v>
      </c>
      <c r="X2449">
        <f t="shared" si="518"/>
        <v>1</v>
      </c>
      <c r="Y2449">
        <f t="shared" si="515"/>
        <v>1</v>
      </c>
      <c r="Z2449">
        <f t="shared" si="512"/>
        <v>1</v>
      </c>
      <c r="AA2449">
        <f t="shared" si="509"/>
        <v>1</v>
      </c>
      <c r="AB2449">
        <f t="shared" si="506"/>
        <v>1</v>
      </c>
    </row>
    <row r="2450" spans="1:28">
      <c r="A2450" s="26">
        <v>46034</v>
      </c>
      <c r="B2450" s="23">
        <v>2089.39</v>
      </c>
      <c r="C2450" s="25">
        <f t="shared" si="520"/>
        <v>6.9925715900439028E-4</v>
      </c>
      <c r="E2450" s="25">
        <f t="shared" si="516"/>
        <v>6.3600498867367294E-2</v>
      </c>
      <c r="F2450" s="25">
        <f t="shared" si="513"/>
        <v>0.16971943344165585</v>
      </c>
      <c r="G2450" s="25">
        <f t="shared" si="510"/>
        <v>0.17769458687391881</v>
      </c>
      <c r="H2450" s="25">
        <f t="shared" si="507"/>
        <v>0.14185902856546284</v>
      </c>
      <c r="I2450" s="25">
        <f t="shared" ref="I2450:I2513" si="522">((B2450/B1219)^(1/5))-1</f>
        <v>0.17795930705751783</v>
      </c>
      <c r="K2450" s="28">
        <v>46034</v>
      </c>
      <c r="L2450" s="23">
        <v>37524.71</v>
      </c>
      <c r="M2450" s="25">
        <f t="shared" si="521"/>
        <v>1.8331920486527643E-3</v>
      </c>
      <c r="O2450" t="b">
        <f t="shared" si="519"/>
        <v>1</v>
      </c>
      <c r="Q2450" s="25">
        <f t="shared" si="517"/>
        <v>1.6675503661279123E-2</v>
      </c>
      <c r="R2450" s="25">
        <f t="shared" si="514"/>
        <v>0.13002965107544084</v>
      </c>
      <c r="S2450" s="25">
        <f t="shared" si="511"/>
        <v>0.15183598160597267</v>
      </c>
      <c r="T2450" s="25">
        <f t="shared" si="508"/>
        <v>0.13154375118225192</v>
      </c>
      <c r="U2450" s="25">
        <f t="shared" ref="U2450:U2513" si="523">((L2450/L1219)^(1/5))-1</f>
        <v>0.17302149131107103</v>
      </c>
      <c r="X2450">
        <f t="shared" si="518"/>
        <v>1</v>
      </c>
      <c r="Y2450">
        <f t="shared" si="515"/>
        <v>1</v>
      </c>
      <c r="Z2450">
        <f t="shared" si="512"/>
        <v>1</v>
      </c>
      <c r="AA2450">
        <f t="shared" si="509"/>
        <v>1</v>
      </c>
      <c r="AB2450">
        <f t="shared" ref="AB2450:AB2513" si="524">IF(I2450&gt;U2450,1,0)</f>
        <v>1</v>
      </c>
    </row>
    <row r="2451" spans="1:28">
      <c r="A2451" s="27">
        <v>46035</v>
      </c>
      <c r="B2451" s="24">
        <v>2089.67</v>
      </c>
      <c r="C2451" s="25">
        <f t="shared" si="520"/>
        <v>1.3401040495082301E-4</v>
      </c>
      <c r="E2451" s="25">
        <f t="shared" si="516"/>
        <v>6.502792954415737E-2</v>
      </c>
      <c r="F2451" s="25">
        <f t="shared" si="513"/>
        <v>0.17336467783062726</v>
      </c>
      <c r="G2451" s="25">
        <f t="shared" si="510"/>
        <v>0.17597858452495552</v>
      </c>
      <c r="H2451" s="25">
        <f t="shared" si="507"/>
        <v>0.1463464917449091</v>
      </c>
      <c r="I2451" s="25">
        <f t="shared" si="522"/>
        <v>0.17764082142705773</v>
      </c>
      <c r="K2451" s="29">
        <v>46035</v>
      </c>
      <c r="L2451" s="24">
        <v>37477.21</v>
      </c>
      <c r="M2451" s="25">
        <f t="shared" si="521"/>
        <v>-1.2674369303371303E-3</v>
      </c>
      <c r="O2451" t="b">
        <f t="shared" si="519"/>
        <v>1</v>
      </c>
      <c r="Q2451" s="25">
        <f t="shared" si="517"/>
        <v>1.5670622873586115E-2</v>
      </c>
      <c r="R2451" s="25">
        <f t="shared" si="514"/>
        <v>0.13183231776012883</v>
      </c>
      <c r="S2451" s="25">
        <f t="shared" si="511"/>
        <v>0.14950083027292393</v>
      </c>
      <c r="T2451" s="25">
        <f t="shared" si="508"/>
        <v>0.13618192730577738</v>
      </c>
      <c r="U2451" s="25">
        <f t="shared" si="523"/>
        <v>0.17209197957570943</v>
      </c>
      <c r="X2451">
        <f t="shared" si="518"/>
        <v>1</v>
      </c>
      <c r="Y2451">
        <f t="shared" si="515"/>
        <v>1</v>
      </c>
      <c r="Z2451">
        <f t="shared" si="512"/>
        <v>1</v>
      </c>
      <c r="AA2451">
        <f t="shared" si="509"/>
        <v>1</v>
      </c>
      <c r="AB2451">
        <f t="shared" si="524"/>
        <v>1</v>
      </c>
    </row>
    <row r="2452" spans="1:28">
      <c r="A2452" s="26">
        <v>46036</v>
      </c>
      <c r="B2452" s="23">
        <v>2084.09</v>
      </c>
      <c r="C2452" s="25">
        <f t="shared" si="520"/>
        <v>-2.6702780821851904E-3</v>
      </c>
      <c r="E2452" s="25">
        <f t="shared" si="516"/>
        <v>7.3559334257117692E-2</v>
      </c>
      <c r="F2452" s="25">
        <f t="shared" si="513"/>
        <v>0.16924606199823478</v>
      </c>
      <c r="G2452" s="25">
        <f t="shared" si="510"/>
        <v>0.17355949194109188</v>
      </c>
      <c r="H2452" s="25">
        <f t="shared" si="507"/>
        <v>0.15256578686696787</v>
      </c>
      <c r="I2452" s="25">
        <f t="shared" si="522"/>
        <v>0.17573706519249566</v>
      </c>
      <c r="K2452" s="28">
        <v>46036</v>
      </c>
      <c r="L2452" s="23">
        <v>37469.5</v>
      </c>
      <c r="M2452" s="25">
        <f t="shared" si="521"/>
        <v>-2.057673574507033E-4</v>
      </c>
      <c r="O2452" t="b">
        <f t="shared" si="519"/>
        <v>1</v>
      </c>
      <c r="Q2452" s="25">
        <f t="shared" si="517"/>
        <v>2.6748990363721248E-2</v>
      </c>
      <c r="R2452" s="25">
        <f t="shared" si="514"/>
        <v>0.12976372107005552</v>
      </c>
      <c r="S2452" s="25">
        <f t="shared" si="511"/>
        <v>0.14799695168231763</v>
      </c>
      <c r="T2452" s="25">
        <f t="shared" si="508"/>
        <v>0.14344917660687462</v>
      </c>
      <c r="U2452" s="25">
        <f t="shared" si="523"/>
        <v>0.17112608254282136</v>
      </c>
      <c r="X2452">
        <f t="shared" si="518"/>
        <v>1</v>
      </c>
      <c r="Y2452">
        <f t="shared" si="515"/>
        <v>1</v>
      </c>
      <c r="Z2452">
        <f t="shared" si="512"/>
        <v>1</v>
      </c>
      <c r="AA2452">
        <f t="shared" si="509"/>
        <v>1</v>
      </c>
      <c r="AB2452">
        <f t="shared" si="524"/>
        <v>1</v>
      </c>
    </row>
    <row r="2453" spans="1:28">
      <c r="A2453" s="27">
        <v>46038</v>
      </c>
      <c r="B2453" s="24">
        <v>2092.91</v>
      </c>
      <c r="C2453" s="25">
        <f t="shared" si="520"/>
        <v>4.2320629147492234E-3</v>
      </c>
      <c r="E2453" s="25">
        <f t="shared" si="516"/>
        <v>8.2956033095483273E-2</v>
      </c>
      <c r="F2453" s="25">
        <f t="shared" si="513"/>
        <v>0.16377836549627367</v>
      </c>
      <c r="G2453" s="25">
        <f t="shared" si="510"/>
        <v>0.17949391574068008</v>
      </c>
      <c r="H2453" s="25">
        <f t="shared" si="507"/>
        <v>0.14976180749278933</v>
      </c>
      <c r="I2453" s="25">
        <f t="shared" si="522"/>
        <v>0.17681682464747017</v>
      </c>
      <c r="K2453" s="29">
        <v>46038</v>
      </c>
      <c r="L2453" s="24">
        <v>37498.019999999997</v>
      </c>
      <c r="M2453" s="25">
        <f t="shared" si="521"/>
        <v>7.6057349161360525E-4</v>
      </c>
      <c r="O2453" t="b">
        <f t="shared" si="519"/>
        <v>1</v>
      </c>
      <c r="Q2453" s="25">
        <f t="shared" si="517"/>
        <v>3.4759546436803568E-2</v>
      </c>
      <c r="R2453" s="25">
        <f t="shared" si="514"/>
        <v>0.12354390402783744</v>
      </c>
      <c r="S2453" s="25">
        <f t="shared" si="511"/>
        <v>0.15263579058077537</v>
      </c>
      <c r="T2453" s="25">
        <f t="shared" si="508"/>
        <v>0.14047633178840324</v>
      </c>
      <c r="U2453" s="25">
        <f t="shared" si="523"/>
        <v>0.17112368639514841</v>
      </c>
      <c r="X2453">
        <f t="shared" si="518"/>
        <v>1</v>
      </c>
      <c r="Y2453">
        <f t="shared" si="515"/>
        <v>1</v>
      </c>
      <c r="Z2453">
        <f t="shared" si="512"/>
        <v>1</v>
      </c>
      <c r="AA2453">
        <f t="shared" si="509"/>
        <v>1</v>
      </c>
      <c r="AB2453">
        <f t="shared" si="524"/>
        <v>1</v>
      </c>
    </row>
    <row r="2454" spans="1:28">
      <c r="A2454" s="26">
        <v>46041</v>
      </c>
      <c r="B2454" s="23">
        <v>2086.9</v>
      </c>
      <c r="C2454" s="25">
        <f t="shared" si="520"/>
        <v>-2.8715998299017943E-3</v>
      </c>
      <c r="E2454" s="25">
        <f t="shared" si="516"/>
        <v>8.752748913462649E-2</v>
      </c>
      <c r="F2454" s="25">
        <f t="shared" si="513"/>
        <v>0.15719294232300451</v>
      </c>
      <c r="G2454" s="25">
        <f t="shared" si="510"/>
        <v>0.1830667106312116</v>
      </c>
      <c r="H2454" s="25">
        <f t="shared" si="507"/>
        <v>0.14467030484228238</v>
      </c>
      <c r="I2454" s="25">
        <f t="shared" si="522"/>
        <v>0.17483807156070563</v>
      </c>
      <c r="K2454" s="28">
        <v>46041</v>
      </c>
      <c r="L2454" s="23">
        <v>37319.93</v>
      </c>
      <c r="M2454" s="25">
        <f t="shared" si="521"/>
        <v>-4.7719810835657114E-3</v>
      </c>
      <c r="O2454" t="b">
        <f t="shared" si="519"/>
        <v>1</v>
      </c>
      <c r="Q2454" s="25">
        <f t="shared" si="517"/>
        <v>3.8093542639939137E-2</v>
      </c>
      <c r="R2454" s="25">
        <f t="shared" si="514"/>
        <v>0.11584923683874249</v>
      </c>
      <c r="S2454" s="25">
        <f t="shared" si="511"/>
        <v>0.15441495149629825</v>
      </c>
      <c r="T2454" s="25">
        <f t="shared" si="508"/>
        <v>0.13557367576275103</v>
      </c>
      <c r="U2454" s="25">
        <f t="shared" si="523"/>
        <v>0.16801418995004602</v>
      </c>
      <c r="X2454">
        <f t="shared" si="518"/>
        <v>1</v>
      </c>
      <c r="Y2454">
        <f t="shared" si="515"/>
        <v>1</v>
      </c>
      <c r="Z2454">
        <f t="shared" si="512"/>
        <v>1</v>
      </c>
      <c r="AA2454">
        <f t="shared" si="509"/>
        <v>1</v>
      </c>
      <c r="AB2454">
        <f t="shared" si="524"/>
        <v>1</v>
      </c>
    </row>
    <row r="2455" spans="1:28">
      <c r="A2455" s="27">
        <v>46042</v>
      </c>
      <c r="B2455" s="24">
        <v>2054.04</v>
      </c>
      <c r="C2455" s="25">
        <f t="shared" si="520"/>
        <v>-1.5745843116584467E-2</v>
      </c>
      <c r="E2455" s="25">
        <f t="shared" si="516"/>
        <v>8.7679908496870462E-2</v>
      </c>
      <c r="F2455" s="25">
        <f t="shared" si="513"/>
        <v>0.14770390939690259</v>
      </c>
      <c r="G2455" s="25">
        <f t="shared" si="510"/>
        <v>0.17449608800018979</v>
      </c>
      <c r="H2455" s="25">
        <f t="shared" si="507"/>
        <v>0.13794160086457641</v>
      </c>
      <c r="I2455" s="25">
        <f t="shared" si="522"/>
        <v>0.17094404280163933</v>
      </c>
      <c r="K2455" s="29">
        <v>46042</v>
      </c>
      <c r="L2455" s="24">
        <v>36638.57</v>
      </c>
      <c r="M2455" s="25">
        <f t="shared" si="521"/>
        <v>-1.85967956718835E-2</v>
      </c>
      <c r="O2455" t="b">
        <f t="shared" si="519"/>
        <v>1</v>
      </c>
      <c r="Q2455" s="25">
        <f t="shared" si="517"/>
        <v>3.8902225390468281E-2</v>
      </c>
      <c r="R2455" s="25">
        <f t="shared" si="514"/>
        <v>0.10531341596401345</v>
      </c>
      <c r="S2455" s="25">
        <f t="shared" si="511"/>
        <v>0.14445399909152878</v>
      </c>
      <c r="T2455" s="25">
        <f t="shared" si="508"/>
        <v>0.12820875498251705</v>
      </c>
      <c r="U2455" s="25">
        <f t="shared" si="523"/>
        <v>0.16313930247717479</v>
      </c>
      <c r="X2455">
        <f t="shared" si="518"/>
        <v>1</v>
      </c>
      <c r="Y2455">
        <f t="shared" si="515"/>
        <v>1</v>
      </c>
      <c r="Z2455">
        <f t="shared" si="512"/>
        <v>1</v>
      </c>
      <c r="AA2455">
        <f t="shared" si="509"/>
        <v>1</v>
      </c>
      <c r="AB2455">
        <f t="shared" si="524"/>
        <v>1</v>
      </c>
    </row>
    <row r="2456" spans="1:28">
      <c r="A2456" s="26">
        <v>46043</v>
      </c>
      <c r="B2456" s="23">
        <v>2045.33</v>
      </c>
      <c r="C2456" s="25">
        <f t="shared" si="520"/>
        <v>-4.2404237502677829E-3</v>
      </c>
      <c r="E2456" s="25">
        <f t="shared" si="516"/>
        <v>8.0704220142767236E-2</v>
      </c>
      <c r="F2456" s="25">
        <f t="shared" si="513"/>
        <v>0.14532670875907039</v>
      </c>
      <c r="G2456" s="25">
        <f t="shared" si="510"/>
        <v>0.1737075811560953</v>
      </c>
      <c r="H2456" s="25">
        <f t="shared" ref="H2456:H2519" si="525">((B2456/B1475)^(1/4))-1</f>
        <v>0.13788693131988672</v>
      </c>
      <c r="I2456" s="25">
        <f t="shared" si="522"/>
        <v>0.1692409147701015</v>
      </c>
      <c r="K2456" s="28">
        <v>46043</v>
      </c>
      <c r="L2456" s="23">
        <v>36460.89</v>
      </c>
      <c r="M2456" s="25">
        <f t="shared" si="521"/>
        <v>-4.8731668371232925E-3</v>
      </c>
      <c r="O2456" t="b">
        <f t="shared" si="519"/>
        <v>1</v>
      </c>
      <c r="Q2456" s="25">
        <f t="shared" si="517"/>
        <v>2.9578625723984064E-2</v>
      </c>
      <c r="R2456" s="25">
        <f t="shared" si="514"/>
        <v>0.1022357291570537</v>
      </c>
      <c r="S2456" s="25">
        <f t="shared" si="511"/>
        <v>0.14330210283772904</v>
      </c>
      <c r="T2456" s="25">
        <f t="shared" ref="T2456:T2519" si="526">((L2456/L1475)^(1/4))-1</f>
        <v>0.1284993576543132</v>
      </c>
      <c r="U2456" s="25">
        <f t="shared" si="523"/>
        <v>0.16183269009457413</v>
      </c>
      <c r="X2456">
        <f t="shared" si="518"/>
        <v>1</v>
      </c>
      <c r="Y2456">
        <f t="shared" si="515"/>
        <v>1</v>
      </c>
      <c r="Z2456">
        <f t="shared" si="512"/>
        <v>1</v>
      </c>
      <c r="AA2456">
        <f t="shared" ref="AA2456:AA2519" si="527">IF(H2456&gt;T2456,1,0)</f>
        <v>1</v>
      </c>
      <c r="AB2456">
        <f t="shared" si="524"/>
        <v>1</v>
      </c>
    </row>
    <row r="2457" spans="1:28">
      <c r="A2457" s="27">
        <v>46044</v>
      </c>
      <c r="B2457" s="24">
        <v>2065.21</v>
      </c>
      <c r="C2457" s="25">
        <f t="shared" si="520"/>
        <v>9.7197029330230861E-3</v>
      </c>
      <c r="E2457" s="25">
        <f t="shared" si="516"/>
        <v>9.0470834851388959E-2</v>
      </c>
      <c r="F2457" s="25">
        <f t="shared" si="513"/>
        <v>0.16233774468625284</v>
      </c>
      <c r="G2457" s="25">
        <f t="shared" si="510"/>
        <v>0.18035399607493874</v>
      </c>
      <c r="H2457" s="25">
        <f t="shared" si="525"/>
        <v>0.13934369315458528</v>
      </c>
      <c r="I2457" s="25">
        <f t="shared" si="522"/>
        <v>0.18005551612254478</v>
      </c>
      <c r="K2457" s="29">
        <v>46044</v>
      </c>
      <c r="L2457" s="24">
        <v>36738.03</v>
      </c>
      <c r="M2457" s="25">
        <f t="shared" si="521"/>
        <v>7.5436815746516466E-3</v>
      </c>
      <c r="O2457" t="b">
        <f t="shared" si="519"/>
        <v>1</v>
      </c>
      <c r="Q2457" s="25">
        <f t="shared" si="517"/>
        <v>3.7767555850085843E-2</v>
      </c>
      <c r="R2457" s="25">
        <f t="shared" si="514"/>
        <v>0.11784067772765838</v>
      </c>
      <c r="S2457" s="25">
        <f t="shared" si="511"/>
        <v>0.15105916923282781</v>
      </c>
      <c r="T2457" s="25">
        <f t="shared" si="526"/>
        <v>0.12943052836817737</v>
      </c>
      <c r="U2457" s="25">
        <f t="shared" si="523"/>
        <v>0.17177069876723361</v>
      </c>
      <c r="X2457">
        <f t="shared" si="518"/>
        <v>1</v>
      </c>
      <c r="Y2457">
        <f t="shared" si="515"/>
        <v>1</v>
      </c>
      <c r="Z2457">
        <f t="shared" si="512"/>
        <v>1</v>
      </c>
      <c r="AA2457">
        <f t="shared" si="527"/>
        <v>1</v>
      </c>
      <c r="AB2457">
        <f t="shared" si="524"/>
        <v>1</v>
      </c>
    </row>
    <row r="2458" spans="1:28">
      <c r="A2458" s="26">
        <v>46045</v>
      </c>
      <c r="B2458" s="23">
        <v>2039.47</v>
      </c>
      <c r="C2458" s="25">
        <f t="shared" si="520"/>
        <v>-1.2463623554021145E-2</v>
      </c>
      <c r="E2458" s="25">
        <f t="shared" si="516"/>
        <v>7.4383517623941797E-2</v>
      </c>
      <c r="F2458" s="25">
        <f t="shared" si="513"/>
        <v>0.15045976075095524</v>
      </c>
      <c r="G2458" s="25">
        <f t="shared" si="510"/>
        <v>0.17718517555266122</v>
      </c>
      <c r="H2458" s="25">
        <f t="shared" si="525"/>
        <v>0.13298387315091365</v>
      </c>
      <c r="I2458" s="25">
        <f t="shared" si="522"/>
        <v>0.17429948569194531</v>
      </c>
      <c r="K2458" s="28">
        <v>46045</v>
      </c>
      <c r="L2458" s="23">
        <v>36255.230000000003</v>
      </c>
      <c r="M2458" s="25">
        <f t="shared" si="521"/>
        <v>-1.3316699411367563E-2</v>
      </c>
      <c r="O2458" t="b">
        <f t="shared" si="519"/>
        <v>1</v>
      </c>
      <c r="Q2458" s="25">
        <f t="shared" si="517"/>
        <v>2.2865721195460154E-2</v>
      </c>
      <c r="R2458" s="25">
        <f t="shared" si="514"/>
        <v>0.10570300944710764</v>
      </c>
      <c r="S2458" s="25">
        <f t="shared" si="511"/>
        <v>0.14836800604584077</v>
      </c>
      <c r="T2458" s="25">
        <f t="shared" si="526"/>
        <v>0.12303660742784839</v>
      </c>
      <c r="U2458" s="25">
        <f t="shared" si="523"/>
        <v>0.16631245483866786</v>
      </c>
      <c r="X2458">
        <f t="shared" si="518"/>
        <v>1</v>
      </c>
      <c r="Y2458">
        <f t="shared" si="515"/>
        <v>1</v>
      </c>
      <c r="Z2458">
        <f t="shared" si="512"/>
        <v>1</v>
      </c>
      <c r="AA2458">
        <f t="shared" si="527"/>
        <v>1</v>
      </c>
      <c r="AB2458">
        <f t="shared" si="524"/>
        <v>1</v>
      </c>
    </row>
    <row r="2459" spans="1:28">
      <c r="A2459" s="27">
        <v>46049</v>
      </c>
      <c r="B2459" s="24">
        <v>2042.71</v>
      </c>
      <c r="C2459" s="25">
        <f t="shared" si="520"/>
        <v>1.5886480311061251E-3</v>
      </c>
      <c r="E2459" s="25">
        <f t="shared" si="516"/>
        <v>7.4816366047187222E-2</v>
      </c>
      <c r="F2459" s="25">
        <f t="shared" si="513"/>
        <v>0.14652107531316161</v>
      </c>
      <c r="G2459" s="25">
        <f t="shared" si="510"/>
        <v>0.18628188641404542</v>
      </c>
      <c r="H2459" s="25">
        <f t="shared" si="525"/>
        <v>0.1332299221519937</v>
      </c>
      <c r="I2459" s="25">
        <f t="shared" si="522"/>
        <v>0.17070772879843155</v>
      </c>
      <c r="K2459" s="29">
        <v>46049</v>
      </c>
      <c r="L2459" s="24">
        <v>36436.730000000003</v>
      </c>
      <c r="M2459" s="25">
        <f t="shared" si="521"/>
        <v>4.9812373393550956E-3</v>
      </c>
      <c r="O2459" t="b">
        <f t="shared" si="519"/>
        <v>1</v>
      </c>
      <c r="Q2459" s="25">
        <f t="shared" si="517"/>
        <v>2.7305547919618256E-2</v>
      </c>
      <c r="R2459" s="25">
        <f t="shared" si="514"/>
        <v>0.10517798280258006</v>
      </c>
      <c r="S2459" s="25">
        <f t="shared" si="511"/>
        <v>0.16002220807329404</v>
      </c>
      <c r="T2459" s="25">
        <f t="shared" si="526"/>
        <v>0.12452351153870911</v>
      </c>
      <c r="U2459" s="25">
        <f t="shared" si="523"/>
        <v>0.16434389917298464</v>
      </c>
      <c r="X2459">
        <f t="shared" si="518"/>
        <v>1</v>
      </c>
      <c r="Y2459">
        <f t="shared" si="515"/>
        <v>1</v>
      </c>
      <c r="Z2459">
        <f t="shared" si="512"/>
        <v>1</v>
      </c>
      <c r="AA2459">
        <f t="shared" si="527"/>
        <v>1</v>
      </c>
      <c r="AB2459">
        <f t="shared" si="524"/>
        <v>1</v>
      </c>
    </row>
    <row r="2460" spans="1:28">
      <c r="A2460" s="26">
        <v>46050</v>
      </c>
      <c r="B2460" s="23">
        <v>2057.65</v>
      </c>
      <c r="C2460" s="25">
        <f t="shared" si="520"/>
        <v>7.3138135124418318E-3</v>
      </c>
      <c r="E2460" s="25">
        <f t="shared" si="516"/>
        <v>8.5619166706236927E-2</v>
      </c>
      <c r="F2460" s="25">
        <f t="shared" si="513"/>
        <v>0.1475058126734472</v>
      </c>
      <c r="G2460" s="25">
        <f t="shared" si="510"/>
        <v>0.1841271847884498</v>
      </c>
      <c r="H2460" s="25">
        <f t="shared" si="525"/>
        <v>0.1351542944964681</v>
      </c>
      <c r="I2460" s="25">
        <f t="shared" si="522"/>
        <v>0.1704585851010616</v>
      </c>
      <c r="K2460" s="28">
        <v>46050</v>
      </c>
      <c r="L2460" s="23">
        <v>36856.46</v>
      </c>
      <c r="M2460" s="25">
        <f t="shared" si="521"/>
        <v>1.1388234247130515E-2</v>
      </c>
      <c r="O2460" t="b">
        <f t="shared" si="519"/>
        <v>1</v>
      </c>
      <c r="Q2460" s="25">
        <f t="shared" si="517"/>
        <v>4.3234121278132642E-2</v>
      </c>
      <c r="R2460" s="25">
        <f t="shared" si="514"/>
        <v>0.10878913868193241</v>
      </c>
      <c r="S2460" s="25">
        <f t="shared" si="511"/>
        <v>0.15801560063390485</v>
      </c>
      <c r="T2460" s="25">
        <f t="shared" si="526"/>
        <v>0.1281353265058669</v>
      </c>
      <c r="U2460" s="25">
        <f t="shared" si="523"/>
        <v>0.16495219260830662</v>
      </c>
      <c r="X2460">
        <f t="shared" si="518"/>
        <v>1</v>
      </c>
      <c r="Y2460">
        <f t="shared" si="515"/>
        <v>1</v>
      </c>
      <c r="Z2460">
        <f t="shared" si="512"/>
        <v>1</v>
      </c>
      <c r="AA2460">
        <f t="shared" si="527"/>
        <v>1</v>
      </c>
      <c r="AB2460">
        <f t="shared" si="524"/>
        <v>1</v>
      </c>
    </row>
    <row r="2461" spans="1:28">
      <c r="A2461" s="27">
        <v>46051</v>
      </c>
      <c r="B2461" s="24">
        <v>2058.1</v>
      </c>
      <c r="C2461" s="25">
        <f t="shared" si="520"/>
        <v>2.1869608533998399E-4</v>
      </c>
      <c r="E2461" s="25">
        <f t="shared" si="516"/>
        <v>8.6320834388987411E-2</v>
      </c>
      <c r="F2461" s="25">
        <f t="shared" si="513"/>
        <v>0.14247395395090368</v>
      </c>
      <c r="G2461" s="25">
        <f t="shared" si="510"/>
        <v>0.18162259639910761</v>
      </c>
      <c r="H2461" s="25">
        <f t="shared" si="525"/>
        <v>0.13231728667733145</v>
      </c>
      <c r="I2461" s="25">
        <f t="shared" si="522"/>
        <v>0.16833014200223717</v>
      </c>
      <c r="K2461" s="29">
        <v>46051</v>
      </c>
      <c r="L2461" s="24">
        <v>36940.9</v>
      </c>
      <c r="M2461" s="25">
        <f t="shared" si="521"/>
        <v>2.2858132855453528E-3</v>
      </c>
      <c r="O2461" t="b">
        <f t="shared" si="519"/>
        <v>1</v>
      </c>
      <c r="Q2461" s="25">
        <f t="shared" si="517"/>
        <v>4.4770758444364622E-2</v>
      </c>
      <c r="R2461" s="25">
        <f t="shared" si="514"/>
        <v>0.10579027681729225</v>
      </c>
      <c r="S2461" s="25">
        <f t="shared" si="511"/>
        <v>0.15589020126386099</v>
      </c>
      <c r="T2461" s="25">
        <f t="shared" si="526"/>
        <v>0.1258692800814567</v>
      </c>
      <c r="U2461" s="25">
        <f t="shared" si="523"/>
        <v>0.1632465996026895</v>
      </c>
      <c r="X2461">
        <f t="shared" si="518"/>
        <v>1</v>
      </c>
      <c r="Y2461">
        <f t="shared" si="515"/>
        <v>1</v>
      </c>
      <c r="Z2461">
        <f t="shared" si="512"/>
        <v>1</v>
      </c>
      <c r="AA2461">
        <f t="shared" si="527"/>
        <v>1</v>
      </c>
      <c r="AB2461">
        <f t="shared" si="524"/>
        <v>1</v>
      </c>
    </row>
    <row r="2462" spans="1:28">
      <c r="A2462" s="26">
        <v>46052</v>
      </c>
      <c r="B2462" s="23">
        <v>2060.5100000000002</v>
      </c>
      <c r="C2462" s="25">
        <f t="shared" si="520"/>
        <v>1.1709829454352603E-3</v>
      </c>
      <c r="E2462" s="25">
        <f t="shared" si="516"/>
        <v>8.4153701258043778E-2</v>
      </c>
      <c r="F2462" s="25">
        <f t="shared" si="513"/>
        <v>0.14058124444067377</v>
      </c>
      <c r="G2462" s="25">
        <f t="shared" si="510"/>
        <v>0.18249770508027718</v>
      </c>
      <c r="H2462" s="25">
        <f t="shared" si="525"/>
        <v>0.12920990682667166</v>
      </c>
      <c r="I2462" s="25">
        <f t="shared" si="522"/>
        <v>0.1681739691016102</v>
      </c>
      <c r="K2462" s="28">
        <v>46052</v>
      </c>
      <c r="L2462" s="23">
        <v>36853.919999999998</v>
      </c>
      <c r="M2462" s="25">
        <f t="shared" si="521"/>
        <v>-2.3601288546782327E-3</v>
      </c>
      <c r="O2462" t="b">
        <f t="shared" si="519"/>
        <v>1</v>
      </c>
      <c r="Q2462" s="25">
        <f t="shared" si="517"/>
        <v>3.7376485106152879E-2</v>
      </c>
      <c r="R2462" s="25">
        <f t="shared" si="514"/>
        <v>0.10157159183309417</v>
      </c>
      <c r="S2462" s="25">
        <f t="shared" si="511"/>
        <v>0.1546216504602369</v>
      </c>
      <c r="T2462" s="25">
        <f t="shared" si="526"/>
        <v>0.12133036782579465</v>
      </c>
      <c r="U2462" s="25">
        <f t="shared" si="523"/>
        <v>0.16204256980994702</v>
      </c>
      <c r="X2462">
        <f t="shared" si="518"/>
        <v>1</v>
      </c>
      <c r="Y2462">
        <f t="shared" si="515"/>
        <v>1</v>
      </c>
      <c r="Z2462">
        <f t="shared" si="512"/>
        <v>1</v>
      </c>
      <c r="AA2462">
        <f t="shared" si="527"/>
        <v>1</v>
      </c>
      <c r="AB2462">
        <f t="shared" si="524"/>
        <v>1</v>
      </c>
    </row>
    <row r="2463" spans="1:28">
      <c r="A2463" s="27">
        <v>46055</v>
      </c>
      <c r="B2463" s="24">
        <v>2043.1</v>
      </c>
      <c r="C2463" s="25">
        <f t="shared" si="520"/>
        <v>-8.449364477726538E-3</v>
      </c>
      <c r="E2463" s="25">
        <f t="shared" si="516"/>
        <v>5.85736120825886E-2</v>
      </c>
      <c r="F2463" s="25">
        <f t="shared" si="513"/>
        <v>0.13514698989755236</v>
      </c>
      <c r="G2463" s="25">
        <f t="shared" si="510"/>
        <v>0.17758184223368634</v>
      </c>
      <c r="H2463" s="25">
        <f t="shared" si="525"/>
        <v>0.12563755212737493</v>
      </c>
      <c r="I2463" s="25">
        <f t="shared" si="522"/>
        <v>0.16543379350081322</v>
      </c>
      <c r="K2463" s="29">
        <v>46055</v>
      </c>
      <c r="L2463" s="24">
        <v>36466.76</v>
      </c>
      <c r="M2463" s="25">
        <f t="shared" si="521"/>
        <v>-1.0616791840020781E-2</v>
      </c>
      <c r="O2463" t="b">
        <f t="shared" si="519"/>
        <v>1</v>
      </c>
      <c r="Q2463" s="25">
        <f t="shared" si="517"/>
        <v>1.1278686524283765E-2</v>
      </c>
      <c r="R2463" s="25">
        <f t="shared" si="514"/>
        <v>9.4925800288167217E-2</v>
      </c>
      <c r="S2463" s="25">
        <f t="shared" si="511"/>
        <v>0.14926483572523619</v>
      </c>
      <c r="T2463" s="25">
        <f t="shared" si="526"/>
        <v>0.11628462488328828</v>
      </c>
      <c r="U2463" s="25">
        <f t="shared" si="523"/>
        <v>0.15873007505836823</v>
      </c>
      <c r="X2463">
        <f t="shared" si="518"/>
        <v>1</v>
      </c>
      <c r="Y2463">
        <f t="shared" si="515"/>
        <v>1</v>
      </c>
      <c r="Z2463">
        <f t="shared" si="512"/>
        <v>1</v>
      </c>
      <c r="AA2463">
        <f t="shared" si="527"/>
        <v>1</v>
      </c>
      <c r="AB2463">
        <f t="shared" si="524"/>
        <v>1</v>
      </c>
    </row>
    <row r="2464" spans="1:28">
      <c r="A2464" s="26">
        <v>46056</v>
      </c>
      <c r="B2464" s="23">
        <v>2097.37</v>
      </c>
      <c r="C2464" s="25">
        <f t="shared" si="520"/>
        <v>2.6562576476922315E-2</v>
      </c>
      <c r="E2464" s="25">
        <f t="shared" si="516"/>
        <v>9.1737675222395065E-2</v>
      </c>
      <c r="F2464" s="25">
        <f t="shared" si="513"/>
        <v>0.14895471124822679</v>
      </c>
      <c r="G2464" s="25">
        <f t="shared" si="510"/>
        <v>0.18874456623935343</v>
      </c>
      <c r="H2464" s="25">
        <f t="shared" si="525"/>
        <v>0.13190242403381403</v>
      </c>
      <c r="I2464" s="25">
        <f t="shared" si="522"/>
        <v>0.1709031853514551</v>
      </c>
      <c r="K2464" s="28">
        <v>46056</v>
      </c>
      <c r="L2464" s="23">
        <v>37439.870000000003</v>
      </c>
      <c r="M2464" s="25">
        <f t="shared" si="521"/>
        <v>2.5991276144922526E-2</v>
      </c>
      <c r="O2464" t="b">
        <f t="shared" si="519"/>
        <v>1</v>
      </c>
      <c r="Q2464" s="25">
        <f t="shared" si="517"/>
        <v>4.3366462562967278E-2</v>
      </c>
      <c r="R2464" s="25">
        <f t="shared" si="514"/>
        <v>0.10828800226096935</v>
      </c>
      <c r="S2464" s="25">
        <f t="shared" si="511"/>
        <v>0.16030677277870375</v>
      </c>
      <c r="T2464" s="25">
        <f t="shared" si="526"/>
        <v>0.12223824657854387</v>
      </c>
      <c r="U2464" s="25">
        <f t="shared" si="523"/>
        <v>0.16467393902201177</v>
      </c>
      <c r="X2464">
        <f t="shared" si="518"/>
        <v>1</v>
      </c>
      <c r="Y2464">
        <f t="shared" si="515"/>
        <v>1</v>
      </c>
      <c r="Z2464">
        <f t="shared" si="512"/>
        <v>1</v>
      </c>
      <c r="AA2464">
        <f t="shared" si="527"/>
        <v>1</v>
      </c>
      <c r="AB2464">
        <f t="shared" si="524"/>
        <v>1</v>
      </c>
    </row>
    <row r="2465" spans="1:28">
      <c r="A2465" s="27">
        <v>46057</v>
      </c>
      <c r="B2465" s="24">
        <v>2099.9899999999998</v>
      </c>
      <c r="C2465" s="25">
        <f t="shared" si="520"/>
        <v>1.2491835012419796E-3</v>
      </c>
      <c r="E2465" s="25">
        <f t="shared" si="516"/>
        <v>0.11178230140032297</v>
      </c>
      <c r="F2465" s="25">
        <f t="shared" si="513"/>
        <v>0.15066837261193133</v>
      </c>
      <c r="G2465" s="25">
        <f t="shared" si="510"/>
        <v>0.1867794378631249</v>
      </c>
      <c r="H2465" s="25">
        <f t="shared" si="525"/>
        <v>0.13381629616937962</v>
      </c>
      <c r="I2465" s="25">
        <f t="shared" si="522"/>
        <v>0.17029799783393229</v>
      </c>
      <c r="K2465" s="29">
        <v>46057</v>
      </c>
      <c r="L2465" s="24">
        <v>37582.1</v>
      </c>
      <c r="M2465" s="25">
        <f t="shared" si="521"/>
        <v>3.7845144363938131E-3</v>
      </c>
      <c r="O2465" t="b">
        <f t="shared" si="519"/>
        <v>1</v>
      </c>
      <c r="Q2465" s="25">
        <f t="shared" si="517"/>
        <v>7.0078844857772493E-2</v>
      </c>
      <c r="R2465" s="25">
        <f t="shared" si="514"/>
        <v>0.11185245319574033</v>
      </c>
      <c r="S2465" s="25">
        <f t="shared" si="511"/>
        <v>0.15990559811004679</v>
      </c>
      <c r="T2465" s="25">
        <f t="shared" si="526"/>
        <v>0.12524959435276806</v>
      </c>
      <c r="U2465" s="25">
        <f t="shared" si="523"/>
        <v>0.16441642735956274</v>
      </c>
      <c r="X2465">
        <f t="shared" si="518"/>
        <v>1</v>
      </c>
      <c r="Y2465">
        <f t="shared" si="515"/>
        <v>1</v>
      </c>
      <c r="Z2465">
        <f t="shared" si="512"/>
        <v>1</v>
      </c>
      <c r="AA2465">
        <f t="shared" si="527"/>
        <v>1</v>
      </c>
      <c r="AB2465">
        <f t="shared" si="524"/>
        <v>1</v>
      </c>
    </row>
    <row r="2466" spans="1:28">
      <c r="A2466" s="26">
        <v>46058</v>
      </c>
      <c r="B2466" s="23">
        <v>2092.63</v>
      </c>
      <c r="C2466" s="25">
        <f t="shared" si="520"/>
        <v>-3.5047785941836264E-3</v>
      </c>
      <c r="E2466" s="25">
        <f t="shared" si="516"/>
        <v>0.10346336781936483</v>
      </c>
      <c r="F2466" s="25">
        <f t="shared" si="513"/>
        <v>0.15115692711372275</v>
      </c>
      <c r="G2466" s="25">
        <f t="shared" si="510"/>
        <v>0.18381983367215127</v>
      </c>
      <c r="H2466" s="25">
        <f t="shared" si="525"/>
        <v>0.13215391357301676</v>
      </c>
      <c r="I2466" s="25">
        <f t="shared" si="522"/>
        <v>0.16618654370510466</v>
      </c>
      <c r="K2466" s="28">
        <v>46058</v>
      </c>
      <c r="L2466" s="23">
        <v>37388</v>
      </c>
      <c r="M2466" s="25">
        <f t="shared" si="521"/>
        <v>-5.1915052958168006E-3</v>
      </c>
      <c r="O2466" t="b">
        <f t="shared" si="519"/>
        <v>1</v>
      </c>
      <c r="Q2466" s="25">
        <f t="shared" si="517"/>
        <v>5.9013639884943903E-2</v>
      </c>
      <c r="R2466" s="25">
        <f t="shared" si="514"/>
        <v>0.11044359971293161</v>
      </c>
      <c r="S2466" s="25">
        <f t="shared" si="511"/>
        <v>0.15704675152523651</v>
      </c>
      <c r="T2466" s="25">
        <f t="shared" si="526"/>
        <v>0.12272233577855807</v>
      </c>
      <c r="U2466" s="25">
        <f t="shared" si="523"/>
        <v>0.16087471215857141</v>
      </c>
      <c r="X2466">
        <f t="shared" si="518"/>
        <v>1</v>
      </c>
      <c r="Y2466">
        <f t="shared" si="515"/>
        <v>1</v>
      </c>
      <c r="Z2466">
        <f t="shared" si="512"/>
        <v>1</v>
      </c>
      <c r="AA2466">
        <f t="shared" si="527"/>
        <v>1</v>
      </c>
      <c r="AB2466">
        <f t="shared" si="524"/>
        <v>1</v>
      </c>
    </row>
    <row r="2467" spans="1:28">
      <c r="A2467" s="27">
        <v>46059</v>
      </c>
      <c r="B2467" s="24">
        <v>2094.39</v>
      </c>
      <c r="C2467" s="25">
        <f t="shared" si="520"/>
        <v>8.4104691225862359E-4</v>
      </c>
      <c r="E2467" s="25">
        <f t="shared" si="516"/>
        <v>0.11109991140442554</v>
      </c>
      <c r="F2467" s="25">
        <f t="shared" si="513"/>
        <v>0.14476033571701086</v>
      </c>
      <c r="G2467" s="25">
        <f t="shared" si="510"/>
        <v>0.1882066774334954</v>
      </c>
      <c r="H2467" s="25">
        <f t="shared" si="525"/>
        <v>0.12981723046713234</v>
      </c>
      <c r="I2467" s="25">
        <f t="shared" si="522"/>
        <v>0.16459952089728569</v>
      </c>
      <c r="K2467" s="29">
        <v>46059</v>
      </c>
      <c r="L2467" s="24">
        <v>37429.300000000003</v>
      </c>
      <c r="M2467" s="25">
        <f t="shared" si="521"/>
        <v>1.1034136358415174E-3</v>
      </c>
      <c r="O2467" t="b">
        <f t="shared" si="519"/>
        <v>1</v>
      </c>
      <c r="Q2467" s="25">
        <f t="shared" si="517"/>
        <v>6.5420550106586761E-2</v>
      </c>
      <c r="R2467" s="25">
        <f t="shared" si="514"/>
        <v>0.10609620618548865</v>
      </c>
      <c r="S2467" s="25">
        <f t="shared" si="511"/>
        <v>0.16158859171250328</v>
      </c>
      <c r="T2467" s="25">
        <f t="shared" si="526"/>
        <v>0.12035985958604956</v>
      </c>
      <c r="U2467" s="25">
        <f t="shared" si="523"/>
        <v>0.15964253745757961</v>
      </c>
      <c r="X2467">
        <f t="shared" si="518"/>
        <v>1</v>
      </c>
      <c r="Y2467">
        <f t="shared" si="515"/>
        <v>1</v>
      </c>
      <c r="Z2467">
        <f t="shared" si="512"/>
        <v>1</v>
      </c>
      <c r="AA2467">
        <f t="shared" si="527"/>
        <v>1</v>
      </c>
      <c r="AB2467">
        <f t="shared" si="524"/>
        <v>1</v>
      </c>
    </row>
    <row r="2468" spans="1:28">
      <c r="A2468" s="26">
        <v>46062</v>
      </c>
      <c r="B2468" s="23">
        <v>2120.9899999999998</v>
      </c>
      <c r="C2468" s="25">
        <f t="shared" si="520"/>
        <v>1.2700595400092586E-2</v>
      </c>
      <c r="E2468" s="25">
        <f t="shared" si="516"/>
        <v>0.12976664163164431</v>
      </c>
      <c r="F2468" s="25">
        <f t="shared" si="513"/>
        <v>0.15156751961560455</v>
      </c>
      <c r="G2468" s="25">
        <f t="shared" ref="G2468:G2531" si="528">((B2468/B1731)^(1/3))-1</f>
        <v>0.19507574999714805</v>
      </c>
      <c r="H2468" s="25">
        <f t="shared" si="525"/>
        <v>0.13298675917555447</v>
      </c>
      <c r="I2468" s="25">
        <f t="shared" si="522"/>
        <v>0.16706332688114656</v>
      </c>
      <c r="K2468" s="28">
        <v>46062</v>
      </c>
      <c r="L2468" s="23">
        <v>37830.83</v>
      </c>
      <c r="M2468" s="25">
        <f t="shared" si="521"/>
        <v>1.0613830042851262E-2</v>
      </c>
      <c r="O2468" t="b">
        <f t="shared" si="519"/>
        <v>1</v>
      </c>
      <c r="Q2468" s="25">
        <f t="shared" si="517"/>
        <v>8.589801623443627E-2</v>
      </c>
      <c r="R2468" s="25">
        <f t="shared" si="514"/>
        <v>0.11061219023314339</v>
      </c>
      <c r="S2468" s="25">
        <f t="shared" ref="S2468:S2531" si="529">((L2468/L1731)^(1/3))-1</f>
        <v>0.16590039985149097</v>
      </c>
      <c r="T2468" s="25">
        <f t="shared" si="526"/>
        <v>0.12271911534757818</v>
      </c>
      <c r="U2468" s="25">
        <f t="shared" si="523"/>
        <v>0.16269564858710184</v>
      </c>
      <c r="X2468">
        <f t="shared" si="518"/>
        <v>1</v>
      </c>
      <c r="Y2468">
        <f t="shared" si="515"/>
        <v>1</v>
      </c>
      <c r="Z2468">
        <f t="shared" ref="Z2468:Z2531" si="530">IF(G2468&gt;S2468,1,0)</f>
        <v>1</v>
      </c>
      <c r="AA2468">
        <f t="shared" si="527"/>
        <v>1</v>
      </c>
      <c r="AB2468">
        <f t="shared" si="524"/>
        <v>1</v>
      </c>
    </row>
    <row r="2469" spans="1:28">
      <c r="A2469" s="27">
        <v>46063</v>
      </c>
      <c r="B2469" s="24">
        <v>2124.89</v>
      </c>
      <c r="C2469" s="25">
        <f t="shared" si="520"/>
        <v>1.8387639734275462E-3</v>
      </c>
      <c r="E2469" s="25">
        <f t="shared" si="516"/>
        <v>0.14293014049355612</v>
      </c>
      <c r="F2469" s="25">
        <f t="shared" si="513"/>
        <v>0.15730230845849369</v>
      </c>
      <c r="G2469" s="25">
        <f t="shared" si="528"/>
        <v>0.19897764629991088</v>
      </c>
      <c r="H2469" s="25">
        <f t="shared" si="525"/>
        <v>0.13064359680037541</v>
      </c>
      <c r="I2469" s="25">
        <f t="shared" si="522"/>
        <v>0.16644153231227654</v>
      </c>
      <c r="K2469" s="29">
        <v>46063</v>
      </c>
      <c r="L2469" s="24">
        <v>37944.589999999997</v>
      </c>
      <c r="M2469" s="25">
        <f t="shared" si="521"/>
        <v>2.9980558493317433E-3</v>
      </c>
      <c r="O2469" t="b">
        <f t="shared" si="519"/>
        <v>1</v>
      </c>
      <c r="Q2469" s="25">
        <f t="shared" si="517"/>
        <v>0.10153348355418435</v>
      </c>
      <c r="R2469" s="25">
        <f t="shared" si="514"/>
        <v>0.11722112889212633</v>
      </c>
      <c r="S2469" s="25">
        <f t="shared" si="529"/>
        <v>0.16996962615065203</v>
      </c>
      <c r="T2469" s="25">
        <f t="shared" si="526"/>
        <v>0.12109159477325537</v>
      </c>
      <c r="U2469" s="25">
        <f t="shared" si="523"/>
        <v>0.16283630627592172</v>
      </c>
      <c r="X2469">
        <f t="shared" si="518"/>
        <v>1</v>
      </c>
      <c r="Y2469">
        <f t="shared" si="515"/>
        <v>1</v>
      </c>
      <c r="Z2469">
        <f t="shared" si="530"/>
        <v>1</v>
      </c>
      <c r="AA2469">
        <f t="shared" si="527"/>
        <v>1</v>
      </c>
      <c r="AB2469">
        <f t="shared" si="524"/>
        <v>1</v>
      </c>
    </row>
    <row r="2470" spans="1:28">
      <c r="A2470" s="26">
        <v>46064</v>
      </c>
      <c r="B2470" s="23">
        <v>2129.81</v>
      </c>
      <c r="C2470" s="25">
        <f t="shared" si="520"/>
        <v>2.3154139743704724E-3</v>
      </c>
      <c r="E2470" s="25">
        <f t="shared" si="516"/>
        <v>0.17264788794432451</v>
      </c>
      <c r="F2470" s="25">
        <f t="shared" si="513"/>
        <v>0.15611909272440605</v>
      </c>
      <c r="G2470" s="25">
        <f t="shared" si="528"/>
        <v>0.19564694695396834</v>
      </c>
      <c r="H2470" s="25">
        <f t="shared" si="525"/>
        <v>0.13014545631788366</v>
      </c>
      <c r="I2470" s="25">
        <f t="shared" si="522"/>
        <v>0.16462377758617186</v>
      </c>
      <c r="K2470" s="28">
        <v>46064</v>
      </c>
      <c r="L2470" s="23">
        <v>37995.17</v>
      </c>
      <c r="M2470" s="25">
        <f t="shared" si="521"/>
        <v>1.3312218368808917E-3</v>
      </c>
      <c r="O2470" t="b">
        <f t="shared" si="519"/>
        <v>1</v>
      </c>
      <c r="Q2470" s="25">
        <f t="shared" si="517"/>
        <v>0.13184548226023707</v>
      </c>
      <c r="R2470" s="25">
        <f t="shared" si="514"/>
        <v>0.11676250693878143</v>
      </c>
      <c r="S2470" s="25">
        <f t="shared" si="529"/>
        <v>0.16597392800727273</v>
      </c>
      <c r="T2470" s="25">
        <f t="shared" si="526"/>
        <v>0.12051564977197771</v>
      </c>
      <c r="U2470" s="25">
        <f t="shared" si="523"/>
        <v>0.16001737782789038</v>
      </c>
      <c r="X2470">
        <f t="shared" si="518"/>
        <v>1</v>
      </c>
      <c r="Y2470">
        <f t="shared" si="515"/>
        <v>1</v>
      </c>
      <c r="Z2470">
        <f t="shared" si="530"/>
        <v>1</v>
      </c>
      <c r="AA2470">
        <f t="shared" si="527"/>
        <v>1</v>
      </c>
      <c r="AB2470">
        <f t="shared" si="524"/>
        <v>1</v>
      </c>
    </row>
    <row r="2471" spans="1:28">
      <c r="A2471" s="27">
        <v>46065</v>
      </c>
      <c r="B2471" s="24">
        <v>2118.5500000000002</v>
      </c>
      <c r="C2471" s="25">
        <f t="shared" si="520"/>
        <v>-5.2868565740604861E-3</v>
      </c>
      <c r="E2471" s="25">
        <f t="shared" si="516"/>
        <v>0.16008016602690822</v>
      </c>
      <c r="F2471" s="25">
        <f t="shared" si="513"/>
        <v>0.15124689709240369</v>
      </c>
      <c r="G2471" s="25">
        <f t="shared" si="528"/>
        <v>0.19640753800449096</v>
      </c>
      <c r="H2471" s="25">
        <f t="shared" si="525"/>
        <v>0.12826654756853384</v>
      </c>
      <c r="I2471" s="25">
        <f t="shared" si="522"/>
        <v>0.1615053043995085</v>
      </c>
      <c r="K2471" s="29">
        <v>46065</v>
      </c>
      <c r="L2471" s="24">
        <v>37785.120000000003</v>
      </c>
      <c r="M2471" s="25">
        <f t="shared" si="521"/>
        <v>-5.5590666378721471E-3</v>
      </c>
      <c r="O2471" t="b">
        <f t="shared" si="519"/>
        <v>1</v>
      </c>
      <c r="Q2471" s="25">
        <f t="shared" si="517"/>
        <v>0.11313820015389742</v>
      </c>
      <c r="R2471" s="25">
        <f t="shared" si="514"/>
        <v>0.11200703053301675</v>
      </c>
      <c r="S2471" s="25">
        <f t="shared" si="529"/>
        <v>0.16697345060296453</v>
      </c>
      <c r="T2471" s="25">
        <f t="shared" si="526"/>
        <v>0.11879763992341097</v>
      </c>
      <c r="U2471" s="25">
        <f t="shared" si="523"/>
        <v>0.15716630901929407</v>
      </c>
      <c r="X2471">
        <f t="shared" si="518"/>
        <v>1</v>
      </c>
      <c r="Y2471">
        <f t="shared" si="515"/>
        <v>1</v>
      </c>
      <c r="Z2471">
        <f t="shared" si="530"/>
        <v>1</v>
      </c>
      <c r="AA2471">
        <f t="shared" si="527"/>
        <v>1</v>
      </c>
      <c r="AB2471">
        <f t="shared" si="524"/>
        <v>1</v>
      </c>
    </row>
    <row r="2472" spans="1:28">
      <c r="A2472" s="26">
        <v>46066</v>
      </c>
      <c r="B2472" s="23">
        <v>2095.1799999999998</v>
      </c>
      <c r="C2472" s="25">
        <f t="shared" si="520"/>
        <v>-1.103112978216249E-2</v>
      </c>
      <c r="E2472" s="25">
        <f t="shared" si="516"/>
        <v>0.14559571327027165</v>
      </c>
      <c r="F2472" s="25">
        <f t="shared" si="513"/>
        <v>0.14396382528627338</v>
      </c>
      <c r="G2472" s="25">
        <f t="shared" si="528"/>
        <v>0.19252565873368477</v>
      </c>
      <c r="H2472" s="25">
        <f t="shared" si="525"/>
        <v>0.12542842002789345</v>
      </c>
      <c r="I2472" s="25">
        <f t="shared" si="522"/>
        <v>0.15803605615984484</v>
      </c>
      <c r="K2472" s="28">
        <v>46066</v>
      </c>
      <c r="L2472" s="23">
        <v>37245.019999999997</v>
      </c>
      <c r="M2472" s="25">
        <f t="shared" si="521"/>
        <v>-1.4501267552011138E-2</v>
      </c>
      <c r="O2472" t="b">
        <f t="shared" si="519"/>
        <v>1</v>
      </c>
      <c r="Q2472" s="25">
        <f t="shared" si="517"/>
        <v>9.3657494669725505E-2</v>
      </c>
      <c r="R2472" s="25">
        <f t="shared" si="514"/>
        <v>0.10215457169424536</v>
      </c>
      <c r="S2472" s="25">
        <f t="shared" si="529"/>
        <v>0.16198991108225447</v>
      </c>
      <c r="T2472" s="25">
        <f t="shared" si="526"/>
        <v>0.11387476316877998</v>
      </c>
      <c r="U2472" s="25">
        <f t="shared" si="523"/>
        <v>0.15284457121181272</v>
      </c>
      <c r="X2472">
        <f t="shared" si="518"/>
        <v>1</v>
      </c>
      <c r="Y2472">
        <f t="shared" si="515"/>
        <v>1</v>
      </c>
      <c r="Z2472">
        <f t="shared" si="530"/>
        <v>1</v>
      </c>
      <c r="AA2472">
        <f t="shared" si="527"/>
        <v>1</v>
      </c>
      <c r="AB2472">
        <f t="shared" si="524"/>
        <v>1</v>
      </c>
    </row>
    <row r="2473" spans="1:28">
      <c r="A2473" s="27">
        <v>46069</v>
      </c>
      <c r="B2473" s="24">
        <v>2103.9699999999998</v>
      </c>
      <c r="C2473" s="25">
        <f t="shared" si="520"/>
        <v>4.1953435981633867E-3</v>
      </c>
      <c r="E2473" s="25">
        <f t="shared" si="516"/>
        <v>0.1413034044307504</v>
      </c>
      <c r="F2473" s="25">
        <f t="shared" si="513"/>
        <v>0.14197912888934416</v>
      </c>
      <c r="G2473" s="25">
        <f t="shared" si="528"/>
        <v>0.1944327697278676</v>
      </c>
      <c r="H2473" s="25">
        <f t="shared" si="525"/>
        <v>0.1304918439539644</v>
      </c>
      <c r="I2473" s="25">
        <f t="shared" si="522"/>
        <v>0.15902223098640444</v>
      </c>
      <c r="K2473" s="29">
        <v>46069</v>
      </c>
      <c r="L2473" s="24">
        <v>37500.33</v>
      </c>
      <c r="M2473" s="25">
        <f t="shared" si="521"/>
        <v>6.8082067544473594E-3</v>
      </c>
      <c r="O2473" t="b">
        <f t="shared" si="519"/>
        <v>1</v>
      </c>
      <c r="Q2473" s="25">
        <f t="shared" si="517"/>
        <v>9.2864386923045439E-2</v>
      </c>
      <c r="R2473" s="25">
        <f t="shared" si="514"/>
        <v>0.10140142277798692</v>
      </c>
      <c r="S2473" s="25">
        <f t="shared" si="529"/>
        <v>0.16519158216614604</v>
      </c>
      <c r="T2473" s="25">
        <f t="shared" si="526"/>
        <v>0.11948877690145809</v>
      </c>
      <c r="U2473" s="25">
        <f t="shared" si="523"/>
        <v>0.15475078518548102</v>
      </c>
      <c r="X2473">
        <f t="shared" si="518"/>
        <v>1</v>
      </c>
      <c r="Y2473">
        <f t="shared" si="515"/>
        <v>1</v>
      </c>
      <c r="Z2473">
        <f t="shared" si="530"/>
        <v>1</v>
      </c>
      <c r="AA2473">
        <f t="shared" si="527"/>
        <v>1</v>
      </c>
      <c r="AB2473">
        <f t="shared" si="524"/>
        <v>1</v>
      </c>
    </row>
    <row r="2474" spans="1:28">
      <c r="A2474" s="26">
        <v>46070</v>
      </c>
      <c r="B2474" s="23">
        <v>2108.7800000000002</v>
      </c>
      <c r="C2474" s="25">
        <f t="shared" si="520"/>
        <v>2.2861542702606978E-3</v>
      </c>
      <c r="E2474" s="25">
        <f t="shared" si="516"/>
        <v>0.14753545269527568</v>
      </c>
      <c r="F2474" s="25">
        <f t="shared" si="513"/>
        <v>0.13932885280513374</v>
      </c>
      <c r="G2474" s="25">
        <f t="shared" si="528"/>
        <v>0.19343471203817519</v>
      </c>
      <c r="H2474" s="25">
        <f t="shared" si="525"/>
        <v>0.13402939392402136</v>
      </c>
      <c r="I2474" s="25">
        <f t="shared" si="522"/>
        <v>0.15987701765448104</v>
      </c>
      <c r="K2474" s="28">
        <v>46070</v>
      </c>
      <c r="L2474" s="23">
        <v>37608.58</v>
      </c>
      <c r="M2474" s="25">
        <f t="shared" si="521"/>
        <v>2.8783325507105027E-3</v>
      </c>
      <c r="O2474" t="b">
        <f t="shared" si="519"/>
        <v>1</v>
      </c>
      <c r="Q2474" s="25">
        <f t="shared" si="517"/>
        <v>9.7159617517058372E-2</v>
      </c>
      <c r="R2474" s="25">
        <f t="shared" si="514"/>
        <v>9.9101485445971749E-2</v>
      </c>
      <c r="S2474" s="25">
        <f t="shared" si="529"/>
        <v>0.1646245481354669</v>
      </c>
      <c r="T2474" s="25">
        <f t="shared" si="526"/>
        <v>0.12209553749560698</v>
      </c>
      <c r="U2474" s="25">
        <f t="shared" si="523"/>
        <v>0.15485598815933055</v>
      </c>
      <c r="X2474">
        <f t="shared" si="518"/>
        <v>1</v>
      </c>
      <c r="Y2474">
        <f t="shared" si="515"/>
        <v>1</v>
      </c>
      <c r="Z2474">
        <f t="shared" si="530"/>
        <v>1</v>
      </c>
      <c r="AA2474">
        <f t="shared" si="527"/>
        <v>1</v>
      </c>
      <c r="AB2474">
        <f t="shared" si="524"/>
        <v>1</v>
      </c>
    </row>
    <row r="2475" spans="1:28">
      <c r="A2475" s="27">
        <v>46071</v>
      </c>
      <c r="B2475" s="24">
        <v>2114.71</v>
      </c>
      <c r="C2475" s="25">
        <f t="shared" si="520"/>
        <v>2.8120524663548759E-3</v>
      </c>
      <c r="E2475" s="25">
        <f t="shared" si="516"/>
        <v>0.14306177163737011</v>
      </c>
      <c r="F2475" s="25">
        <f t="shared" si="513"/>
        <v>0.14353002313825769</v>
      </c>
      <c r="G2475" s="25">
        <f t="shared" si="528"/>
        <v>0.1959614474840552</v>
      </c>
      <c r="H2475" s="25">
        <f t="shared" si="525"/>
        <v>0.13639315771412819</v>
      </c>
      <c r="I2475" s="25">
        <f t="shared" si="522"/>
        <v>0.16271513891749811</v>
      </c>
      <c r="K2475" s="29">
        <v>46071</v>
      </c>
      <c r="L2475" s="24">
        <v>37783.040000000001</v>
      </c>
      <c r="M2475" s="25">
        <f t="shared" si="521"/>
        <v>4.6174156446913512E-3</v>
      </c>
      <c r="O2475" t="b">
        <f t="shared" si="519"/>
        <v>1</v>
      </c>
      <c r="Q2475" s="25">
        <f t="shared" si="517"/>
        <v>9.5741481498452519E-2</v>
      </c>
      <c r="R2475" s="25">
        <f t="shared" si="514"/>
        <v>0.10325785810100774</v>
      </c>
      <c r="S2475" s="25">
        <f t="shared" si="529"/>
        <v>0.16745489788173584</v>
      </c>
      <c r="T2475" s="25">
        <f t="shared" si="526"/>
        <v>0.12539771400520183</v>
      </c>
      <c r="U2475" s="25">
        <f t="shared" si="523"/>
        <v>0.15859277310393449</v>
      </c>
      <c r="X2475">
        <f t="shared" si="518"/>
        <v>1</v>
      </c>
      <c r="Y2475">
        <f t="shared" si="515"/>
        <v>1</v>
      </c>
      <c r="Z2475">
        <f t="shared" si="530"/>
        <v>1</v>
      </c>
      <c r="AA2475">
        <f t="shared" si="527"/>
        <v>1</v>
      </c>
      <c r="AB2475">
        <f t="shared" si="524"/>
        <v>1</v>
      </c>
    </row>
    <row r="2476" spans="1:28">
      <c r="A2476" s="26">
        <v>46072</v>
      </c>
      <c r="B2476" s="23">
        <v>2085.69</v>
      </c>
      <c r="C2476" s="25">
        <f t="shared" si="520"/>
        <v>-1.3722921819067381E-2</v>
      </c>
      <c r="E2476" s="25">
        <f t="shared" si="516"/>
        <v>0.14329488894248699</v>
      </c>
      <c r="F2476" s="25">
        <f t="shared" si="513"/>
        <v>0.14501979100001217</v>
      </c>
      <c r="G2476" s="25">
        <f t="shared" si="528"/>
        <v>0.18893512930425382</v>
      </c>
      <c r="H2476" s="25">
        <f t="shared" si="525"/>
        <v>0.13662694658648555</v>
      </c>
      <c r="I2476" s="25">
        <f t="shared" si="522"/>
        <v>0.16334254229459888</v>
      </c>
      <c r="K2476" s="28">
        <v>46072</v>
      </c>
      <c r="L2476" s="23">
        <v>37226.449999999997</v>
      </c>
      <c r="M2476" s="25">
        <f t="shared" si="521"/>
        <v>-1.4951465960358934E-2</v>
      </c>
      <c r="O2476" t="b">
        <f t="shared" si="519"/>
        <v>1</v>
      </c>
      <c r="Q2476" s="25">
        <f t="shared" si="517"/>
        <v>9.8524272383275324E-2</v>
      </c>
      <c r="R2476" s="25">
        <f t="shared" si="514"/>
        <v>0.10461201024821398</v>
      </c>
      <c r="S2476" s="25">
        <f t="shared" si="529"/>
        <v>0.15940755381206118</v>
      </c>
      <c r="T2476" s="25">
        <f t="shared" si="526"/>
        <v>0.12454107655456603</v>
      </c>
      <c r="U2476" s="25">
        <f t="shared" si="523"/>
        <v>0.15818448560550458</v>
      </c>
      <c r="X2476">
        <f t="shared" si="518"/>
        <v>1</v>
      </c>
      <c r="Y2476">
        <f t="shared" si="515"/>
        <v>1</v>
      </c>
      <c r="Z2476">
        <f t="shared" si="530"/>
        <v>1</v>
      </c>
      <c r="AA2476">
        <f t="shared" si="527"/>
        <v>1</v>
      </c>
      <c r="AB2476">
        <f t="shared" si="524"/>
        <v>1</v>
      </c>
    </row>
    <row r="2477" spans="1:28">
      <c r="A2477" s="27">
        <v>46073</v>
      </c>
      <c r="B2477" s="24">
        <v>2091.37</v>
      </c>
      <c r="C2477" s="25">
        <f t="shared" si="520"/>
        <v>2.723319381116003E-3</v>
      </c>
      <c r="E2477" s="25">
        <f t="shared" si="516"/>
        <v>0.14646500638639615</v>
      </c>
      <c r="F2477" s="25">
        <f t="shared" si="513"/>
        <v>0.14779785649196042</v>
      </c>
      <c r="G2477" s="25">
        <f t="shared" si="528"/>
        <v>0.18809542662688172</v>
      </c>
      <c r="H2477" s="25">
        <f t="shared" si="525"/>
        <v>0.14591725710576475</v>
      </c>
      <c r="I2477" s="25">
        <f t="shared" si="522"/>
        <v>0.16040548175043701</v>
      </c>
      <c r="K2477" s="29">
        <v>46073</v>
      </c>
      <c r="L2477" s="24">
        <v>37384.870000000003</v>
      </c>
      <c r="M2477" s="25">
        <f t="shared" si="521"/>
        <v>4.2375431558276258E-3</v>
      </c>
      <c r="O2477" t="b">
        <f t="shared" si="519"/>
        <v>1</v>
      </c>
      <c r="Q2477" s="25">
        <f t="shared" si="517"/>
        <v>0.10508301527168862</v>
      </c>
      <c r="R2477" s="25">
        <f t="shared" si="514"/>
        <v>0.10903382400704498</v>
      </c>
      <c r="S2477" s="25">
        <f t="shared" si="529"/>
        <v>0.15929042751042988</v>
      </c>
      <c r="T2477" s="25">
        <f t="shared" si="526"/>
        <v>0.13458849845118959</v>
      </c>
      <c r="U2477" s="25">
        <f t="shared" si="523"/>
        <v>0.15516215678889589</v>
      </c>
      <c r="X2477">
        <f t="shared" si="518"/>
        <v>1</v>
      </c>
      <c r="Y2477">
        <f t="shared" si="515"/>
        <v>1</v>
      </c>
      <c r="Z2477">
        <f t="shared" si="530"/>
        <v>1</v>
      </c>
      <c r="AA2477">
        <f t="shared" si="527"/>
        <v>1</v>
      </c>
      <c r="AB2477">
        <f t="shared" si="524"/>
        <v>1</v>
      </c>
    </row>
    <row r="2478" spans="1:28">
      <c r="A2478" s="26">
        <v>46076</v>
      </c>
      <c r="B2478" s="23">
        <v>2102.34</v>
      </c>
      <c r="C2478" s="25">
        <f t="shared" si="520"/>
        <v>5.2453654781316819E-3</v>
      </c>
      <c r="E2478" s="25">
        <f t="shared" si="516"/>
        <v>0.14723360599826485</v>
      </c>
      <c r="F2478" s="25">
        <f t="shared" si="513"/>
        <v>0.14548405210924664</v>
      </c>
      <c r="G2478" s="25">
        <f t="shared" si="528"/>
        <v>0.19107720335443967</v>
      </c>
      <c r="H2478" s="25">
        <f t="shared" si="525"/>
        <v>0.14473421278610932</v>
      </c>
      <c r="I2478" s="25">
        <f t="shared" si="522"/>
        <v>0.16013713153823184</v>
      </c>
      <c r="K2478" s="28">
        <v>46076</v>
      </c>
      <c r="L2478" s="23">
        <v>37528.69</v>
      </c>
      <c r="M2478" s="25">
        <f t="shared" si="521"/>
        <v>3.8322680594499755E-3</v>
      </c>
      <c r="O2478" t="b">
        <f t="shared" si="519"/>
        <v>1</v>
      </c>
      <c r="Q2478" s="25">
        <f t="shared" si="517"/>
        <v>0.10204571256070571</v>
      </c>
      <c r="R2478" s="25">
        <f t="shared" si="514"/>
        <v>0.10557979671261419</v>
      </c>
      <c r="S2478" s="25">
        <f t="shared" si="529"/>
        <v>0.16191095376433151</v>
      </c>
      <c r="T2478" s="25">
        <f t="shared" si="526"/>
        <v>0.13337035334182423</v>
      </c>
      <c r="U2478" s="25">
        <f t="shared" si="523"/>
        <v>0.15419552253288837</v>
      </c>
      <c r="X2478">
        <f t="shared" si="518"/>
        <v>1</v>
      </c>
      <c r="Y2478">
        <f t="shared" si="515"/>
        <v>1</v>
      </c>
      <c r="Z2478">
        <f t="shared" si="530"/>
        <v>1</v>
      </c>
      <c r="AA2478">
        <f t="shared" si="527"/>
        <v>1</v>
      </c>
      <c r="AB2478">
        <f t="shared" si="524"/>
        <v>1</v>
      </c>
    </row>
    <row r="2479" spans="1:28">
      <c r="A2479" s="27">
        <v>46077</v>
      </c>
      <c r="B2479" s="24">
        <v>2082.12</v>
      </c>
      <c r="C2479" s="25">
        <f t="shared" si="520"/>
        <v>-9.6178543908217763E-3</v>
      </c>
      <c r="E2479" s="25">
        <f t="shared" si="516"/>
        <v>0.14651028330717764</v>
      </c>
      <c r="F2479" s="25">
        <f t="shared" ref="F2479:F2542" si="531">((B2479/B1987)^(1/2))-1</f>
        <v>0.15021256468415478</v>
      </c>
      <c r="G2479" s="25">
        <f t="shared" si="528"/>
        <v>0.18963197257900011</v>
      </c>
      <c r="H2479" s="25">
        <f t="shared" si="525"/>
        <v>0.14576203321747383</v>
      </c>
      <c r="I2479" s="25">
        <f t="shared" si="522"/>
        <v>0.15980455048399422</v>
      </c>
      <c r="K2479" s="29">
        <v>46077</v>
      </c>
      <c r="L2479" s="24">
        <v>37240.51</v>
      </c>
      <c r="M2479" s="25">
        <f t="shared" si="521"/>
        <v>-7.738347299755032E-3</v>
      </c>
      <c r="O2479" t="b">
        <f t="shared" si="519"/>
        <v>1</v>
      </c>
      <c r="Q2479" s="25">
        <f t="shared" si="517"/>
        <v>0.10482195966743069</v>
      </c>
      <c r="R2479" s="25">
        <f t="shared" ref="R2479:R2542" si="532">((L2479/L1987)^(1/2))-1</f>
        <v>0.11273211928257765</v>
      </c>
      <c r="S2479" s="25">
        <f t="shared" si="529"/>
        <v>0.1607339332681601</v>
      </c>
      <c r="T2479" s="25">
        <f t="shared" si="526"/>
        <v>0.13411234060643351</v>
      </c>
      <c r="U2479" s="25">
        <f t="shared" si="523"/>
        <v>0.15360133208424442</v>
      </c>
      <c r="X2479">
        <f t="shared" si="518"/>
        <v>1</v>
      </c>
      <c r="Y2479">
        <f t="shared" ref="Y2479:Y2542" si="533">IF(F2479&gt;R2479,1,0)</f>
        <v>1</v>
      </c>
      <c r="Z2479">
        <f t="shared" si="530"/>
        <v>1</v>
      </c>
      <c r="AA2479">
        <f t="shared" si="527"/>
        <v>1</v>
      </c>
      <c r="AB2479">
        <f t="shared" si="524"/>
        <v>1</v>
      </c>
    </row>
    <row r="2480" spans="1:28">
      <c r="A2480" s="26">
        <v>46078</v>
      </c>
      <c r="B2480" s="23">
        <v>2093.6</v>
      </c>
      <c r="C2480" s="25">
        <f t="shared" si="520"/>
        <v>5.5136111271204442E-3</v>
      </c>
      <c r="E2480" s="25">
        <f t="shared" si="516"/>
        <v>0.17332556197564353</v>
      </c>
      <c r="F2480" s="25">
        <f t="shared" si="531"/>
        <v>0.14586441137751049</v>
      </c>
      <c r="G2480" s="25">
        <f t="shared" si="528"/>
        <v>0.19018055975140857</v>
      </c>
      <c r="H2480" s="25">
        <f t="shared" si="525"/>
        <v>0.14592982813455047</v>
      </c>
      <c r="I2480" s="25">
        <f t="shared" si="522"/>
        <v>0.16421171080987018</v>
      </c>
      <c r="K2480" s="28">
        <v>46078</v>
      </c>
      <c r="L2480" s="23">
        <v>37399.019999999997</v>
      </c>
      <c r="M2480" s="25">
        <f t="shared" si="521"/>
        <v>4.2383463523909121E-3</v>
      </c>
      <c r="O2480" t="b">
        <f t="shared" si="519"/>
        <v>1</v>
      </c>
      <c r="Q2480" s="25">
        <f t="shared" si="517"/>
        <v>0.13116675952155843</v>
      </c>
      <c r="R2480" s="25">
        <f t="shared" si="532"/>
        <v>0.10806062360344271</v>
      </c>
      <c r="S2480" s="25">
        <f t="shared" si="529"/>
        <v>0.16098543234171636</v>
      </c>
      <c r="T2480" s="25">
        <f t="shared" si="526"/>
        <v>0.13447715830557083</v>
      </c>
      <c r="U2480" s="25">
        <f t="shared" si="523"/>
        <v>0.15770594420234985</v>
      </c>
      <c r="X2480">
        <f t="shared" si="518"/>
        <v>1</v>
      </c>
      <c r="Y2480">
        <f t="shared" si="533"/>
        <v>1</v>
      </c>
      <c r="Z2480">
        <f t="shared" si="530"/>
        <v>1</v>
      </c>
      <c r="AA2480">
        <f t="shared" si="527"/>
        <v>1</v>
      </c>
      <c r="AB2480">
        <f t="shared" si="524"/>
        <v>1</v>
      </c>
    </row>
    <row r="2481" spans="1:28">
      <c r="A2481" s="27">
        <v>46079</v>
      </c>
      <c r="B2481" s="24">
        <v>2098.33</v>
      </c>
      <c r="C2481" s="25">
        <f t="shared" si="520"/>
        <v>2.2592663354986712E-3</v>
      </c>
      <c r="E2481" s="25">
        <f t="shared" si="516"/>
        <v>0.17471896273736998</v>
      </c>
      <c r="F2481" s="25">
        <f t="shared" si="531"/>
        <v>0.15023887562086236</v>
      </c>
      <c r="G2481" s="25">
        <f t="shared" si="528"/>
        <v>0.19219088890286473</v>
      </c>
      <c r="H2481" s="25">
        <f t="shared" si="525"/>
        <v>0.14337864720122373</v>
      </c>
      <c r="I2481" s="25">
        <f t="shared" si="522"/>
        <v>0.16615840352752365</v>
      </c>
      <c r="K2481" s="29">
        <v>46079</v>
      </c>
      <c r="L2481" s="24">
        <v>37470.480000000003</v>
      </c>
      <c r="M2481" s="25">
        <f t="shared" si="521"/>
        <v>1.9071012701200091E-3</v>
      </c>
      <c r="O2481" t="b">
        <f t="shared" si="519"/>
        <v>1</v>
      </c>
      <c r="Q2481" s="25">
        <f t="shared" si="517"/>
        <v>0.13257861300644236</v>
      </c>
      <c r="R2481" s="25">
        <f t="shared" si="532"/>
        <v>0.11077261426830187</v>
      </c>
      <c r="S2481" s="25">
        <f t="shared" si="529"/>
        <v>0.16208677943916006</v>
      </c>
      <c r="T2481" s="25">
        <f t="shared" si="526"/>
        <v>0.13122973349059541</v>
      </c>
      <c r="U2481" s="25">
        <f t="shared" si="523"/>
        <v>0.1603250335818116</v>
      </c>
      <c r="X2481">
        <f t="shared" si="518"/>
        <v>1</v>
      </c>
      <c r="Y2481">
        <f t="shared" si="533"/>
        <v>1</v>
      </c>
      <c r="Z2481">
        <f t="shared" si="530"/>
        <v>1</v>
      </c>
      <c r="AA2481">
        <f t="shared" si="527"/>
        <v>1</v>
      </c>
      <c r="AB2481">
        <f t="shared" si="524"/>
        <v>1</v>
      </c>
    </row>
    <row r="2482" spans="1:28">
      <c r="A2482" s="26">
        <v>46080</v>
      </c>
      <c r="B2482" s="23">
        <v>2076.86</v>
      </c>
      <c r="C2482" s="25">
        <f t="shared" si="520"/>
        <v>-1.023194635734122E-2</v>
      </c>
      <c r="E2482" s="25">
        <f t="shared" si="516"/>
        <v>0.14510828812138854</v>
      </c>
      <c r="F2482" s="25">
        <f t="shared" si="531"/>
        <v>0.13657226260372224</v>
      </c>
      <c r="G2482" s="25">
        <f t="shared" si="528"/>
        <v>0.19329514664215797</v>
      </c>
      <c r="H2482" s="25">
        <f t="shared" si="525"/>
        <v>0.13578120923910841</v>
      </c>
      <c r="I2482" s="25">
        <f t="shared" si="522"/>
        <v>0.16819988294664956</v>
      </c>
      <c r="K2482" s="28">
        <v>46080</v>
      </c>
      <c r="L2482" s="23">
        <v>37020.379999999997</v>
      </c>
      <c r="M2482" s="25">
        <f t="shared" si="521"/>
        <v>-1.2158168014482992E-2</v>
      </c>
      <c r="O2482" t="b">
        <f t="shared" si="519"/>
        <v>1</v>
      </c>
      <c r="Q2482" s="25">
        <f t="shared" si="517"/>
        <v>0.10202005167712525</v>
      </c>
      <c r="R2482" s="25">
        <f t="shared" si="532"/>
        <v>9.5115864001498851E-2</v>
      </c>
      <c r="S2482" s="25">
        <f t="shared" si="529"/>
        <v>0.16288741649032268</v>
      </c>
      <c r="T2482" s="25">
        <f t="shared" si="526"/>
        <v>0.12416432572562819</v>
      </c>
      <c r="U2482" s="25">
        <f t="shared" si="523"/>
        <v>0.16143945579557006</v>
      </c>
      <c r="X2482">
        <f t="shared" si="518"/>
        <v>1</v>
      </c>
      <c r="Y2482">
        <f t="shared" si="533"/>
        <v>1</v>
      </c>
      <c r="Z2482">
        <f t="shared" si="530"/>
        <v>1</v>
      </c>
      <c r="AA2482">
        <f t="shared" si="527"/>
        <v>1</v>
      </c>
      <c r="AB2482">
        <f t="shared" si="524"/>
        <v>1</v>
      </c>
    </row>
    <row r="2483" spans="1:28">
      <c r="A2483" s="27">
        <v>46083</v>
      </c>
      <c r="B2483" s="24">
        <v>2048.31</v>
      </c>
      <c r="C2483" s="25">
        <f t="shared" si="520"/>
        <v>-1.3746713789085534E-2</v>
      </c>
      <c r="E2483" s="25">
        <f t="shared" si="516"/>
        <v>0.1294913646690341</v>
      </c>
      <c r="F2483" s="25">
        <f t="shared" si="531"/>
        <v>0.13332800937927214</v>
      </c>
      <c r="G2483" s="25">
        <f t="shared" si="528"/>
        <v>0.1932911677588951</v>
      </c>
      <c r="H2483" s="25">
        <f t="shared" si="525"/>
        <v>0.12878600592613987</v>
      </c>
      <c r="I2483" s="25">
        <f t="shared" si="522"/>
        <v>0.16672577904408081</v>
      </c>
      <c r="K2483" s="29">
        <v>46083</v>
      </c>
      <c r="L2483" s="24">
        <v>36491.589999999997</v>
      </c>
      <c r="M2483" s="25">
        <f t="shared" si="521"/>
        <v>-1.4490736084670493E-2</v>
      </c>
      <c r="O2483" t="b">
        <f t="shared" si="519"/>
        <v>1</v>
      </c>
      <c r="Q2483" s="25">
        <f t="shared" si="517"/>
        <v>8.3604668116358916E-2</v>
      </c>
      <c r="R2483" s="25">
        <f t="shared" si="532"/>
        <v>9.1068016537804608E-2</v>
      </c>
      <c r="S2483" s="25">
        <f t="shared" si="529"/>
        <v>0.16498006088087602</v>
      </c>
      <c r="T2483" s="25">
        <f t="shared" si="526"/>
        <v>0.11686570840106603</v>
      </c>
      <c r="U2483" s="25">
        <f t="shared" si="523"/>
        <v>0.16019132507855294</v>
      </c>
      <c r="X2483">
        <f t="shared" si="518"/>
        <v>1</v>
      </c>
      <c r="Y2483">
        <f t="shared" si="533"/>
        <v>1</v>
      </c>
      <c r="Z2483">
        <f t="shared" si="530"/>
        <v>1</v>
      </c>
      <c r="AA2483">
        <f t="shared" si="527"/>
        <v>1</v>
      </c>
      <c r="AB2483">
        <f t="shared" si="524"/>
        <v>1</v>
      </c>
    </row>
    <row r="2484" spans="1:28">
      <c r="A2484" s="26">
        <v>46085</v>
      </c>
      <c r="B2484" s="23">
        <v>2012.44</v>
      </c>
      <c r="C2484" s="25">
        <f t="shared" si="520"/>
        <v>-1.7511997695661249E-2</v>
      </c>
      <c r="E2484" s="25">
        <f t="shared" si="516"/>
        <v>0.10206070961135127</v>
      </c>
      <c r="F2484" s="25">
        <f t="shared" si="531"/>
        <v>0.11699099461694473</v>
      </c>
      <c r="G2484" s="25">
        <f t="shared" si="528"/>
        <v>0.18468473573108324</v>
      </c>
      <c r="H2484" s="25">
        <f t="shared" si="525"/>
        <v>0.12662355105697887</v>
      </c>
      <c r="I2484" s="25">
        <f t="shared" si="522"/>
        <v>0.16530422748298634</v>
      </c>
      <c r="K2484" s="28">
        <v>46085</v>
      </c>
      <c r="L2484" s="23">
        <v>35810.620000000003</v>
      </c>
      <c r="M2484" s="25">
        <f t="shared" si="521"/>
        <v>-1.9015867360017612E-2</v>
      </c>
      <c r="O2484" t="b">
        <f t="shared" si="519"/>
        <v>1</v>
      </c>
      <c r="Q2484" s="25">
        <f t="shared" si="517"/>
        <v>4.9213133073139348E-2</v>
      </c>
      <c r="R2484" s="25">
        <f t="shared" si="532"/>
        <v>7.4600019702601994E-2</v>
      </c>
      <c r="S2484" s="25">
        <f t="shared" si="529"/>
        <v>0.15821995591608351</v>
      </c>
      <c r="T2484" s="25">
        <f t="shared" si="526"/>
        <v>0.11444643145654787</v>
      </c>
      <c r="U2484" s="25">
        <f t="shared" si="523"/>
        <v>0.15867962677745195</v>
      </c>
      <c r="X2484">
        <f t="shared" si="518"/>
        <v>1</v>
      </c>
      <c r="Y2484">
        <f t="shared" si="533"/>
        <v>1</v>
      </c>
      <c r="Z2484">
        <f t="shared" si="530"/>
        <v>1</v>
      </c>
      <c r="AA2484">
        <f t="shared" si="527"/>
        <v>1</v>
      </c>
      <c r="AB2484">
        <f t="shared" si="524"/>
        <v>1</v>
      </c>
    </row>
    <row r="2485" spans="1:28">
      <c r="A2485" s="27">
        <v>46086</v>
      </c>
      <c r="B2485" s="24">
        <v>2034.16</v>
      </c>
      <c r="C2485" s="25">
        <f t="shared" si="520"/>
        <v>1.0792868358808227E-2</v>
      </c>
      <c r="E2485" s="25">
        <f t="shared" si="516"/>
        <v>0.11888142659912115</v>
      </c>
      <c r="F2485" s="25">
        <f t="shared" si="531"/>
        <v>0.12507613904656023</v>
      </c>
      <c r="G2485" s="25">
        <f t="shared" si="528"/>
        <v>0.18712308524923738</v>
      </c>
      <c r="H2485" s="25">
        <f t="shared" si="525"/>
        <v>0.13003361095844657</v>
      </c>
      <c r="I2485" s="25">
        <f t="shared" si="522"/>
        <v>0.1591133255710202</v>
      </c>
      <c r="K2485" s="29">
        <v>46086</v>
      </c>
      <c r="L2485" s="24">
        <v>36270.839999999997</v>
      </c>
      <c r="M2485" s="25">
        <f t="shared" si="521"/>
        <v>1.2688429603505018E-2</v>
      </c>
      <c r="O2485" t="b">
        <f t="shared" si="519"/>
        <v>1</v>
      </c>
      <c r="Q2485" s="25">
        <f t="shared" si="517"/>
        <v>7.1532202386386023E-2</v>
      </c>
      <c r="R2485" s="25">
        <f t="shared" si="532"/>
        <v>8.2156955810748E-2</v>
      </c>
      <c r="S2485" s="25">
        <f t="shared" si="529"/>
        <v>0.16103588921972167</v>
      </c>
      <c r="T2485" s="25">
        <f t="shared" si="526"/>
        <v>0.1189340162575967</v>
      </c>
      <c r="U2485" s="25">
        <f t="shared" si="523"/>
        <v>0.15225733785823792</v>
      </c>
      <c r="X2485">
        <f t="shared" si="518"/>
        <v>1</v>
      </c>
      <c r="Y2485">
        <f t="shared" si="533"/>
        <v>1</v>
      </c>
      <c r="Z2485">
        <f t="shared" si="530"/>
        <v>1</v>
      </c>
      <c r="AA2485">
        <f t="shared" si="527"/>
        <v>1</v>
      </c>
      <c r="AB2485">
        <f t="shared" si="524"/>
        <v>1</v>
      </c>
    </row>
    <row r="2486" spans="1:28">
      <c r="A2486" s="26">
        <v>46087</v>
      </c>
      <c r="B2486" s="23">
        <v>2020.8</v>
      </c>
      <c r="C2486" s="25">
        <f t="shared" si="520"/>
        <v>-6.5678216069533007E-3</v>
      </c>
      <c r="E2486" s="25">
        <f t="shared" si="516"/>
        <v>9.6693313361879474E-2</v>
      </c>
      <c r="F2486" s="25">
        <f t="shared" si="531"/>
        <v>0.11833494701468039</v>
      </c>
      <c r="G2486" s="25">
        <f t="shared" si="528"/>
        <v>0.18529556087304244</v>
      </c>
      <c r="H2486" s="25">
        <f t="shared" si="525"/>
        <v>0.13281521823005593</v>
      </c>
      <c r="I2486" s="25">
        <f t="shared" si="522"/>
        <v>0.1520910866168399</v>
      </c>
      <c r="K2486" s="28">
        <v>46087</v>
      </c>
      <c r="L2486" s="23">
        <v>35926.53</v>
      </c>
      <c r="M2486" s="25">
        <f t="shared" si="521"/>
        <v>-9.5837254530286575E-3</v>
      </c>
      <c r="O2486" t="b">
        <f t="shared" si="519"/>
        <v>1</v>
      </c>
      <c r="Q2486" s="25">
        <f t="shared" si="517"/>
        <v>4.5478487195216299E-2</v>
      </c>
      <c r="R2486" s="25">
        <f t="shared" si="532"/>
        <v>7.3386355668922487E-2</v>
      </c>
      <c r="S2486" s="25">
        <f t="shared" si="529"/>
        <v>0.15962741112296985</v>
      </c>
      <c r="T2486" s="25">
        <f t="shared" si="526"/>
        <v>0.12027559946205812</v>
      </c>
      <c r="U2486" s="25">
        <f t="shared" si="523"/>
        <v>0.14460378836405141</v>
      </c>
      <c r="X2486">
        <f t="shared" si="518"/>
        <v>1</v>
      </c>
      <c r="Y2486">
        <f t="shared" si="533"/>
        <v>1</v>
      </c>
      <c r="Z2486">
        <f t="shared" si="530"/>
        <v>1</v>
      </c>
      <c r="AA2486">
        <f t="shared" si="527"/>
        <v>1</v>
      </c>
      <c r="AB2486">
        <f t="shared" si="524"/>
        <v>1</v>
      </c>
    </row>
    <row r="2487" spans="1:28">
      <c r="A2487" s="27">
        <v>46090</v>
      </c>
      <c r="B2487" s="24">
        <v>1982.9</v>
      </c>
      <c r="C2487" s="25">
        <f t="shared" si="520"/>
        <v>-1.8754948535233504E-2</v>
      </c>
      <c r="E2487" s="25">
        <f t="shared" si="516"/>
        <v>7.5657876892531783E-2</v>
      </c>
      <c r="F2487" s="25">
        <f t="shared" si="531"/>
        <v>0.11009178552724719</v>
      </c>
      <c r="G2487" s="25">
        <f t="shared" si="528"/>
        <v>0.17617397111596045</v>
      </c>
      <c r="H2487" s="25">
        <f t="shared" si="525"/>
        <v>0.12748435182062057</v>
      </c>
      <c r="I2487" s="25">
        <f t="shared" si="522"/>
        <v>0.14511952126847683</v>
      </c>
      <c r="K2487" s="29">
        <v>46090</v>
      </c>
      <c r="L2487" s="24">
        <v>35247.72</v>
      </c>
      <c r="M2487" s="25">
        <f t="shared" si="521"/>
        <v>-1.9258266917689927E-2</v>
      </c>
      <c r="O2487" t="b">
        <f t="shared" si="519"/>
        <v>1</v>
      </c>
      <c r="Q2487" s="25">
        <f t="shared" si="517"/>
        <v>2.303798372146959E-2</v>
      </c>
      <c r="R2487" s="25">
        <f t="shared" si="532"/>
        <v>6.4718915603503957E-2</v>
      </c>
      <c r="S2487" s="25">
        <f t="shared" si="529"/>
        <v>0.15248690900052253</v>
      </c>
      <c r="T2487" s="25">
        <f t="shared" si="526"/>
        <v>0.11519758818464076</v>
      </c>
      <c r="U2487" s="25">
        <f t="shared" si="523"/>
        <v>0.13797342854250538</v>
      </c>
      <c r="X2487">
        <f t="shared" si="518"/>
        <v>1</v>
      </c>
      <c r="Y2487">
        <f t="shared" si="533"/>
        <v>1</v>
      </c>
      <c r="Z2487">
        <f t="shared" si="530"/>
        <v>1</v>
      </c>
      <c r="AA2487">
        <f t="shared" si="527"/>
        <v>1</v>
      </c>
      <c r="AB2487">
        <f t="shared" si="524"/>
        <v>1</v>
      </c>
    </row>
    <row r="2488" spans="1:28">
      <c r="A2488" s="26">
        <v>46091</v>
      </c>
      <c r="B2488" s="23">
        <v>2008</v>
      </c>
      <c r="C2488" s="25">
        <f t="shared" si="520"/>
        <v>1.2658227848101219E-2</v>
      </c>
      <c r="E2488" s="25">
        <f t="shared" ref="E2488:E2551" si="534">(B2488/B2243)-1</f>
        <v>9.2438346326893628E-2</v>
      </c>
      <c r="F2488" s="25">
        <f t="shared" si="531"/>
        <v>0.11152806017290429</v>
      </c>
      <c r="G2488" s="25">
        <f t="shared" si="528"/>
        <v>0.17742393198821049</v>
      </c>
      <c r="H2488" s="25">
        <f t="shared" si="525"/>
        <v>0.12717427583605923</v>
      </c>
      <c r="I2488" s="25">
        <f t="shared" si="522"/>
        <v>0.14680167938136424</v>
      </c>
      <c r="K2488" s="28">
        <v>46091</v>
      </c>
      <c r="L2488" s="23">
        <v>35705.47</v>
      </c>
      <c r="M2488" s="25">
        <f t="shared" si="521"/>
        <v>1.2820164529412439E-2</v>
      </c>
      <c r="O2488" t="b">
        <f t="shared" si="519"/>
        <v>1</v>
      </c>
      <c r="Q2488" s="25">
        <f t="shared" ref="Q2488:Q2551" si="535">(L2488/L2243)-1</f>
        <v>4.1594381269576264E-2</v>
      </c>
      <c r="R2488" s="25">
        <f t="shared" si="532"/>
        <v>6.6730246301169416E-2</v>
      </c>
      <c r="S2488" s="25">
        <f t="shared" si="529"/>
        <v>0.15426608296338262</v>
      </c>
      <c r="T2488" s="25">
        <f t="shared" si="526"/>
        <v>0.11577358810879756</v>
      </c>
      <c r="U2488" s="25">
        <f t="shared" si="523"/>
        <v>0.13881982784472968</v>
      </c>
      <c r="X2488">
        <f t="shared" ref="X2488:X2551" si="536">IF(E2488&gt;Q2488,1,0)</f>
        <v>1</v>
      </c>
      <c r="Y2488">
        <f t="shared" si="533"/>
        <v>1</v>
      </c>
      <c r="Z2488">
        <f t="shared" si="530"/>
        <v>1</v>
      </c>
      <c r="AA2488">
        <f t="shared" si="527"/>
        <v>1</v>
      </c>
      <c r="AB2488">
        <f t="shared" si="524"/>
        <v>1</v>
      </c>
    </row>
    <row r="2489" spans="1:28">
      <c r="A2489" s="27">
        <v>46092</v>
      </c>
      <c r="B2489" s="24">
        <v>1982.43</v>
      </c>
      <c r="C2489" s="25">
        <f t="shared" si="520"/>
        <v>-1.2734063745019888E-2</v>
      </c>
      <c r="E2489" s="25">
        <f t="shared" si="534"/>
        <v>7.7366621921992174E-2</v>
      </c>
      <c r="F2489" s="25">
        <f t="shared" si="531"/>
        <v>0.10358319511044556</v>
      </c>
      <c r="G2489" s="25">
        <f t="shared" si="528"/>
        <v>0.17228407548770197</v>
      </c>
      <c r="H2489" s="25">
        <f t="shared" si="525"/>
        <v>0.12162831378064065</v>
      </c>
      <c r="I2489" s="25">
        <f t="shared" si="522"/>
        <v>0.14495383197718281</v>
      </c>
      <c r="K2489" s="29">
        <v>46092</v>
      </c>
      <c r="L2489" s="24">
        <v>35225.15</v>
      </c>
      <c r="M2489" s="25">
        <f t="shared" si="521"/>
        <v>-1.3635711984193104E-2</v>
      </c>
      <c r="O2489" t="b">
        <f t="shared" si="519"/>
        <v>1</v>
      </c>
      <c r="Q2489" s="25">
        <f t="shared" si="535"/>
        <v>2.8566431238619572E-2</v>
      </c>
      <c r="R2489" s="25">
        <f t="shared" si="532"/>
        <v>5.7525541143362391E-2</v>
      </c>
      <c r="S2489" s="25">
        <f t="shared" si="529"/>
        <v>0.14978521721750182</v>
      </c>
      <c r="T2489" s="25">
        <f t="shared" si="526"/>
        <v>0.11020947293775163</v>
      </c>
      <c r="U2489" s="25">
        <f t="shared" si="523"/>
        <v>0.13584872077165921</v>
      </c>
      <c r="X2489">
        <f t="shared" si="536"/>
        <v>1</v>
      </c>
      <c r="Y2489">
        <f t="shared" si="533"/>
        <v>1</v>
      </c>
      <c r="Z2489">
        <f t="shared" si="530"/>
        <v>1</v>
      </c>
      <c r="AA2489">
        <f t="shared" si="527"/>
        <v>1</v>
      </c>
      <c r="AB2489">
        <f t="shared" si="524"/>
        <v>1</v>
      </c>
    </row>
    <row r="2490" spans="1:28">
      <c r="A2490" s="26">
        <v>46093</v>
      </c>
      <c r="B2490" s="23">
        <v>1968.37</v>
      </c>
      <c r="C2490" s="25">
        <f t="shared" si="520"/>
        <v>-7.0923059073965651E-3</v>
      </c>
      <c r="E2490" s="25">
        <f t="shared" si="534"/>
        <v>7.9925823919591243E-2</v>
      </c>
      <c r="F2490" s="25">
        <f t="shared" si="531"/>
        <v>0.10318242507000774</v>
      </c>
      <c r="G2490" s="25">
        <f t="shared" si="528"/>
        <v>0.17187261841444745</v>
      </c>
      <c r="H2490" s="25">
        <f t="shared" si="525"/>
        <v>0.12411000256789362</v>
      </c>
      <c r="I2490" s="25">
        <f t="shared" si="522"/>
        <v>0.13996648191443861</v>
      </c>
      <c r="K2490" s="28">
        <v>46093</v>
      </c>
      <c r="L2490" s="23">
        <v>34995.14</v>
      </c>
      <c r="M2490" s="25">
        <f t="shared" si="521"/>
        <v>-6.5726269419125643E-3</v>
      </c>
      <c r="O2490" t="b">
        <f t="shared" si="519"/>
        <v>1</v>
      </c>
      <c r="Q2490" s="25">
        <f t="shared" si="535"/>
        <v>3.4984678620723741E-2</v>
      </c>
      <c r="R2490" s="25">
        <f t="shared" si="532"/>
        <v>5.7084658368701247E-2</v>
      </c>
      <c r="S2490" s="25">
        <f t="shared" si="529"/>
        <v>0.14808807516404476</v>
      </c>
      <c r="T2490" s="25">
        <f t="shared" si="526"/>
        <v>0.11247927668761726</v>
      </c>
      <c r="U2490" s="25">
        <f t="shared" si="523"/>
        <v>0.13139753440150614</v>
      </c>
      <c r="X2490">
        <f t="shared" si="536"/>
        <v>1</v>
      </c>
      <c r="Y2490">
        <f t="shared" si="533"/>
        <v>1</v>
      </c>
      <c r="Z2490">
        <f t="shared" si="530"/>
        <v>1</v>
      </c>
      <c r="AA2490">
        <f t="shared" si="527"/>
        <v>1</v>
      </c>
      <c r="AB2490">
        <f t="shared" si="524"/>
        <v>1</v>
      </c>
    </row>
    <row r="2491" spans="1:28">
      <c r="A2491" s="27">
        <v>46094</v>
      </c>
      <c r="B2491" s="24">
        <v>1920.88</v>
      </c>
      <c r="C2491" s="25">
        <f t="shared" si="520"/>
        <v>-2.4126561571249198E-2</v>
      </c>
      <c r="E2491" s="25">
        <f t="shared" si="534"/>
        <v>7.1100776749917882E-2</v>
      </c>
      <c r="F2491" s="25">
        <f t="shared" si="531"/>
        <v>8.8122625654189157E-2</v>
      </c>
      <c r="G2491" s="25">
        <f t="shared" si="528"/>
        <v>0.15871665820141967</v>
      </c>
      <c r="H2491" s="25">
        <f t="shared" si="525"/>
        <v>0.12691626903968434</v>
      </c>
      <c r="I2491" s="25">
        <f t="shared" si="522"/>
        <v>0.13450736125514595</v>
      </c>
      <c r="K2491" s="29">
        <v>46094</v>
      </c>
      <c r="L2491" s="24">
        <v>34186.379999999997</v>
      </c>
      <c r="M2491" s="25">
        <f t="shared" si="521"/>
        <v>-2.3657374662073086E-2</v>
      </c>
      <c r="O2491" t="b">
        <f t="shared" si="519"/>
        <v>1</v>
      </c>
      <c r="Q2491" s="25">
        <f t="shared" si="535"/>
        <v>3.137784224613771E-2</v>
      </c>
      <c r="R2491" s="25">
        <f t="shared" si="532"/>
        <v>4.5431079730716029E-2</v>
      </c>
      <c r="S2491" s="25">
        <f t="shared" si="529"/>
        <v>0.13594804646086689</v>
      </c>
      <c r="T2491" s="25">
        <f t="shared" si="526"/>
        <v>0.11518504384273731</v>
      </c>
      <c r="U2491" s="25">
        <f t="shared" si="523"/>
        <v>0.12622729367869767</v>
      </c>
      <c r="X2491">
        <f t="shared" si="536"/>
        <v>1</v>
      </c>
      <c r="Y2491">
        <f t="shared" si="533"/>
        <v>1</v>
      </c>
      <c r="Z2491">
        <f t="shared" si="530"/>
        <v>1</v>
      </c>
      <c r="AA2491">
        <f t="shared" si="527"/>
        <v>1</v>
      </c>
      <c r="AB2491">
        <f t="shared" si="524"/>
        <v>1</v>
      </c>
    </row>
    <row r="2492" spans="1:28">
      <c r="A2492" s="26">
        <v>46097</v>
      </c>
      <c r="B2492" s="23">
        <v>1930.38</v>
      </c>
      <c r="C2492" s="25">
        <f t="shared" si="520"/>
        <v>4.9456499104577065E-3</v>
      </c>
      <c r="E2492" s="25">
        <f t="shared" si="534"/>
        <v>7.8213757086603275E-2</v>
      </c>
      <c r="F2492" s="25">
        <f t="shared" si="531"/>
        <v>9.6833527550674647E-2</v>
      </c>
      <c r="G2492" s="25">
        <f t="shared" si="528"/>
        <v>0.16024796774225236</v>
      </c>
      <c r="H2492" s="25">
        <f t="shared" si="525"/>
        <v>0.12121554981308225</v>
      </c>
      <c r="I2492" s="25">
        <f t="shared" si="522"/>
        <v>0.1357028963094904</v>
      </c>
      <c r="K2492" s="28">
        <v>46097</v>
      </c>
      <c r="L2492" s="23">
        <v>34358.33</v>
      </c>
      <c r="M2492" s="25">
        <f t="shared" si="521"/>
        <v>5.0046087804618078E-3</v>
      </c>
      <c r="O2492" t="b">
        <f t="shared" si="519"/>
        <v>1</v>
      </c>
      <c r="Q2492" s="25">
        <f t="shared" si="535"/>
        <v>3.8293936080775692E-2</v>
      </c>
      <c r="R2492" s="25">
        <f t="shared" si="532"/>
        <v>5.5641640224538103E-2</v>
      </c>
      <c r="S2492" s="25">
        <f t="shared" si="529"/>
        <v>0.13780417948944867</v>
      </c>
      <c r="T2492" s="25">
        <f t="shared" si="526"/>
        <v>0.10885138581804399</v>
      </c>
      <c r="U2492" s="25">
        <f t="shared" si="523"/>
        <v>0.12702210252710366</v>
      </c>
      <c r="X2492">
        <f t="shared" si="536"/>
        <v>1</v>
      </c>
      <c r="Y2492">
        <f t="shared" si="533"/>
        <v>1</v>
      </c>
      <c r="Z2492">
        <f t="shared" si="530"/>
        <v>1</v>
      </c>
      <c r="AA2492">
        <f t="shared" si="527"/>
        <v>1</v>
      </c>
      <c r="AB2492">
        <f t="shared" si="524"/>
        <v>1</v>
      </c>
    </row>
    <row r="2493" spans="1:28">
      <c r="A2493" s="27">
        <v>46098</v>
      </c>
      <c r="B2493" s="24">
        <v>1943.4</v>
      </c>
      <c r="C2493" s="25">
        <f t="shared" si="520"/>
        <v>6.7447860006837933E-3</v>
      </c>
      <c r="E2493" s="25">
        <f t="shared" si="534"/>
        <v>8.5286036589452108E-2</v>
      </c>
      <c r="F2493" s="25">
        <f t="shared" si="531"/>
        <v>9.7697723601464226E-2</v>
      </c>
      <c r="G2493" s="25">
        <f t="shared" si="528"/>
        <v>0.16367353017483866</v>
      </c>
      <c r="H2493" s="25">
        <f t="shared" si="525"/>
        <v>0.12365373057880968</v>
      </c>
      <c r="I2493" s="25">
        <f t="shared" si="522"/>
        <v>0.13632468448473101</v>
      </c>
      <c r="K2493" s="29">
        <v>46098</v>
      </c>
      <c r="L2493" s="24">
        <v>34630.879999999997</v>
      </c>
      <c r="M2493" s="25">
        <f t="shared" si="521"/>
        <v>7.8701436405888524E-3</v>
      </c>
      <c r="O2493" t="b">
        <f t="shared" si="519"/>
        <v>1</v>
      </c>
      <c r="Q2493" s="25">
        <f t="shared" si="535"/>
        <v>4.6668818584835625E-2</v>
      </c>
      <c r="R2493" s="25">
        <f t="shared" si="532"/>
        <v>5.6928462279800751E-2</v>
      </c>
      <c r="S2493" s="25">
        <f t="shared" si="529"/>
        <v>0.14115229105365712</v>
      </c>
      <c r="T2493" s="25">
        <f t="shared" si="526"/>
        <v>0.11128992322835796</v>
      </c>
      <c r="U2493" s="25">
        <f t="shared" si="523"/>
        <v>0.12764462472704663</v>
      </c>
      <c r="X2493">
        <f t="shared" si="536"/>
        <v>1</v>
      </c>
      <c r="Y2493">
        <f t="shared" si="533"/>
        <v>1</v>
      </c>
      <c r="Z2493">
        <f t="shared" si="530"/>
        <v>1</v>
      </c>
      <c r="AA2493">
        <f t="shared" si="527"/>
        <v>1</v>
      </c>
      <c r="AB2493">
        <f t="shared" si="524"/>
        <v>1</v>
      </c>
    </row>
    <row r="2494" spans="1:28">
      <c r="A2494" s="26">
        <v>46099</v>
      </c>
      <c r="B2494" s="23">
        <v>1971</v>
      </c>
      <c r="C2494" s="25">
        <f t="shared" si="520"/>
        <v>1.4201914171040397E-2</v>
      </c>
      <c r="E2494" s="25">
        <f t="shared" si="534"/>
        <v>0.11371662664218118</v>
      </c>
      <c r="F2494" s="25">
        <f t="shared" si="531"/>
        <v>0.10338036885529789</v>
      </c>
      <c r="G2494" s="25">
        <f t="shared" si="528"/>
        <v>0.17130361332050015</v>
      </c>
      <c r="H2494" s="25">
        <f t="shared" si="525"/>
        <v>0.12911166181901645</v>
      </c>
      <c r="I2494" s="25">
        <f t="shared" si="522"/>
        <v>0.13890415253176136</v>
      </c>
      <c r="K2494" s="28">
        <v>46099</v>
      </c>
      <c r="L2494" s="23">
        <v>35027.360000000001</v>
      </c>
      <c r="M2494" s="25">
        <f t="shared" si="521"/>
        <v>1.1319151657447298E-2</v>
      </c>
      <c r="O2494" t="b">
        <f t="shared" si="519"/>
        <v>1</v>
      </c>
      <c r="Q2494" s="25">
        <f t="shared" si="535"/>
        <v>7.2488280735703459E-2</v>
      </c>
      <c r="R2494" s="25">
        <f t="shared" si="532"/>
        <v>5.923349391483268E-2</v>
      </c>
      <c r="S2494" s="25">
        <f t="shared" si="529"/>
        <v>0.14843385901760775</v>
      </c>
      <c r="T2494" s="25">
        <f t="shared" si="526"/>
        <v>0.11475445677094243</v>
      </c>
      <c r="U2494" s="25">
        <f t="shared" si="523"/>
        <v>0.13031525673429689</v>
      </c>
      <c r="X2494">
        <f t="shared" si="536"/>
        <v>1</v>
      </c>
      <c r="Y2494">
        <f t="shared" si="533"/>
        <v>1</v>
      </c>
      <c r="Z2494">
        <f t="shared" si="530"/>
        <v>1</v>
      </c>
      <c r="AA2494">
        <f t="shared" si="527"/>
        <v>1</v>
      </c>
      <c r="AB2494">
        <f t="shared" si="524"/>
        <v>1</v>
      </c>
    </row>
    <row r="2495" spans="1:28">
      <c r="A2495" s="27">
        <v>46100</v>
      </c>
      <c r="B2495" s="24">
        <v>1910.69</v>
      </c>
      <c r="C2495" s="25">
        <f t="shared" si="520"/>
        <v>-3.0598680872653449E-2</v>
      </c>
      <c r="E2495" s="25">
        <f t="shared" si="534"/>
        <v>8.0566442148363171E-2</v>
      </c>
      <c r="F2495" s="25">
        <f t="shared" si="531"/>
        <v>8.3920561595848486E-2</v>
      </c>
      <c r="G2495" s="25">
        <f t="shared" si="528"/>
        <v>0.1577277210713226</v>
      </c>
      <c r="H2495" s="25">
        <f t="shared" si="525"/>
        <v>0.12146627252967401</v>
      </c>
      <c r="I2495" s="25">
        <f t="shared" si="522"/>
        <v>0.1290145001718237</v>
      </c>
      <c r="K2495" s="29">
        <v>46100</v>
      </c>
      <c r="L2495" s="24">
        <v>33922.06</v>
      </c>
      <c r="M2495" s="25">
        <f t="shared" si="521"/>
        <v>-3.2583516449178E-2</v>
      </c>
      <c r="O2495" t="b">
        <f t="shared" si="519"/>
        <v>1</v>
      </c>
      <c r="Q2495" s="25">
        <f t="shared" si="535"/>
        <v>3.7649841364230774E-2</v>
      </c>
      <c r="R2495" s="25">
        <f t="shared" si="532"/>
        <v>3.9322888402082867E-2</v>
      </c>
      <c r="S2495" s="25">
        <f t="shared" si="529"/>
        <v>0.13448849885021685</v>
      </c>
      <c r="T2495" s="25">
        <f t="shared" si="526"/>
        <v>0.10700435972061162</v>
      </c>
      <c r="U2495" s="25">
        <f t="shared" si="523"/>
        <v>0.12086032849026318</v>
      </c>
      <c r="X2495">
        <f t="shared" si="536"/>
        <v>1</v>
      </c>
      <c r="Y2495">
        <f t="shared" si="533"/>
        <v>1</v>
      </c>
      <c r="Z2495">
        <f t="shared" si="530"/>
        <v>1</v>
      </c>
      <c r="AA2495">
        <f t="shared" si="527"/>
        <v>1</v>
      </c>
      <c r="AB2495">
        <f t="shared" si="524"/>
        <v>1</v>
      </c>
    </row>
    <row r="2496" spans="1:28">
      <c r="A2496" s="26">
        <v>46101</v>
      </c>
      <c r="B2496" s="23">
        <v>1922.73</v>
      </c>
      <c r="C2496" s="25">
        <f t="shared" si="520"/>
        <v>6.3013885036295597E-3</v>
      </c>
      <c r="E2496" s="25">
        <f t="shared" si="534"/>
        <v>8.9779122953189017E-2</v>
      </c>
      <c r="F2496" s="25">
        <f t="shared" si="531"/>
        <v>8.3605371398356443E-2</v>
      </c>
      <c r="G2496" s="25">
        <f t="shared" si="528"/>
        <v>0.15800473925961933</v>
      </c>
      <c r="H2496" s="25">
        <f t="shared" si="525"/>
        <v>0.12457650872714221</v>
      </c>
      <c r="I2496" s="25">
        <f t="shared" si="522"/>
        <v>0.13099900535584252</v>
      </c>
      <c r="K2496" s="28">
        <v>46101</v>
      </c>
      <c r="L2496" s="23">
        <v>34085.99</v>
      </c>
      <c r="M2496" s="25">
        <f t="shared" si="521"/>
        <v>4.8093072843124196E-3</v>
      </c>
      <c r="O2496" t="b">
        <f t="shared" si="519"/>
        <v>1</v>
      </c>
      <c r="Q2496" s="25">
        <f t="shared" si="535"/>
        <v>4.4693244247611341E-2</v>
      </c>
      <c r="R2496" s="25">
        <f t="shared" si="532"/>
        <v>3.8438361015940448E-2</v>
      </c>
      <c r="S2496" s="25">
        <f t="shared" si="529"/>
        <v>0.13435518445627181</v>
      </c>
      <c r="T2496" s="25">
        <f t="shared" si="526"/>
        <v>0.11041747214882847</v>
      </c>
      <c r="U2496" s="25">
        <f t="shared" si="523"/>
        <v>0.12167026372441914</v>
      </c>
      <c r="X2496">
        <f t="shared" si="536"/>
        <v>1</v>
      </c>
      <c r="Y2496">
        <f t="shared" si="533"/>
        <v>1</v>
      </c>
      <c r="Z2496">
        <f t="shared" si="530"/>
        <v>1</v>
      </c>
      <c r="AA2496">
        <f t="shared" si="527"/>
        <v>1</v>
      </c>
      <c r="AB2496">
        <f t="shared" si="524"/>
        <v>1</v>
      </c>
    </row>
    <row r="2497" spans="1:28">
      <c r="A2497" s="27">
        <v>46104</v>
      </c>
      <c r="B2497" s="24">
        <v>1869.05</v>
      </c>
      <c r="C2497" s="25">
        <f t="shared" si="520"/>
        <v>-2.7918636522028608E-2</v>
      </c>
      <c r="E2497" s="25">
        <f t="shared" si="534"/>
        <v>5.3935942257809844E-2</v>
      </c>
      <c r="F2497" s="25">
        <f t="shared" si="531"/>
        <v>6.5791062159039848E-2</v>
      </c>
      <c r="G2497" s="25">
        <f t="shared" si="528"/>
        <v>0.14557092258599869</v>
      </c>
      <c r="H2497" s="25">
        <f t="shared" si="525"/>
        <v>0.11858190338812769</v>
      </c>
      <c r="I2497" s="25">
        <f t="shared" si="522"/>
        <v>0.12546915311529827</v>
      </c>
      <c r="K2497" s="29">
        <v>46104</v>
      </c>
      <c r="L2497" s="24">
        <v>33026.22</v>
      </c>
      <c r="M2497" s="25">
        <f t="shared" si="521"/>
        <v>-3.2088746456603173E-2</v>
      </c>
      <c r="O2497" t="b">
        <f t="shared" si="519"/>
        <v>1</v>
      </c>
      <c r="Q2497" s="25">
        <f t="shared" si="535"/>
        <v>6.3526617006535169E-3</v>
      </c>
      <c r="R2497" s="25">
        <f t="shared" si="532"/>
        <v>2.0242229174949555E-2</v>
      </c>
      <c r="S2497" s="25">
        <f t="shared" si="529"/>
        <v>0.12137666888589682</v>
      </c>
      <c r="T2497" s="25">
        <f t="shared" si="526"/>
        <v>0.10371759030231709</v>
      </c>
      <c r="U2497" s="25">
        <f t="shared" si="523"/>
        <v>0.11542962609997964</v>
      </c>
      <c r="X2497">
        <f t="shared" si="536"/>
        <v>1</v>
      </c>
      <c r="Y2497">
        <f t="shared" si="533"/>
        <v>1</v>
      </c>
      <c r="Z2497">
        <f t="shared" si="530"/>
        <v>1</v>
      </c>
      <c r="AA2497">
        <f t="shared" si="527"/>
        <v>1</v>
      </c>
      <c r="AB2497">
        <f t="shared" si="524"/>
        <v>1</v>
      </c>
    </row>
    <row r="2498" spans="1:28">
      <c r="A2498" s="26">
        <v>46105</v>
      </c>
      <c r="B2498" s="23">
        <v>1905.98</v>
      </c>
      <c r="C2498" s="25">
        <f t="shared" si="520"/>
        <v>1.9758700944330042E-2</v>
      </c>
      <c r="E2498" s="25">
        <f t="shared" si="534"/>
        <v>6.8320544367156399E-2</v>
      </c>
      <c r="F2498" s="25">
        <f t="shared" si="531"/>
        <v>7.4728519407333271E-2</v>
      </c>
      <c r="G2498" s="25">
        <f t="shared" si="528"/>
        <v>0.15599693985821927</v>
      </c>
      <c r="H2498" s="25">
        <f t="shared" si="525"/>
        <v>0.12352846869643419</v>
      </c>
      <c r="I2498" s="25">
        <f t="shared" si="522"/>
        <v>0.13095922449162334</v>
      </c>
      <c r="K2498" s="28">
        <v>46105</v>
      </c>
      <c r="L2498" s="23">
        <v>33669.94</v>
      </c>
      <c r="M2498" s="25">
        <f t="shared" si="521"/>
        <v>1.9118537187770488E-2</v>
      </c>
      <c r="O2498" t="b">
        <f t="shared" si="519"/>
        <v>1</v>
      </c>
      <c r="Q2498" s="25">
        <f t="shared" si="535"/>
        <v>2.1048433929679033E-2</v>
      </c>
      <c r="R2498" s="25">
        <f t="shared" si="532"/>
        <v>2.9278617987450017E-2</v>
      </c>
      <c r="S2498" s="25">
        <f t="shared" si="529"/>
        <v>0.13059314290828894</v>
      </c>
      <c r="T2498" s="25">
        <f t="shared" si="526"/>
        <v>0.10871245077769132</v>
      </c>
      <c r="U2498" s="25">
        <f t="shared" si="523"/>
        <v>0.12030764951862549</v>
      </c>
      <c r="X2498">
        <f t="shared" si="536"/>
        <v>1</v>
      </c>
      <c r="Y2498">
        <f t="shared" si="533"/>
        <v>1</v>
      </c>
      <c r="Z2498">
        <f t="shared" si="530"/>
        <v>1</v>
      </c>
      <c r="AA2498">
        <f t="shared" si="527"/>
        <v>1</v>
      </c>
      <c r="AB2498">
        <f t="shared" si="524"/>
        <v>1</v>
      </c>
    </row>
    <row r="2499" spans="1:28">
      <c r="A2499" s="27">
        <v>46106</v>
      </c>
      <c r="B2499" s="24">
        <v>1938.61</v>
      </c>
      <c r="C2499" s="25">
        <f t="shared" si="520"/>
        <v>1.7119801886693396E-2</v>
      </c>
      <c r="E2499" s="25">
        <f t="shared" si="534"/>
        <v>9.5414606582850725E-2</v>
      </c>
      <c r="F2499" s="25">
        <f t="shared" si="531"/>
        <v>8.716839995568848E-2</v>
      </c>
      <c r="G2499" s="25">
        <f t="shared" si="528"/>
        <v>0.16400800144996297</v>
      </c>
      <c r="H2499" s="25">
        <f t="shared" si="525"/>
        <v>0.14144538216148339</v>
      </c>
      <c r="I2499" s="25">
        <f t="shared" si="522"/>
        <v>0.13783022910630316</v>
      </c>
      <c r="K2499" s="29">
        <v>46106</v>
      </c>
      <c r="L2499" s="24">
        <v>34327.17</v>
      </c>
      <c r="M2499" s="25">
        <f t="shared" si="521"/>
        <v>1.9146058355524093E-2</v>
      </c>
      <c r="O2499" t="b">
        <f t="shared" ref="O2499:O2562" si="537">K2499=A2499</f>
        <v>1</v>
      </c>
      <c r="Q2499" s="25">
        <f t="shared" si="535"/>
        <v>4.804585769459746E-2</v>
      </c>
      <c r="R2499" s="25">
        <f t="shared" si="532"/>
        <v>4.29594649446432E-2</v>
      </c>
      <c r="S2499" s="25">
        <f t="shared" si="529"/>
        <v>0.13955526701683341</v>
      </c>
      <c r="T2499" s="25">
        <f t="shared" si="526"/>
        <v>0.12857954602382149</v>
      </c>
      <c r="U2499" s="25">
        <f t="shared" si="523"/>
        <v>0.12693285177089408</v>
      </c>
      <c r="X2499">
        <f t="shared" si="536"/>
        <v>1</v>
      </c>
      <c r="Y2499">
        <f t="shared" si="533"/>
        <v>1</v>
      </c>
      <c r="Z2499">
        <f t="shared" si="530"/>
        <v>1</v>
      </c>
      <c r="AA2499">
        <f t="shared" si="527"/>
        <v>1</v>
      </c>
      <c r="AB2499">
        <f t="shared" si="524"/>
        <v>1</v>
      </c>
    </row>
    <row r="2500" spans="1:28">
      <c r="A2500" s="26">
        <v>46108</v>
      </c>
      <c r="B2500" s="23">
        <v>1905.89</v>
      </c>
      <c r="C2500" s="25">
        <f t="shared" ref="C2500:C2563" si="538">(B2500-B2499)/B2499</f>
        <v>-1.6878072433341312E-2</v>
      </c>
      <c r="E2500" s="25">
        <f t="shared" si="534"/>
        <v>8.8047908840756861E-2</v>
      </c>
      <c r="F2500" s="25">
        <f t="shared" si="531"/>
        <v>7.4436219559650185E-2</v>
      </c>
      <c r="G2500" s="25">
        <f t="shared" si="528"/>
        <v>0.15846599580833831</v>
      </c>
      <c r="H2500" s="25">
        <f t="shared" si="525"/>
        <v>0.12795216863039238</v>
      </c>
      <c r="I2500" s="25">
        <f t="shared" si="522"/>
        <v>0.13743296105736258</v>
      </c>
      <c r="K2500" s="28">
        <v>46108</v>
      </c>
      <c r="L2500" s="23">
        <v>33599.22</v>
      </c>
      <c r="M2500" s="25">
        <f t="shared" ref="M2500:M2563" si="539">(L2500-L2499)/L2500</f>
        <v>-2.1665681524749594E-2</v>
      </c>
      <c r="O2500" t="b">
        <f t="shared" si="537"/>
        <v>1</v>
      </c>
      <c r="Q2500" s="25">
        <f t="shared" si="535"/>
        <v>3.6936792914594507E-2</v>
      </c>
      <c r="R2500" s="25">
        <f t="shared" si="532"/>
        <v>2.7861781407678254E-2</v>
      </c>
      <c r="S2500" s="25">
        <f t="shared" si="529"/>
        <v>0.13206156978956729</v>
      </c>
      <c r="T2500" s="25">
        <f t="shared" si="526"/>
        <v>0.11429608067550601</v>
      </c>
      <c r="U2500" s="25">
        <f t="shared" si="523"/>
        <v>0.12612965269138687</v>
      </c>
      <c r="X2500">
        <f t="shared" si="536"/>
        <v>1</v>
      </c>
      <c r="Y2500">
        <f t="shared" si="533"/>
        <v>1</v>
      </c>
      <c r="Z2500">
        <f t="shared" si="530"/>
        <v>1</v>
      </c>
      <c r="AA2500">
        <f t="shared" si="527"/>
        <v>1</v>
      </c>
      <c r="AB2500">
        <f t="shared" si="524"/>
        <v>1</v>
      </c>
    </row>
    <row r="2501" spans="1:28">
      <c r="A2501" s="27">
        <v>46111</v>
      </c>
      <c r="B2501" s="24">
        <v>1864.61</v>
      </c>
      <c r="C2501" s="25">
        <f t="shared" si="538"/>
        <v>-2.1659172355172753E-2</v>
      </c>
      <c r="E2501" s="25">
        <f t="shared" si="534"/>
        <v>6.7235596460501146E-2</v>
      </c>
      <c r="F2501" s="25">
        <f t="shared" si="531"/>
        <v>6.1955579928702154E-2</v>
      </c>
      <c r="G2501" s="25">
        <f t="shared" si="528"/>
        <v>0.15472269732979993</v>
      </c>
      <c r="H2501" s="25">
        <f t="shared" si="525"/>
        <v>0.12014497764729426</v>
      </c>
      <c r="I2501" s="25">
        <f t="shared" si="522"/>
        <v>0.13157997595105986</v>
      </c>
      <c r="K2501" s="29">
        <v>46111</v>
      </c>
      <c r="L2501" s="24">
        <v>32813.14</v>
      </c>
      <c r="M2501" s="25">
        <f t="shared" si="539"/>
        <v>-2.3956256548443758E-2</v>
      </c>
      <c r="O2501" t="b">
        <f t="shared" si="537"/>
        <v>1</v>
      </c>
      <c r="Q2501" s="25">
        <f t="shared" si="535"/>
        <v>1.5138062271105257E-2</v>
      </c>
      <c r="R2501" s="25">
        <f t="shared" si="532"/>
        <v>1.5013382312707879E-2</v>
      </c>
      <c r="S2501" s="25">
        <f t="shared" si="529"/>
        <v>0.1285264455667372</v>
      </c>
      <c r="T2501" s="25">
        <f t="shared" si="526"/>
        <v>0.10538023441940259</v>
      </c>
      <c r="U2501" s="25">
        <f t="shared" si="523"/>
        <v>0.11987103780237773</v>
      </c>
      <c r="X2501">
        <f t="shared" si="536"/>
        <v>1</v>
      </c>
      <c r="Y2501">
        <f t="shared" si="533"/>
        <v>1</v>
      </c>
      <c r="Z2501">
        <f t="shared" si="530"/>
        <v>1</v>
      </c>
      <c r="AA2501">
        <f t="shared" si="527"/>
        <v>1</v>
      </c>
      <c r="AB2501">
        <f t="shared" si="524"/>
        <v>1</v>
      </c>
    </row>
    <row r="2502" spans="1:28">
      <c r="A2502" s="27">
        <v>46113</v>
      </c>
      <c r="B2502" s="24">
        <v>1898.91</v>
      </c>
      <c r="C2502" s="25">
        <f t="shared" si="538"/>
        <v>1.839526764309973E-2</v>
      </c>
      <c r="E2502" s="25">
        <f t="shared" si="534"/>
        <v>8.8156922071894073E-2</v>
      </c>
      <c r="F2502" s="25">
        <f t="shared" si="531"/>
        <v>7.3205003818310521E-2</v>
      </c>
      <c r="G2502" s="25">
        <f t="shared" si="528"/>
        <v>0.16228189401858928</v>
      </c>
      <c r="H2502" s="25">
        <f t="shared" si="525"/>
        <v>0.12857026384322623</v>
      </c>
      <c r="I2502" s="25">
        <f t="shared" si="522"/>
        <v>0.13280834656015439</v>
      </c>
      <c r="K2502" s="29">
        <v>46113</v>
      </c>
      <c r="L2502" s="24">
        <v>33463.879999999997</v>
      </c>
      <c r="M2502" s="25">
        <f t="shared" si="539"/>
        <v>1.9446041522979345E-2</v>
      </c>
      <c r="O2502" t="b">
        <f t="shared" si="537"/>
        <v>1</v>
      </c>
      <c r="Q2502" s="25">
        <f t="shared" si="535"/>
        <v>4.0527678527285893E-2</v>
      </c>
      <c r="R2502" s="25">
        <f t="shared" si="532"/>
        <v>2.6486317607912646E-2</v>
      </c>
      <c r="S2502" s="25">
        <f t="shared" si="529"/>
        <v>0.13684386122813685</v>
      </c>
      <c r="T2502" s="25">
        <f t="shared" si="526"/>
        <v>0.1129296492302676</v>
      </c>
      <c r="U2502" s="25">
        <f t="shared" si="523"/>
        <v>0.12079898009916512</v>
      </c>
      <c r="X2502">
        <f t="shared" si="536"/>
        <v>1</v>
      </c>
      <c r="Y2502">
        <f t="shared" si="533"/>
        <v>1</v>
      </c>
      <c r="Z2502">
        <f t="shared" si="530"/>
        <v>1</v>
      </c>
      <c r="AA2502">
        <f t="shared" si="527"/>
        <v>1</v>
      </c>
      <c r="AB2502">
        <f t="shared" si="524"/>
        <v>1</v>
      </c>
    </row>
    <row r="2503" spans="1:28">
      <c r="A2503" s="26">
        <v>46114</v>
      </c>
      <c r="B2503" s="23">
        <v>1894.86</v>
      </c>
      <c r="C2503" s="25">
        <f t="shared" si="538"/>
        <v>-2.1328025024883652E-3</v>
      </c>
      <c r="E2503" s="25">
        <f t="shared" si="534"/>
        <v>0.10908463028756388</v>
      </c>
      <c r="F2503" s="25">
        <f t="shared" si="531"/>
        <v>7.086546583230291E-2</v>
      </c>
      <c r="G2503" s="25">
        <f t="shared" si="528"/>
        <v>0.16171441201969716</v>
      </c>
      <c r="H2503" s="25">
        <f t="shared" si="525"/>
        <v>0.13024154094554508</v>
      </c>
      <c r="I2503" s="25">
        <f t="shared" si="522"/>
        <v>0.13002727092713062</v>
      </c>
      <c r="K2503" s="28">
        <v>46114</v>
      </c>
      <c r="L2503" s="23">
        <v>33469.449999999997</v>
      </c>
      <c r="M2503" s="25">
        <f t="shared" si="539"/>
        <v>1.6642042220591343E-4</v>
      </c>
      <c r="O2503" t="b">
        <f t="shared" si="537"/>
        <v>1</v>
      </c>
      <c r="Q2503" s="25">
        <f t="shared" si="535"/>
        <v>6.3421235158484635E-2</v>
      </c>
      <c r="R2503" s="25">
        <f t="shared" si="532"/>
        <v>2.5634512573541102E-2</v>
      </c>
      <c r="S2503" s="25">
        <f t="shared" si="529"/>
        <v>0.13783975196905418</v>
      </c>
      <c r="T2503" s="25">
        <f t="shared" si="526"/>
        <v>0.11422996944340302</v>
      </c>
      <c r="U2503" s="25">
        <f t="shared" si="523"/>
        <v>0.11881878213658803</v>
      </c>
      <c r="X2503">
        <f t="shared" si="536"/>
        <v>1</v>
      </c>
      <c r="Y2503">
        <f t="shared" si="533"/>
        <v>1</v>
      </c>
      <c r="Z2503">
        <f t="shared" si="530"/>
        <v>1</v>
      </c>
      <c r="AA2503">
        <f t="shared" si="527"/>
        <v>1</v>
      </c>
      <c r="AB2503">
        <f t="shared" si="524"/>
        <v>1</v>
      </c>
    </row>
    <row r="2504" spans="1:28">
      <c r="A2504" s="27">
        <v>46118</v>
      </c>
      <c r="B2504" s="24">
        <v>1918.33</v>
      </c>
      <c r="C2504" s="25">
        <f t="shared" si="538"/>
        <v>1.238613934538701E-2</v>
      </c>
      <c r="E2504" s="25">
        <f t="shared" si="534"/>
        <v>0.12307169912944715</v>
      </c>
      <c r="F2504" s="25">
        <f t="shared" si="531"/>
        <v>8.3967953812380536E-2</v>
      </c>
      <c r="G2504" s="25">
        <f t="shared" si="528"/>
        <v>0.16869680830736122</v>
      </c>
      <c r="H2504" s="25">
        <f t="shared" si="525"/>
        <v>0.13772432657882816</v>
      </c>
      <c r="I2504" s="25">
        <f t="shared" si="522"/>
        <v>0.13933762637598957</v>
      </c>
      <c r="K2504" s="29">
        <v>46118</v>
      </c>
      <c r="L2504" s="24">
        <v>33878.17</v>
      </c>
      <c r="M2504" s="25">
        <f t="shared" si="539"/>
        <v>1.2064406076243232E-2</v>
      </c>
      <c r="O2504" t="b">
        <f t="shared" si="537"/>
        <v>1</v>
      </c>
      <c r="Q2504" s="25">
        <f t="shared" si="535"/>
        <v>7.5539799027009247E-2</v>
      </c>
      <c r="R2504" s="25">
        <f t="shared" si="532"/>
        <v>3.8875946607946466E-2</v>
      </c>
      <c r="S2504" s="25">
        <f t="shared" si="529"/>
        <v>0.14458851825754526</v>
      </c>
      <c r="T2504" s="25">
        <f t="shared" si="526"/>
        <v>0.12246743609707145</v>
      </c>
      <c r="U2504" s="25">
        <f t="shared" si="523"/>
        <v>0.12856565070281856</v>
      </c>
      <c r="X2504">
        <f t="shared" si="536"/>
        <v>1</v>
      </c>
      <c r="Y2504">
        <f t="shared" si="533"/>
        <v>1</v>
      </c>
      <c r="Z2504">
        <f t="shared" si="530"/>
        <v>1</v>
      </c>
      <c r="AA2504">
        <f t="shared" si="527"/>
        <v>1</v>
      </c>
      <c r="AB2504">
        <f t="shared" si="524"/>
        <v>1</v>
      </c>
    </row>
    <row r="2505" spans="1:28">
      <c r="A2505" s="26">
        <v>46119</v>
      </c>
      <c r="B2505" s="23">
        <v>1928.4</v>
      </c>
      <c r="C2505" s="25">
        <f t="shared" si="538"/>
        <v>5.2493575140878596E-3</v>
      </c>
      <c r="E2505" s="25">
        <f t="shared" si="534"/>
        <v>0.12888118765513057</v>
      </c>
      <c r="F2505" s="25">
        <f t="shared" si="531"/>
        <v>8.5875228313425644E-2</v>
      </c>
      <c r="G2505" s="25">
        <f t="shared" si="528"/>
        <v>0.17264079282373523</v>
      </c>
      <c r="H2505" s="25">
        <f t="shared" si="525"/>
        <v>0.14373403673305374</v>
      </c>
      <c r="I2505" s="25">
        <f t="shared" si="522"/>
        <v>0.13726987001186397</v>
      </c>
      <c r="K2505" s="28">
        <v>46119</v>
      </c>
      <c r="L2505" s="23">
        <v>34041.839999999997</v>
      </c>
      <c r="M2505" s="25">
        <f t="shared" si="539"/>
        <v>4.8079069756510892E-3</v>
      </c>
      <c r="O2505" t="b">
        <f t="shared" si="537"/>
        <v>1</v>
      </c>
      <c r="Q2505" s="25">
        <f t="shared" si="535"/>
        <v>7.9600708869880021E-2</v>
      </c>
      <c r="R2505" s="25">
        <f t="shared" si="532"/>
        <v>3.957539706460933E-2</v>
      </c>
      <c r="S2505" s="25">
        <f t="shared" si="529"/>
        <v>0.14721705263864826</v>
      </c>
      <c r="T2505" s="25">
        <f t="shared" si="526"/>
        <v>0.13057263892159998</v>
      </c>
      <c r="U2505" s="25">
        <f t="shared" si="523"/>
        <v>0.12621898151989441</v>
      </c>
      <c r="X2505">
        <f t="shared" si="536"/>
        <v>1</v>
      </c>
      <c r="Y2505">
        <f t="shared" si="533"/>
        <v>1</v>
      </c>
      <c r="Z2505">
        <f t="shared" si="530"/>
        <v>1</v>
      </c>
      <c r="AA2505">
        <f t="shared" si="527"/>
        <v>1</v>
      </c>
      <c r="AB2505">
        <f t="shared" si="524"/>
        <v>1</v>
      </c>
    </row>
    <row r="2506" spans="1:28">
      <c r="A2506" s="27">
        <v>46120</v>
      </c>
      <c r="B2506" s="24">
        <v>1998.93</v>
      </c>
      <c r="C2506" s="25">
        <f t="shared" si="538"/>
        <v>3.6574362165525807E-2</v>
      </c>
      <c r="E2506" s="25">
        <f t="shared" si="534"/>
        <v>0.15159667932180731</v>
      </c>
      <c r="F2506" s="25">
        <f t="shared" si="531"/>
        <v>9.9799720032499595E-2</v>
      </c>
      <c r="G2506" s="25">
        <f t="shared" si="528"/>
        <v>0.18316277830844996</v>
      </c>
      <c r="H2506" s="25">
        <f t="shared" si="525"/>
        <v>0.15038890822720963</v>
      </c>
      <c r="I2506" s="25">
        <f t="shared" si="522"/>
        <v>0.14215819189294976</v>
      </c>
      <c r="K2506" s="29">
        <v>46120</v>
      </c>
      <c r="L2506" s="24">
        <v>35385.760000000002</v>
      </c>
      <c r="M2506" s="25">
        <f t="shared" si="539"/>
        <v>3.797911928414157E-2</v>
      </c>
      <c r="O2506" t="b">
        <f t="shared" si="537"/>
        <v>1</v>
      </c>
      <c r="Q2506" s="25">
        <f t="shared" si="535"/>
        <v>0.10346014718722718</v>
      </c>
      <c r="R2506" s="25">
        <f t="shared" si="532"/>
        <v>5.3110968305846828E-2</v>
      </c>
      <c r="S2506" s="25">
        <f t="shared" si="529"/>
        <v>0.15824645749453436</v>
      </c>
      <c r="T2506" s="25">
        <f t="shared" si="526"/>
        <v>0.13859020623536122</v>
      </c>
      <c r="U2506" s="25">
        <f t="shared" si="523"/>
        <v>0.13222082444196914</v>
      </c>
      <c r="X2506">
        <f t="shared" si="536"/>
        <v>1</v>
      </c>
      <c r="Y2506">
        <f t="shared" si="533"/>
        <v>1</v>
      </c>
      <c r="Z2506">
        <f t="shared" si="530"/>
        <v>1</v>
      </c>
      <c r="AA2506">
        <f t="shared" si="527"/>
        <v>1</v>
      </c>
      <c r="AB2506">
        <f t="shared" si="524"/>
        <v>1</v>
      </c>
    </row>
    <row r="2507" spans="1:28">
      <c r="A2507" s="26">
        <v>46121</v>
      </c>
      <c r="B2507" s="23">
        <v>1993.03</v>
      </c>
      <c r="C2507" s="25">
        <f t="shared" si="538"/>
        <v>-2.9515790948157717E-3</v>
      </c>
      <c r="E2507" s="25">
        <f t="shared" si="534"/>
        <v>0.13547435108589134</v>
      </c>
      <c r="F2507" s="25">
        <f t="shared" si="531"/>
        <v>9.8059176936558856E-2</v>
      </c>
      <c r="G2507" s="25">
        <f t="shared" si="528"/>
        <v>0.18438380311430747</v>
      </c>
      <c r="H2507" s="25">
        <f t="shared" si="525"/>
        <v>0.14463405654884376</v>
      </c>
      <c r="I2507" s="25">
        <f t="shared" si="522"/>
        <v>0.13753312209044721</v>
      </c>
      <c r="K2507" s="28">
        <v>46121</v>
      </c>
      <c r="L2507" s="23">
        <v>35226.51</v>
      </c>
      <c r="M2507" s="25">
        <f t="shared" si="539"/>
        <v>-4.5207430426687173E-3</v>
      </c>
      <c r="O2507" t="b">
        <f t="shared" si="537"/>
        <v>1</v>
      </c>
      <c r="Q2507" s="25">
        <f t="shared" si="535"/>
        <v>8.8255683555918063E-2</v>
      </c>
      <c r="R2507" s="25">
        <f t="shared" si="532"/>
        <v>4.8622055846528012E-2</v>
      </c>
      <c r="S2507" s="25">
        <f t="shared" si="529"/>
        <v>0.15855403121372702</v>
      </c>
      <c r="T2507" s="25">
        <f t="shared" si="526"/>
        <v>0.13167197940681197</v>
      </c>
      <c r="U2507" s="25">
        <f t="shared" si="523"/>
        <v>0.12681653312344032</v>
      </c>
      <c r="X2507">
        <f t="shared" si="536"/>
        <v>1</v>
      </c>
      <c r="Y2507">
        <f t="shared" si="533"/>
        <v>1</v>
      </c>
      <c r="Z2507">
        <f t="shared" si="530"/>
        <v>1</v>
      </c>
      <c r="AA2507">
        <f t="shared" si="527"/>
        <v>1</v>
      </c>
      <c r="AB2507">
        <f t="shared" si="524"/>
        <v>1</v>
      </c>
    </row>
    <row r="2508" spans="1:28">
      <c r="A2508" s="27">
        <v>46122</v>
      </c>
      <c r="B2508" s="24">
        <v>2023.06</v>
      </c>
      <c r="C2508" s="25">
        <f t="shared" si="538"/>
        <v>1.5067510273302446E-2</v>
      </c>
      <c r="E2508" s="25">
        <f t="shared" si="534"/>
        <v>0.15274730910147638</v>
      </c>
      <c r="F2508" s="25">
        <f t="shared" si="531"/>
        <v>0.10807191272044858</v>
      </c>
      <c r="G2508" s="25">
        <f t="shared" si="528"/>
        <v>0.18568189756810471</v>
      </c>
      <c r="H2508" s="25">
        <f t="shared" si="525"/>
        <v>0.14516739557917502</v>
      </c>
      <c r="I2508" s="25">
        <f t="shared" si="522"/>
        <v>0.14227331956129041</v>
      </c>
      <c r="K2508" s="29">
        <v>46122</v>
      </c>
      <c r="L2508" s="24">
        <v>35720.910000000003</v>
      </c>
      <c r="M2508" s="25">
        <f t="shared" si="539"/>
        <v>1.3840632839420984E-2</v>
      </c>
      <c r="O2508" t="b">
        <f t="shared" si="537"/>
        <v>1</v>
      </c>
      <c r="Q2508" s="25">
        <f t="shared" si="535"/>
        <v>0.10371573802312017</v>
      </c>
      <c r="R2508" s="25">
        <f t="shared" si="532"/>
        <v>5.7249713754177867E-2</v>
      </c>
      <c r="S2508" s="25">
        <f t="shared" si="529"/>
        <v>0.15900340649696476</v>
      </c>
      <c r="T2508" s="25">
        <f t="shared" si="526"/>
        <v>0.13140747882592829</v>
      </c>
      <c r="U2508" s="25">
        <f t="shared" si="523"/>
        <v>0.13131149720500201</v>
      </c>
      <c r="X2508">
        <f t="shared" si="536"/>
        <v>1</v>
      </c>
      <c r="Y2508">
        <f t="shared" si="533"/>
        <v>1</v>
      </c>
      <c r="Z2508">
        <f t="shared" si="530"/>
        <v>1</v>
      </c>
      <c r="AA2508">
        <f t="shared" si="527"/>
        <v>1</v>
      </c>
      <c r="AB2508">
        <f t="shared" si="524"/>
        <v>1</v>
      </c>
    </row>
    <row r="2509" spans="1:28">
      <c r="A2509" s="26">
        <v>46125</v>
      </c>
      <c r="B2509" s="23">
        <v>2011.37</v>
      </c>
      <c r="C2509" s="25">
        <f t="shared" si="538"/>
        <v>-5.7783753324172566E-3</v>
      </c>
      <c r="E2509" s="25">
        <f t="shared" si="534"/>
        <v>0.15378481942086175</v>
      </c>
      <c r="F2509" s="25">
        <f t="shared" si="531"/>
        <v>0.10354387020216049</v>
      </c>
      <c r="G2509" s="25">
        <f t="shared" si="528"/>
        <v>0.18144033710617635</v>
      </c>
      <c r="H2509" s="25">
        <f t="shared" si="525"/>
        <v>0.14253704676881496</v>
      </c>
      <c r="I2509" s="25">
        <f t="shared" si="522"/>
        <v>0.14426248776720341</v>
      </c>
      <c r="K2509" s="28">
        <v>46125</v>
      </c>
      <c r="L2509" s="23">
        <v>35452.78</v>
      </c>
      <c r="M2509" s="25">
        <f t="shared" si="539"/>
        <v>-7.5630176251341831E-3</v>
      </c>
      <c r="O2509" t="b">
        <f t="shared" si="537"/>
        <v>1</v>
      </c>
      <c r="Q2509" s="25">
        <f t="shared" si="535"/>
        <v>0.10499255396273166</v>
      </c>
      <c r="R2509" s="25">
        <f t="shared" si="532"/>
        <v>5.3326823911275412E-2</v>
      </c>
      <c r="S2509" s="25">
        <f t="shared" si="529"/>
        <v>0.15333791406202013</v>
      </c>
      <c r="T2509" s="25">
        <f t="shared" si="526"/>
        <v>0.1283155452082918</v>
      </c>
      <c r="U2509" s="25">
        <f t="shared" si="523"/>
        <v>0.13229262305249034</v>
      </c>
      <c r="X2509">
        <f t="shared" si="536"/>
        <v>1</v>
      </c>
      <c r="Y2509">
        <f t="shared" si="533"/>
        <v>1</v>
      </c>
      <c r="Z2509">
        <f t="shared" si="530"/>
        <v>1</v>
      </c>
      <c r="AA2509">
        <f t="shared" si="527"/>
        <v>1</v>
      </c>
      <c r="AB2509">
        <f t="shared" si="524"/>
        <v>1</v>
      </c>
    </row>
    <row r="2510" spans="1:28">
      <c r="A2510" s="27">
        <v>46127</v>
      </c>
      <c r="B2510" s="24">
        <v>2047.14</v>
      </c>
      <c r="C2510" s="25">
        <f t="shared" si="538"/>
        <v>1.7783898536818294E-2</v>
      </c>
      <c r="E2510" s="25">
        <f t="shared" si="534"/>
        <v>0.16950023993967234</v>
      </c>
      <c r="F2510" s="25">
        <f t="shared" si="531"/>
        <v>0.11027559693480016</v>
      </c>
      <c r="G2510" s="25">
        <f t="shared" si="528"/>
        <v>0.18839951635458441</v>
      </c>
      <c r="H2510" s="25">
        <f t="shared" si="525"/>
        <v>0.14467528190185353</v>
      </c>
      <c r="I2510" s="25">
        <f t="shared" si="522"/>
        <v>0.14769768665371208</v>
      </c>
      <c r="K2510" s="29">
        <v>46127</v>
      </c>
      <c r="L2510" s="24">
        <v>36118.559999999998</v>
      </c>
      <c r="M2510" s="25">
        <f t="shared" si="539"/>
        <v>1.8433182275262326E-2</v>
      </c>
      <c r="O2510" t="b">
        <f t="shared" si="537"/>
        <v>1</v>
      </c>
      <c r="Q2510" s="25">
        <f t="shared" si="535"/>
        <v>0.12371255581063756</v>
      </c>
      <c r="R2510" s="25">
        <f t="shared" si="532"/>
        <v>6.1731635810980068E-2</v>
      </c>
      <c r="S2510" s="25">
        <f t="shared" si="529"/>
        <v>0.15944312838556263</v>
      </c>
      <c r="T2510" s="25">
        <f t="shared" si="526"/>
        <v>0.13085603964112824</v>
      </c>
      <c r="U2510" s="25">
        <f t="shared" si="523"/>
        <v>0.13612766130849607</v>
      </c>
      <c r="X2510">
        <f t="shared" si="536"/>
        <v>1</v>
      </c>
      <c r="Y2510">
        <f t="shared" si="533"/>
        <v>1</v>
      </c>
      <c r="Z2510">
        <f t="shared" si="530"/>
        <v>1</v>
      </c>
      <c r="AA2510">
        <f t="shared" si="527"/>
        <v>1</v>
      </c>
      <c r="AB2510">
        <f t="shared" si="524"/>
        <v>1</v>
      </c>
    </row>
    <row r="2511" spans="1:28">
      <c r="A2511" s="26">
        <v>46128</v>
      </c>
      <c r="B2511" s="23">
        <v>2050.84</v>
      </c>
      <c r="C2511" s="25">
        <f t="shared" si="538"/>
        <v>1.8073995916254118E-3</v>
      </c>
      <c r="E2511" s="25">
        <f t="shared" si="534"/>
        <v>0.17521259770325726</v>
      </c>
      <c r="F2511" s="25">
        <f t="shared" si="531"/>
        <v>0.11496380710426557</v>
      </c>
      <c r="G2511" s="25">
        <f t="shared" si="528"/>
        <v>0.1915689191934522</v>
      </c>
      <c r="H2511" s="25">
        <f t="shared" si="525"/>
        <v>0.14841529604802672</v>
      </c>
      <c r="I2511" s="25">
        <f t="shared" si="522"/>
        <v>0.14735656266836306</v>
      </c>
      <c r="K2511" s="28">
        <v>46128</v>
      </c>
      <c r="L2511" s="23">
        <v>36215.69</v>
      </c>
      <c r="M2511" s="25">
        <f t="shared" si="539"/>
        <v>2.6819867300610497E-3</v>
      </c>
      <c r="O2511" t="b">
        <f t="shared" si="537"/>
        <v>1</v>
      </c>
      <c r="Q2511" s="25">
        <f t="shared" si="535"/>
        <v>0.12885397399524101</v>
      </c>
      <c r="R2511" s="25">
        <f t="shared" si="532"/>
        <v>6.6977556322322496E-2</v>
      </c>
      <c r="S2511" s="25">
        <f t="shared" si="529"/>
        <v>0.16355691383711002</v>
      </c>
      <c r="T2511" s="25">
        <f t="shared" si="526"/>
        <v>0.13476170038494639</v>
      </c>
      <c r="U2511" s="25">
        <f t="shared" si="523"/>
        <v>0.13568567356023586</v>
      </c>
      <c r="X2511">
        <f t="shared" si="536"/>
        <v>1</v>
      </c>
      <c r="Y2511">
        <f t="shared" si="533"/>
        <v>1</v>
      </c>
      <c r="Z2511">
        <f t="shared" si="530"/>
        <v>1</v>
      </c>
      <c r="AA2511">
        <f t="shared" si="527"/>
        <v>1</v>
      </c>
      <c r="AB2511">
        <f t="shared" si="524"/>
        <v>1</v>
      </c>
    </row>
    <row r="2512" spans="1:28">
      <c r="A2512" s="27">
        <v>46129</v>
      </c>
      <c r="B2512" s="24">
        <v>2069.42</v>
      </c>
      <c r="C2512" s="25">
        <f t="shared" si="538"/>
        <v>9.0597023658598071E-3</v>
      </c>
      <c r="E2512" s="25">
        <f t="shared" si="534"/>
        <v>0.19073155574991074</v>
      </c>
      <c r="F2512" s="25">
        <f t="shared" si="531"/>
        <v>0.12233897100438873</v>
      </c>
      <c r="G2512" s="25">
        <f t="shared" si="528"/>
        <v>0.19896670170540265</v>
      </c>
      <c r="H2512" s="25">
        <f t="shared" si="525"/>
        <v>0.14593401532583772</v>
      </c>
      <c r="I2512" s="25">
        <f t="shared" si="522"/>
        <v>0.14786090533094276</v>
      </c>
      <c r="K2512" s="29">
        <v>46129</v>
      </c>
      <c r="L2512" s="24">
        <v>36556.94</v>
      </c>
      <c r="M2512" s="25">
        <f t="shared" si="539"/>
        <v>9.3347528540408467E-3</v>
      </c>
      <c r="O2512" t="b">
        <f t="shared" si="537"/>
        <v>1</v>
      </c>
      <c r="Q2512" s="25">
        <f t="shared" si="535"/>
        <v>0.14446978531568688</v>
      </c>
      <c r="R2512" s="25">
        <f t="shared" si="532"/>
        <v>7.5106081682091652E-2</v>
      </c>
      <c r="S2512" s="25">
        <f t="shared" si="529"/>
        <v>0.17047995894707668</v>
      </c>
      <c r="T2512" s="25">
        <f t="shared" si="526"/>
        <v>0.13216381938449917</v>
      </c>
      <c r="U2512" s="25">
        <f t="shared" si="523"/>
        <v>0.13647999308119152</v>
      </c>
      <c r="X2512">
        <f t="shared" si="536"/>
        <v>1</v>
      </c>
      <c r="Y2512">
        <f t="shared" si="533"/>
        <v>1</v>
      </c>
      <c r="Z2512">
        <f t="shared" si="530"/>
        <v>1</v>
      </c>
      <c r="AA2512">
        <f t="shared" si="527"/>
        <v>1</v>
      </c>
      <c r="AB2512">
        <f t="shared" si="524"/>
        <v>1</v>
      </c>
    </row>
    <row r="2513" spans="1:28">
      <c r="A2513" s="26">
        <v>46132</v>
      </c>
      <c r="B2513" s="23">
        <v>2073.1999999999998</v>
      </c>
      <c r="C2513" s="25">
        <f t="shared" si="538"/>
        <v>1.8265987571395585E-3</v>
      </c>
      <c r="E2513" s="25">
        <f t="shared" si="534"/>
        <v>0.18309698404998986</v>
      </c>
      <c r="F2513" s="25">
        <f t="shared" si="531"/>
        <v>0.1354644110963481</v>
      </c>
      <c r="G2513" s="25">
        <f t="shared" si="528"/>
        <v>0.20636430285945195</v>
      </c>
      <c r="H2513" s="25">
        <f t="shared" si="525"/>
        <v>0.14230807932599498</v>
      </c>
      <c r="I2513" s="25">
        <f t="shared" si="522"/>
        <v>0.15022032201986457</v>
      </c>
      <c r="K2513" s="28">
        <v>46132</v>
      </c>
      <c r="L2513" s="23">
        <v>36551.14</v>
      </c>
      <c r="M2513" s="25">
        <f t="shared" si="539"/>
        <v>-1.5868178119760179E-4</v>
      </c>
      <c r="O2513" t="b">
        <f t="shared" si="537"/>
        <v>1</v>
      </c>
      <c r="Q2513" s="25">
        <f t="shared" si="535"/>
        <v>0.13795720791682187</v>
      </c>
      <c r="R2513" s="25">
        <f t="shared" si="532"/>
        <v>8.9292312768466831E-2</v>
      </c>
      <c r="S2513" s="25">
        <f t="shared" si="529"/>
        <v>0.17647056818804452</v>
      </c>
      <c r="T2513" s="25">
        <f t="shared" si="526"/>
        <v>0.12747701644801834</v>
      </c>
      <c r="U2513" s="25">
        <f t="shared" si="523"/>
        <v>0.13819713479262985</v>
      </c>
      <c r="X2513">
        <f t="shared" si="536"/>
        <v>1</v>
      </c>
      <c r="Y2513">
        <f t="shared" si="533"/>
        <v>1</v>
      </c>
      <c r="Z2513">
        <f t="shared" si="530"/>
        <v>1</v>
      </c>
      <c r="AA2513">
        <f t="shared" si="527"/>
        <v>1</v>
      </c>
      <c r="AB2513">
        <f t="shared" si="524"/>
        <v>1</v>
      </c>
    </row>
    <row r="2514" spans="1:28">
      <c r="A2514" s="27">
        <v>46133</v>
      </c>
      <c r="B2514" s="24">
        <v>2089.39</v>
      </c>
      <c r="C2514" s="25">
        <f t="shared" si="538"/>
        <v>7.8091838703453868E-3</v>
      </c>
      <c r="E2514" s="25">
        <f t="shared" si="534"/>
        <v>0.17283285339799814</v>
      </c>
      <c r="F2514" s="25">
        <f t="shared" si="531"/>
        <v>0.1330678803990788</v>
      </c>
      <c r="G2514" s="25">
        <f t="shared" si="528"/>
        <v>0.21102980547305616</v>
      </c>
      <c r="H2514" s="25">
        <f t="shared" si="525"/>
        <v>0.14676087160795825</v>
      </c>
      <c r="I2514" s="25">
        <f t="shared" ref="I2514:I2575" si="540">((B2514/B1283)^(1/5))-1</f>
        <v>0.15378017540535494</v>
      </c>
      <c r="K2514" s="29">
        <v>46133</v>
      </c>
      <c r="L2514" s="24">
        <v>36833.4</v>
      </c>
      <c r="M2514" s="25">
        <f t="shared" si="539"/>
        <v>7.6631535508533567E-3</v>
      </c>
      <c r="O2514" t="b">
        <f t="shared" si="537"/>
        <v>1</v>
      </c>
      <c r="Q2514" s="25">
        <f t="shared" si="535"/>
        <v>0.12626693334173189</v>
      </c>
      <c r="R2514" s="25">
        <f t="shared" si="532"/>
        <v>8.6051671155128684E-2</v>
      </c>
      <c r="S2514" s="25">
        <f t="shared" si="529"/>
        <v>0.18211131144828641</v>
      </c>
      <c r="T2514" s="25">
        <f t="shared" si="526"/>
        <v>0.13192564756878222</v>
      </c>
      <c r="U2514" s="25">
        <f t="shared" ref="U2514:U2575" si="541">((L2514/L1283)^(1/5))-1</f>
        <v>0.14144610661946544</v>
      </c>
      <c r="X2514">
        <f t="shared" si="536"/>
        <v>1</v>
      </c>
      <c r="Y2514">
        <f t="shared" si="533"/>
        <v>1</v>
      </c>
      <c r="Z2514">
        <f t="shared" si="530"/>
        <v>1</v>
      </c>
      <c r="AA2514">
        <f t="shared" si="527"/>
        <v>1</v>
      </c>
      <c r="AB2514">
        <f t="shared" ref="AB2514:AB2575" si="542">IF(I2514&gt;U2514,1,0)</f>
        <v>1</v>
      </c>
    </row>
    <row r="2515" spans="1:28">
      <c r="A2515" s="26">
        <v>46134</v>
      </c>
      <c r="B2515" s="23">
        <v>2083.29</v>
      </c>
      <c r="C2515" s="25">
        <f t="shared" si="538"/>
        <v>-2.9195123935693715E-3</v>
      </c>
      <c r="E2515" s="25">
        <f t="shared" si="534"/>
        <v>0.16164268986283026</v>
      </c>
      <c r="F2515" s="25">
        <f t="shared" si="531"/>
        <v>0.13438242100710807</v>
      </c>
      <c r="G2515" s="25">
        <f t="shared" si="528"/>
        <v>0.21032700143998895</v>
      </c>
      <c r="H2515" s="25">
        <f t="shared" si="525"/>
        <v>0.14377996903101065</v>
      </c>
      <c r="I2515" s="25">
        <f t="shared" si="540"/>
        <v>0.15279225137455343</v>
      </c>
      <c r="K2515" s="28">
        <v>46134</v>
      </c>
      <c r="L2515" s="23">
        <v>36752.07</v>
      </c>
      <c r="M2515" s="25">
        <f t="shared" si="539"/>
        <v>-2.2129365774499706E-3</v>
      </c>
      <c r="O2515" t="b">
        <f t="shared" si="537"/>
        <v>1</v>
      </c>
      <c r="Q2515" s="25">
        <f t="shared" si="535"/>
        <v>0.1125817890760612</v>
      </c>
      <c r="R2515" s="25">
        <f t="shared" si="532"/>
        <v>8.7339030938506923E-2</v>
      </c>
      <c r="S2515" s="25">
        <f t="shared" si="529"/>
        <v>0.18228802291141455</v>
      </c>
      <c r="T2515" s="25">
        <f t="shared" si="526"/>
        <v>0.12895595689688077</v>
      </c>
      <c r="U2515" s="25">
        <f t="shared" si="541"/>
        <v>0.14089537666789065</v>
      </c>
      <c r="X2515">
        <f t="shared" si="536"/>
        <v>1</v>
      </c>
      <c r="Y2515">
        <f t="shared" si="533"/>
        <v>1</v>
      </c>
      <c r="Z2515">
        <f t="shared" si="530"/>
        <v>1</v>
      </c>
      <c r="AA2515">
        <f t="shared" si="527"/>
        <v>1</v>
      </c>
      <c r="AB2515">
        <f t="shared" si="542"/>
        <v>1</v>
      </c>
    </row>
    <row r="2516" spans="1:28">
      <c r="A2516" s="27">
        <v>46135</v>
      </c>
      <c r="B2516" s="24">
        <v>2066.11</v>
      </c>
      <c r="C2516" s="25">
        <f t="shared" si="538"/>
        <v>-8.246571528687718E-3</v>
      </c>
      <c r="E2516" s="25">
        <f t="shared" si="534"/>
        <v>0.14050795718630815</v>
      </c>
      <c r="F2516" s="25">
        <f t="shared" si="531"/>
        <v>0.12846922720150045</v>
      </c>
      <c r="G2516" s="25">
        <f t="shared" si="528"/>
        <v>0.20716204924864123</v>
      </c>
      <c r="H2516" s="25">
        <f t="shared" si="525"/>
        <v>0.14186276676594156</v>
      </c>
      <c r="I2516" s="25">
        <f t="shared" si="540"/>
        <v>0.15448345144238362</v>
      </c>
      <c r="K2516" s="29">
        <v>46135</v>
      </c>
      <c r="L2516" s="24">
        <v>36463.65</v>
      </c>
      <c r="M2516" s="25">
        <f t="shared" si="539"/>
        <v>-7.9097950973091892E-3</v>
      </c>
      <c r="O2516" t="b">
        <f t="shared" si="537"/>
        <v>1</v>
      </c>
      <c r="Q2516" s="25">
        <f t="shared" si="535"/>
        <v>9.3077667894732263E-2</v>
      </c>
      <c r="R2516" s="25">
        <f t="shared" si="532"/>
        <v>8.2564772511064755E-2</v>
      </c>
      <c r="S2516" s="25">
        <f t="shared" si="529"/>
        <v>0.17890713214185672</v>
      </c>
      <c r="T2516" s="25">
        <f t="shared" si="526"/>
        <v>0.12728745893565163</v>
      </c>
      <c r="U2516" s="25">
        <f t="shared" si="541"/>
        <v>0.14264206850798278</v>
      </c>
      <c r="X2516">
        <f t="shared" si="536"/>
        <v>1</v>
      </c>
      <c r="Y2516">
        <f t="shared" si="533"/>
        <v>1</v>
      </c>
      <c r="Z2516">
        <f t="shared" si="530"/>
        <v>1</v>
      </c>
      <c r="AA2516">
        <f t="shared" si="527"/>
        <v>1</v>
      </c>
      <c r="AB2516">
        <f t="shared" si="542"/>
        <v>1</v>
      </c>
    </row>
    <row r="2517" spans="1:28">
      <c r="A2517" s="26">
        <v>46136</v>
      </c>
      <c r="B2517" s="23">
        <v>2040.62</v>
      </c>
      <c r="C2517" s="25">
        <f t="shared" si="538"/>
        <v>-1.2337194050655694E-2</v>
      </c>
      <c r="E2517" s="25">
        <f t="shared" si="534"/>
        <v>0.11632512390726379</v>
      </c>
      <c r="F2517" s="25">
        <f t="shared" si="531"/>
        <v>0.12666491976374372</v>
      </c>
      <c r="G2517" s="25">
        <f t="shared" si="528"/>
        <v>0.19814089897514786</v>
      </c>
      <c r="H2517" s="25">
        <f t="shared" si="525"/>
        <v>0.13696112088312562</v>
      </c>
      <c r="I2517" s="25">
        <f t="shared" si="540"/>
        <v>0.15538154716426034</v>
      </c>
      <c r="K2517" s="28">
        <v>46136</v>
      </c>
      <c r="L2517" s="23">
        <v>36083.57</v>
      </c>
      <c r="M2517" s="25">
        <f t="shared" si="539"/>
        <v>-1.0533325832227847E-2</v>
      </c>
      <c r="O2517" t="b">
        <f t="shared" si="537"/>
        <v>1</v>
      </c>
      <c r="Q2517" s="25">
        <f t="shared" si="535"/>
        <v>7.1306377561320966E-2</v>
      </c>
      <c r="R2517" s="25">
        <f t="shared" si="532"/>
        <v>8.326786850140433E-2</v>
      </c>
      <c r="S2517" s="25">
        <f t="shared" si="529"/>
        <v>0.1723333776033924</v>
      </c>
      <c r="T2517" s="25">
        <f t="shared" si="526"/>
        <v>0.12425033369780447</v>
      </c>
      <c r="U2517" s="25">
        <f t="shared" si="541"/>
        <v>0.14294541103744041</v>
      </c>
      <c r="X2517">
        <f t="shared" si="536"/>
        <v>1</v>
      </c>
      <c r="Y2517">
        <f t="shared" si="533"/>
        <v>1</v>
      </c>
      <c r="Z2517">
        <f t="shared" si="530"/>
        <v>1</v>
      </c>
      <c r="AA2517">
        <f t="shared" si="527"/>
        <v>1</v>
      </c>
      <c r="AB2517">
        <f t="shared" si="542"/>
        <v>1</v>
      </c>
    </row>
    <row r="2518" spans="1:28">
      <c r="A2518" s="27">
        <v>46139</v>
      </c>
      <c r="B2518" s="24">
        <v>2061.16</v>
      </c>
      <c r="C2518" s="25">
        <f t="shared" si="538"/>
        <v>1.0065568307671181E-2</v>
      </c>
      <c r="E2518" s="25">
        <f t="shared" si="534"/>
        <v>0.1148335451767315</v>
      </c>
      <c r="F2518" s="25">
        <f t="shared" si="531"/>
        <v>0.13181418247439014</v>
      </c>
      <c r="G2518" s="25">
        <f t="shared" si="528"/>
        <v>0.20552702186564908</v>
      </c>
      <c r="H2518" s="25">
        <f t="shared" si="525"/>
        <v>0.14093891684004878</v>
      </c>
      <c r="I2518" s="25">
        <f t="shared" si="540"/>
        <v>0.15538071330434033</v>
      </c>
      <c r="K2518" s="29">
        <v>46139</v>
      </c>
      <c r="L2518" s="24">
        <v>36485.68</v>
      </c>
      <c r="M2518" s="25">
        <f t="shared" si="539"/>
        <v>1.1021036198311244E-2</v>
      </c>
      <c r="O2518" t="b">
        <f t="shared" si="537"/>
        <v>1</v>
      </c>
      <c r="Q2518" s="25">
        <f t="shared" si="535"/>
        <v>6.9957525076157934E-2</v>
      </c>
      <c r="R2518" s="25">
        <f t="shared" si="532"/>
        <v>8.8690444120963274E-2</v>
      </c>
      <c r="S2518" s="25">
        <f t="shared" si="529"/>
        <v>0.17950165439107235</v>
      </c>
      <c r="T2518" s="25">
        <f t="shared" si="526"/>
        <v>0.12828307293603802</v>
      </c>
      <c r="U2518" s="25">
        <f t="shared" si="541"/>
        <v>0.14286241074039152</v>
      </c>
      <c r="X2518">
        <f t="shared" si="536"/>
        <v>1</v>
      </c>
      <c r="Y2518">
        <f t="shared" si="533"/>
        <v>1</v>
      </c>
      <c r="Z2518">
        <f t="shared" si="530"/>
        <v>1</v>
      </c>
      <c r="AA2518">
        <f t="shared" si="527"/>
        <v>1</v>
      </c>
      <c r="AB2518">
        <f t="shared" si="542"/>
        <v>1</v>
      </c>
    </row>
    <row r="2519" spans="1:28">
      <c r="A2519" s="26">
        <v>46140</v>
      </c>
      <c r="B2519" s="23">
        <v>2057.77</v>
      </c>
      <c r="C2519" s="25">
        <f t="shared" si="538"/>
        <v>-1.6447049234411073E-3</v>
      </c>
      <c r="E2519" s="25">
        <f t="shared" si="534"/>
        <v>0.11650859449605</v>
      </c>
      <c r="F2519" s="25">
        <f t="shared" si="531"/>
        <v>0.12584591649476984</v>
      </c>
      <c r="G2519" s="25">
        <f t="shared" si="528"/>
        <v>0.20281084841185226</v>
      </c>
      <c r="H2519" s="25">
        <f t="shared" si="525"/>
        <v>0.14002223105840028</v>
      </c>
      <c r="I2519" s="25">
        <f t="shared" si="540"/>
        <v>0.15423127278701365</v>
      </c>
      <c r="K2519" s="28">
        <v>46140</v>
      </c>
      <c r="L2519" s="23">
        <v>36396.49</v>
      </c>
      <c r="M2519" s="25">
        <f t="shared" si="539"/>
        <v>-2.450511024552157E-3</v>
      </c>
      <c r="O2519" t="b">
        <f t="shared" si="537"/>
        <v>1</v>
      </c>
      <c r="Q2519" s="25">
        <f t="shared" si="535"/>
        <v>7.2337620936877345E-2</v>
      </c>
      <c r="R2519" s="25">
        <f t="shared" si="532"/>
        <v>8.0081410363428196E-2</v>
      </c>
      <c r="S2519" s="25">
        <f t="shared" si="529"/>
        <v>0.17596458869565423</v>
      </c>
      <c r="T2519" s="25">
        <f t="shared" si="526"/>
        <v>0.12712011088437292</v>
      </c>
      <c r="U2519" s="25">
        <f t="shared" si="541"/>
        <v>0.14183890620493833</v>
      </c>
      <c r="X2519">
        <f t="shared" si="536"/>
        <v>1</v>
      </c>
      <c r="Y2519">
        <f t="shared" si="533"/>
        <v>1</v>
      </c>
      <c r="Z2519">
        <f t="shared" si="530"/>
        <v>1</v>
      </c>
      <c r="AA2519">
        <f t="shared" si="527"/>
        <v>1</v>
      </c>
      <c r="AB2519">
        <f t="shared" si="542"/>
        <v>1</v>
      </c>
    </row>
    <row r="2520" spans="1:28">
      <c r="A2520" s="27">
        <v>46141</v>
      </c>
      <c r="B2520" s="24">
        <v>2063.33</v>
      </c>
      <c r="C2520" s="25">
        <f t="shared" si="538"/>
        <v>2.7019540570617441E-3</v>
      </c>
      <c r="E2520" s="25">
        <f t="shared" si="534"/>
        <v>0.12660391163334173</v>
      </c>
      <c r="F2520" s="25">
        <f t="shared" si="531"/>
        <v>0.12437099433214405</v>
      </c>
      <c r="G2520" s="25">
        <f t="shared" si="528"/>
        <v>0.20263002635767857</v>
      </c>
      <c r="H2520" s="25">
        <f t="shared" ref="H2520:H2575" si="543">((B2520/B1539)^(1/4))-1</f>
        <v>0.1388636833398611</v>
      </c>
      <c r="I2520" s="25">
        <f t="shared" si="540"/>
        <v>0.15305995904887304</v>
      </c>
      <c r="K2520" s="29">
        <v>46141</v>
      </c>
      <c r="L2520" s="24">
        <v>36565.03</v>
      </c>
      <c r="M2520" s="25">
        <f t="shared" si="539"/>
        <v>4.6093220763117346E-3</v>
      </c>
      <c r="O2520" t="b">
        <f t="shared" si="537"/>
        <v>1</v>
      </c>
      <c r="Q2520" s="25">
        <f t="shared" si="535"/>
        <v>8.5478263141207877E-2</v>
      </c>
      <c r="R2520" s="25">
        <f t="shared" si="532"/>
        <v>7.9920937565752581E-2</v>
      </c>
      <c r="S2520" s="25">
        <f t="shared" si="529"/>
        <v>0.17645380691700763</v>
      </c>
      <c r="T2520" s="25">
        <f t="shared" ref="T2520:T2575" si="544">((L2520/L1539)^(1/4))-1</f>
        <v>0.12677163012907489</v>
      </c>
      <c r="U2520" s="25">
        <f t="shared" si="541"/>
        <v>0.14141922447744526</v>
      </c>
      <c r="X2520">
        <f t="shared" si="536"/>
        <v>1</v>
      </c>
      <c r="Y2520">
        <f t="shared" si="533"/>
        <v>1</v>
      </c>
      <c r="Z2520">
        <f t="shared" si="530"/>
        <v>1</v>
      </c>
      <c r="AA2520">
        <f t="shared" ref="AA2520:AA2575" si="545">IF(H2520&gt;T2520,1,0)</f>
        <v>1</v>
      </c>
      <c r="AB2520">
        <f t="shared" si="542"/>
        <v>1</v>
      </c>
    </row>
    <row r="2521" spans="1:28">
      <c r="A2521" s="26">
        <v>46142</v>
      </c>
      <c r="B2521" s="23">
        <v>2051.1</v>
      </c>
      <c r="C2521" s="25">
        <f t="shared" si="538"/>
        <v>-5.9273116757862379E-3</v>
      </c>
      <c r="E2521" s="25">
        <f t="shared" si="534"/>
        <v>0.11333054697635037</v>
      </c>
      <c r="F2521" s="25">
        <f t="shared" si="531"/>
        <v>0.12157336888368575</v>
      </c>
      <c r="G2521" s="25">
        <f t="shared" si="528"/>
        <v>0.20221176134299612</v>
      </c>
      <c r="H2521" s="25">
        <f t="shared" si="543"/>
        <v>0.13462313208836507</v>
      </c>
      <c r="I2521" s="25">
        <f t="shared" si="540"/>
        <v>0.1555881385678235</v>
      </c>
      <c r="K2521" s="28">
        <v>46142</v>
      </c>
      <c r="L2521" s="23">
        <v>36266.61</v>
      </c>
      <c r="M2521" s="25">
        <f t="shared" si="539"/>
        <v>-8.2285055040986262E-3</v>
      </c>
      <c r="O2521" t="b">
        <f t="shared" si="537"/>
        <v>1</v>
      </c>
      <c r="Q2521" s="25">
        <f t="shared" si="535"/>
        <v>6.9954796306054057E-2</v>
      </c>
      <c r="R2521" s="25">
        <f t="shared" si="532"/>
        <v>7.5218788458214281E-2</v>
      </c>
      <c r="S2521" s="25">
        <f t="shared" si="529"/>
        <v>0.17477464428395595</v>
      </c>
      <c r="T2521" s="25">
        <f t="shared" si="544"/>
        <v>0.12189435952629402</v>
      </c>
      <c r="U2521" s="25">
        <f t="shared" si="541"/>
        <v>0.14363369538976523</v>
      </c>
      <c r="X2521">
        <f t="shared" si="536"/>
        <v>1</v>
      </c>
      <c r="Y2521">
        <f t="shared" si="533"/>
        <v>1</v>
      </c>
      <c r="Z2521">
        <f t="shared" si="530"/>
        <v>1</v>
      </c>
      <c r="AA2521">
        <f t="shared" si="545"/>
        <v>1</v>
      </c>
      <c r="AB2521">
        <f t="shared" si="542"/>
        <v>1</v>
      </c>
    </row>
    <row r="2522" spans="1:28">
      <c r="A2522" s="27">
        <v>46146</v>
      </c>
      <c r="B2522" s="24">
        <v>2066.1</v>
      </c>
      <c r="C2522" s="25">
        <f t="shared" si="538"/>
        <v>7.3131490419774759E-3</v>
      </c>
      <c r="E2522" s="25">
        <f t="shared" si="534"/>
        <v>0.12174040513174123</v>
      </c>
      <c r="F2522" s="25">
        <f t="shared" si="531"/>
        <v>0.12324820201244657</v>
      </c>
      <c r="G2522" s="25">
        <f t="shared" si="528"/>
        <v>0.20857148006639892</v>
      </c>
      <c r="H2522" s="25">
        <f t="shared" si="543"/>
        <v>0.13718149352080755</v>
      </c>
      <c r="I2522" s="25">
        <f t="shared" si="540"/>
        <v>0.16053069506765683</v>
      </c>
      <c r="K2522" s="29">
        <v>46146</v>
      </c>
      <c r="L2522" s="24">
        <v>36502.089999999997</v>
      </c>
      <c r="M2522" s="25">
        <f t="shared" si="539"/>
        <v>6.4511374554168258E-3</v>
      </c>
      <c r="O2522" t="b">
        <f t="shared" si="537"/>
        <v>1</v>
      </c>
      <c r="Q2522" s="25">
        <f t="shared" si="535"/>
        <v>8.0341107792335276E-2</v>
      </c>
      <c r="R2522" s="25">
        <f t="shared" si="532"/>
        <v>7.6485728547400322E-2</v>
      </c>
      <c r="S2522" s="25">
        <f t="shared" si="529"/>
        <v>0.18071239234498115</v>
      </c>
      <c r="T2522" s="25">
        <f t="shared" si="544"/>
        <v>0.12375610471579823</v>
      </c>
      <c r="U2522" s="25">
        <f t="shared" si="541"/>
        <v>0.14897189338637884</v>
      </c>
      <c r="X2522">
        <f t="shared" si="536"/>
        <v>1</v>
      </c>
      <c r="Y2522">
        <f t="shared" si="533"/>
        <v>1</v>
      </c>
      <c r="Z2522">
        <f t="shared" si="530"/>
        <v>1</v>
      </c>
      <c r="AA2522">
        <f t="shared" si="545"/>
        <v>1</v>
      </c>
      <c r="AB2522">
        <f t="shared" si="542"/>
        <v>1</v>
      </c>
    </row>
    <row r="2523" spans="1:28">
      <c r="A2523" s="26">
        <v>46147</v>
      </c>
      <c r="B2523" s="23">
        <v>2066.1999999999998</v>
      </c>
      <c r="C2523" s="25">
        <f t="shared" si="538"/>
        <v>4.840036784275159E-5</v>
      </c>
      <c r="E2523" s="25">
        <f t="shared" si="534"/>
        <v>0.13993467802445148</v>
      </c>
      <c r="F2523" s="25">
        <f t="shared" si="531"/>
        <v>0.1178987367032911</v>
      </c>
      <c r="G2523" s="25">
        <f t="shared" si="528"/>
        <v>0.20896640045573034</v>
      </c>
      <c r="H2523" s="25">
        <f t="shared" si="543"/>
        <v>0.1350811641059102</v>
      </c>
      <c r="I2523" s="25">
        <f t="shared" si="540"/>
        <v>0.15687809857516699</v>
      </c>
      <c r="K2523" s="28">
        <v>46147</v>
      </c>
      <c r="L2523" s="23">
        <v>36466.32</v>
      </c>
      <c r="M2523" s="25">
        <f t="shared" si="539"/>
        <v>-9.8090512012171229E-4</v>
      </c>
      <c r="O2523" t="b">
        <f t="shared" si="537"/>
        <v>1</v>
      </c>
      <c r="Q2523" s="25">
        <f t="shared" si="535"/>
        <v>9.3050887897473622E-2</v>
      </c>
      <c r="R2523" s="25">
        <f t="shared" si="532"/>
        <v>7.1478603373703598E-2</v>
      </c>
      <c r="S2523" s="25">
        <f t="shared" si="529"/>
        <v>0.18077544068263096</v>
      </c>
      <c r="T2523" s="25">
        <f t="shared" si="544"/>
        <v>0.11987457114704725</v>
      </c>
      <c r="U2523" s="25">
        <f t="shared" si="541"/>
        <v>0.14578867946801344</v>
      </c>
      <c r="X2523">
        <f t="shared" si="536"/>
        <v>1</v>
      </c>
      <c r="Y2523">
        <f t="shared" si="533"/>
        <v>1</v>
      </c>
      <c r="Z2523">
        <f t="shared" si="530"/>
        <v>1</v>
      </c>
      <c r="AA2523">
        <f t="shared" si="545"/>
        <v>1</v>
      </c>
      <c r="AB2523">
        <f t="shared" si="542"/>
        <v>1</v>
      </c>
    </row>
    <row r="2524" spans="1:28">
      <c r="A2524" s="27">
        <v>46148</v>
      </c>
      <c r="B2524" s="24">
        <v>2090.19</v>
      </c>
      <c r="C2524" s="25">
        <f t="shared" si="538"/>
        <v>1.1610686283999729E-2</v>
      </c>
      <c r="E2524" s="25">
        <f t="shared" si="534"/>
        <v>0.14117634212523411</v>
      </c>
      <c r="F2524" s="25">
        <f t="shared" si="531"/>
        <v>0.11805805984118245</v>
      </c>
      <c r="G2524" s="25">
        <f t="shared" si="528"/>
        <v>0.21447618881585018</v>
      </c>
      <c r="H2524" s="25">
        <f t="shared" si="543"/>
        <v>0.13377819825511605</v>
      </c>
      <c r="I2524" s="25">
        <f t="shared" si="540"/>
        <v>0.15499417877494803</v>
      </c>
      <c r="K2524" s="29">
        <v>46148</v>
      </c>
      <c r="L2524" s="24">
        <v>36986.18</v>
      </c>
      <c r="M2524" s="25">
        <f t="shared" si="539"/>
        <v>1.4055520197003329E-2</v>
      </c>
      <c r="O2524" t="b">
        <f t="shared" si="537"/>
        <v>1</v>
      </c>
      <c r="Q2524" s="25">
        <f t="shared" si="535"/>
        <v>9.8470743476283928E-2</v>
      </c>
      <c r="R2524" s="25">
        <f t="shared" si="532"/>
        <v>7.2820023685001622E-2</v>
      </c>
      <c r="S2524" s="25">
        <f t="shared" si="529"/>
        <v>0.1877755139181716</v>
      </c>
      <c r="T2524" s="25">
        <f t="shared" si="544"/>
        <v>0.11837130413453001</v>
      </c>
      <c r="U2524" s="25">
        <f t="shared" si="541"/>
        <v>0.14455770518406919</v>
      </c>
      <c r="X2524">
        <f t="shared" si="536"/>
        <v>1</v>
      </c>
      <c r="Y2524">
        <f t="shared" si="533"/>
        <v>1</v>
      </c>
      <c r="Z2524">
        <f t="shared" si="530"/>
        <v>1</v>
      </c>
      <c r="AA2524">
        <f t="shared" si="545"/>
        <v>1</v>
      </c>
      <c r="AB2524">
        <f t="shared" si="542"/>
        <v>1</v>
      </c>
    </row>
    <row r="2525" spans="1:28">
      <c r="A2525" s="26">
        <v>46149</v>
      </c>
      <c r="B2525" s="23">
        <v>2100.96</v>
      </c>
      <c r="C2525" s="25">
        <f t="shared" si="538"/>
        <v>5.1526416258808917E-3</v>
      </c>
      <c r="E2525" s="25">
        <f t="shared" si="534"/>
        <v>0.15160850046865493</v>
      </c>
      <c r="F2525" s="25">
        <f t="shared" si="531"/>
        <v>0.12069022521961537</v>
      </c>
      <c r="G2525" s="25">
        <f t="shared" si="528"/>
        <v>0.21279730629844562</v>
      </c>
      <c r="H2525" s="25">
        <f t="shared" si="543"/>
        <v>0.13502058575191578</v>
      </c>
      <c r="I2525" s="25">
        <f t="shared" si="540"/>
        <v>0.15776885383283168</v>
      </c>
      <c r="K2525" s="28">
        <v>46149</v>
      </c>
      <c r="L2525" s="23">
        <v>37115.08</v>
      </c>
      <c r="M2525" s="25">
        <f t="shared" si="539"/>
        <v>3.4729818715196477E-3</v>
      </c>
      <c r="O2525" t="b">
        <f t="shared" si="537"/>
        <v>1</v>
      </c>
      <c r="Q2525" s="25">
        <f t="shared" si="535"/>
        <v>0.1034476607495165</v>
      </c>
      <c r="R2525" s="25">
        <f t="shared" si="532"/>
        <v>7.2668438003720359E-2</v>
      </c>
      <c r="S2525" s="25">
        <f t="shared" si="529"/>
        <v>0.18544194260382341</v>
      </c>
      <c r="T2525" s="25">
        <f t="shared" si="544"/>
        <v>0.11921226804380125</v>
      </c>
      <c r="U2525" s="25">
        <f t="shared" si="541"/>
        <v>0.14673143639427666</v>
      </c>
      <c r="X2525">
        <f t="shared" si="536"/>
        <v>1</v>
      </c>
      <c r="Y2525">
        <f t="shared" si="533"/>
        <v>1</v>
      </c>
      <c r="Z2525">
        <f t="shared" si="530"/>
        <v>1</v>
      </c>
      <c r="AA2525">
        <f t="shared" si="545"/>
        <v>1</v>
      </c>
      <c r="AB2525">
        <f t="shared" si="542"/>
        <v>1</v>
      </c>
    </row>
    <row r="2526" spans="1:28">
      <c r="A2526" s="27">
        <v>46150</v>
      </c>
      <c r="B2526" s="24">
        <v>2101.35</v>
      </c>
      <c r="C2526" s="25">
        <f t="shared" si="538"/>
        <v>1.8562942654780322E-4</v>
      </c>
      <c r="E2526" s="25">
        <f t="shared" si="534"/>
        <v>0.17341411659593486</v>
      </c>
      <c r="F2526" s="25">
        <f t="shared" si="531"/>
        <v>0.12080093706390049</v>
      </c>
      <c r="G2526" s="25">
        <f t="shared" si="528"/>
        <v>0.20723707132730884</v>
      </c>
      <c r="H2526" s="25">
        <f t="shared" si="543"/>
        <v>0.13669523785382331</v>
      </c>
      <c r="I2526" s="25">
        <f t="shared" si="540"/>
        <v>0.15467575647411169</v>
      </c>
      <c r="K2526" s="29">
        <v>46150</v>
      </c>
      <c r="L2526" s="24">
        <v>36958.370000000003</v>
      </c>
      <c r="M2526" s="25">
        <f t="shared" si="539"/>
        <v>-4.2401761766008381E-3</v>
      </c>
      <c r="O2526" t="b">
        <f t="shared" si="537"/>
        <v>1</v>
      </c>
      <c r="Q2526" s="25">
        <f t="shared" si="535"/>
        <v>0.12191940462793971</v>
      </c>
      <c r="R2526" s="25">
        <f t="shared" si="532"/>
        <v>6.9467429158765581E-2</v>
      </c>
      <c r="S2526" s="25">
        <f t="shared" si="529"/>
        <v>0.17798662870719406</v>
      </c>
      <c r="T2526" s="25">
        <f t="shared" si="544"/>
        <v>0.1191684055895692</v>
      </c>
      <c r="U2526" s="25">
        <f t="shared" si="541"/>
        <v>0.14270922932118135</v>
      </c>
      <c r="X2526">
        <f t="shared" si="536"/>
        <v>1</v>
      </c>
      <c r="Y2526">
        <f t="shared" si="533"/>
        <v>1</v>
      </c>
      <c r="Z2526">
        <f t="shared" si="530"/>
        <v>1</v>
      </c>
      <c r="AA2526">
        <f t="shared" si="545"/>
        <v>1</v>
      </c>
      <c r="AB2526">
        <f t="shared" si="542"/>
        <v>1</v>
      </c>
    </row>
    <row r="2527" spans="1:28">
      <c r="A2527" s="26">
        <v>46153</v>
      </c>
      <c r="B2527" s="23">
        <v>2084.42</v>
      </c>
      <c r="C2527" s="25">
        <f t="shared" si="538"/>
        <v>-8.0567254384085654E-3</v>
      </c>
      <c r="E2527" s="25">
        <f t="shared" si="534"/>
        <v>0.20571035232735047</v>
      </c>
      <c r="F2527" s="25">
        <f t="shared" si="531"/>
        <v>0.11489138311665514</v>
      </c>
      <c r="G2527" s="25">
        <f t="shared" si="528"/>
        <v>0.20250125175719869</v>
      </c>
      <c r="H2527" s="25">
        <f t="shared" si="543"/>
        <v>0.13505538332037692</v>
      </c>
      <c r="I2527" s="25">
        <f t="shared" si="540"/>
        <v>0.15552856734633269</v>
      </c>
      <c r="K2527" s="28">
        <v>46153</v>
      </c>
      <c r="L2527" s="23">
        <v>36446.949999999997</v>
      </c>
      <c r="M2527" s="25">
        <f t="shared" si="539"/>
        <v>-1.4031901160453908E-2</v>
      </c>
      <c r="O2527" t="b">
        <f t="shared" si="537"/>
        <v>1</v>
      </c>
      <c r="Q2527" s="25">
        <f t="shared" si="535"/>
        <v>0.14489452110347534</v>
      </c>
      <c r="R2527" s="25">
        <f t="shared" si="532"/>
        <v>6.0524312166309047E-2</v>
      </c>
      <c r="S2527" s="25">
        <f t="shared" si="529"/>
        <v>0.17134624187949843</v>
      </c>
      <c r="T2527" s="25">
        <f t="shared" si="544"/>
        <v>0.11759247988084653</v>
      </c>
      <c r="U2527" s="25">
        <f t="shared" si="541"/>
        <v>0.14284743886921958</v>
      </c>
      <c r="X2527">
        <f t="shared" si="536"/>
        <v>1</v>
      </c>
      <c r="Y2527">
        <f t="shared" si="533"/>
        <v>1</v>
      </c>
      <c r="Z2527">
        <f t="shared" si="530"/>
        <v>1</v>
      </c>
      <c r="AA2527">
        <f t="shared" si="545"/>
        <v>1</v>
      </c>
      <c r="AB2527">
        <f t="shared" si="542"/>
        <v>1</v>
      </c>
    </row>
    <row r="2528" spans="1:28">
      <c r="A2528" s="27">
        <v>46154</v>
      </c>
      <c r="B2528" s="24">
        <v>2039.01</v>
      </c>
      <c r="C2528" s="25">
        <f t="shared" si="538"/>
        <v>-2.1785436716208865E-2</v>
      </c>
      <c r="E2528" s="25">
        <f t="shared" si="534"/>
        <v>0.15769960142170936</v>
      </c>
      <c r="F2528" s="25">
        <f t="shared" si="531"/>
        <v>0.10137411111147054</v>
      </c>
      <c r="G2528" s="25">
        <f t="shared" si="528"/>
        <v>0.19169338228956501</v>
      </c>
      <c r="H2528" s="25">
        <f t="shared" si="543"/>
        <v>0.12666185651175232</v>
      </c>
      <c r="I2528" s="25">
        <f t="shared" si="540"/>
        <v>0.15024253805390275</v>
      </c>
      <c r="K2528" s="29">
        <v>46154</v>
      </c>
      <c r="L2528" s="24">
        <v>35654.54</v>
      </c>
      <c r="M2528" s="25">
        <f t="shared" si="539"/>
        <v>-2.2224659187862084E-2</v>
      </c>
      <c r="O2528" t="b">
        <f t="shared" si="537"/>
        <v>1</v>
      </c>
      <c r="Q2528" s="25">
        <f t="shared" si="535"/>
        <v>9.9489766025065762E-2</v>
      </c>
      <c r="R2528" s="25">
        <f t="shared" si="532"/>
        <v>4.7654111813921318E-2</v>
      </c>
      <c r="S2528" s="25">
        <f t="shared" si="529"/>
        <v>0.15995640869309091</v>
      </c>
      <c r="T2528" s="25">
        <f t="shared" si="544"/>
        <v>0.10890154730653379</v>
      </c>
      <c r="U2528" s="25">
        <f t="shared" si="541"/>
        <v>0.13673613096235449</v>
      </c>
      <c r="X2528">
        <f t="shared" si="536"/>
        <v>1</v>
      </c>
      <c r="Y2528">
        <f t="shared" si="533"/>
        <v>1</v>
      </c>
      <c r="Z2528">
        <f t="shared" si="530"/>
        <v>1</v>
      </c>
      <c r="AA2528">
        <f t="shared" si="545"/>
        <v>1</v>
      </c>
      <c r="AB2528">
        <f t="shared" si="542"/>
        <v>1</v>
      </c>
    </row>
    <row r="2529" spans="1:28">
      <c r="A2529" s="26">
        <v>46155</v>
      </c>
      <c r="B2529" s="23">
        <v>2045.24</v>
      </c>
      <c r="C2529" s="25">
        <f t="shared" si="538"/>
        <v>3.055404338379909E-3</v>
      </c>
      <c r="E2529" s="25">
        <f t="shared" si="534"/>
        <v>0.16635586502654642</v>
      </c>
      <c r="F2529" s="25">
        <f t="shared" si="531"/>
        <v>9.8432049361308671E-2</v>
      </c>
      <c r="G2529" s="25">
        <f t="shared" si="528"/>
        <v>0.19165106350111905</v>
      </c>
      <c r="H2529" s="25">
        <f t="shared" si="543"/>
        <v>0.12889556959852722</v>
      </c>
      <c r="I2529" s="25">
        <f t="shared" si="540"/>
        <v>0.14795841595383874</v>
      </c>
      <c r="K2529" s="28">
        <v>46155</v>
      </c>
      <c r="L2529" s="23">
        <v>35778.400000000001</v>
      </c>
      <c r="M2529" s="25">
        <f t="shared" si="539"/>
        <v>3.4618652594861866E-3</v>
      </c>
      <c r="O2529" t="b">
        <f t="shared" si="537"/>
        <v>1</v>
      </c>
      <c r="Q2529" s="25">
        <f t="shared" si="535"/>
        <v>0.1100321234952002</v>
      </c>
      <c r="R2529" s="25">
        <f t="shared" si="532"/>
        <v>4.6846402263291731E-2</v>
      </c>
      <c r="S2529" s="25">
        <f t="shared" si="529"/>
        <v>0.15999150669271733</v>
      </c>
      <c r="T2529" s="25">
        <f t="shared" si="544"/>
        <v>0.11016949979173241</v>
      </c>
      <c r="U2529" s="25">
        <f t="shared" si="541"/>
        <v>0.1352690885520933</v>
      </c>
      <c r="X2529">
        <f t="shared" si="536"/>
        <v>1</v>
      </c>
      <c r="Y2529">
        <f t="shared" si="533"/>
        <v>1</v>
      </c>
      <c r="Z2529">
        <f t="shared" si="530"/>
        <v>1</v>
      </c>
      <c r="AA2529">
        <f t="shared" si="545"/>
        <v>1</v>
      </c>
      <c r="AB2529">
        <f t="shared" si="542"/>
        <v>1</v>
      </c>
    </row>
    <row r="2530" spans="1:28">
      <c r="A2530" s="27">
        <v>46156</v>
      </c>
      <c r="B2530" s="24">
        <v>2058.31</v>
      </c>
      <c r="C2530" s="25">
        <f t="shared" si="538"/>
        <v>6.3904480647747628E-3</v>
      </c>
      <c r="E2530" s="25">
        <f t="shared" si="534"/>
        <v>0.15263700202717079</v>
      </c>
      <c r="F2530" s="25">
        <f t="shared" si="531"/>
        <v>0.10071609867522358</v>
      </c>
      <c r="G2530" s="25">
        <f t="shared" si="528"/>
        <v>0.19472468757998462</v>
      </c>
      <c r="H2530" s="25">
        <f t="shared" si="543"/>
        <v>0.13313214349851399</v>
      </c>
      <c r="I2530" s="25">
        <f t="shared" si="540"/>
        <v>0.1481221699855495</v>
      </c>
      <c r="K2530" s="29">
        <v>46156</v>
      </c>
      <c r="L2530" s="24">
        <v>36155.379999999997</v>
      </c>
      <c r="M2530" s="25">
        <f t="shared" si="539"/>
        <v>1.0426664026211202E-2</v>
      </c>
      <c r="O2530" t="b">
        <f t="shared" si="537"/>
        <v>1</v>
      </c>
      <c r="Q2530" s="25">
        <f t="shared" si="535"/>
        <v>0.1003145853222529</v>
      </c>
      <c r="R2530" s="25">
        <f t="shared" si="532"/>
        <v>5.3065905063902852E-2</v>
      </c>
      <c r="S2530" s="25">
        <f t="shared" si="529"/>
        <v>0.16322732350568514</v>
      </c>
      <c r="T2530" s="25">
        <f t="shared" si="544"/>
        <v>0.11602080472138443</v>
      </c>
      <c r="U2530" s="25">
        <f t="shared" si="541"/>
        <v>0.13653676345674026</v>
      </c>
      <c r="X2530">
        <f t="shared" si="536"/>
        <v>1</v>
      </c>
      <c r="Y2530">
        <f t="shared" si="533"/>
        <v>1</v>
      </c>
      <c r="Z2530">
        <f t="shared" si="530"/>
        <v>1</v>
      </c>
      <c r="AA2530">
        <f t="shared" si="545"/>
        <v>1</v>
      </c>
      <c r="AB2530">
        <f t="shared" si="542"/>
        <v>1</v>
      </c>
    </row>
    <row r="2531" spans="1:28">
      <c r="A2531" s="26">
        <v>46157</v>
      </c>
      <c r="B2531" s="23">
        <v>2052.7399999999998</v>
      </c>
      <c r="C2531" s="25">
        <f t="shared" si="538"/>
        <v>-2.7061035509715076E-3</v>
      </c>
      <c r="E2531" s="25">
        <f t="shared" si="534"/>
        <v>0.12273428355776272</v>
      </c>
      <c r="F2531" s="25">
        <f t="shared" si="531"/>
        <v>9.5213584247206828E-2</v>
      </c>
      <c r="G2531" s="25">
        <f t="shared" si="528"/>
        <v>0.19220566736067313</v>
      </c>
      <c r="H2531" s="25">
        <f t="shared" si="543"/>
        <v>0.13312336837411576</v>
      </c>
      <c r="I2531" s="25">
        <f t="shared" si="540"/>
        <v>0.14774049474441275</v>
      </c>
      <c r="K2531" s="28">
        <v>46157</v>
      </c>
      <c r="L2531" s="23">
        <v>36038.480000000003</v>
      </c>
      <c r="M2531" s="25">
        <f t="shared" si="539"/>
        <v>-3.2437550085351592E-3</v>
      </c>
      <c r="O2531" t="b">
        <f t="shared" si="537"/>
        <v>1</v>
      </c>
      <c r="Q2531" s="25">
        <f t="shared" si="535"/>
        <v>6.9619621996390935E-2</v>
      </c>
      <c r="R2531" s="25">
        <f t="shared" si="532"/>
        <v>4.8228372339532921E-2</v>
      </c>
      <c r="S2531" s="25">
        <f t="shared" si="529"/>
        <v>0.15996749124805243</v>
      </c>
      <c r="T2531" s="25">
        <f t="shared" si="544"/>
        <v>0.11559909207981045</v>
      </c>
      <c r="U2531" s="25">
        <f t="shared" si="541"/>
        <v>0.13605839452149127</v>
      </c>
      <c r="X2531">
        <f t="shared" si="536"/>
        <v>1</v>
      </c>
      <c r="Y2531">
        <f t="shared" si="533"/>
        <v>1</v>
      </c>
      <c r="Z2531">
        <f t="shared" si="530"/>
        <v>1</v>
      </c>
      <c r="AA2531">
        <f t="shared" si="545"/>
        <v>1</v>
      </c>
      <c r="AB2531">
        <f t="shared" si="542"/>
        <v>1</v>
      </c>
    </row>
    <row r="2532" spans="1:28">
      <c r="A2532" s="27">
        <v>46160</v>
      </c>
      <c r="B2532" s="24">
        <v>2047.67</v>
      </c>
      <c r="C2532" s="25">
        <f t="shared" si="538"/>
        <v>-2.469869540224144E-3</v>
      </c>
      <c r="E2532" s="25">
        <f t="shared" si="534"/>
        <v>0.11410538915639701</v>
      </c>
      <c r="F2532" s="25">
        <f t="shared" si="531"/>
        <v>9.8540153595748414E-2</v>
      </c>
      <c r="G2532" s="25">
        <f t="shared" ref="G2532:G2575" si="546">((B2532/B1795)^(1/3))-1</f>
        <v>0.18898316151849182</v>
      </c>
      <c r="H2532" s="25">
        <f t="shared" si="543"/>
        <v>0.13684957031742617</v>
      </c>
      <c r="I2532" s="25">
        <f t="shared" si="540"/>
        <v>0.155656885283181</v>
      </c>
      <c r="K2532" s="29">
        <v>46160</v>
      </c>
      <c r="L2532" s="24">
        <v>35926.379999999997</v>
      </c>
      <c r="M2532" s="25">
        <f t="shared" si="539"/>
        <v>-3.1202698407133095E-3</v>
      </c>
      <c r="O2532" t="b">
        <f t="shared" si="537"/>
        <v>1</v>
      </c>
      <c r="Q2532" s="25">
        <f t="shared" si="535"/>
        <v>6.0064784657992032E-2</v>
      </c>
      <c r="R2532" s="25">
        <f t="shared" si="532"/>
        <v>5.0868750291477749E-2</v>
      </c>
      <c r="S2532" s="25">
        <f t="shared" ref="S2532:S2575" si="547">((L2532/L1795)^(1/3))-1</f>
        <v>0.15683868685911739</v>
      </c>
      <c r="T2532" s="25">
        <f t="shared" si="544"/>
        <v>0.1186766815383149</v>
      </c>
      <c r="U2532" s="25">
        <f t="shared" si="541"/>
        <v>0.14470075082429057</v>
      </c>
      <c r="X2532">
        <f t="shared" si="536"/>
        <v>1</v>
      </c>
      <c r="Y2532">
        <f t="shared" si="533"/>
        <v>1</v>
      </c>
      <c r="Z2532">
        <f t="shared" ref="Z2532:Z2575" si="548">IF(G2532&gt;S2532,1,0)</f>
        <v>1</v>
      </c>
      <c r="AA2532">
        <f t="shared" si="545"/>
        <v>1</v>
      </c>
      <c r="AB2532">
        <f t="shared" si="542"/>
        <v>1</v>
      </c>
    </row>
    <row r="2533" spans="1:28">
      <c r="A2533" s="26">
        <v>46161</v>
      </c>
      <c r="B2533" s="23">
        <v>2054.13</v>
      </c>
      <c r="C2533" s="25">
        <f t="shared" si="538"/>
        <v>3.1548052176376255E-3</v>
      </c>
      <c r="E2533" s="25">
        <f t="shared" si="534"/>
        <v>0.1018887559744448</v>
      </c>
      <c r="F2533" s="25">
        <f t="shared" si="531"/>
        <v>0.10715735293019524</v>
      </c>
      <c r="G2533" s="25">
        <f t="shared" si="546"/>
        <v>0.19016054697567175</v>
      </c>
      <c r="H2533" s="25">
        <f t="shared" si="543"/>
        <v>0.14136081565218683</v>
      </c>
      <c r="I2533" s="25">
        <f t="shared" si="540"/>
        <v>0.15413994106948259</v>
      </c>
      <c r="K2533" s="28">
        <v>46161</v>
      </c>
      <c r="L2533" s="23">
        <v>36023.49</v>
      </c>
      <c r="M2533" s="25">
        <f t="shared" si="539"/>
        <v>2.6957410289786079E-3</v>
      </c>
      <c r="O2533" t="b">
        <f t="shared" si="537"/>
        <v>1</v>
      </c>
      <c r="Q2533" s="25">
        <f t="shared" si="535"/>
        <v>4.9342578615875654E-2</v>
      </c>
      <c r="R2533" s="25">
        <f t="shared" si="532"/>
        <v>5.9119129497976042E-2</v>
      </c>
      <c r="S2533" s="25">
        <f t="shared" si="547"/>
        <v>0.15752436302874617</v>
      </c>
      <c r="T2533" s="25">
        <f t="shared" si="544"/>
        <v>0.1231973509797426</v>
      </c>
      <c r="U2533" s="25">
        <f t="shared" si="541"/>
        <v>0.14224614213712572</v>
      </c>
      <c r="X2533">
        <f t="shared" si="536"/>
        <v>1</v>
      </c>
      <c r="Y2533">
        <f t="shared" si="533"/>
        <v>1</v>
      </c>
      <c r="Z2533">
        <f t="shared" si="548"/>
        <v>1</v>
      </c>
      <c r="AA2533">
        <f t="shared" si="545"/>
        <v>1</v>
      </c>
      <c r="AB2533">
        <f t="shared" si="542"/>
        <v>1</v>
      </c>
    </row>
    <row r="2534" spans="1:28">
      <c r="A2534" s="27">
        <v>46162</v>
      </c>
      <c r="B2534" s="24">
        <v>2059.54</v>
      </c>
      <c r="C2534" s="25">
        <f t="shared" si="538"/>
        <v>2.633718411200778E-3</v>
      </c>
      <c r="E2534" s="25">
        <f t="shared" si="534"/>
        <v>8.8511524415058718E-2</v>
      </c>
      <c r="F2534" s="25">
        <f t="shared" si="531"/>
        <v>0.11007267582749347</v>
      </c>
      <c r="G2534" s="25">
        <f t="shared" si="546"/>
        <v>0.19337291601275175</v>
      </c>
      <c r="H2534" s="25">
        <f t="shared" si="543"/>
        <v>0.14083661406283499</v>
      </c>
      <c r="I2534" s="25">
        <f t="shared" si="540"/>
        <v>0.15397747430717157</v>
      </c>
      <c r="K2534" s="29">
        <v>46162</v>
      </c>
      <c r="L2534" s="24">
        <v>36113.93</v>
      </c>
      <c r="M2534" s="25">
        <f t="shared" si="539"/>
        <v>2.504296818429961E-3</v>
      </c>
      <c r="O2534" t="b">
        <f t="shared" si="537"/>
        <v>1</v>
      </c>
      <c r="Q2534" s="25">
        <f t="shared" si="535"/>
        <v>3.6478583447823398E-2</v>
      </c>
      <c r="R2534" s="25">
        <f t="shared" si="532"/>
        <v>6.189411097812525E-2</v>
      </c>
      <c r="S2534" s="25">
        <f t="shared" si="547"/>
        <v>0.15978459804818823</v>
      </c>
      <c r="T2534" s="25">
        <f t="shared" si="544"/>
        <v>0.12155421695270441</v>
      </c>
      <c r="U2534" s="25">
        <f t="shared" si="541"/>
        <v>0.14186609617825141</v>
      </c>
      <c r="X2534">
        <f t="shared" si="536"/>
        <v>1</v>
      </c>
      <c r="Y2534">
        <f t="shared" si="533"/>
        <v>1</v>
      </c>
      <c r="Z2534">
        <f t="shared" si="548"/>
        <v>1</v>
      </c>
      <c r="AA2534">
        <f t="shared" si="545"/>
        <v>1</v>
      </c>
      <c r="AB2534">
        <f t="shared" si="542"/>
        <v>1</v>
      </c>
    </row>
    <row r="2535" spans="1:28">
      <c r="A2535" s="26">
        <v>46163</v>
      </c>
      <c r="B2535" s="23">
        <v>2061.7600000000002</v>
      </c>
      <c r="C2535" s="25">
        <f t="shared" si="538"/>
        <v>1.077910601396552E-3</v>
      </c>
      <c r="E2535" s="25">
        <f t="shared" si="534"/>
        <v>8.7776130506122874E-2</v>
      </c>
      <c r="F2535" s="25">
        <f t="shared" si="531"/>
        <v>0.11289033175787666</v>
      </c>
      <c r="G2535" s="25">
        <f t="shared" si="546"/>
        <v>0.19305378942024443</v>
      </c>
      <c r="H2535" s="25">
        <f t="shared" si="543"/>
        <v>0.13834546845057294</v>
      </c>
      <c r="I2535" s="25">
        <f t="shared" si="540"/>
        <v>0.15276374861367481</v>
      </c>
      <c r="K2535" s="28">
        <v>46163</v>
      </c>
      <c r="L2535" s="23">
        <v>36153.599999999999</v>
      </c>
      <c r="M2535" s="25">
        <f t="shared" si="539"/>
        <v>1.0972627898742657E-3</v>
      </c>
      <c r="O2535" t="b">
        <f t="shared" si="537"/>
        <v>1</v>
      </c>
      <c r="Q2535" s="25">
        <f t="shared" si="535"/>
        <v>3.3884883877548733E-2</v>
      </c>
      <c r="R2535" s="25">
        <f t="shared" si="532"/>
        <v>6.5043722532160508E-2</v>
      </c>
      <c r="S2535" s="25">
        <f t="shared" si="547"/>
        <v>0.16039894695861179</v>
      </c>
      <c r="T2535" s="25">
        <f t="shared" si="544"/>
        <v>0.11804164754035851</v>
      </c>
      <c r="U2535" s="25">
        <f t="shared" si="541"/>
        <v>0.14099179441919252</v>
      </c>
      <c r="X2535">
        <f t="shared" si="536"/>
        <v>1</v>
      </c>
      <c r="Y2535">
        <f t="shared" si="533"/>
        <v>1</v>
      </c>
      <c r="Z2535">
        <f t="shared" si="548"/>
        <v>1</v>
      </c>
      <c r="AA2535">
        <f t="shared" si="545"/>
        <v>1</v>
      </c>
      <c r="AB2535">
        <f t="shared" si="542"/>
        <v>1</v>
      </c>
    </row>
    <row r="2536" spans="1:28">
      <c r="A2536" s="27">
        <v>46164</v>
      </c>
      <c r="B2536" s="24">
        <v>2068.0700000000002</v>
      </c>
      <c r="C2536" s="25">
        <f t="shared" si="538"/>
        <v>3.06049200682909E-3</v>
      </c>
      <c r="E2536" s="25">
        <f t="shared" si="534"/>
        <v>8.1660512359174486E-2</v>
      </c>
      <c r="F2536" s="25">
        <f t="shared" si="531"/>
        <v>0.11187359096437777</v>
      </c>
      <c r="G2536" s="25">
        <f t="shared" si="546"/>
        <v>0.19606860376033386</v>
      </c>
      <c r="H2536" s="25">
        <f t="shared" si="543"/>
        <v>0.14286059934851059</v>
      </c>
      <c r="I2536" s="25">
        <f t="shared" si="540"/>
        <v>0.15681375241379736</v>
      </c>
      <c r="K2536" s="29">
        <v>46164</v>
      </c>
      <c r="L2536" s="24">
        <v>36240.550000000003</v>
      </c>
      <c r="M2536" s="25">
        <f t="shared" si="539"/>
        <v>2.3992461483063683E-3</v>
      </c>
      <c r="O2536" t="b">
        <f t="shared" si="537"/>
        <v>1</v>
      </c>
      <c r="Q2536" s="25">
        <f t="shared" si="535"/>
        <v>2.9260781016448023E-2</v>
      </c>
      <c r="R2536" s="25">
        <f t="shared" si="532"/>
        <v>6.473690116707087E-2</v>
      </c>
      <c r="S2536" s="25">
        <f t="shared" si="547"/>
        <v>0.16237280337890625</v>
      </c>
      <c r="T2536" s="25">
        <f t="shared" si="544"/>
        <v>0.12168798883102605</v>
      </c>
      <c r="U2536" s="25">
        <f t="shared" si="541"/>
        <v>0.14568936239024821</v>
      </c>
      <c r="X2536">
        <f t="shared" si="536"/>
        <v>1</v>
      </c>
      <c r="Y2536">
        <f t="shared" si="533"/>
        <v>1</v>
      </c>
      <c r="Z2536">
        <f t="shared" si="548"/>
        <v>1</v>
      </c>
      <c r="AA2536">
        <f t="shared" si="545"/>
        <v>1</v>
      </c>
      <c r="AB2536">
        <f t="shared" si="542"/>
        <v>1</v>
      </c>
    </row>
    <row r="2537" spans="1:28">
      <c r="A2537" s="26">
        <v>46167</v>
      </c>
      <c r="B2537" s="23">
        <v>2090.13</v>
      </c>
      <c r="C2537" s="25">
        <f t="shared" si="538"/>
        <v>1.0666950345007637E-2</v>
      </c>
      <c r="E2537" s="25">
        <f t="shared" si="534"/>
        <v>9.5685678339274549E-2</v>
      </c>
      <c r="F2537" s="25">
        <f t="shared" si="531"/>
        <v>0.11106691227240972</v>
      </c>
      <c r="G2537" s="25">
        <f t="shared" si="546"/>
        <v>0.20009458510280931</v>
      </c>
      <c r="H2537" s="25">
        <f t="shared" si="543"/>
        <v>0.14986017316122191</v>
      </c>
      <c r="I2537" s="25">
        <f t="shared" si="540"/>
        <v>0.15860811128660424</v>
      </c>
      <c r="K2537" s="28">
        <v>46167</v>
      </c>
      <c r="L2537" s="23">
        <v>36693.58</v>
      </c>
      <c r="M2537" s="25">
        <f t="shared" si="539"/>
        <v>1.2346301451098498E-2</v>
      </c>
      <c r="O2537" t="b">
        <f t="shared" si="537"/>
        <v>1</v>
      </c>
      <c r="Q2537" s="25">
        <f t="shared" si="535"/>
        <v>4.4802833704915557E-2</v>
      </c>
      <c r="R2537" s="25">
        <f t="shared" si="532"/>
        <v>6.6420788246513318E-2</v>
      </c>
      <c r="S2537" s="25">
        <f t="shared" si="547"/>
        <v>0.16706896031540852</v>
      </c>
      <c r="T2537" s="25">
        <f t="shared" si="544"/>
        <v>0.12940114238639899</v>
      </c>
      <c r="U2537" s="25">
        <f t="shared" si="541"/>
        <v>0.14894043423926195</v>
      </c>
      <c r="X2537">
        <f t="shared" si="536"/>
        <v>1</v>
      </c>
      <c r="Y2537">
        <f t="shared" si="533"/>
        <v>1</v>
      </c>
      <c r="Z2537">
        <f t="shared" si="548"/>
        <v>1</v>
      </c>
      <c r="AA2537">
        <f t="shared" si="545"/>
        <v>1</v>
      </c>
      <c r="AB2537">
        <f t="shared" si="542"/>
        <v>1</v>
      </c>
    </row>
    <row r="2538" spans="1:28">
      <c r="A2538" s="27">
        <v>46168</v>
      </c>
      <c r="B2538" s="24">
        <v>2089.81</v>
      </c>
      <c r="C2538" s="25">
        <f t="shared" si="538"/>
        <v>-1.5310052484781506E-4</v>
      </c>
      <c r="E2538" s="25">
        <f t="shared" si="534"/>
        <v>0.10825272580713574</v>
      </c>
      <c r="F2538" s="25">
        <f t="shared" si="531"/>
        <v>0.10954763383162769</v>
      </c>
      <c r="G2538" s="25">
        <f t="shared" si="546"/>
        <v>0.20086807387949102</v>
      </c>
      <c r="H2538" s="25">
        <f t="shared" si="543"/>
        <v>0.14633727283472875</v>
      </c>
      <c r="I2538" s="25">
        <f t="shared" si="540"/>
        <v>0.15682155757467298</v>
      </c>
      <c r="K2538" s="29">
        <v>46168</v>
      </c>
      <c r="L2538" s="24">
        <v>36642</v>
      </c>
      <c r="M2538" s="25">
        <f t="shared" si="539"/>
        <v>-1.4076742535888255E-3</v>
      </c>
      <c r="O2538" t="b">
        <f t="shared" si="537"/>
        <v>1</v>
      </c>
      <c r="Q2538" s="25">
        <f t="shared" si="535"/>
        <v>5.9196424829053518E-2</v>
      </c>
      <c r="R2538" s="25">
        <f t="shared" si="532"/>
        <v>6.3662108000513973E-2</v>
      </c>
      <c r="S2538" s="25">
        <f t="shared" si="547"/>
        <v>0.16689200707311258</v>
      </c>
      <c r="T2538" s="25">
        <f t="shared" si="544"/>
        <v>0.12471003092716137</v>
      </c>
      <c r="U2538" s="25">
        <f t="shared" si="541"/>
        <v>0.14715307504768771</v>
      </c>
      <c r="X2538">
        <f t="shared" si="536"/>
        <v>1</v>
      </c>
      <c r="Y2538">
        <f t="shared" si="533"/>
        <v>1</v>
      </c>
      <c r="Z2538">
        <f t="shared" si="548"/>
        <v>1</v>
      </c>
      <c r="AA2538">
        <f t="shared" si="545"/>
        <v>1</v>
      </c>
      <c r="AB2538">
        <f t="shared" si="542"/>
        <v>1</v>
      </c>
    </row>
    <row r="2539" spans="1:28">
      <c r="A2539" s="26">
        <v>46169</v>
      </c>
      <c r="B2539" s="23">
        <v>2095.4</v>
      </c>
      <c r="C2539" s="25">
        <f t="shared" si="538"/>
        <v>2.6748843196272129E-3</v>
      </c>
      <c r="E2539" s="25">
        <f t="shared" si="534"/>
        <v>9.872477872393981E-2</v>
      </c>
      <c r="F2539" s="25">
        <f t="shared" si="531"/>
        <v>0.10980543644699159</v>
      </c>
      <c r="G2539" s="25">
        <f t="shared" si="546"/>
        <v>0.19957337215855087</v>
      </c>
      <c r="H2539" s="25">
        <f t="shared" si="543"/>
        <v>0.1505121321740408</v>
      </c>
      <c r="I2539" s="25">
        <f t="shared" si="540"/>
        <v>0.15834836908834693</v>
      </c>
      <c r="K2539" s="28">
        <v>46169</v>
      </c>
      <c r="L2539" s="23">
        <v>36754.51</v>
      </c>
      <c r="M2539" s="25">
        <f t="shared" si="539"/>
        <v>3.0611209345465912E-3</v>
      </c>
      <c r="O2539" t="b">
        <f t="shared" si="537"/>
        <v>1</v>
      </c>
      <c r="Q2539" s="25">
        <f t="shared" si="535"/>
        <v>5.0143559152685313E-2</v>
      </c>
      <c r="R2539" s="25">
        <f t="shared" si="532"/>
        <v>6.3287335519819798E-2</v>
      </c>
      <c r="S2539" s="25">
        <f t="shared" si="547"/>
        <v>0.16591487087482726</v>
      </c>
      <c r="T2539" s="25">
        <f t="shared" si="544"/>
        <v>0.12827678431829082</v>
      </c>
      <c r="U2539" s="25">
        <f t="shared" si="541"/>
        <v>0.14835843395492487</v>
      </c>
      <c r="X2539">
        <f t="shared" si="536"/>
        <v>1</v>
      </c>
      <c r="Y2539">
        <f t="shared" si="533"/>
        <v>1</v>
      </c>
      <c r="Z2539">
        <f t="shared" si="548"/>
        <v>1</v>
      </c>
      <c r="AA2539">
        <f t="shared" si="545"/>
        <v>1</v>
      </c>
      <c r="AB2539">
        <f t="shared" si="542"/>
        <v>1</v>
      </c>
    </row>
    <row r="2540" spans="1:28">
      <c r="A2540" s="27">
        <v>46171</v>
      </c>
      <c r="B2540" s="24">
        <v>2078.21</v>
      </c>
      <c r="C2540" s="25">
        <f t="shared" si="538"/>
        <v>-8.2036842607616945E-3</v>
      </c>
      <c r="E2540" s="25">
        <f t="shared" si="534"/>
        <v>8.8125032724226449E-2</v>
      </c>
      <c r="F2540" s="25">
        <f t="shared" si="531"/>
        <v>0.10152711309561768</v>
      </c>
      <c r="G2540" s="25">
        <f t="shared" si="546"/>
        <v>0.19585731707351872</v>
      </c>
      <c r="H2540" s="25">
        <f t="shared" si="543"/>
        <v>0.14586210015759171</v>
      </c>
      <c r="I2540" s="25">
        <f t="shared" si="540"/>
        <v>0.15414877336977928</v>
      </c>
      <c r="K2540" s="29">
        <v>46171</v>
      </c>
      <c r="L2540" s="24">
        <v>36261.800000000003</v>
      </c>
      <c r="M2540" s="25">
        <f t="shared" si="539"/>
        <v>-1.358757700941484E-2</v>
      </c>
      <c r="O2540" t="b">
        <f t="shared" si="537"/>
        <v>1</v>
      </c>
      <c r="Q2540" s="25">
        <f t="shared" si="535"/>
        <v>3.5567079054739326E-2</v>
      </c>
      <c r="R2540" s="25">
        <f t="shared" si="532"/>
        <v>5.265834905989264E-2</v>
      </c>
      <c r="S2540" s="25">
        <f t="shared" si="547"/>
        <v>0.16001998075298651</v>
      </c>
      <c r="T2540" s="25">
        <f t="shared" si="544"/>
        <v>0.12144186034663162</v>
      </c>
      <c r="U2540" s="25">
        <f t="shared" si="541"/>
        <v>0.14316870440923712</v>
      </c>
      <c r="X2540">
        <f t="shared" si="536"/>
        <v>1</v>
      </c>
      <c r="Y2540">
        <f t="shared" si="533"/>
        <v>1</v>
      </c>
      <c r="Z2540">
        <f t="shared" si="548"/>
        <v>1</v>
      </c>
      <c r="AA2540">
        <f t="shared" si="545"/>
        <v>1</v>
      </c>
      <c r="AB2540">
        <f t="shared" si="542"/>
        <v>1</v>
      </c>
    </row>
    <row r="2541" spans="1:28">
      <c r="A2541" s="26">
        <v>46174</v>
      </c>
      <c r="B2541" s="23">
        <v>2058.04</v>
      </c>
      <c r="C2541" s="25">
        <f t="shared" si="538"/>
        <v>-9.7054676861337754E-3</v>
      </c>
      <c r="E2541" s="25">
        <f t="shared" si="534"/>
        <v>7.8869149030976304E-2</v>
      </c>
      <c r="F2541" s="25">
        <f t="shared" si="531"/>
        <v>9.8222411577827184E-2</v>
      </c>
      <c r="G2541" s="25">
        <f t="shared" si="546"/>
        <v>0.19078492751389686</v>
      </c>
      <c r="H2541" s="25">
        <f t="shared" si="543"/>
        <v>0.14493537290732283</v>
      </c>
      <c r="I2541" s="25">
        <f t="shared" si="540"/>
        <v>0.14892398114138139</v>
      </c>
      <c r="K2541" s="28">
        <v>46174</v>
      </c>
      <c r="L2541" s="23">
        <v>35911.81</v>
      </c>
      <c r="M2541" s="25">
        <f t="shared" si="539"/>
        <v>-9.7458189938074754E-3</v>
      </c>
      <c r="O2541" t="b">
        <f t="shared" si="537"/>
        <v>1</v>
      </c>
      <c r="Q2541" s="25">
        <f t="shared" si="535"/>
        <v>2.9402271622377629E-2</v>
      </c>
      <c r="R2541" s="25">
        <f t="shared" si="532"/>
        <v>4.8283025951304737E-2</v>
      </c>
      <c r="S2541" s="25">
        <f t="shared" si="547"/>
        <v>0.15528039640296365</v>
      </c>
      <c r="T2541" s="25">
        <f t="shared" si="544"/>
        <v>0.12118821793189172</v>
      </c>
      <c r="U2541" s="25">
        <f t="shared" si="541"/>
        <v>0.1382514370773269</v>
      </c>
      <c r="X2541">
        <f t="shared" si="536"/>
        <v>1</v>
      </c>
      <c r="Y2541">
        <f t="shared" si="533"/>
        <v>1</v>
      </c>
      <c r="Z2541">
        <f t="shared" si="548"/>
        <v>1</v>
      </c>
      <c r="AA2541">
        <f t="shared" si="545"/>
        <v>1</v>
      </c>
      <c r="AB2541">
        <f t="shared" si="542"/>
        <v>1</v>
      </c>
    </row>
    <row r="2542" spans="1:28">
      <c r="A2542" s="27">
        <v>46175</v>
      </c>
      <c r="B2542" s="24">
        <v>2066.86</v>
      </c>
      <c r="C2542" s="25">
        <f t="shared" si="538"/>
        <v>4.2856309887077818E-3</v>
      </c>
      <c r="E2542" s="25">
        <f t="shared" si="534"/>
        <v>8.3845052622747218E-2</v>
      </c>
      <c r="F2542" s="25">
        <f t="shared" si="531"/>
        <v>9.8412433455861814E-2</v>
      </c>
      <c r="G2542" s="25">
        <f t="shared" si="546"/>
        <v>0.18971469695344156</v>
      </c>
      <c r="H2542" s="25">
        <f t="shared" si="543"/>
        <v>0.14795913305770947</v>
      </c>
      <c r="I2542" s="25">
        <f t="shared" si="540"/>
        <v>0.14701402632944616</v>
      </c>
      <c r="K2542" s="29">
        <v>46175</v>
      </c>
      <c r="L2542" s="24">
        <v>36044.910000000003</v>
      </c>
      <c r="M2542" s="25">
        <f t="shared" si="539"/>
        <v>3.6926156841563984E-3</v>
      </c>
      <c r="O2542" t="b">
        <f t="shared" si="537"/>
        <v>1</v>
      </c>
      <c r="Q2542" s="25">
        <f t="shared" si="535"/>
        <v>3.4338280110238095E-2</v>
      </c>
      <c r="R2542" s="25">
        <f t="shared" si="532"/>
        <v>4.6393169006829549E-2</v>
      </c>
      <c r="S2542" s="25">
        <f t="shared" si="547"/>
        <v>0.15463800264586691</v>
      </c>
      <c r="T2542" s="25">
        <f t="shared" si="544"/>
        <v>0.12312034904055769</v>
      </c>
      <c r="U2542" s="25">
        <f t="shared" si="541"/>
        <v>0.13625147257795267</v>
      </c>
      <c r="X2542">
        <f t="shared" si="536"/>
        <v>1</v>
      </c>
      <c r="Y2542">
        <f t="shared" si="533"/>
        <v>1</v>
      </c>
      <c r="Z2542">
        <f t="shared" si="548"/>
        <v>1</v>
      </c>
      <c r="AA2542">
        <f t="shared" si="545"/>
        <v>1</v>
      </c>
      <c r="AB2542">
        <f t="shared" si="542"/>
        <v>1</v>
      </c>
    </row>
    <row r="2543" spans="1:28">
      <c r="A2543" s="26">
        <v>46176</v>
      </c>
      <c r="B2543" s="23">
        <v>2064.02</v>
      </c>
      <c r="C2543" s="25">
        <f t="shared" si="538"/>
        <v>-1.3740650068220128E-3</v>
      </c>
      <c r="E2543" s="25">
        <f t="shared" si="534"/>
        <v>7.4853667173537142E-2</v>
      </c>
      <c r="F2543" s="25">
        <f t="shared" ref="F2543:F2575" si="549">((B2543/B2051)^(1/2))-1</f>
        <v>9.8164069664053777E-2</v>
      </c>
      <c r="G2543" s="25">
        <f t="shared" si="546"/>
        <v>0.18604370022847982</v>
      </c>
      <c r="H2543" s="25">
        <f t="shared" si="543"/>
        <v>0.15453928876478451</v>
      </c>
      <c r="I2543" s="25">
        <f t="shared" si="540"/>
        <v>0.14558716660382909</v>
      </c>
      <c r="K2543" s="28">
        <v>46176</v>
      </c>
      <c r="L2543" s="23">
        <v>35935.370000000003</v>
      </c>
      <c r="M2543" s="25">
        <f t="shared" si="539"/>
        <v>-3.0482502336834395E-3</v>
      </c>
      <c r="O2543" t="b">
        <f t="shared" si="537"/>
        <v>1</v>
      </c>
      <c r="Q2543" s="25">
        <f t="shared" si="535"/>
        <v>2.2405631523512382E-2</v>
      </c>
      <c r="R2543" s="25">
        <f t="shared" ref="R2543:R2575" si="550">((L2543/L2051)^(1/2))-1</f>
        <v>4.4678056828768131E-2</v>
      </c>
      <c r="S2543" s="25">
        <f t="shared" si="547"/>
        <v>0.14974295573517082</v>
      </c>
      <c r="T2543" s="25">
        <f t="shared" si="544"/>
        <v>0.12889149858214966</v>
      </c>
      <c r="U2543" s="25">
        <f t="shared" si="541"/>
        <v>0.13524142570277853</v>
      </c>
      <c r="X2543">
        <f t="shared" si="536"/>
        <v>1</v>
      </c>
      <c r="Y2543">
        <f t="shared" ref="Y2543:Y2575" si="551">IF(F2543&gt;R2543,1,0)</f>
        <v>1</v>
      </c>
      <c r="Z2543">
        <f t="shared" si="548"/>
        <v>1</v>
      </c>
      <c r="AA2543">
        <f t="shared" si="545"/>
        <v>1</v>
      </c>
      <c r="AB2543">
        <f t="shared" si="542"/>
        <v>1</v>
      </c>
    </row>
    <row r="2544" spans="1:28">
      <c r="A2544" s="27">
        <v>46177</v>
      </c>
      <c r="B2544" s="24">
        <v>2063.1799999999998</v>
      </c>
      <c r="C2544" s="25">
        <f t="shared" si="538"/>
        <v>-4.0697280065122698E-4</v>
      </c>
      <c r="E2544" s="25">
        <f t="shared" si="534"/>
        <v>8.446299323518125E-2</v>
      </c>
      <c r="F2544" s="25">
        <f t="shared" si="549"/>
        <v>9.6691786399701218E-2</v>
      </c>
      <c r="G2544" s="25">
        <f t="shared" si="546"/>
        <v>0.18538473777899478</v>
      </c>
      <c r="H2544" s="25">
        <f t="shared" si="543"/>
        <v>0.15389818540747791</v>
      </c>
      <c r="I2544" s="25">
        <f t="shared" si="540"/>
        <v>0.1478317724071716</v>
      </c>
      <c r="K2544" s="29">
        <v>46177</v>
      </c>
      <c r="L2544" s="24">
        <v>36008.82</v>
      </c>
      <c r="M2544" s="25">
        <f t="shared" si="539"/>
        <v>2.0397780321598177E-3</v>
      </c>
      <c r="O2544" t="b">
        <f t="shared" si="537"/>
        <v>1</v>
      </c>
      <c r="Q2544" s="25">
        <f t="shared" si="535"/>
        <v>3.5626012004567276E-2</v>
      </c>
      <c r="R2544" s="25">
        <f t="shared" si="550"/>
        <v>4.3598188056355625E-2</v>
      </c>
      <c r="S2544" s="25">
        <f t="shared" si="547"/>
        <v>0.14848635179244818</v>
      </c>
      <c r="T2544" s="25">
        <f t="shared" si="544"/>
        <v>0.12941865173716138</v>
      </c>
      <c r="U2544" s="25">
        <f t="shared" si="541"/>
        <v>0.13878261831160987</v>
      </c>
      <c r="X2544">
        <f t="shared" si="536"/>
        <v>1</v>
      </c>
      <c r="Y2544">
        <f t="shared" si="551"/>
        <v>1</v>
      </c>
      <c r="Z2544">
        <f t="shared" si="548"/>
        <v>1</v>
      </c>
      <c r="AA2544">
        <f t="shared" si="545"/>
        <v>1</v>
      </c>
      <c r="AB2544">
        <f t="shared" si="542"/>
        <v>1</v>
      </c>
    </row>
    <row r="2545" spans="1:28">
      <c r="A2545" s="26">
        <v>46178</v>
      </c>
      <c r="B2545" s="23">
        <v>2060.9699999999998</v>
      </c>
      <c r="C2545" s="25">
        <f t="shared" si="538"/>
        <v>-1.0711619926521373E-3</v>
      </c>
      <c r="E2545" s="25">
        <f t="shared" si="534"/>
        <v>7.7794802872069413E-2</v>
      </c>
      <c r="F2545" s="25">
        <f t="shared" si="549"/>
        <v>9.9271276997525026E-2</v>
      </c>
      <c r="G2545" s="25">
        <f t="shared" si="546"/>
        <v>0.18586194183194382</v>
      </c>
      <c r="H2545" s="25">
        <f t="shared" si="543"/>
        <v>0.15923067808815605</v>
      </c>
      <c r="I2545" s="25">
        <f t="shared" si="540"/>
        <v>0.14674534089742641</v>
      </c>
      <c r="K2545" s="28">
        <v>46178</v>
      </c>
      <c r="L2545" s="23">
        <v>35966.78</v>
      </c>
      <c r="M2545" s="25">
        <f t="shared" si="539"/>
        <v>-1.1688563724637255E-3</v>
      </c>
      <c r="O2545" t="b">
        <f t="shared" si="537"/>
        <v>1</v>
      </c>
      <c r="Q2545" s="25">
        <f t="shared" si="535"/>
        <v>2.897936249636679E-2</v>
      </c>
      <c r="R2545" s="25">
        <f t="shared" si="550"/>
        <v>4.6063214025726884E-2</v>
      </c>
      <c r="S2545" s="25">
        <f t="shared" si="547"/>
        <v>0.14864890774131756</v>
      </c>
      <c r="T2545" s="25">
        <f t="shared" si="544"/>
        <v>0.13403980058650955</v>
      </c>
      <c r="U2545" s="25">
        <f t="shared" si="541"/>
        <v>0.13794896995694073</v>
      </c>
      <c r="X2545">
        <f t="shared" si="536"/>
        <v>1</v>
      </c>
      <c r="Y2545">
        <f t="shared" si="551"/>
        <v>1</v>
      </c>
      <c r="Z2545">
        <f t="shared" si="548"/>
        <v>1</v>
      </c>
      <c r="AA2545">
        <f t="shared" si="545"/>
        <v>1</v>
      </c>
      <c r="AB2545">
        <f t="shared" si="542"/>
        <v>1</v>
      </c>
    </row>
    <row r="2546" spans="1:28">
      <c r="A2546" s="27">
        <v>46181</v>
      </c>
      <c r="B2546" s="24">
        <v>2036.74</v>
      </c>
      <c r="C2546" s="25">
        <f t="shared" si="538"/>
        <v>-1.1756600047550326E-2</v>
      </c>
      <c r="E2546" s="25">
        <f t="shared" si="534"/>
        <v>7.5239412528639749E-2</v>
      </c>
      <c r="F2546" s="25">
        <f t="shared" si="549"/>
        <v>9.3710935130888684E-2</v>
      </c>
      <c r="G2546" s="25">
        <f t="shared" si="546"/>
        <v>0.17742931519805194</v>
      </c>
      <c r="H2546" s="25">
        <f t="shared" si="543"/>
        <v>0.15751607545057866</v>
      </c>
      <c r="I2546" s="25">
        <f t="shared" si="540"/>
        <v>0.14617931929400974</v>
      </c>
      <c r="K2546" s="29">
        <v>46181</v>
      </c>
      <c r="L2546" s="24">
        <v>35499.82</v>
      </c>
      <c r="M2546" s="25">
        <f t="shared" si="539"/>
        <v>-1.3153869512577786E-2</v>
      </c>
      <c r="O2546" t="b">
        <f t="shared" si="537"/>
        <v>1</v>
      </c>
      <c r="Q2546" s="25">
        <f t="shared" si="535"/>
        <v>2.6285175741386446E-2</v>
      </c>
      <c r="R2546" s="25">
        <f t="shared" si="550"/>
        <v>4.1603537345703101E-2</v>
      </c>
      <c r="S2546" s="25">
        <f t="shared" si="547"/>
        <v>0.1404518173435545</v>
      </c>
      <c r="T2546" s="25">
        <f t="shared" si="544"/>
        <v>0.13343833958797213</v>
      </c>
      <c r="U2546" s="25">
        <f t="shared" si="541"/>
        <v>0.1367223111327569</v>
      </c>
      <c r="X2546">
        <f t="shared" si="536"/>
        <v>1</v>
      </c>
      <c r="Y2546">
        <f t="shared" si="551"/>
        <v>1</v>
      </c>
      <c r="Z2546">
        <f t="shared" si="548"/>
        <v>1</v>
      </c>
      <c r="AA2546">
        <f t="shared" si="545"/>
        <v>1</v>
      </c>
      <c r="AB2546">
        <f t="shared" si="542"/>
        <v>1</v>
      </c>
    </row>
    <row r="2547" spans="1:28">
      <c r="A2547" s="26">
        <v>46182</v>
      </c>
      <c r="B2547" s="23">
        <v>2057.54</v>
      </c>
      <c r="C2547" s="25">
        <f t="shared" si="538"/>
        <v>1.0212398244253049E-2</v>
      </c>
      <c r="E2547" s="25">
        <f t="shared" si="534"/>
        <v>9.5199314415896241E-2</v>
      </c>
      <c r="F2547" s="25">
        <f t="shared" si="549"/>
        <v>0.10529928891144236</v>
      </c>
      <c r="G2547" s="25">
        <f t="shared" si="546"/>
        <v>0.18421438933200629</v>
      </c>
      <c r="H2547" s="25">
        <f t="shared" si="543"/>
        <v>0.16260252772569261</v>
      </c>
      <c r="I2547" s="25">
        <f t="shared" si="540"/>
        <v>0.14550715702960426</v>
      </c>
      <c r="K2547" s="28">
        <v>46182</v>
      </c>
      <c r="L2547" s="23">
        <v>35814.339999999997</v>
      </c>
      <c r="M2547" s="25">
        <f t="shared" si="539"/>
        <v>8.7819571713452435E-3</v>
      </c>
      <c r="O2547" t="b">
        <f t="shared" si="537"/>
        <v>1</v>
      </c>
      <c r="Q2547" s="25">
        <f t="shared" si="535"/>
        <v>4.3347723630549728E-2</v>
      </c>
      <c r="R2547" s="25">
        <f t="shared" si="550"/>
        <v>5.1933750342609386E-2</v>
      </c>
      <c r="S2547" s="25">
        <f t="shared" si="547"/>
        <v>0.14696791721773739</v>
      </c>
      <c r="T2547" s="25">
        <f t="shared" si="544"/>
        <v>0.13871223005979139</v>
      </c>
      <c r="U2547" s="25">
        <f t="shared" si="541"/>
        <v>0.13665654936546279</v>
      </c>
      <c r="X2547">
        <f t="shared" si="536"/>
        <v>1</v>
      </c>
      <c r="Y2547">
        <f t="shared" si="551"/>
        <v>1</v>
      </c>
      <c r="Z2547">
        <f t="shared" si="548"/>
        <v>1</v>
      </c>
      <c r="AA2547">
        <f t="shared" si="545"/>
        <v>1</v>
      </c>
      <c r="AB2547">
        <f t="shared" si="542"/>
        <v>1</v>
      </c>
    </row>
    <row r="2548" spans="1:28">
      <c r="A2548" s="27">
        <v>46183</v>
      </c>
      <c r="B2548" s="24">
        <v>2047.82</v>
      </c>
      <c r="C2548" s="25">
        <f t="shared" si="538"/>
        <v>-4.7240879885688866E-3</v>
      </c>
      <c r="E2548" s="25">
        <f t="shared" si="534"/>
        <v>5.2809624183846715E-2</v>
      </c>
      <c r="F2548" s="25">
        <f t="shared" si="549"/>
        <v>0.10060275503020932</v>
      </c>
      <c r="G2548" s="25">
        <f t="shared" si="546"/>
        <v>0.17782936785222048</v>
      </c>
      <c r="H2548" s="25">
        <f t="shared" si="543"/>
        <v>0.16253502524642172</v>
      </c>
      <c r="I2548" s="25">
        <f t="shared" si="540"/>
        <v>0.14231066297577</v>
      </c>
      <c r="K2548" s="29">
        <v>46183</v>
      </c>
      <c r="L2548" s="24">
        <v>35597.050000000003</v>
      </c>
      <c r="M2548" s="25">
        <f t="shared" si="539"/>
        <v>-6.1041575074337225E-3</v>
      </c>
      <c r="O2548" t="b">
        <f t="shared" si="537"/>
        <v>1</v>
      </c>
      <c r="Q2548" s="25">
        <f t="shared" si="535"/>
        <v>-1.4852734922859989E-3</v>
      </c>
      <c r="R2548" s="25">
        <f t="shared" si="550"/>
        <v>4.6992066169037505E-2</v>
      </c>
      <c r="S2548" s="25">
        <f t="shared" si="547"/>
        <v>0.14095963695752523</v>
      </c>
      <c r="T2548" s="25">
        <f t="shared" si="544"/>
        <v>0.1387130894432862</v>
      </c>
      <c r="U2548" s="25">
        <f t="shared" si="541"/>
        <v>0.13365532581915285</v>
      </c>
      <c r="X2548">
        <f t="shared" si="536"/>
        <v>1</v>
      </c>
      <c r="Y2548">
        <f t="shared" si="551"/>
        <v>1</v>
      </c>
      <c r="Z2548">
        <f t="shared" si="548"/>
        <v>1</v>
      </c>
      <c r="AA2548">
        <f t="shared" si="545"/>
        <v>1</v>
      </c>
      <c r="AB2548">
        <f t="shared" si="542"/>
        <v>1</v>
      </c>
    </row>
    <row r="2549" spans="1:28">
      <c r="A2549" s="26">
        <v>46184</v>
      </c>
      <c r="B2549" s="23">
        <v>2038.98</v>
      </c>
      <c r="C2549" s="25">
        <f t="shared" si="538"/>
        <v>-4.316785654989168E-3</v>
      </c>
      <c r="E2549" s="25">
        <f t="shared" si="534"/>
        <v>5.6395165092506749E-2</v>
      </c>
      <c r="F2549" s="25">
        <f t="shared" si="549"/>
        <v>0.10648261587196273</v>
      </c>
      <c r="G2549" s="25">
        <f t="shared" si="546"/>
        <v>0.17651086322615561</v>
      </c>
      <c r="H2549" s="25">
        <f t="shared" si="543"/>
        <v>0.16727715012718902</v>
      </c>
      <c r="I2549" s="25">
        <f t="shared" si="540"/>
        <v>0.14079014146640234</v>
      </c>
      <c r="K2549" s="28">
        <v>46184</v>
      </c>
      <c r="L2549" s="23">
        <v>35405.870000000003</v>
      </c>
      <c r="M2549" s="25">
        <f t="shared" si="539"/>
        <v>-5.3996696028088074E-3</v>
      </c>
      <c r="O2549" t="b">
        <f t="shared" si="537"/>
        <v>1</v>
      </c>
      <c r="Q2549" s="25">
        <f t="shared" si="535"/>
        <v>3.3706335039274116E-4</v>
      </c>
      <c r="R2549" s="25">
        <f t="shared" si="550"/>
        <v>5.3377982749355901E-2</v>
      </c>
      <c r="S2549" s="25">
        <f t="shared" si="547"/>
        <v>0.13907279595563926</v>
      </c>
      <c r="T2549" s="25">
        <f t="shared" si="544"/>
        <v>0.14341179358862255</v>
      </c>
      <c r="U2549" s="25">
        <f t="shared" si="541"/>
        <v>0.13132947208507084</v>
      </c>
      <c r="X2549">
        <f t="shared" si="536"/>
        <v>1</v>
      </c>
      <c r="Y2549">
        <f t="shared" si="551"/>
        <v>1</v>
      </c>
      <c r="Z2549">
        <f t="shared" si="548"/>
        <v>1</v>
      </c>
      <c r="AA2549">
        <f t="shared" si="545"/>
        <v>1</v>
      </c>
      <c r="AB2549">
        <f t="shared" si="542"/>
        <v>1</v>
      </c>
    </row>
    <row r="2550" spans="1:28">
      <c r="A2550" s="27">
        <v>46185</v>
      </c>
      <c r="B2550" s="24">
        <v>2072.3200000000002</v>
      </c>
      <c r="C2550" s="25">
        <f t="shared" si="538"/>
        <v>1.6351312911357711E-2</v>
      </c>
      <c r="E2550" s="25">
        <f t="shared" si="534"/>
        <v>6.778787691419863E-2</v>
      </c>
      <c r="F2550" s="25">
        <f t="shared" si="549"/>
        <v>0.11267963885912224</v>
      </c>
      <c r="G2550" s="25">
        <f t="shared" si="546"/>
        <v>0.18275648947299894</v>
      </c>
      <c r="H2550" s="25">
        <f t="shared" si="543"/>
        <v>0.17223866027546464</v>
      </c>
      <c r="I2550" s="25">
        <f t="shared" si="540"/>
        <v>0.14217912688661172</v>
      </c>
      <c r="K2550" s="29">
        <v>46185</v>
      </c>
      <c r="L2550" s="24">
        <v>36193.53</v>
      </c>
      <c r="M2550" s="25">
        <f t="shared" si="539"/>
        <v>2.1762453123527776E-2</v>
      </c>
      <c r="O2550" t="b">
        <f t="shared" si="537"/>
        <v>1</v>
      </c>
      <c r="Q2550" s="25">
        <f t="shared" si="535"/>
        <v>1.5751452265039489E-2</v>
      </c>
      <c r="R2550" s="25">
        <f t="shared" si="550"/>
        <v>6.1316797192913608E-2</v>
      </c>
      <c r="S2550" s="25">
        <f t="shared" si="547"/>
        <v>0.14632894796179774</v>
      </c>
      <c r="T2550" s="25">
        <f t="shared" si="544"/>
        <v>0.14958480889697023</v>
      </c>
      <c r="U2550" s="25">
        <f t="shared" si="541"/>
        <v>0.13439644469994616</v>
      </c>
      <c r="X2550">
        <f t="shared" si="536"/>
        <v>1</v>
      </c>
      <c r="Y2550">
        <f t="shared" si="551"/>
        <v>1</v>
      </c>
      <c r="Z2550">
        <f t="shared" si="548"/>
        <v>1</v>
      </c>
      <c r="AA2550">
        <f t="shared" si="545"/>
        <v>1</v>
      </c>
      <c r="AB2550">
        <f t="shared" si="542"/>
        <v>1</v>
      </c>
    </row>
    <row r="2551" spans="1:28">
      <c r="A2551" s="26">
        <v>46188</v>
      </c>
      <c r="B2551" s="23">
        <v>2096.1999999999998</v>
      </c>
      <c r="C2551" s="25">
        <f t="shared" si="538"/>
        <v>1.1523316862260487E-2</v>
      </c>
      <c r="E2551" s="25">
        <f t="shared" si="534"/>
        <v>6.6106539451332935E-2</v>
      </c>
      <c r="F2551" s="25">
        <f t="shared" si="549"/>
        <v>0.11791400155758702</v>
      </c>
      <c r="G2551" s="25">
        <f t="shared" si="546"/>
        <v>0.18673925097324418</v>
      </c>
      <c r="H2551" s="25">
        <f t="shared" si="543"/>
        <v>0.17361982145878652</v>
      </c>
      <c r="I2551" s="25">
        <f t="shared" si="540"/>
        <v>0.14511538860112116</v>
      </c>
      <c r="K2551" s="28">
        <v>46188</v>
      </c>
      <c r="L2551" s="23">
        <v>36660.370000000003</v>
      </c>
      <c r="M2551" s="25">
        <f t="shared" si="539"/>
        <v>1.2734186807170898E-2</v>
      </c>
      <c r="O2551" t="b">
        <f t="shared" si="537"/>
        <v>1</v>
      </c>
      <c r="Q2551" s="25">
        <f t="shared" si="535"/>
        <v>1.5786368927336758E-2</v>
      </c>
      <c r="R2551" s="25">
        <f t="shared" si="550"/>
        <v>6.7048540737723039E-2</v>
      </c>
      <c r="S2551" s="25">
        <f t="shared" si="547"/>
        <v>0.15078935752816225</v>
      </c>
      <c r="T2551" s="25">
        <f t="shared" si="544"/>
        <v>0.15115016512059642</v>
      </c>
      <c r="U2551" s="25">
        <f t="shared" si="541"/>
        <v>0.13779926077022964</v>
      </c>
      <c r="X2551">
        <f t="shared" si="536"/>
        <v>1</v>
      </c>
      <c r="Y2551">
        <f t="shared" si="551"/>
        <v>1</v>
      </c>
      <c r="Z2551">
        <f t="shared" si="548"/>
        <v>1</v>
      </c>
      <c r="AA2551">
        <f t="shared" si="545"/>
        <v>1</v>
      </c>
      <c r="AB2551">
        <f t="shared" si="542"/>
        <v>1</v>
      </c>
    </row>
    <row r="2552" spans="1:28">
      <c r="A2552" s="27">
        <v>46189</v>
      </c>
      <c r="B2552" s="24">
        <v>2104.62</v>
      </c>
      <c r="C2552" s="25">
        <f t="shared" si="538"/>
        <v>4.0167922908119803E-3</v>
      </c>
      <c r="E2552" s="25">
        <f t="shared" ref="E2552:E2575" si="552">(B2552/B2307)-1</f>
        <v>6.77875809863977E-2</v>
      </c>
      <c r="F2552" s="25">
        <f t="shared" si="549"/>
        <v>0.11727311739635837</v>
      </c>
      <c r="G2552" s="25">
        <f t="shared" si="546"/>
        <v>0.18758167468079057</v>
      </c>
      <c r="H2552" s="25">
        <f t="shared" si="543"/>
        <v>0.16823587418365249</v>
      </c>
      <c r="I2552" s="25">
        <f t="shared" si="540"/>
        <v>0.14799882956719967</v>
      </c>
      <c r="K2552" s="29">
        <v>46189</v>
      </c>
      <c r="L2552" s="24">
        <v>36830.1</v>
      </c>
      <c r="M2552" s="25">
        <f t="shared" si="539"/>
        <v>4.6084588420882899E-3</v>
      </c>
      <c r="O2552" t="b">
        <f t="shared" si="537"/>
        <v>1</v>
      </c>
      <c r="Q2552" s="25">
        <f t="shared" ref="Q2552:Q2575" si="553">(L2552/L2307)-1</f>
        <v>1.6490393598473707E-2</v>
      </c>
      <c r="R2552" s="25">
        <f t="shared" si="550"/>
        <v>6.5027051917469603E-2</v>
      </c>
      <c r="S2552" s="25">
        <f t="shared" si="547"/>
        <v>0.15272602707408001</v>
      </c>
      <c r="T2552" s="25">
        <f t="shared" si="544"/>
        <v>0.14506594989404875</v>
      </c>
      <c r="U2552" s="25">
        <f t="shared" si="541"/>
        <v>0.14073876940925145</v>
      </c>
      <c r="X2552">
        <f t="shared" ref="X2552:X2575" si="554">IF(E2552&gt;Q2552,1,0)</f>
        <v>1</v>
      </c>
      <c r="Y2552">
        <f t="shared" si="551"/>
        <v>1</v>
      </c>
      <c r="Z2552">
        <f t="shared" si="548"/>
        <v>1</v>
      </c>
      <c r="AA2552">
        <f t="shared" si="545"/>
        <v>1</v>
      </c>
      <c r="AB2552">
        <f t="shared" si="542"/>
        <v>1</v>
      </c>
    </row>
    <row r="2553" spans="1:28">
      <c r="A2553" s="26">
        <v>46190</v>
      </c>
      <c r="B2553" s="23">
        <v>2115.1</v>
      </c>
      <c r="C2553" s="25">
        <f t="shared" si="538"/>
        <v>4.9795212437399716E-3</v>
      </c>
      <c r="E2553" s="25">
        <f t="shared" si="552"/>
        <v>7.4363793366180708E-2</v>
      </c>
      <c r="F2553" s="25">
        <f t="shared" si="549"/>
        <v>0.11874827766002793</v>
      </c>
      <c r="G2553" s="25">
        <f t="shared" si="546"/>
        <v>0.18788498015416377</v>
      </c>
      <c r="H2553" s="25">
        <f t="shared" si="543"/>
        <v>0.17037170227436871</v>
      </c>
      <c r="I2553" s="25">
        <f t="shared" si="540"/>
        <v>0.15130989018107077</v>
      </c>
      <c r="K2553" s="28">
        <v>46190</v>
      </c>
      <c r="L2553" s="23">
        <v>37010.19</v>
      </c>
      <c r="M2553" s="25">
        <f t="shared" si="539"/>
        <v>4.8659571863857972E-3</v>
      </c>
      <c r="O2553" t="b">
        <f t="shared" si="537"/>
        <v>1</v>
      </c>
      <c r="Q2553" s="25">
        <f t="shared" si="553"/>
        <v>2.1688900225593111E-2</v>
      </c>
      <c r="R2553" s="25">
        <f t="shared" si="550"/>
        <v>6.6126133382888197E-2</v>
      </c>
      <c r="S2553" s="25">
        <f t="shared" si="547"/>
        <v>0.15280799957197688</v>
      </c>
      <c r="T2553" s="25">
        <f t="shared" si="544"/>
        <v>0.1466244341935854</v>
      </c>
      <c r="U2553" s="25">
        <f t="shared" si="541"/>
        <v>0.14305432081935354</v>
      </c>
      <c r="X2553">
        <f t="shared" si="554"/>
        <v>1</v>
      </c>
      <c r="Y2553">
        <f t="shared" si="551"/>
        <v>1</v>
      </c>
      <c r="Z2553">
        <f t="shared" si="548"/>
        <v>1</v>
      </c>
      <c r="AA2553">
        <f t="shared" si="545"/>
        <v>1</v>
      </c>
      <c r="AB2553">
        <f t="shared" si="542"/>
        <v>1</v>
      </c>
    </row>
    <row r="2554" spans="1:28">
      <c r="A2554" s="27">
        <v>46191</v>
      </c>
      <c r="B2554" s="24">
        <v>2121.5100000000002</v>
      </c>
      <c r="C2554" s="25">
        <f t="shared" si="538"/>
        <v>3.0305895702332324E-3</v>
      </c>
      <c r="E2554" s="25">
        <f t="shared" si="552"/>
        <v>8.9663780085672995E-2</v>
      </c>
      <c r="F2554" s="25">
        <f t="shared" si="549"/>
        <v>0.1137140478396923</v>
      </c>
      <c r="G2554" s="25">
        <f t="shared" si="546"/>
        <v>0.1898322933668104</v>
      </c>
      <c r="H2554" s="25">
        <f t="shared" si="543"/>
        <v>0.17996799002993735</v>
      </c>
      <c r="I2554" s="25">
        <f t="shared" si="540"/>
        <v>0.14915480220016675</v>
      </c>
      <c r="K2554" s="29">
        <v>46191</v>
      </c>
      <c r="L2554" s="24">
        <v>37165.620000000003</v>
      </c>
      <c r="M2554" s="25">
        <f t="shared" si="539"/>
        <v>4.1820908678504567E-3</v>
      </c>
      <c r="O2554" t="b">
        <f t="shared" si="537"/>
        <v>1</v>
      </c>
      <c r="Q2554" s="25">
        <f t="shared" si="553"/>
        <v>3.870810511388556E-2</v>
      </c>
      <c r="R2554" s="25">
        <f t="shared" si="550"/>
        <v>6.3484332927844278E-2</v>
      </c>
      <c r="S2554" s="25">
        <f t="shared" si="547"/>
        <v>0.1553203065296509</v>
      </c>
      <c r="T2554" s="25">
        <f t="shared" si="544"/>
        <v>0.15552722715035694</v>
      </c>
      <c r="U2554" s="25">
        <f t="shared" si="541"/>
        <v>0.1403798753514125</v>
      </c>
      <c r="X2554">
        <f t="shared" si="554"/>
        <v>1</v>
      </c>
      <c r="Y2554">
        <f t="shared" si="551"/>
        <v>1</v>
      </c>
      <c r="Z2554">
        <f t="shared" si="548"/>
        <v>1</v>
      </c>
      <c r="AA2554">
        <f t="shared" si="545"/>
        <v>1</v>
      </c>
      <c r="AB2554">
        <f t="shared" si="542"/>
        <v>1</v>
      </c>
    </row>
    <row r="2555" spans="1:28">
      <c r="A2555" s="26">
        <v>46192</v>
      </c>
      <c r="B2555" s="23">
        <v>2116.5300000000002</v>
      </c>
      <c r="C2555" s="25">
        <f t="shared" si="538"/>
        <v>-2.3473846458418853E-3</v>
      </c>
      <c r="E2555" s="25">
        <f t="shared" si="552"/>
        <v>8.1937799043062309E-2</v>
      </c>
      <c r="F2555" s="25">
        <f t="shared" si="549"/>
        <v>0.10980724335813341</v>
      </c>
      <c r="G2555" s="25">
        <f t="shared" si="546"/>
        <v>0.19081035582340999</v>
      </c>
      <c r="H2555" s="25">
        <f t="shared" si="543"/>
        <v>0.17201469093967869</v>
      </c>
      <c r="I2555" s="25">
        <f t="shared" si="540"/>
        <v>0.14606480073928041</v>
      </c>
      <c r="K2555" s="28">
        <v>46192</v>
      </c>
      <c r="L2555" s="23">
        <v>37106.050000000003</v>
      </c>
      <c r="M2555" s="25">
        <f t="shared" si="539"/>
        <v>-1.605398580554915E-3</v>
      </c>
      <c r="O2555" t="b">
        <f t="shared" si="537"/>
        <v>1</v>
      </c>
      <c r="Q2555" s="25">
        <f t="shared" si="553"/>
        <v>3.0417348177069758E-2</v>
      </c>
      <c r="R2555" s="25">
        <f t="shared" si="550"/>
        <v>5.92084358006848E-2</v>
      </c>
      <c r="S2555" s="25">
        <f t="shared" si="547"/>
        <v>0.15634915481541323</v>
      </c>
      <c r="T2555" s="25">
        <f t="shared" si="544"/>
        <v>0.14784293734585519</v>
      </c>
      <c r="U2555" s="25">
        <f t="shared" si="541"/>
        <v>0.13703096898714739</v>
      </c>
      <c r="X2555">
        <f t="shared" si="554"/>
        <v>1</v>
      </c>
      <c r="Y2555">
        <f t="shared" si="551"/>
        <v>1</v>
      </c>
      <c r="Z2555">
        <f t="shared" si="548"/>
        <v>1</v>
      </c>
      <c r="AA2555">
        <f t="shared" si="545"/>
        <v>1</v>
      </c>
      <c r="AB2555">
        <f t="shared" si="542"/>
        <v>1</v>
      </c>
    </row>
    <row r="2556" spans="1:28">
      <c r="A2556" s="27">
        <v>46195</v>
      </c>
      <c r="B2556" s="24">
        <v>2127.64</v>
      </c>
      <c r="C2556" s="25">
        <f t="shared" si="538"/>
        <v>5.2491578196385931E-3</v>
      </c>
      <c r="E2556" s="25">
        <f t="shared" si="552"/>
        <v>9.2986340496139297E-2</v>
      </c>
      <c r="F2556" s="25">
        <f t="shared" si="549"/>
        <v>0.11096878324389903</v>
      </c>
      <c r="G2556" s="25">
        <f t="shared" si="546"/>
        <v>0.19303309499442989</v>
      </c>
      <c r="H2556" s="25">
        <f t="shared" si="543"/>
        <v>0.17517164269045571</v>
      </c>
      <c r="I2556" s="25">
        <f t="shared" si="540"/>
        <v>0.14798271631030468</v>
      </c>
      <c r="K2556" s="29">
        <v>46195</v>
      </c>
      <c r="L2556" s="24">
        <v>37294.639999999999</v>
      </c>
      <c r="M2556" s="25">
        <f t="shared" si="539"/>
        <v>5.0567588264693398E-3</v>
      </c>
      <c r="O2556" t="b">
        <f t="shared" si="537"/>
        <v>1</v>
      </c>
      <c r="Q2556" s="25">
        <f t="shared" si="553"/>
        <v>4.1836152328838416E-2</v>
      </c>
      <c r="R2556" s="25">
        <f t="shared" si="550"/>
        <v>5.8807424648550155E-2</v>
      </c>
      <c r="S2556" s="25">
        <f t="shared" si="547"/>
        <v>0.15992972971806352</v>
      </c>
      <c r="T2556" s="25">
        <f t="shared" si="544"/>
        <v>0.15052253519255809</v>
      </c>
      <c r="U2556" s="25">
        <f t="shared" si="541"/>
        <v>0.13871855731109584</v>
      </c>
      <c r="X2556">
        <f t="shared" si="554"/>
        <v>1</v>
      </c>
      <c r="Y2556">
        <f t="shared" si="551"/>
        <v>1</v>
      </c>
      <c r="Z2556">
        <f t="shared" si="548"/>
        <v>1</v>
      </c>
      <c r="AA2556">
        <f t="shared" si="545"/>
        <v>1</v>
      </c>
      <c r="AB2556">
        <f t="shared" si="542"/>
        <v>1</v>
      </c>
    </row>
    <row r="2557" spans="1:28">
      <c r="A2557" s="26">
        <v>46196</v>
      </c>
      <c r="B2557" s="23">
        <v>2114.21</v>
      </c>
      <c r="C2557" s="25">
        <f t="shared" si="538"/>
        <v>-6.3121580718541841E-3</v>
      </c>
      <c r="E2557" s="25">
        <f t="shared" si="552"/>
        <v>7.8079027479615926E-2</v>
      </c>
      <c r="F2557" s="25">
        <f t="shared" si="549"/>
        <v>0.10712942839086836</v>
      </c>
      <c r="G2557" s="25">
        <f t="shared" si="546"/>
        <v>0.18878701455165148</v>
      </c>
      <c r="H2557" s="25">
        <f t="shared" si="543"/>
        <v>0.17536477373142523</v>
      </c>
      <c r="I2557" s="25">
        <f t="shared" si="540"/>
        <v>0.14757696860697456</v>
      </c>
      <c r="K2557" s="28">
        <v>46196</v>
      </c>
      <c r="L2557" s="23">
        <v>36899.440000000002</v>
      </c>
      <c r="M2557" s="25">
        <f t="shared" si="539"/>
        <v>-1.071018963973429E-2</v>
      </c>
      <c r="O2557" t="b">
        <f t="shared" si="537"/>
        <v>1</v>
      </c>
      <c r="Q2557" s="25">
        <f t="shared" si="553"/>
        <v>2.2346789726949146E-2</v>
      </c>
      <c r="R2557" s="25">
        <f t="shared" si="550"/>
        <v>5.1756545196918413E-2</v>
      </c>
      <c r="S2557" s="25">
        <f t="shared" si="547"/>
        <v>0.15464014942564774</v>
      </c>
      <c r="T2557" s="25">
        <f t="shared" si="544"/>
        <v>0.14930571108609425</v>
      </c>
      <c r="U2557" s="25">
        <f t="shared" si="541"/>
        <v>0.13758688904384098</v>
      </c>
      <c r="X2557">
        <f t="shared" si="554"/>
        <v>1</v>
      </c>
      <c r="Y2557">
        <f t="shared" si="551"/>
        <v>1</v>
      </c>
      <c r="Z2557">
        <f t="shared" si="548"/>
        <v>1</v>
      </c>
      <c r="AA2557">
        <f t="shared" si="545"/>
        <v>1</v>
      </c>
      <c r="AB2557">
        <f t="shared" si="542"/>
        <v>1</v>
      </c>
    </row>
    <row r="2558" spans="1:28">
      <c r="A2558" s="27">
        <v>46197</v>
      </c>
      <c r="B2558" s="24">
        <v>2129.23</v>
      </c>
      <c r="C2558" s="25">
        <f t="shared" si="538"/>
        <v>7.1043084651004305E-3</v>
      </c>
      <c r="E2558" s="25">
        <f t="shared" si="552"/>
        <v>8.0756092237568078E-2</v>
      </c>
      <c r="F2558" s="25">
        <f t="shared" si="549"/>
        <v>0.1056391079090242</v>
      </c>
      <c r="G2558" s="25">
        <f t="shared" si="546"/>
        <v>0.18962939284961866</v>
      </c>
      <c r="H2558" s="25">
        <f t="shared" si="543"/>
        <v>0.17993907204210102</v>
      </c>
      <c r="I2558" s="25">
        <f t="shared" si="540"/>
        <v>0.14631682471124141</v>
      </c>
      <c r="K2558" s="29">
        <v>46197</v>
      </c>
      <c r="L2558" s="24">
        <v>37084.410000000003</v>
      </c>
      <c r="M2558" s="25">
        <f t="shared" si="539"/>
        <v>4.9878102415543664E-3</v>
      </c>
      <c r="O2558" t="b">
        <f t="shared" si="537"/>
        <v>1</v>
      </c>
      <c r="Q2558" s="25">
        <f t="shared" si="553"/>
        <v>2.1763059061517209E-2</v>
      </c>
      <c r="R2558" s="25">
        <f t="shared" si="550"/>
        <v>4.8193881460754096E-2</v>
      </c>
      <c r="S2558" s="25">
        <f t="shared" si="547"/>
        <v>0.15416334009210231</v>
      </c>
      <c r="T2558" s="25">
        <f t="shared" si="544"/>
        <v>0.15396839602635493</v>
      </c>
      <c r="U2558" s="25">
        <f t="shared" si="541"/>
        <v>0.13550919067878309</v>
      </c>
      <c r="X2558">
        <f t="shared" si="554"/>
        <v>1</v>
      </c>
      <c r="Y2558">
        <f t="shared" si="551"/>
        <v>1</v>
      </c>
      <c r="Z2558">
        <f t="shared" si="548"/>
        <v>1</v>
      </c>
      <c r="AA2558">
        <f t="shared" si="545"/>
        <v>1</v>
      </c>
      <c r="AB2558">
        <f t="shared" si="542"/>
        <v>1</v>
      </c>
    </row>
    <row r="2559" spans="1:28">
      <c r="A2559" s="26">
        <v>46198</v>
      </c>
      <c r="B2559" s="23">
        <v>2127.69</v>
      </c>
      <c r="C2559" s="25">
        <f t="shared" si="538"/>
        <v>-7.2326615724931716E-4</v>
      </c>
      <c r="E2559" s="25">
        <f t="shared" si="552"/>
        <v>8.4046200954792649E-2</v>
      </c>
      <c r="F2559" s="25">
        <f t="shared" si="549"/>
        <v>0.1049252353714103</v>
      </c>
      <c r="G2559" s="25">
        <f t="shared" si="546"/>
        <v>0.18919208915213481</v>
      </c>
      <c r="H2559" s="25">
        <f t="shared" si="543"/>
        <v>0.17615500632322134</v>
      </c>
      <c r="I2559" s="25">
        <f t="shared" si="540"/>
        <v>0.14534927637535477</v>
      </c>
      <c r="K2559" s="28">
        <v>46198</v>
      </c>
      <c r="L2559" s="23">
        <v>37065.43</v>
      </c>
      <c r="M2559" s="25">
        <f t="shared" si="539"/>
        <v>-5.1206744397685935E-4</v>
      </c>
      <c r="O2559" t="b">
        <f t="shared" si="537"/>
        <v>1</v>
      </c>
      <c r="Q2559" s="25">
        <f t="shared" si="553"/>
        <v>2.5335578081725041E-2</v>
      </c>
      <c r="R2559" s="25">
        <f t="shared" si="550"/>
        <v>4.8052772896247209E-2</v>
      </c>
      <c r="S2559" s="25">
        <f t="shared" si="547"/>
        <v>0.15295728347610571</v>
      </c>
      <c r="T2559" s="25">
        <f t="shared" si="544"/>
        <v>0.15082807949167654</v>
      </c>
      <c r="U2559" s="25">
        <f t="shared" si="541"/>
        <v>0.1346101307588945</v>
      </c>
      <c r="X2559">
        <f t="shared" si="554"/>
        <v>1</v>
      </c>
      <c r="Y2559">
        <f t="shared" si="551"/>
        <v>1</v>
      </c>
      <c r="Z2559">
        <f t="shared" si="548"/>
        <v>1</v>
      </c>
      <c r="AA2559">
        <f t="shared" si="545"/>
        <v>1</v>
      </c>
      <c r="AB2559">
        <f t="shared" si="542"/>
        <v>1</v>
      </c>
    </row>
    <row r="2560" spans="1:28">
      <c r="A2560" s="27">
        <v>46202</v>
      </c>
      <c r="B2560" s="24">
        <v>2117.56</v>
      </c>
      <c r="C2560" s="25">
        <f t="shared" si="538"/>
        <v>-4.761031917243635E-3</v>
      </c>
      <c r="E2560" s="25">
        <f t="shared" si="552"/>
        <v>8.0999954055612999E-2</v>
      </c>
      <c r="F2560" s="25">
        <f t="shared" si="549"/>
        <v>0.1017766865611216</v>
      </c>
      <c r="G2560" s="25">
        <f t="shared" si="546"/>
        <v>0.18819468954593921</v>
      </c>
      <c r="H2560" s="25">
        <f t="shared" si="543"/>
        <v>0.1706054347243593</v>
      </c>
      <c r="I2560" s="25">
        <f t="shared" si="540"/>
        <v>0.14395154941181043</v>
      </c>
      <c r="K2560" s="29">
        <v>46202</v>
      </c>
      <c r="L2560" s="24">
        <v>36883.370000000003</v>
      </c>
      <c r="M2560" s="25">
        <f t="shared" si="539"/>
        <v>-4.9360999279620503E-3</v>
      </c>
      <c r="O2560" t="b">
        <f t="shared" si="537"/>
        <v>1</v>
      </c>
      <c r="Q2560" s="25">
        <f t="shared" si="553"/>
        <v>2.1546343583222827E-2</v>
      </c>
      <c r="R2560" s="25">
        <f t="shared" si="550"/>
        <v>4.5250340938400191E-2</v>
      </c>
      <c r="S2560" s="25">
        <f t="shared" si="547"/>
        <v>0.15177365842269586</v>
      </c>
      <c r="T2560" s="25">
        <f t="shared" si="544"/>
        <v>0.14627893074057763</v>
      </c>
      <c r="U2560" s="25">
        <f t="shared" si="541"/>
        <v>0.13343514328729267</v>
      </c>
      <c r="X2560">
        <f t="shared" si="554"/>
        <v>1</v>
      </c>
      <c r="Y2560">
        <f t="shared" si="551"/>
        <v>1</v>
      </c>
      <c r="Z2560">
        <f t="shared" si="548"/>
        <v>1</v>
      </c>
      <c r="AA2560">
        <f t="shared" si="545"/>
        <v>1</v>
      </c>
      <c r="AB2560">
        <f t="shared" si="542"/>
        <v>1</v>
      </c>
    </row>
    <row r="2561" spans="1:28">
      <c r="A2561" s="26">
        <v>46203</v>
      </c>
      <c r="B2561" s="23">
        <v>2117.5700000000002</v>
      </c>
      <c r="C2561" s="25">
        <f t="shared" si="538"/>
        <v>4.7224163661092386E-6</v>
      </c>
      <c r="E2561" s="25">
        <f t="shared" si="552"/>
        <v>7.5984614055680133E-2</v>
      </c>
      <c r="F2561" s="25">
        <f t="shared" si="549"/>
        <v>0.10298130309740472</v>
      </c>
      <c r="G2561" s="25">
        <f t="shared" si="546"/>
        <v>0.18731307919280527</v>
      </c>
      <c r="H2561" s="25">
        <f t="shared" si="543"/>
        <v>0.16533376570833092</v>
      </c>
      <c r="I2561" s="25">
        <f t="shared" si="540"/>
        <v>0.14300463417066211</v>
      </c>
      <c r="K2561" s="28">
        <v>46203</v>
      </c>
      <c r="L2561" s="23">
        <v>36880.75</v>
      </c>
      <c r="M2561" s="25">
        <f t="shared" si="539"/>
        <v>-7.1039770069822859E-5</v>
      </c>
      <c r="O2561" t="b">
        <f t="shared" si="537"/>
        <v>1</v>
      </c>
      <c r="Q2561" s="25">
        <f t="shared" si="553"/>
        <v>1.7782967163368468E-2</v>
      </c>
      <c r="R2561" s="25">
        <f t="shared" si="550"/>
        <v>4.7790311156876708E-2</v>
      </c>
      <c r="S2561" s="25">
        <f t="shared" si="547"/>
        <v>0.15077280066160248</v>
      </c>
      <c r="T2561" s="25">
        <f t="shared" si="544"/>
        <v>0.14051108248882804</v>
      </c>
      <c r="U2561" s="25">
        <f t="shared" si="541"/>
        <v>0.13238647525902159</v>
      </c>
      <c r="X2561">
        <f t="shared" si="554"/>
        <v>1</v>
      </c>
      <c r="Y2561">
        <f t="shared" si="551"/>
        <v>1</v>
      </c>
      <c r="Z2561">
        <f t="shared" si="548"/>
        <v>1</v>
      </c>
      <c r="AA2561">
        <f t="shared" si="545"/>
        <v>1</v>
      </c>
      <c r="AB2561">
        <f t="shared" si="542"/>
        <v>1</v>
      </c>
    </row>
    <row r="2562" spans="1:28">
      <c r="A2562" s="27">
        <v>46204</v>
      </c>
      <c r="B2562" s="24">
        <v>2124.2199999999998</v>
      </c>
      <c r="C2562" s="25">
        <f t="shared" si="538"/>
        <v>3.1403920531550954E-3</v>
      </c>
      <c r="E2562" s="25">
        <f t="shared" si="552"/>
        <v>8.0972978474377788E-2</v>
      </c>
      <c r="F2562" s="25">
        <f t="shared" si="549"/>
        <v>0.10797895937567148</v>
      </c>
      <c r="G2562" s="25">
        <f t="shared" si="546"/>
        <v>0.18456386046153561</v>
      </c>
      <c r="H2562" s="25">
        <f t="shared" si="543"/>
        <v>0.16742110179235659</v>
      </c>
      <c r="I2562" s="25">
        <f t="shared" si="540"/>
        <v>0.14325225286473153</v>
      </c>
      <c r="K2562" s="29">
        <v>46204</v>
      </c>
      <c r="L2562" s="24">
        <v>37066.839999999997</v>
      </c>
      <c r="M2562" s="25">
        <f t="shared" si="539"/>
        <v>5.0203901924198695E-3</v>
      </c>
      <c r="O2562" t="b">
        <f t="shared" si="537"/>
        <v>1</v>
      </c>
      <c r="Q2562" s="25">
        <f t="shared" si="553"/>
        <v>2.5071169289158757E-2</v>
      </c>
      <c r="R2562" s="25">
        <f t="shared" si="550"/>
        <v>5.3662871108006716E-2</v>
      </c>
      <c r="S2562" s="25">
        <f t="shared" si="547"/>
        <v>0.14923157876208992</v>
      </c>
      <c r="T2562" s="25">
        <f t="shared" si="544"/>
        <v>0.1423590655490472</v>
      </c>
      <c r="U2562" s="25">
        <f t="shared" si="541"/>
        <v>0.13276196200562107</v>
      </c>
      <c r="X2562">
        <f t="shared" si="554"/>
        <v>1</v>
      </c>
      <c r="Y2562">
        <f t="shared" si="551"/>
        <v>1</v>
      </c>
      <c r="Z2562">
        <f t="shared" si="548"/>
        <v>1</v>
      </c>
      <c r="AA2562">
        <f t="shared" si="545"/>
        <v>1</v>
      </c>
      <c r="AB2562">
        <f t="shared" si="542"/>
        <v>1</v>
      </c>
    </row>
    <row r="2563" spans="1:28">
      <c r="A2563" s="26">
        <v>46205</v>
      </c>
      <c r="B2563" s="23">
        <v>2144.52</v>
      </c>
      <c r="C2563" s="25">
        <f t="shared" si="538"/>
        <v>9.556448955381356E-3</v>
      </c>
      <c r="E2563" s="25">
        <f t="shared" si="552"/>
        <v>9.0143809189757951E-2</v>
      </c>
      <c r="F2563" s="25">
        <f t="shared" si="549"/>
        <v>0.11945278725069763</v>
      </c>
      <c r="G2563" s="25">
        <f t="shared" si="546"/>
        <v>0.18616663585645443</v>
      </c>
      <c r="H2563" s="25">
        <f t="shared" si="543"/>
        <v>0.17189985152663123</v>
      </c>
      <c r="I2563" s="25">
        <f t="shared" si="540"/>
        <v>0.14540165490293444</v>
      </c>
      <c r="K2563" s="28">
        <v>46205</v>
      </c>
      <c r="L2563" s="23">
        <v>37312.46</v>
      </c>
      <c r="M2563" s="25">
        <f t="shared" si="539"/>
        <v>6.582787626439067E-3</v>
      </c>
      <c r="O2563" t="b">
        <f t="shared" ref="O2563:O2575" si="555">K2563=A2563</f>
        <v>1</v>
      </c>
      <c r="Q2563" s="25">
        <f t="shared" si="553"/>
        <v>3.0392219132384657E-2</v>
      </c>
      <c r="R2563" s="25">
        <f t="shared" si="550"/>
        <v>6.2605418758827192E-2</v>
      </c>
      <c r="S2563" s="25">
        <f t="shared" si="547"/>
        <v>0.14992013869820808</v>
      </c>
      <c r="T2563" s="25">
        <f t="shared" si="544"/>
        <v>0.14498834366304747</v>
      </c>
      <c r="U2563" s="25">
        <f t="shared" si="541"/>
        <v>0.13337134158230723</v>
      </c>
      <c r="X2563">
        <f t="shared" si="554"/>
        <v>1</v>
      </c>
      <c r="Y2563">
        <f t="shared" si="551"/>
        <v>1</v>
      </c>
      <c r="Z2563">
        <f t="shared" si="548"/>
        <v>1</v>
      </c>
      <c r="AA2563">
        <f t="shared" si="545"/>
        <v>1</v>
      </c>
      <c r="AB2563">
        <f t="shared" si="542"/>
        <v>1</v>
      </c>
    </row>
    <row r="2564" spans="1:28">
      <c r="A2564" s="27">
        <v>46206</v>
      </c>
      <c r="B2564" s="24">
        <v>2148.35</v>
      </c>
      <c r="C2564" s="25">
        <f t="shared" ref="C2564:C2575" si="556">(B2564-B2563)/B2563</f>
        <v>1.7859474381213172E-3</v>
      </c>
      <c r="E2564" s="25">
        <f t="shared" si="552"/>
        <v>9.5052169613685011E-2</v>
      </c>
      <c r="F2564" s="25">
        <f t="shared" si="549"/>
        <v>0.11946788432174937</v>
      </c>
      <c r="G2564" s="25">
        <f t="shared" si="546"/>
        <v>0.18658308798501633</v>
      </c>
      <c r="H2564" s="25">
        <f t="shared" si="543"/>
        <v>0.17060981363816397</v>
      </c>
      <c r="I2564" s="25">
        <f t="shared" si="540"/>
        <v>0.14384039777384494</v>
      </c>
      <c r="K2564" s="29">
        <v>46206</v>
      </c>
      <c r="L2564" s="24">
        <v>37379.33</v>
      </c>
      <c r="M2564" s="25">
        <f t="shared" ref="M2564:M2575" si="557">(L2564-L2563)/L2564</f>
        <v>1.7889566238881922E-3</v>
      </c>
      <c r="O2564" t="b">
        <f t="shared" si="555"/>
        <v>1</v>
      </c>
      <c r="Q2564" s="25">
        <f t="shared" si="553"/>
        <v>3.7611740268190585E-2</v>
      </c>
      <c r="R2564" s="25">
        <f t="shared" si="550"/>
        <v>6.1585076231850389E-2</v>
      </c>
      <c r="S2564" s="25">
        <f t="shared" si="547"/>
        <v>0.14994754040307656</v>
      </c>
      <c r="T2564" s="25">
        <f t="shared" si="544"/>
        <v>0.14377066328667354</v>
      </c>
      <c r="U2564" s="25">
        <f t="shared" si="541"/>
        <v>0.13167729825257646</v>
      </c>
      <c r="X2564">
        <f t="shared" si="554"/>
        <v>1</v>
      </c>
      <c r="Y2564">
        <f t="shared" si="551"/>
        <v>1</v>
      </c>
      <c r="Z2564">
        <f t="shared" si="548"/>
        <v>1</v>
      </c>
      <c r="AA2564">
        <f t="shared" si="545"/>
        <v>1</v>
      </c>
      <c r="AB2564">
        <f t="shared" si="542"/>
        <v>1</v>
      </c>
    </row>
    <row r="2565" spans="1:28">
      <c r="A2565" s="26">
        <v>46209</v>
      </c>
      <c r="B2565" s="23">
        <v>2163.0700000000002</v>
      </c>
      <c r="C2565" s="25">
        <f t="shared" si="556"/>
        <v>6.8517699629949752E-3</v>
      </c>
      <c r="E2565" s="25">
        <f t="shared" si="552"/>
        <v>9.9718851204669168E-2</v>
      </c>
      <c r="F2565" s="25">
        <f t="shared" si="549"/>
        <v>0.10855372597961632</v>
      </c>
      <c r="G2565" s="25">
        <f t="shared" si="546"/>
        <v>0.18876336062454668</v>
      </c>
      <c r="H2565" s="25">
        <f t="shared" si="543"/>
        <v>0.1745188717040258</v>
      </c>
      <c r="I2565" s="25">
        <f t="shared" si="540"/>
        <v>0.14617977371734536</v>
      </c>
      <c r="K2565" s="28">
        <v>46209</v>
      </c>
      <c r="L2565" s="23">
        <v>37592.68</v>
      </c>
      <c r="M2565" s="25">
        <f t="shared" si="557"/>
        <v>5.6753070012565887E-3</v>
      </c>
      <c r="O2565" t="b">
        <f t="shared" si="555"/>
        <v>1</v>
      </c>
      <c r="Q2565" s="25">
        <f t="shared" si="553"/>
        <v>3.8879626505321507E-2</v>
      </c>
      <c r="R2565" s="25">
        <f t="shared" si="550"/>
        <v>4.7521563687430213E-2</v>
      </c>
      <c r="S2565" s="25">
        <f t="shared" si="547"/>
        <v>0.15280055693304395</v>
      </c>
      <c r="T2565" s="25">
        <f t="shared" si="544"/>
        <v>0.1472233571296333</v>
      </c>
      <c r="U2565" s="25">
        <f t="shared" si="541"/>
        <v>0.13323994741885148</v>
      </c>
      <c r="X2565">
        <f t="shared" si="554"/>
        <v>1</v>
      </c>
      <c r="Y2565">
        <f t="shared" si="551"/>
        <v>1</v>
      </c>
      <c r="Z2565">
        <f t="shared" si="548"/>
        <v>1</v>
      </c>
      <c r="AA2565">
        <f t="shared" si="545"/>
        <v>1</v>
      </c>
      <c r="AB2565">
        <f t="shared" si="542"/>
        <v>1</v>
      </c>
    </row>
    <row r="2566" spans="1:28">
      <c r="A2566" s="27">
        <v>46210</v>
      </c>
      <c r="B2566" s="24">
        <v>2160.04</v>
      </c>
      <c r="C2566" s="25">
        <f t="shared" si="556"/>
        <v>-1.400786844623706E-3</v>
      </c>
      <c r="E2566" s="25">
        <f t="shared" si="552"/>
        <v>9.232504159355126E-2</v>
      </c>
      <c r="F2566" s="25">
        <f t="shared" si="549"/>
        <v>0.14053558884926698</v>
      </c>
      <c r="G2566" s="25">
        <f t="shared" si="546"/>
        <v>0.18829725073044745</v>
      </c>
      <c r="H2566" s="25">
        <f t="shared" si="543"/>
        <v>0.17497662328496877</v>
      </c>
      <c r="I2566" s="25">
        <f t="shared" si="540"/>
        <v>0.14531643548960549</v>
      </c>
      <c r="K2566" s="29">
        <v>46210</v>
      </c>
      <c r="L2566" s="24">
        <v>37490.53</v>
      </c>
      <c r="M2566" s="25">
        <f t="shared" si="557"/>
        <v>-2.7246880745618015E-3</v>
      </c>
      <c r="O2566" t="b">
        <f t="shared" si="555"/>
        <v>1</v>
      </c>
      <c r="Q2566" s="25">
        <f t="shared" si="553"/>
        <v>3.0332686395788233E-2</v>
      </c>
      <c r="R2566" s="25">
        <f t="shared" si="550"/>
        <v>8.3136244906917511E-2</v>
      </c>
      <c r="S2566" s="25">
        <f t="shared" si="547"/>
        <v>0.15189926842261325</v>
      </c>
      <c r="T2566" s="25">
        <f t="shared" si="544"/>
        <v>0.14692457497843869</v>
      </c>
      <c r="U2566" s="25">
        <f t="shared" si="541"/>
        <v>0.13153189096843176</v>
      </c>
      <c r="X2566">
        <f t="shared" si="554"/>
        <v>1</v>
      </c>
      <c r="Y2566">
        <f t="shared" si="551"/>
        <v>1</v>
      </c>
      <c r="Z2566">
        <f t="shared" si="548"/>
        <v>1</v>
      </c>
      <c r="AA2566">
        <f t="shared" si="545"/>
        <v>1</v>
      </c>
      <c r="AB2566">
        <f t="shared" si="542"/>
        <v>1</v>
      </c>
    </row>
    <row r="2567" spans="1:28">
      <c r="A2567" s="26">
        <v>46211</v>
      </c>
      <c r="B2567" s="23">
        <v>2125.2399999999998</v>
      </c>
      <c r="C2567" s="25">
        <f t="shared" si="556"/>
        <v>-1.61108127627267E-2</v>
      </c>
      <c r="E2567" s="25">
        <f t="shared" si="552"/>
        <v>6.5064322620413728E-2</v>
      </c>
      <c r="F2567" s="25">
        <f t="shared" si="549"/>
        <v>0.11002975105961776</v>
      </c>
      <c r="G2567" s="25">
        <f t="shared" si="546"/>
        <v>0.1800902292622597</v>
      </c>
      <c r="H2567" s="25">
        <f t="shared" si="543"/>
        <v>0.17375524366168138</v>
      </c>
      <c r="I2567" s="25">
        <f t="shared" si="540"/>
        <v>0.14020523964144505</v>
      </c>
      <c r="K2567" s="28">
        <v>46211</v>
      </c>
      <c r="L2567" s="23">
        <v>36751.9</v>
      </c>
      <c r="M2567" s="25">
        <f t="shared" si="557"/>
        <v>-2.0097736443557949E-2</v>
      </c>
      <c r="O2567" t="b">
        <f t="shared" si="555"/>
        <v>1</v>
      </c>
      <c r="Q2567" s="25">
        <f t="shared" si="553"/>
        <v>-5.0334999829870775E-5</v>
      </c>
      <c r="R2567" s="25">
        <f t="shared" si="550"/>
        <v>5.364222692226317E-2</v>
      </c>
      <c r="S2567" s="25">
        <f t="shared" si="547"/>
        <v>0.14282839223801846</v>
      </c>
      <c r="T2567" s="25">
        <f t="shared" si="544"/>
        <v>0.14365013245602576</v>
      </c>
      <c r="U2567" s="25">
        <f t="shared" si="541"/>
        <v>0.12520479974276966</v>
      </c>
      <c r="X2567">
        <f t="shared" si="554"/>
        <v>1</v>
      </c>
      <c r="Y2567">
        <f t="shared" si="551"/>
        <v>1</v>
      </c>
      <c r="Z2567">
        <f t="shared" si="548"/>
        <v>1</v>
      </c>
      <c r="AA2567">
        <f t="shared" si="545"/>
        <v>1</v>
      </c>
      <c r="AB2567">
        <f t="shared" si="542"/>
        <v>1</v>
      </c>
    </row>
    <row r="2568" spans="1:28">
      <c r="A2568" s="27">
        <v>46212</v>
      </c>
      <c r="B2568" s="24">
        <v>2140.34</v>
      </c>
      <c r="C2568" s="25">
        <f t="shared" si="556"/>
        <v>7.10507989685888E-3</v>
      </c>
      <c r="E2568" s="25">
        <f t="shared" si="552"/>
        <v>6.5970077893101164E-2</v>
      </c>
      <c r="F2568" s="25">
        <f t="shared" si="549"/>
        <v>0.10562912966771831</v>
      </c>
      <c r="G2568" s="25">
        <f t="shared" si="546"/>
        <v>0.18100324685727354</v>
      </c>
      <c r="H2568" s="25">
        <f t="shared" si="543"/>
        <v>0.17603422959314541</v>
      </c>
      <c r="I2568" s="25">
        <f t="shared" si="540"/>
        <v>0.14144852740673186</v>
      </c>
      <c r="K2568" s="29">
        <v>46212</v>
      </c>
      <c r="L2568" s="24">
        <v>37030.720000000001</v>
      </c>
      <c r="M2568" s="25">
        <f t="shared" si="557"/>
        <v>7.5294242185947151E-3</v>
      </c>
      <c r="O2568" t="b">
        <f t="shared" si="555"/>
        <v>1</v>
      </c>
      <c r="Q2568" s="25">
        <f t="shared" si="553"/>
        <v>3.9090939789954149E-4</v>
      </c>
      <c r="R2568" s="25">
        <f t="shared" si="550"/>
        <v>4.9915521290883724E-2</v>
      </c>
      <c r="S2568" s="25">
        <f t="shared" si="547"/>
        <v>0.14454623061608252</v>
      </c>
      <c r="T2568" s="25">
        <f t="shared" si="544"/>
        <v>0.14681608698731696</v>
      </c>
      <c r="U2568" s="25">
        <f t="shared" si="541"/>
        <v>0.12667997990396751</v>
      </c>
      <c r="X2568">
        <f t="shared" si="554"/>
        <v>1</v>
      </c>
      <c r="Y2568">
        <f t="shared" si="551"/>
        <v>1</v>
      </c>
      <c r="Z2568">
        <f t="shared" si="548"/>
        <v>1</v>
      </c>
      <c r="AA2568">
        <f t="shared" si="545"/>
        <v>1</v>
      </c>
      <c r="AB2568">
        <f t="shared" si="542"/>
        <v>1</v>
      </c>
    </row>
    <row r="2569" spans="1:28">
      <c r="A2569" s="26">
        <v>46213</v>
      </c>
      <c r="B2569" s="23">
        <v>2161.08</v>
      </c>
      <c r="C2569" s="25">
        <f t="shared" si="556"/>
        <v>9.6900492445124511E-3</v>
      </c>
      <c r="E2569" s="25">
        <f t="shared" si="552"/>
        <v>7.772713218499705E-2</v>
      </c>
      <c r="F2569" s="25">
        <f t="shared" si="549"/>
        <v>0.10146460341200769</v>
      </c>
      <c r="G2569" s="25">
        <f t="shared" si="546"/>
        <v>0.18501848983657654</v>
      </c>
      <c r="H2569" s="25">
        <f t="shared" si="543"/>
        <v>0.17684299991462726</v>
      </c>
      <c r="I2569" s="25">
        <f t="shared" si="540"/>
        <v>0.14153114430319902</v>
      </c>
      <c r="K2569" s="28">
        <v>46213</v>
      </c>
      <c r="L2569" s="23">
        <v>37465.01</v>
      </c>
      <c r="M2569" s="25">
        <f t="shared" si="557"/>
        <v>1.1591882665986233E-2</v>
      </c>
      <c r="O2569" t="b">
        <f t="shared" si="555"/>
        <v>1</v>
      </c>
      <c r="Q2569" s="25">
        <f t="shared" si="553"/>
        <v>1.1666634263099773E-2</v>
      </c>
      <c r="R2569" s="25">
        <f t="shared" si="550"/>
        <v>4.6312559762248906E-2</v>
      </c>
      <c r="S2569" s="25">
        <f t="shared" si="547"/>
        <v>0.14854764533496967</v>
      </c>
      <c r="T2569" s="25">
        <f t="shared" si="544"/>
        <v>0.14825833478990402</v>
      </c>
      <c r="U2569" s="25">
        <f t="shared" si="541"/>
        <v>0.12786970531899278</v>
      </c>
      <c r="X2569">
        <f t="shared" si="554"/>
        <v>1</v>
      </c>
      <c r="Y2569">
        <f t="shared" si="551"/>
        <v>1</v>
      </c>
      <c r="Z2569">
        <f t="shared" si="548"/>
        <v>1</v>
      </c>
      <c r="AA2569">
        <f t="shared" si="545"/>
        <v>1</v>
      </c>
      <c r="AB2569">
        <f t="shared" si="542"/>
        <v>1</v>
      </c>
    </row>
    <row r="2570" spans="1:28">
      <c r="A2570" s="27">
        <v>46216</v>
      </c>
      <c r="B2570" s="24">
        <v>2163.31</v>
      </c>
      <c r="C2570" s="25">
        <f t="shared" si="556"/>
        <v>1.0318914616765777E-3</v>
      </c>
      <c r="E2570" s="25">
        <f t="shared" si="552"/>
        <v>7.9135219263020806E-2</v>
      </c>
      <c r="F2570" s="25">
        <f t="shared" si="549"/>
        <v>0.10175754420991323</v>
      </c>
      <c r="G2570" s="25">
        <f t="shared" si="546"/>
        <v>0.18220610201568799</v>
      </c>
      <c r="H2570" s="25">
        <f t="shared" si="543"/>
        <v>0.18100712107082195</v>
      </c>
      <c r="I2570" s="25">
        <f t="shared" si="540"/>
        <v>0.14078806103803387</v>
      </c>
      <c r="K2570" s="29">
        <v>46216</v>
      </c>
      <c r="L2570" s="24">
        <v>37462.83</v>
      </c>
      <c r="M2570" s="25">
        <f t="shared" si="557"/>
        <v>-5.8191012264697862E-5</v>
      </c>
      <c r="O2570" t="b">
        <f t="shared" si="555"/>
        <v>1</v>
      </c>
      <c r="Q2570" s="25">
        <f t="shared" si="553"/>
        <v>1.168453273886283E-2</v>
      </c>
      <c r="R2570" s="25">
        <f t="shared" si="550"/>
        <v>4.5223741306794851E-2</v>
      </c>
      <c r="S2570" s="25">
        <f t="shared" si="547"/>
        <v>0.14543949054944938</v>
      </c>
      <c r="T2570" s="25">
        <f t="shared" si="544"/>
        <v>0.15228199752176463</v>
      </c>
      <c r="U2570" s="25">
        <f t="shared" si="541"/>
        <v>0.12757382901021108</v>
      </c>
      <c r="X2570">
        <f t="shared" si="554"/>
        <v>1</v>
      </c>
      <c r="Y2570">
        <f t="shared" si="551"/>
        <v>1</v>
      </c>
      <c r="Z2570">
        <f t="shared" si="548"/>
        <v>1</v>
      </c>
      <c r="AA2570">
        <f t="shared" si="545"/>
        <v>1</v>
      </c>
      <c r="AB2570">
        <f t="shared" si="542"/>
        <v>1</v>
      </c>
    </row>
    <row r="2571" spans="1:28">
      <c r="A2571" s="26">
        <v>46217</v>
      </c>
      <c r="B2571" s="23">
        <v>2148.94</v>
      </c>
      <c r="C2571" s="25">
        <f t="shared" si="556"/>
        <v>-6.6425986104626201E-3</v>
      </c>
      <c r="E2571" s="25">
        <f t="shared" si="552"/>
        <v>8.3796065140534282E-2</v>
      </c>
      <c r="F2571" s="25">
        <f t="shared" si="549"/>
        <v>9.7922776370470199E-2</v>
      </c>
      <c r="G2571" s="25">
        <f t="shared" si="546"/>
        <v>0.18252830838791301</v>
      </c>
      <c r="H2571" s="25">
        <f t="shared" si="543"/>
        <v>0.18732200725337167</v>
      </c>
      <c r="I2571" s="25">
        <f t="shared" si="540"/>
        <v>0.14122188156445104</v>
      </c>
      <c r="K2571" s="28">
        <v>46217</v>
      </c>
      <c r="L2571" s="23">
        <v>37226.58</v>
      </c>
      <c r="M2571" s="25">
        <f t="shared" si="557"/>
        <v>-6.3462719379540102E-3</v>
      </c>
      <c r="O2571" t="b">
        <f t="shared" si="555"/>
        <v>1</v>
      </c>
      <c r="Q2571" s="25">
        <f t="shared" si="553"/>
        <v>1.7998043120266205E-2</v>
      </c>
      <c r="R2571" s="25">
        <f t="shared" si="550"/>
        <v>4.0800696475291609E-2</v>
      </c>
      <c r="S2571" s="25">
        <f t="shared" si="547"/>
        <v>0.14507208770016522</v>
      </c>
      <c r="T2571" s="25">
        <f t="shared" si="544"/>
        <v>0.15820305894983</v>
      </c>
      <c r="U2571" s="25">
        <f t="shared" si="541"/>
        <v>0.12782639061160661</v>
      </c>
      <c r="X2571">
        <f t="shared" si="554"/>
        <v>1</v>
      </c>
      <c r="Y2571">
        <f t="shared" si="551"/>
        <v>1</v>
      </c>
      <c r="Z2571">
        <f t="shared" si="548"/>
        <v>1</v>
      </c>
      <c r="AA2571">
        <f t="shared" si="545"/>
        <v>1</v>
      </c>
      <c r="AB2571">
        <f t="shared" si="542"/>
        <v>1</v>
      </c>
    </row>
    <row r="2572" spans="1:28">
      <c r="A2572" s="27">
        <v>46218</v>
      </c>
      <c r="B2572" s="24">
        <v>2155.84</v>
      </c>
      <c r="C2572" s="25">
        <f t="shared" si="556"/>
        <v>3.2108853667389926E-3</v>
      </c>
      <c r="E2572" s="25">
        <f t="shared" si="552"/>
        <v>9.4824083854716967E-2</v>
      </c>
      <c r="F2572" s="25">
        <f t="shared" si="549"/>
        <v>9.6548403522255244E-2</v>
      </c>
      <c r="G2572" s="25">
        <f t="shared" si="546"/>
        <v>0.18527201030507268</v>
      </c>
      <c r="H2572" s="25">
        <f t="shared" si="543"/>
        <v>0.18780462569496703</v>
      </c>
      <c r="I2572" s="25">
        <f t="shared" si="540"/>
        <v>0.13935472169672924</v>
      </c>
      <c r="K2572" s="29">
        <v>46218</v>
      </c>
      <c r="L2572" s="24">
        <v>37332.65</v>
      </c>
      <c r="M2572" s="25">
        <f t="shared" si="557"/>
        <v>2.8412127186256456E-3</v>
      </c>
      <c r="O2572" t="b">
        <f t="shared" si="555"/>
        <v>1</v>
      </c>
      <c r="Q2572" s="25">
        <f t="shared" si="553"/>
        <v>2.7084437240048942E-2</v>
      </c>
      <c r="R2572" s="25">
        <f t="shared" si="550"/>
        <v>3.9686532583447232E-2</v>
      </c>
      <c r="S2572" s="25">
        <f t="shared" si="547"/>
        <v>0.14717167859821134</v>
      </c>
      <c r="T2572" s="25">
        <f t="shared" si="544"/>
        <v>0.15963825153000788</v>
      </c>
      <c r="U2572" s="25">
        <f t="shared" si="541"/>
        <v>0.12631142137839002</v>
      </c>
      <c r="X2572">
        <f t="shared" si="554"/>
        <v>1</v>
      </c>
      <c r="Y2572">
        <f t="shared" si="551"/>
        <v>1</v>
      </c>
      <c r="Z2572">
        <f t="shared" si="548"/>
        <v>1</v>
      </c>
      <c r="AA2572">
        <f t="shared" si="545"/>
        <v>1</v>
      </c>
      <c r="AB2572">
        <f t="shared" si="542"/>
        <v>1</v>
      </c>
    </row>
    <row r="2573" spans="1:28">
      <c r="A2573" s="26">
        <v>46219</v>
      </c>
      <c r="B2573" s="23">
        <v>2153.4699999999998</v>
      </c>
      <c r="C2573" s="25">
        <f t="shared" si="556"/>
        <v>-1.0993394686063648E-3</v>
      </c>
      <c r="E2573" s="25">
        <f t="shared" si="552"/>
        <v>8.3512369873558923E-2</v>
      </c>
      <c r="F2573" s="25">
        <f t="shared" si="549"/>
        <v>9.2505075034267081E-2</v>
      </c>
      <c r="G2573" s="25">
        <f t="shared" si="546"/>
        <v>0.18343758377891395</v>
      </c>
      <c r="H2573" s="25">
        <f t="shared" si="543"/>
        <v>0.18658884181169633</v>
      </c>
      <c r="I2573" s="25">
        <f t="shared" si="540"/>
        <v>0.13809434798926246</v>
      </c>
      <c r="K2573" s="28">
        <v>46219</v>
      </c>
      <c r="L2573" s="23">
        <v>37282.57</v>
      </c>
      <c r="M2573" s="25">
        <f t="shared" si="557"/>
        <v>-1.3432550384804948E-3</v>
      </c>
      <c r="O2573" t="b">
        <f t="shared" si="555"/>
        <v>1</v>
      </c>
      <c r="Q2573" s="25">
        <f t="shared" si="553"/>
        <v>1.7309995391313837E-2</v>
      </c>
      <c r="R2573" s="25">
        <f t="shared" si="550"/>
        <v>3.6312282920916816E-2</v>
      </c>
      <c r="S2573" s="25">
        <f t="shared" si="547"/>
        <v>0.14540878428756909</v>
      </c>
      <c r="T2573" s="25">
        <f t="shared" si="544"/>
        <v>0.15921350081860552</v>
      </c>
      <c r="U2573" s="25">
        <f t="shared" si="541"/>
        <v>0.12518331249557746</v>
      </c>
      <c r="X2573">
        <f t="shared" si="554"/>
        <v>1</v>
      </c>
      <c r="Y2573">
        <f t="shared" si="551"/>
        <v>1</v>
      </c>
      <c r="Z2573">
        <f t="shared" si="548"/>
        <v>1</v>
      </c>
      <c r="AA2573">
        <f t="shared" si="545"/>
        <v>1</v>
      </c>
      <c r="AB2573">
        <f t="shared" si="542"/>
        <v>1</v>
      </c>
    </row>
    <row r="2574" spans="1:28">
      <c r="A2574" s="27">
        <v>46220</v>
      </c>
      <c r="B2574" s="24">
        <v>2165.06</v>
      </c>
      <c r="C2574" s="25">
        <f t="shared" si="556"/>
        <v>5.382011358412305E-3</v>
      </c>
      <c r="E2574" s="25">
        <f t="shared" si="552"/>
        <v>9.4409818580693416E-2</v>
      </c>
      <c r="F2574" s="25">
        <f t="shared" si="549"/>
        <v>9.2336591183132644E-2</v>
      </c>
      <c r="G2574" s="25">
        <f t="shared" si="546"/>
        <v>0.18234421672420331</v>
      </c>
      <c r="H2574" s="25">
        <f t="shared" si="543"/>
        <v>0.19515240432215597</v>
      </c>
      <c r="I2574" s="25">
        <f t="shared" si="540"/>
        <v>0.13939557659848845</v>
      </c>
      <c r="K2574" s="29">
        <v>46220</v>
      </c>
      <c r="L2574" s="24">
        <v>37457.949999999997</v>
      </c>
      <c r="M2574" s="25">
        <f t="shared" si="557"/>
        <v>4.6820501388890046E-3</v>
      </c>
      <c r="O2574" t="b">
        <f t="shared" si="555"/>
        <v>1</v>
      </c>
      <c r="Q2574" s="25">
        <f t="shared" si="553"/>
        <v>2.7126282847012018E-2</v>
      </c>
      <c r="R2574" s="25">
        <f t="shared" si="550"/>
        <v>3.5347624976141745E-2</v>
      </c>
      <c r="S2574" s="25">
        <f t="shared" si="547"/>
        <v>0.1443567104961696</v>
      </c>
      <c r="T2574" s="25">
        <f t="shared" si="544"/>
        <v>0.1669823430543691</v>
      </c>
      <c r="U2574" s="25">
        <f t="shared" si="541"/>
        <v>0.12636373616992191</v>
      </c>
      <c r="X2574">
        <f t="shared" si="554"/>
        <v>1</v>
      </c>
      <c r="Y2574">
        <f t="shared" si="551"/>
        <v>1</v>
      </c>
      <c r="Z2574">
        <f t="shared" si="548"/>
        <v>1</v>
      </c>
      <c r="AA2574">
        <f t="shared" si="545"/>
        <v>1</v>
      </c>
      <c r="AB2574">
        <f t="shared" si="542"/>
        <v>1</v>
      </c>
    </row>
    <row r="2575" spans="1:28">
      <c r="A2575" s="26">
        <v>46223</v>
      </c>
      <c r="B2575" s="23">
        <v>2169.61</v>
      </c>
      <c r="C2575" s="25">
        <f t="shared" si="556"/>
        <v>2.1015583863727479E-3</v>
      </c>
      <c r="E2575" s="25">
        <f t="shared" si="552"/>
        <v>9.6582293835796529E-2</v>
      </c>
      <c r="F2575" s="25">
        <f t="shared" si="549"/>
        <v>8.9641243498659762E-2</v>
      </c>
      <c r="G2575" s="25">
        <f t="shared" si="546"/>
        <v>0.18266049102288706</v>
      </c>
      <c r="H2575" s="25">
        <f t="shared" si="543"/>
        <v>0.19729178880342668</v>
      </c>
      <c r="I2575" s="25">
        <f t="shared" si="540"/>
        <v>0.13846791140741566</v>
      </c>
      <c r="K2575" s="28">
        <v>46223</v>
      </c>
      <c r="L2575" s="23">
        <v>37460.92</v>
      </c>
      <c r="M2575" s="25">
        <f t="shared" si="557"/>
        <v>7.9282623064280431E-5</v>
      </c>
      <c r="O2575" t="b">
        <f t="shared" si="555"/>
        <v>1</v>
      </c>
      <c r="Q2575" s="25">
        <f t="shared" si="553"/>
        <v>2.9728912516423955E-2</v>
      </c>
      <c r="R2575" s="25">
        <f t="shared" si="550"/>
        <v>3.2685480603639183E-2</v>
      </c>
      <c r="S2575" s="25">
        <f t="shared" si="547"/>
        <v>0.14352811771701868</v>
      </c>
      <c r="T2575" s="25">
        <f t="shared" si="544"/>
        <v>0.16910467981287769</v>
      </c>
      <c r="U2575" s="25">
        <f t="shared" si="541"/>
        <v>0.1254920227968197</v>
      </c>
      <c r="X2575">
        <f t="shared" si="554"/>
        <v>1</v>
      </c>
      <c r="Y2575">
        <f t="shared" si="551"/>
        <v>1</v>
      </c>
      <c r="Z2575">
        <f t="shared" si="548"/>
        <v>1</v>
      </c>
      <c r="AA2575">
        <f t="shared" si="545"/>
        <v>1</v>
      </c>
      <c r="AB2575">
        <f t="shared" si="542"/>
        <v>1</v>
      </c>
    </row>
    <row r="2577" spans="4:28" s="30" customFormat="1"/>
    <row r="2578" spans="4:28">
      <c r="D2578" s="32" t="s">
        <v>41</v>
      </c>
      <c r="E2578" s="33">
        <f>AVERAGE(E247:E2575)</f>
        <v>0.16965244891086881</v>
      </c>
      <c r="F2578" s="33">
        <f>AVERAGE(F494:F2575)</f>
        <v>0.1562752102997009</v>
      </c>
      <c r="G2578" s="33">
        <f>AVERAGE(G739:G2575)</f>
        <v>0.1505225227282028</v>
      </c>
      <c r="H2578" s="33">
        <f>AVERAGE(H983:H2575)</f>
        <v>0.14941049990322303</v>
      </c>
      <c r="I2578" s="33">
        <f>AVERAGE(I1233:I2575)</f>
        <v>0.16132267929290128</v>
      </c>
      <c r="P2578" s="32" t="s">
        <v>41</v>
      </c>
      <c r="Q2578" s="33">
        <f>AVERAGE(Q247:Q2575)</f>
        <v>0.16342019784495304</v>
      </c>
      <c r="R2578" s="33">
        <f>AVERAGE(R494:R2575)</f>
        <v>0.15595852022456805</v>
      </c>
      <c r="S2578" s="33">
        <f>AVERAGE(S739:S2575)</f>
        <v>0.15238197954959334</v>
      </c>
      <c r="T2578" s="33">
        <f>AVERAGE(T983:T2575)</f>
        <v>0.15268084855704225</v>
      </c>
      <c r="U2578" s="33">
        <f>AVERAGE(U1233:U2575)</f>
        <v>0.1646163821675892</v>
      </c>
      <c r="W2578" s="32" t="s">
        <v>35</v>
      </c>
      <c r="X2578" s="33">
        <f>SUM(X247:X2575)/COUNT(X247:X2575)</f>
        <v>0.49377415199656505</v>
      </c>
      <c r="Y2578" s="33">
        <f t="shared" ref="Y2578:AB2578" si="558">SUM(Y247:Y2575)/COUNT(Y247:Y2575)</f>
        <v>0.44620557156580209</v>
      </c>
      <c r="Z2578" s="33">
        <f t="shared" si="558"/>
        <v>0.36472509526401742</v>
      </c>
      <c r="AA2578" s="33">
        <f t="shared" si="558"/>
        <v>0.23791588198367861</v>
      </c>
      <c r="AB2578" s="33">
        <f t="shared" si="558"/>
        <v>0.31943410275502604</v>
      </c>
    </row>
    <row r="2579" spans="4:28">
      <c r="D2579" s="32" t="s">
        <v>42</v>
      </c>
      <c r="E2579" s="33">
        <f>E2578-Q2578</f>
        <v>6.2322510659157671E-3</v>
      </c>
      <c r="F2579" s="33">
        <f t="shared" ref="F2579:I2579" si="559">F2578-R2578</f>
        <v>3.1669007513285274E-4</v>
      </c>
      <c r="G2579" s="33">
        <f t="shared" si="559"/>
        <v>-1.8594568213905482E-3</v>
      </c>
      <c r="H2579" s="33">
        <f t="shared" si="559"/>
        <v>-3.2703486538192272E-3</v>
      </c>
      <c r="I2579" s="33">
        <f t="shared" si="559"/>
        <v>-3.2937028746879149E-3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Overview</vt:lpstr>
      <vt:lpstr>Daily NAV &amp; TRI</vt:lpstr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Shubh Darji</cp:lastModifiedBy>
  <dcterms:modified xsi:type="dcterms:W3CDTF">2026-07-22T15:43:35Z</dcterms:modified>
</cp:coreProperties>
</file>